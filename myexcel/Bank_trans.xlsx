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showInkAnnotation="0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8_{109E5B52-0B41-492F-8D73-4DF5B09184CF}" xr6:coauthVersionLast="47" xr6:coauthVersionMax="47" xr10:uidLastSave="{00000000-0000-0000-0000-000000000000}"/>
  <bookViews>
    <workbookView xWindow="-120" yWindow="-120" windowWidth="29040" windowHeight="15840" tabRatio="841" activeTab="2" xr2:uid="{00000000-000D-0000-FFFF-FFFF00000000}"/>
  </bookViews>
  <sheets>
    <sheet name="TRANS" sheetId="3" r:id="rId1"/>
    <sheet name="MASTER" sheetId="2" r:id="rId2"/>
    <sheet name="Sheet6" sheetId="12" r:id="rId3"/>
    <sheet name="BC_comm" sheetId="4" r:id="rId4"/>
    <sheet name="Sheet1" sheetId="5" r:id="rId5"/>
    <sheet name="Sheet2" sheetId="6" r:id="rId6"/>
    <sheet name="refund" sheetId="7" r:id="rId7"/>
    <sheet name="Sheet5" sheetId="8" r:id="rId8"/>
    <sheet name="Sheet3" sheetId="9" r:id="rId9"/>
    <sheet name="Sheet4" sheetId="10" r:id="rId10"/>
    <sheet name="pvc" sheetId="11" r:id="rId11"/>
  </sheets>
  <definedNames>
    <definedName name="_xlnm._FilterDatabase" localSheetId="1" hidden="1">MASTER!$B$1:$N$1232</definedName>
    <definedName name="_xlnm._FilterDatabase" localSheetId="5" hidden="1">Sheet2!$B$1:$I$41</definedName>
    <definedName name="kharangajhar" localSheetId="3">#REF!</definedName>
    <definedName name="kharangajhar">#REF!</definedName>
    <definedName name="Madarsacolony" localSheetId="3">#REF!</definedName>
    <definedName name="Madarsacolony">#REF!</definedName>
    <definedName name="radhikanagar" localSheetId="3">#REF!</definedName>
    <definedName name="radhikanagar">#REF!</definedName>
    <definedName name="Z_1459FC0D_58BA_4BEC_951C_298999986759_.wvu.FilterData" localSheetId="1" hidden="1">MASTER!$B$1:$N$1232</definedName>
    <definedName name="Z_1459FC0D_58BA_4BEC_951C_298999986759_.wvu.FilterData" localSheetId="5" hidden="1">Sheet2!$B$1:$I$41</definedName>
    <definedName name="Z_2FF9BCA9_095C_4E73_9C86_2243907C0824_.wvu.FilterData" localSheetId="1" hidden="1">MASTER!$B$1:$N$1232</definedName>
    <definedName name="Z_2FF9BCA9_095C_4E73_9C86_2243907C0824_.wvu.FilterData" localSheetId="5" hidden="1">Sheet2!$B$1:$I$41</definedName>
    <definedName name="Z_A0CE3161_5061_442F_A27F_2BA55581F316_.wvu.FilterData" localSheetId="1" hidden="1">MASTER!$B$1:$N$1232</definedName>
    <definedName name="Z_A0CE3161_5061_442F_A27F_2BA55581F316_.wvu.FilterData" localSheetId="5" hidden="1">Sheet2!$B$1:$I$41</definedName>
    <definedName name="Z_EB31AAB7_3CD3_47EA_8FB3_E6304DCC89B3_.wvu.Cols" localSheetId="1" hidden="1">MASTER!$E:$F</definedName>
    <definedName name="Z_EB31AAB7_3CD3_47EA_8FB3_E6304DCC89B3_.wvu.FilterData" localSheetId="1" hidden="1">MASTER!$B$1:$N$1232</definedName>
    <definedName name="Z_EB31AAB7_3CD3_47EA_8FB3_E6304DCC89B3_.wvu.FilterData" localSheetId="5" hidden="1">Sheet2!$B$1:$I$41</definedName>
  </definedNames>
  <calcPr calcId="181029"/>
  <customWorkbookViews>
    <customWorkbookView name="CSC-KGN - Personal View" guid="{A0CE3161-5061-442F-A27F-2BA55581F316}" autoUpdate="1" mergeInterval="5" personalView="1" maximized="1" xWindow="-8" yWindow="-8" windowWidth="1296" windowHeight="1000" tabRatio="841" activeSheetId="11"/>
    <customWorkbookView name="NISE-DESKTOP - Personal View" guid="{2FF9BCA9-095C-4E73-9C86-2243907C0824}" mergeInterval="0" personalView="1" maximized="1" xWindow="-8" yWindow="-8" windowWidth="1296" windowHeight="1000" tabRatio="841" activeSheetId="11"/>
    <customWorkbookView name="Sanjay Kumar - Personal View" guid="{EB31AAB7-3CD3-47EA-8FB3-E6304DCC89B3}" mergeInterval="0" personalView="1" maximized="1" xWindow="-8" yWindow="-8" windowWidth="1382" windowHeight="744" tabRatio="841" activeSheetId="2"/>
    <customWorkbookView name="NISE-COMPUTER - Personal View" guid="{1459FC0D-58BA-4BEC-951C-298999986759}" mergeInterval="0" personalView="1" maximized="1" xWindow="-9" yWindow="-9" windowWidth="1298" windowHeight="992" tabRatio="84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1" l="1"/>
  <c r="H9" i="11"/>
  <c r="K8" i="11"/>
  <c r="J8" i="11"/>
  <c r="K7" i="11"/>
  <c r="J7" i="11"/>
  <c r="K6" i="11"/>
  <c r="J6" i="11"/>
  <c r="K5" i="11"/>
  <c r="J5" i="11"/>
  <c r="K4" i="11"/>
  <c r="J4" i="11"/>
  <c r="G9" i="11" l="1"/>
  <c r="K9" i="11"/>
  <c r="I11" i="11" s="1"/>
  <c r="J9" i="11"/>
  <c r="H11" i="11" s="1"/>
  <c r="L9" i="11" l="1"/>
  <c r="J11" i="11" s="1"/>
  <c r="C9" i="11"/>
  <c r="B9" i="11"/>
  <c r="E8" i="11"/>
  <c r="E7" i="11"/>
  <c r="D7" i="11"/>
  <c r="E6" i="11"/>
  <c r="E5" i="11"/>
  <c r="D5" i="11"/>
  <c r="E4" i="11"/>
  <c r="D4" i="11"/>
  <c r="I45" i="7"/>
  <c r="D52" i="7"/>
  <c r="D9" i="11" l="1"/>
  <c r="C11" i="11" s="1"/>
  <c r="E9" i="11"/>
  <c r="D11" i="11" s="1"/>
  <c r="A9" i="11"/>
  <c r="F2415" i="4" l="1"/>
  <c r="E2415" i="4"/>
  <c r="A2415" i="4"/>
  <c r="G2406" i="4"/>
  <c r="G2415" i="4" s="1"/>
  <c r="H2415" i="4" l="1"/>
  <c r="F40" i="7" l="1"/>
  <c r="F39" i="7" l="1"/>
  <c r="G2389" i="4" l="1"/>
  <c r="G2362" i="4" l="1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45" i="4" l="1"/>
  <c r="G232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82" i="4"/>
  <c r="G2383" i="4"/>
  <c r="G2384" i="4"/>
  <c r="G2385" i="4"/>
  <c r="G2386" i="4"/>
  <c r="G2387" i="4"/>
  <c r="G2388" i="4"/>
  <c r="G2305" i="4"/>
  <c r="G2304" i="4"/>
  <c r="F2393" i="4"/>
  <c r="F2404" i="4" s="1"/>
  <c r="E2393" i="4"/>
  <c r="E2404" i="4" s="1"/>
  <c r="A2393" i="4"/>
  <c r="A2404" i="4" s="1"/>
  <c r="G2393" i="4" l="1"/>
  <c r="H2393" i="4" s="1"/>
  <c r="G2404" i="4" l="1"/>
  <c r="H2404" i="4" s="1"/>
  <c r="I12" i="9"/>
  <c r="G2259" i="4" l="1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256" i="4" l="1"/>
  <c r="G2257" i="4"/>
  <c r="G2258" i="4"/>
  <c r="A2302" i="4"/>
  <c r="G2207" i="4" l="1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F2302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M68" i="6" l="1"/>
  <c r="H20" i="7" l="1"/>
  <c r="H50" i="7" s="1"/>
  <c r="K26" i="6"/>
  <c r="E93" i="6" l="1"/>
  <c r="H1" i="7" l="1"/>
  <c r="L9" i="6" l="1"/>
  <c r="J2180" i="4" l="1"/>
  <c r="E2302" i="4"/>
  <c r="G2183" i="4"/>
  <c r="G2184" i="4"/>
  <c r="G2185" i="4"/>
  <c r="G2186" i="4"/>
  <c r="G2187" i="4"/>
  <c r="G2220" i="4"/>
  <c r="G2221" i="4"/>
  <c r="G2222" i="4"/>
  <c r="G2223" i="4"/>
  <c r="G2224" i="4"/>
  <c r="G2225" i="4"/>
  <c r="G2182" i="4"/>
  <c r="G2302" i="4" l="1"/>
  <c r="H2302" i="4" s="1"/>
  <c r="G2155" i="4" l="1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A2180" i="4"/>
  <c r="I11" i="9" l="1"/>
  <c r="J11" i="9" s="1"/>
  <c r="K11" i="9" s="1"/>
  <c r="G2143" i="4" l="1"/>
  <c r="G2144" i="4"/>
  <c r="G2145" i="4"/>
  <c r="G2146" i="4"/>
  <c r="G2147" i="4"/>
  <c r="G2148" i="4"/>
  <c r="G2149" i="4"/>
  <c r="G2150" i="4"/>
  <c r="G2151" i="4"/>
  <c r="G2152" i="4"/>
  <c r="G2153" i="4"/>
  <c r="G2154" i="4"/>
  <c r="G2137" i="4" l="1"/>
  <c r="G2138" i="4"/>
  <c r="G2139" i="4"/>
  <c r="G2140" i="4"/>
  <c r="G2141" i="4"/>
  <c r="G2142" i="4"/>
  <c r="G2129" i="4" l="1"/>
  <c r="G2130" i="4"/>
  <c r="G2131" i="4"/>
  <c r="G2132" i="4"/>
  <c r="G2133" i="4"/>
  <c r="G2134" i="4"/>
  <c r="G2135" i="4"/>
  <c r="G2136" i="4"/>
  <c r="E92" i="8" l="1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Q43" i="6" l="1"/>
  <c r="E32" i="6" l="1"/>
  <c r="G2120" i="4" l="1"/>
  <c r="G2121" i="4"/>
  <c r="G2122" i="4"/>
  <c r="G2123" i="4"/>
  <c r="G2124" i="4"/>
  <c r="G2125" i="4"/>
  <c r="G2126" i="4"/>
  <c r="G2127" i="4"/>
  <c r="G2128" i="4"/>
  <c r="H10" i="9" l="1"/>
  <c r="R40" i="6" l="1"/>
  <c r="R39" i="6"/>
  <c r="R22" i="6" l="1"/>
  <c r="K31" i="9" l="1"/>
  <c r="J6" i="9" l="1"/>
  <c r="K6" i="9" s="1"/>
  <c r="I5" i="9"/>
  <c r="J5" i="9" s="1"/>
  <c r="K5" i="9" s="1"/>
  <c r="H3" i="9"/>
  <c r="I3" i="9" s="1"/>
  <c r="J3" i="9" s="1"/>
  <c r="K3" i="9" s="1"/>
  <c r="G4" i="9"/>
  <c r="H4" i="9" s="1"/>
  <c r="I4" i="9" s="1"/>
  <c r="J4" i="9" s="1"/>
  <c r="K4" i="9" s="1"/>
  <c r="E2180" i="4" l="1"/>
  <c r="F2180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086" i="4"/>
  <c r="G2087" i="4"/>
  <c r="G2088" i="4"/>
  <c r="G2085" i="4"/>
  <c r="G1559" i="3"/>
  <c r="G2180" i="4" l="1"/>
  <c r="H2180" i="4" s="1"/>
  <c r="I121" i="6"/>
  <c r="E92" i="6" l="1"/>
  <c r="E91" i="6" l="1"/>
  <c r="E87" i="6" l="1"/>
  <c r="E86" i="6" l="1"/>
  <c r="G1522" i="3" l="1"/>
  <c r="E60" i="6" l="1"/>
  <c r="J2083" i="4"/>
  <c r="G2074" i="4"/>
  <c r="G2075" i="4"/>
  <c r="G2076" i="4"/>
  <c r="G2077" i="4"/>
  <c r="G2078" i="4"/>
  <c r="G2079" i="4"/>
  <c r="G2080" i="4"/>
  <c r="G2081" i="4"/>
  <c r="E72" i="6" l="1"/>
  <c r="G2073" i="4"/>
  <c r="G2072" i="4"/>
  <c r="G2071" i="4"/>
  <c r="G2061" i="4" l="1"/>
  <c r="G2062" i="4"/>
  <c r="G2063" i="4"/>
  <c r="G2064" i="4"/>
  <c r="G2065" i="4"/>
  <c r="G2066" i="4"/>
  <c r="G2067" i="4"/>
  <c r="G2068" i="4"/>
  <c r="G2069" i="4"/>
  <c r="G2070" i="4"/>
  <c r="E71" i="6" l="1"/>
  <c r="J23" i="10" l="1"/>
  <c r="I23" i="10"/>
  <c r="C18" i="10"/>
  <c r="K17" i="10"/>
  <c r="G17" i="10"/>
  <c r="C17" i="10"/>
  <c r="G16" i="10"/>
  <c r="C16" i="10"/>
  <c r="C15" i="10"/>
  <c r="C14" i="10"/>
  <c r="F3" i="10"/>
  <c r="F2" i="10"/>
  <c r="K2" i="10" s="1"/>
  <c r="E68" i="6"/>
  <c r="E67" i="6"/>
  <c r="E66" i="6"/>
  <c r="E65" i="6"/>
  <c r="E64" i="6"/>
  <c r="E63" i="6"/>
  <c r="E62" i="6"/>
  <c r="E59" i="6"/>
  <c r="E58" i="6"/>
  <c r="E57" i="6"/>
  <c r="E56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1" i="6"/>
  <c r="E30" i="6"/>
  <c r="E29" i="6"/>
  <c r="E28" i="6"/>
  <c r="E27" i="6"/>
  <c r="E26" i="6"/>
  <c r="E25" i="6"/>
  <c r="E24" i="6"/>
  <c r="E23" i="6"/>
  <c r="Q32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0" i="6"/>
  <c r="E89" i="6"/>
  <c r="E9" i="6"/>
  <c r="E8" i="6"/>
  <c r="E7" i="6"/>
  <c r="E6" i="6"/>
  <c r="E84" i="6"/>
  <c r="E88" i="6"/>
  <c r="E83" i="6"/>
  <c r="E85" i="6"/>
  <c r="E5" i="6"/>
  <c r="E82" i="6"/>
  <c r="E81" i="6"/>
  <c r="E80" i="6"/>
  <c r="E79" i="6"/>
  <c r="E78" i="6"/>
  <c r="E4" i="6"/>
  <c r="R9" i="6"/>
  <c r="E77" i="6"/>
  <c r="R8" i="6"/>
  <c r="E75" i="6"/>
  <c r="E74" i="6"/>
  <c r="E73" i="6"/>
  <c r="E70" i="6"/>
  <c r="E76" i="6"/>
  <c r="E69" i="6"/>
  <c r="E3" i="6"/>
  <c r="E61" i="6"/>
  <c r="E55" i="6"/>
  <c r="E2" i="6"/>
  <c r="L135" i="5"/>
  <c r="F81" i="5"/>
  <c r="F68" i="5"/>
  <c r="K63" i="5"/>
  <c r="K62" i="5"/>
  <c r="D59" i="5"/>
  <c r="F2083" i="4"/>
  <c r="E2083" i="4"/>
  <c r="A2083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F1946" i="4"/>
  <c r="E1946" i="4"/>
  <c r="C2083" i="4" s="1"/>
  <c r="C1946" i="4"/>
  <c r="A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N1889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J1783" i="4"/>
  <c r="F1783" i="4"/>
  <c r="E1783" i="4"/>
  <c r="C1783" i="4"/>
  <c r="A1783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F1620" i="4"/>
  <c r="E1620" i="4"/>
  <c r="A1620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L1435" i="4"/>
  <c r="F1435" i="4"/>
  <c r="E1435" i="4"/>
  <c r="A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Q1343" i="4"/>
  <c r="G1343" i="4"/>
  <c r="G1342" i="4"/>
  <c r="G1341" i="4"/>
  <c r="G1340" i="4"/>
  <c r="G1339" i="4"/>
  <c r="G1338" i="4"/>
  <c r="G1337" i="4"/>
  <c r="G1336" i="4"/>
  <c r="G1335" i="4"/>
  <c r="L1333" i="4"/>
  <c r="F1333" i="4"/>
  <c r="E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L674" i="4"/>
  <c r="F674" i="4"/>
  <c r="E674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F418" i="4"/>
  <c r="E418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F400" i="4"/>
  <c r="E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1" i="4"/>
  <c r="G370" i="4"/>
  <c r="G369" i="4"/>
  <c r="G368" i="4"/>
  <c r="G367" i="4"/>
  <c r="G366" i="4"/>
  <c r="G365" i="4"/>
  <c r="G364" i="4"/>
  <c r="G363" i="4"/>
  <c r="F358" i="4"/>
  <c r="E358" i="4"/>
  <c r="G356" i="4"/>
  <c r="G355" i="4"/>
  <c r="G354" i="4"/>
  <c r="G353" i="4"/>
  <c r="G352" i="4"/>
  <c r="G351" i="4"/>
  <c r="G350" i="4"/>
  <c r="F348" i="4"/>
  <c r="E348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F323" i="4"/>
  <c r="E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F298" i="4"/>
  <c r="E298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F272" i="4"/>
  <c r="E272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K231" i="4"/>
  <c r="G231" i="4"/>
  <c r="G230" i="4"/>
  <c r="F229" i="4"/>
  <c r="E229" i="4"/>
  <c r="G227" i="4"/>
  <c r="G226" i="4"/>
  <c r="G225" i="4"/>
  <c r="G224" i="4"/>
  <c r="G223" i="4"/>
  <c r="G222" i="4"/>
  <c r="G221" i="4"/>
  <c r="G220" i="4"/>
  <c r="I219" i="4"/>
  <c r="G218" i="4"/>
  <c r="G217" i="4"/>
  <c r="F215" i="4"/>
  <c r="E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F189" i="4"/>
  <c r="E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F162" i="4"/>
  <c r="E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F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F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F30" i="4"/>
  <c r="G29" i="4"/>
  <c r="G28" i="4"/>
  <c r="G27" i="4"/>
  <c r="G26" i="4"/>
  <c r="G25" i="4"/>
  <c r="F24" i="4"/>
  <c r="G23" i="4"/>
  <c r="G22" i="4"/>
  <c r="F21" i="4"/>
  <c r="E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2" i="4"/>
  <c r="G1341" i="3"/>
  <c r="J1206" i="3"/>
  <c r="J1196" i="3"/>
  <c r="E733" i="3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G293" i="3"/>
  <c r="G100" i="3"/>
  <c r="E63" i="3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59" i="3"/>
  <c r="E60" i="3" s="1"/>
  <c r="E61" i="3" s="1"/>
  <c r="E46" i="3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H13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K64" i="5" l="1"/>
  <c r="G104" i="4"/>
  <c r="H104" i="4" s="1"/>
  <c r="I104" i="4" s="1"/>
  <c r="G162" i="4"/>
  <c r="H162" i="4" s="1"/>
  <c r="I162" i="4" s="1"/>
  <c r="G298" i="4"/>
  <c r="H298" i="4" s="1"/>
  <c r="I298" i="4" s="1"/>
  <c r="G323" i="4"/>
  <c r="H323" i="4" s="1"/>
  <c r="I323" i="4" s="1"/>
  <c r="G21" i="4"/>
  <c r="H21" i="4" s="1"/>
  <c r="I21" i="4" s="1"/>
  <c r="G24" i="4"/>
  <c r="H24" i="4" s="1"/>
  <c r="I24" i="4" s="1"/>
  <c r="G1946" i="4"/>
  <c r="H1946" i="4" s="1"/>
  <c r="G418" i="4"/>
  <c r="H418" i="4" s="1"/>
  <c r="G358" i="4"/>
  <c r="H358" i="4" s="1"/>
  <c r="I358" i="4" s="1"/>
  <c r="G30" i="4"/>
  <c r="H30" i="4" s="1"/>
  <c r="I30" i="4" s="1"/>
  <c r="G64" i="4"/>
  <c r="H64" i="4" s="1"/>
  <c r="I64" i="4" s="1"/>
  <c r="G229" i="4"/>
  <c r="H229" i="4" s="1"/>
  <c r="I229" i="4" s="1"/>
  <c r="G348" i="4"/>
  <c r="H348" i="4" s="1"/>
  <c r="I348" i="4" s="1"/>
  <c r="G373" i="4"/>
  <c r="H373" i="4" s="1"/>
  <c r="I373" i="4" s="1"/>
  <c r="G674" i="4"/>
  <c r="H674" i="4" s="1"/>
  <c r="G1783" i="4"/>
  <c r="H1783" i="4" s="1"/>
  <c r="G189" i="4"/>
  <c r="H189" i="4" s="1"/>
  <c r="I189" i="4" s="1"/>
  <c r="G215" i="4"/>
  <c r="H215" i="4" s="1"/>
  <c r="I215" i="4" s="1"/>
  <c r="G272" i="4"/>
  <c r="H272" i="4" s="1"/>
  <c r="I272" i="4" s="1"/>
  <c r="G400" i="4"/>
  <c r="H400" i="4" s="1"/>
  <c r="I400" i="4" s="1"/>
  <c r="G1333" i="4"/>
  <c r="H1333" i="4" s="1"/>
  <c r="I1333" i="4" s="1"/>
  <c r="G1435" i="4"/>
  <c r="H1435" i="4" s="1"/>
  <c r="I1435" i="4" s="1"/>
  <c r="G1620" i="4"/>
  <c r="H1620" i="4" s="1"/>
  <c r="G2083" i="4"/>
  <c r="H2083" i="4" s="1"/>
  <c r="E1006" i="3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G1005" i="3"/>
  <c r="E731" i="3"/>
  <c r="H730" i="3"/>
  <c r="G2" i="4" l="1"/>
  <c r="E1062" i="3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G1063" i="3"/>
  <c r="E1204" i="3" l="1"/>
  <c r="E1205" i="3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G1" i="3"/>
  <c r="E1543" i="3" l="1"/>
  <c r="E1544" i="3" s="1"/>
  <c r="E1545" i="3" s="1"/>
  <c r="E1546" i="3" s="1"/>
  <c r="E1547" i="3" l="1"/>
  <c r="E1548" i="3" s="1"/>
  <c r="E1549" i="3" s="1"/>
  <c r="E1550" i="3" s="1"/>
  <c r="E1551" i="3" s="1"/>
  <c r="E1552" i="3" s="1"/>
  <c r="E1553" i="3" l="1"/>
  <c r="E1554" i="3" s="1"/>
  <c r="E1555" i="3" l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l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" i="3" l="1"/>
  <c r="G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COMPORT</author>
  </authors>
  <commentList>
    <comment ref="C9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suspense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COMPORT</author>
  </authors>
  <commentList>
    <comment ref="L3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SR20200704009652740</t>
        </r>
      </text>
    </comment>
    <comment ref="K5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COMPORT:SR20200618009081726</t>
        </r>
      </text>
    </comment>
    <comment ref="K70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COMPORT:
SR</t>
        </r>
        <r>
          <rPr>
            <sz val="9"/>
            <color indexed="81"/>
            <rFont val="Tahoma"/>
            <family val="2"/>
          </rPr>
          <t>20200702009593265</t>
        </r>
      </text>
    </comment>
    <comment ref="K76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SR20200704009652339
</t>
        </r>
      </text>
    </comment>
    <comment ref="L9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SR20200703009632512</t>
        </r>
      </text>
    </comment>
    <comment ref="K119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SR20200704009656984</t>
        </r>
      </text>
    </comment>
    <comment ref="L119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SR20200704009656455</t>
        </r>
      </text>
    </comment>
  </commentList>
</comments>
</file>

<file path=xl/sharedStrings.xml><?xml version="1.0" encoding="utf-8"?>
<sst xmlns="http://schemas.openxmlformats.org/spreadsheetml/2006/main" count="7987" uniqueCount="3510">
  <si>
    <t>Deposite</t>
  </si>
  <si>
    <t>Date</t>
  </si>
  <si>
    <t>particulars</t>
  </si>
  <si>
    <t>deposite</t>
  </si>
  <si>
    <t>interest</t>
  </si>
  <si>
    <t>date</t>
  </si>
  <si>
    <t>balance</t>
  </si>
  <si>
    <t>ratan</t>
  </si>
  <si>
    <t>chandana</t>
  </si>
  <si>
    <t>refund</t>
  </si>
  <si>
    <t>sangita</t>
  </si>
  <si>
    <t>sita (305)</t>
  </si>
  <si>
    <t>SELF WITHDRAW</t>
  </si>
  <si>
    <t>cash depo</t>
  </si>
  <si>
    <t>commission nov17</t>
  </si>
  <si>
    <t>81/302</t>
  </si>
  <si>
    <t>commission dec17</t>
  </si>
  <si>
    <t>81/336</t>
  </si>
  <si>
    <t>81/339</t>
  </si>
  <si>
    <t>DEPOSITE</t>
  </si>
  <si>
    <t>81/264</t>
  </si>
  <si>
    <t>ruby(300)</t>
  </si>
  <si>
    <t>vijay(302)</t>
  </si>
  <si>
    <t>surajit gorai</t>
  </si>
  <si>
    <t>rubi</t>
  </si>
  <si>
    <t>Somit Roy</t>
  </si>
  <si>
    <t>Suraj-New</t>
  </si>
  <si>
    <t>Actual</t>
  </si>
  <si>
    <t>A/c No.</t>
  </si>
  <si>
    <t>Name</t>
  </si>
  <si>
    <t>Mob.</t>
  </si>
  <si>
    <t>Funded</t>
  </si>
  <si>
    <t>Transact</t>
  </si>
  <si>
    <t>Sanjana Shree</t>
  </si>
  <si>
    <t>Chandrakala Devi</t>
  </si>
  <si>
    <t>Tot-Com</t>
  </si>
  <si>
    <t>Sunil Kumar</t>
  </si>
  <si>
    <t>Puja Gorai</t>
  </si>
  <si>
    <t>Sukanti Devi</t>
  </si>
  <si>
    <t>Pratima Devi</t>
  </si>
  <si>
    <t>Kiran Tantubai</t>
  </si>
  <si>
    <t>Shefali Mahato</t>
  </si>
  <si>
    <t>Dipali Mahato</t>
  </si>
  <si>
    <t>Sunita Devi</t>
  </si>
  <si>
    <t>Chandani Devi</t>
  </si>
  <si>
    <t>Amit Gorai</t>
  </si>
  <si>
    <t>COMMISSION</t>
  </si>
  <si>
    <t>By Puja Gorai</t>
  </si>
  <si>
    <t>deposited</t>
  </si>
  <si>
    <t>Shubha</t>
  </si>
  <si>
    <t>Bikash Karua</t>
  </si>
  <si>
    <t>Divyanka Goswami</t>
  </si>
  <si>
    <t>Sanchita Kumari</t>
  </si>
  <si>
    <t>y</t>
  </si>
  <si>
    <t>n</t>
  </si>
  <si>
    <t>Sangita</t>
  </si>
  <si>
    <t>tpt</t>
  </si>
  <si>
    <t>Neelam</t>
  </si>
  <si>
    <t>neelam</t>
  </si>
  <si>
    <t>commision</t>
  </si>
  <si>
    <t>sms charge</t>
  </si>
  <si>
    <t>from cust</t>
  </si>
  <si>
    <t>acc-open</t>
  </si>
  <si>
    <t>nilam</t>
  </si>
  <si>
    <t>customer</t>
  </si>
  <si>
    <t>acc oppen</t>
  </si>
  <si>
    <t>Y</t>
  </si>
  <si>
    <t>acc open (Munni Devi)</t>
  </si>
  <si>
    <t>APY</t>
  </si>
  <si>
    <t>commision nov 18</t>
  </si>
  <si>
    <t>C OUT</t>
  </si>
  <si>
    <t>withdrawal</t>
  </si>
  <si>
    <t>cout</t>
  </si>
  <si>
    <t>cin</t>
  </si>
  <si>
    <t>acc open</t>
  </si>
  <si>
    <t>acc-open 630</t>
  </si>
  <si>
    <t>acc-open 631</t>
  </si>
  <si>
    <t>DEPOSITE by 617</t>
  </si>
  <si>
    <t>DEPOSITE by  503</t>
  </si>
  <si>
    <t>DEPOSITE by 504</t>
  </si>
  <si>
    <t>deposited by 617</t>
  </si>
  <si>
    <t>paid to 608</t>
  </si>
  <si>
    <t>deposited by 631</t>
  </si>
  <si>
    <t>diposited by 503</t>
  </si>
  <si>
    <t>deposited by 630</t>
  </si>
  <si>
    <t>deposited by  504</t>
  </si>
  <si>
    <t>paid to customer</t>
  </si>
  <si>
    <t>paid to 635</t>
  </si>
  <si>
    <t>paid to 504</t>
  </si>
  <si>
    <t>acc-open 642</t>
  </si>
  <si>
    <t>cout 630</t>
  </si>
  <si>
    <t>cout 631</t>
  </si>
  <si>
    <t>deposited by 504</t>
  </si>
  <si>
    <t>sus</t>
  </si>
  <si>
    <t>PAID TO 504</t>
  </si>
  <si>
    <t>customer withdraw</t>
  </si>
  <si>
    <t>commission rcvt</t>
  </si>
  <si>
    <t>cust out</t>
  </si>
  <si>
    <t>acc-oppen 652</t>
  </si>
  <si>
    <t>cust depo</t>
  </si>
  <si>
    <t>depo by</t>
  </si>
  <si>
    <t>Neelam Singh</t>
  </si>
  <si>
    <t>cout-neelam</t>
  </si>
  <si>
    <t>cout-chd</t>
  </si>
  <si>
    <t>chandrakala</t>
  </si>
  <si>
    <t>acc open 663</t>
  </si>
  <si>
    <t>COUT</t>
  </si>
  <si>
    <t>N</t>
  </si>
  <si>
    <t>dcout</t>
  </si>
  <si>
    <t>CUST</t>
  </si>
  <si>
    <t>acc-open Jhumpa Rani)</t>
  </si>
  <si>
    <t>acc-open (Manoj Gupa)</t>
  </si>
  <si>
    <t>jhumpa</t>
  </si>
  <si>
    <t>trn from neelam</t>
  </si>
  <si>
    <t>paid to neelam</t>
  </si>
  <si>
    <t>trn to ashok bhaiya</t>
  </si>
  <si>
    <t>neelam-ashok bhaiya</t>
  </si>
  <si>
    <t>trn to neelam</t>
  </si>
  <si>
    <t>gungun</t>
  </si>
  <si>
    <t>cout 503</t>
  </si>
  <si>
    <t>trn to 503</t>
  </si>
  <si>
    <t>withdrawl</t>
  </si>
  <si>
    <t>deposite(manojgupta)</t>
  </si>
  <si>
    <t>deposite 672</t>
  </si>
  <si>
    <t>withdrawal 630</t>
  </si>
  <si>
    <t>DEPO</t>
  </si>
  <si>
    <t>HEMANT</t>
  </si>
  <si>
    <t>acc open-rekha devi</t>
  </si>
  <si>
    <t>acc open-Kalpana gorai</t>
  </si>
  <si>
    <t>kalpana</t>
  </si>
  <si>
    <t>FROM MANOJ GUPTA</t>
  </si>
  <si>
    <t>TO HEMANT</t>
  </si>
  <si>
    <t>Manoj Gupta</t>
  </si>
  <si>
    <t>Acc-open Neha soni</t>
  </si>
  <si>
    <t>Trns to 691</t>
  </si>
  <si>
    <t>cust-withdrawl</t>
  </si>
  <si>
    <t>transfert o bkid</t>
  </si>
  <si>
    <t>deposite-630</t>
  </si>
  <si>
    <t>deposite-535</t>
  </si>
  <si>
    <t>depostied-675</t>
  </si>
  <si>
    <t>manoj - out but not show</t>
  </si>
  <si>
    <t>to pinki</t>
  </si>
  <si>
    <t>imps to pinki</t>
  </si>
  <si>
    <t>acc-open 692</t>
  </si>
  <si>
    <t>imps from pinky</t>
  </si>
  <si>
    <t>acc oen- sanjay gorai</t>
  </si>
  <si>
    <t>deposite to 503</t>
  </si>
  <si>
    <t>deposite to 693</t>
  </si>
  <si>
    <t>deposite- manoj gupta</t>
  </si>
  <si>
    <t>manoj gupta deposte</t>
  </si>
  <si>
    <t>acc open- simran kaur</t>
  </si>
  <si>
    <t>deposited to gungun</t>
  </si>
  <si>
    <t>Kalpana</t>
  </si>
  <si>
    <t>Pinky</t>
  </si>
  <si>
    <t>Rukmani</t>
  </si>
  <si>
    <t>customer-out</t>
  </si>
  <si>
    <t>customer out</t>
  </si>
  <si>
    <t>11-13-2019</t>
  </si>
  <si>
    <t>rukmani</t>
  </si>
  <si>
    <t>mallika</t>
  </si>
  <si>
    <t>new account</t>
  </si>
  <si>
    <t>customer deposite</t>
  </si>
  <si>
    <t>deposite sanchari munda</t>
  </si>
  <si>
    <t>01/1119</t>
  </si>
  <si>
    <t>account new</t>
  </si>
  <si>
    <t>deposite-503</t>
  </si>
  <si>
    <t>Deposite-652 for imps</t>
  </si>
  <si>
    <t>to pinki to imps</t>
  </si>
  <si>
    <t>deposit-682 for imps</t>
  </si>
  <si>
    <t>deposite-631</t>
  </si>
  <si>
    <t>deposite-504</t>
  </si>
  <si>
    <t>deposite-617</t>
  </si>
  <si>
    <t>imps to bkid0004501</t>
  </si>
  <si>
    <t>imps to customer</t>
  </si>
  <si>
    <t>withdrawl by manoj</t>
  </si>
  <si>
    <t xml:space="preserve">deposited </t>
  </si>
  <si>
    <t>manoj gupta</t>
  </si>
  <si>
    <t>deposite-manoj</t>
  </si>
  <si>
    <t>Deposite-neelam</t>
  </si>
  <si>
    <t>Deposite-617</t>
  </si>
  <si>
    <t>manoj</t>
  </si>
  <si>
    <t>3201/2024</t>
  </si>
  <si>
    <t>sanjana depo</t>
  </si>
  <si>
    <t>neelam depo</t>
  </si>
  <si>
    <t>kalpana depo</t>
  </si>
  <si>
    <t>sanjay  gorai depo</t>
  </si>
  <si>
    <t>pinki deposi</t>
  </si>
  <si>
    <t>sanjay gorai</t>
  </si>
  <si>
    <t>pinki</t>
  </si>
  <si>
    <t xml:space="preserve">sanjana </t>
  </si>
  <si>
    <t>account open</t>
  </si>
  <si>
    <t>Bishnu Gorai</t>
  </si>
  <si>
    <t>transfer to sanjay gorai</t>
  </si>
  <si>
    <t>imps</t>
  </si>
  <si>
    <t>deposit</t>
  </si>
  <si>
    <t>IMPS</t>
  </si>
  <si>
    <t>rcpt bank certi</t>
  </si>
  <si>
    <t>Ratni Sandil</t>
  </si>
  <si>
    <t>depo to rukmani</t>
  </si>
  <si>
    <t>depo to sanjana</t>
  </si>
  <si>
    <t>kalapna</t>
  </si>
  <si>
    <t>commision feb 19</t>
  </si>
  <si>
    <t>fund withdrawl</t>
  </si>
  <si>
    <t>I</t>
  </si>
  <si>
    <t>rukmini deposite</t>
  </si>
  <si>
    <t>ac open</t>
  </si>
  <si>
    <t>depo</t>
  </si>
  <si>
    <t>depo 535</t>
  </si>
  <si>
    <t>ACC OPEN</t>
  </si>
  <si>
    <t>Deposit</t>
  </si>
  <si>
    <t>deposite-766</t>
  </si>
  <si>
    <t>03-15-19</t>
  </si>
  <si>
    <t>deposte-767</t>
  </si>
  <si>
    <t>deposite-765</t>
  </si>
  <si>
    <t>withdrawl504</t>
  </si>
  <si>
    <t>suspes</t>
  </si>
  <si>
    <t>acc open-768</t>
  </si>
  <si>
    <t>acc open-769</t>
  </si>
  <si>
    <t>80per</t>
  </si>
  <si>
    <t>acc open-770</t>
  </si>
  <si>
    <t>acc open-771</t>
  </si>
  <si>
    <t>acc open-772</t>
  </si>
  <si>
    <t>deposite to 504</t>
  </si>
  <si>
    <t>deposit 504</t>
  </si>
  <si>
    <t>acc open 773</t>
  </si>
  <si>
    <t>deposite 504</t>
  </si>
  <si>
    <t>deposite 603</t>
  </si>
  <si>
    <t>Depsite- 693</t>
  </si>
  <si>
    <t>DEPOSITE-372</t>
  </si>
  <si>
    <t>KALPANA</t>
  </si>
  <si>
    <t>paid to kalpana-372</t>
  </si>
  <si>
    <t>chd</t>
  </si>
  <si>
    <t>SUS</t>
  </si>
  <si>
    <t>rcvd</t>
  </si>
  <si>
    <t>CUST DEPOSIT</t>
  </si>
  <si>
    <t>COMM</t>
  </si>
  <si>
    <t>customer IN</t>
  </si>
  <si>
    <t>md miraj</t>
  </si>
  <si>
    <t>rukmini</t>
  </si>
  <si>
    <t>Alomani Mahato</t>
  </si>
  <si>
    <t>cust withdrawl</t>
  </si>
  <si>
    <t>Sarwar Hasaan</t>
  </si>
  <si>
    <t>count</t>
  </si>
  <si>
    <t>cash withdrawl</t>
  </si>
  <si>
    <t>NEELAM</t>
  </si>
  <si>
    <t>CHD</t>
  </si>
  <si>
    <t>Sanjay Gorai</t>
  </si>
  <si>
    <t>RD</t>
  </si>
  <si>
    <t>new Acc</t>
  </si>
  <si>
    <t>cash withdrawl-504</t>
  </si>
  <si>
    <t>cash depo-374</t>
  </si>
  <si>
    <t>cash depo- gorai</t>
  </si>
  <si>
    <t>acc open-914</t>
  </si>
  <si>
    <t>Md Aftab Ansari</t>
  </si>
  <si>
    <t>PMSBY</t>
  </si>
  <si>
    <t>Krishna Gorai</t>
  </si>
  <si>
    <t>PMJJBY</t>
  </si>
  <si>
    <t>acc open-916</t>
  </si>
  <si>
    <t>Rishabh Singh Sardar</t>
  </si>
  <si>
    <t>new 917</t>
  </si>
  <si>
    <t>Binit Nayak</t>
  </si>
  <si>
    <t>new account-921</t>
  </si>
  <si>
    <t>New Account-922</t>
  </si>
  <si>
    <t>krishna out</t>
  </si>
  <si>
    <t>krishna deposite</t>
  </si>
  <si>
    <t>hemant deposite</t>
  </si>
  <si>
    <t>Hemant</t>
  </si>
  <si>
    <t>03/1408</t>
  </si>
  <si>
    <t>Subendu gorai</t>
  </si>
  <si>
    <t>Md Zainul Zahiddin</t>
  </si>
  <si>
    <t>cash deposite</t>
  </si>
  <si>
    <t>cash deposite 926</t>
  </si>
  <si>
    <t>cash deposite 630</t>
  </si>
  <si>
    <t>cash deposite1278</t>
  </si>
  <si>
    <t>hemant wife</t>
  </si>
  <si>
    <t>MAA</t>
  </si>
  <si>
    <t>PAPA</t>
  </si>
  <si>
    <t>new acc 928</t>
  </si>
  <si>
    <t>new acc 929</t>
  </si>
  <si>
    <t>Goutam Mahato</t>
  </si>
  <si>
    <t>new acc 930</t>
  </si>
  <si>
    <t>cust depo 504</t>
  </si>
  <si>
    <t>Subbuhi Quamar</t>
  </si>
  <si>
    <t>new acc 931</t>
  </si>
  <si>
    <t>new acc 934</t>
  </si>
  <si>
    <t>new acc 935</t>
  </si>
  <si>
    <t>Purnima Tanti</t>
  </si>
  <si>
    <t>Seema Tanti</t>
  </si>
  <si>
    <t>new acc 940</t>
  </si>
  <si>
    <t>deposite- shivendu</t>
  </si>
  <si>
    <t>Laxmi</t>
  </si>
  <si>
    <t>shivendu (deposite)</t>
  </si>
  <si>
    <t>hemant</t>
  </si>
  <si>
    <t>D</t>
  </si>
  <si>
    <t>W</t>
  </si>
  <si>
    <t>new acc 944</t>
  </si>
  <si>
    <t>new Acc Geeta Devi</t>
  </si>
  <si>
    <t>deposited by manoj</t>
  </si>
  <si>
    <t>paid to kalpana-672</t>
  </si>
  <si>
    <t>new acc open</t>
  </si>
  <si>
    <t>new acc</t>
  </si>
  <si>
    <t>cash Deposite</t>
  </si>
  <si>
    <t>paid to rukmini-630</t>
  </si>
  <si>
    <t>new ac op0en</t>
  </si>
  <si>
    <t>cust in</t>
  </si>
  <si>
    <t>neelam for imps</t>
  </si>
  <si>
    <t>paid to sanjay gorai</t>
  </si>
  <si>
    <t>paid to kalpana</t>
  </si>
  <si>
    <t>paid to vishnu</t>
  </si>
  <si>
    <t>vishnu</t>
  </si>
  <si>
    <t>new Account open</t>
  </si>
  <si>
    <t>Tarun Gorai</t>
  </si>
  <si>
    <t>Sandhya Dubey</t>
  </si>
  <si>
    <t>Noorjahan Perween</t>
  </si>
  <si>
    <t>chand</t>
  </si>
  <si>
    <t xml:space="preserve">new acco </t>
  </si>
  <si>
    <t>bank charge</t>
  </si>
  <si>
    <t>customerr deposite</t>
  </si>
  <si>
    <t>widhdrawal</t>
  </si>
  <si>
    <t>cusomer deposite</t>
  </si>
  <si>
    <t>acc open 1005</t>
  </si>
  <si>
    <t>cash deposited</t>
  </si>
  <si>
    <t xml:space="preserve">cash </t>
  </si>
  <si>
    <t>kalpana pmt</t>
  </si>
  <si>
    <t>commission of july</t>
  </si>
  <si>
    <t>commission of aug</t>
  </si>
  <si>
    <t>customer out(new acc)</t>
  </si>
  <si>
    <t>Cash deposited</t>
  </si>
  <si>
    <t>cash widhdrawal</t>
  </si>
  <si>
    <t>cash withdrawal</t>
  </si>
  <si>
    <t>Tanisha Gounder</t>
  </si>
  <si>
    <t>Rahul Gorai</t>
  </si>
  <si>
    <t>M Zaufashan</t>
  </si>
  <si>
    <t>Roushan Biswas</t>
  </si>
  <si>
    <t>suspense</t>
  </si>
  <si>
    <t>commission</t>
  </si>
  <si>
    <t>new account-1067</t>
  </si>
  <si>
    <t>new acc-1071</t>
  </si>
  <si>
    <t>deposite 665</t>
  </si>
  <si>
    <t>oct commission</t>
  </si>
  <si>
    <t>deposite-994(geeta devi)</t>
  </si>
  <si>
    <t>withdraw</t>
  </si>
  <si>
    <t>new ac deposite</t>
  </si>
  <si>
    <t>new ac</t>
  </si>
  <si>
    <t>babu</t>
  </si>
  <si>
    <t>new acc(1102)</t>
  </si>
  <si>
    <t>AEPS</t>
  </si>
  <si>
    <t>withdrawl self</t>
  </si>
  <si>
    <t>16-12--19</t>
  </si>
  <si>
    <t>nov commission</t>
  </si>
  <si>
    <t>new acc(1103)</t>
  </si>
  <si>
    <t>TO COMPORT</t>
  </si>
  <si>
    <t>NEW ACC</t>
  </si>
  <si>
    <t>WITHDRAW</t>
  </si>
  <si>
    <t>TRANSFER</t>
  </si>
  <si>
    <t>15-02-202</t>
  </si>
  <si>
    <t>NEW</t>
  </si>
  <si>
    <t>New</t>
  </si>
  <si>
    <t>commission dec 19</t>
  </si>
  <si>
    <t>hemant paid</t>
  </si>
  <si>
    <t>deposite in 1144</t>
  </si>
  <si>
    <t>deposite in 1145</t>
  </si>
  <si>
    <t>khushbu singh</t>
  </si>
  <si>
    <t>hemant 1278 paid</t>
  </si>
  <si>
    <t>comm feb 20</t>
  </si>
  <si>
    <t>By cash</t>
  </si>
  <si>
    <t>baroda help</t>
  </si>
  <si>
    <t>acc open-1164</t>
  </si>
  <si>
    <t>acc open-1159</t>
  </si>
  <si>
    <t>acc open 1157</t>
  </si>
  <si>
    <t>maity</t>
  </si>
  <si>
    <t>CASH DEPOSITE</t>
  </si>
  <si>
    <t>KUNDAN MAITY-1455</t>
  </si>
  <si>
    <t>acc open-1166</t>
  </si>
  <si>
    <t>acc open-1167</t>
  </si>
  <si>
    <t>acc open-1168</t>
  </si>
  <si>
    <t>acc open-1169</t>
  </si>
  <si>
    <t>acc open-1179</t>
  </si>
  <si>
    <t>casg deoisute</t>
  </si>
  <si>
    <t>new accou</t>
  </si>
  <si>
    <t>acc open-1212</t>
  </si>
  <si>
    <t>cash deposite-1455</t>
  </si>
  <si>
    <t>sabita-1251</t>
  </si>
  <si>
    <t>bishakha-1250</t>
  </si>
  <si>
    <t>chandakala-504</t>
  </si>
  <si>
    <t>divya singh-1258</t>
  </si>
  <si>
    <t>mira devi-1256</t>
  </si>
  <si>
    <t>shobha singh-1254</t>
  </si>
  <si>
    <t>kiran devi-1241</t>
  </si>
  <si>
    <t>ranjana devi-1240</t>
  </si>
  <si>
    <t>Deepshikha Tantubai</t>
  </si>
  <si>
    <t>manojgupta-672</t>
  </si>
  <si>
    <t>Acc open</t>
  </si>
  <si>
    <t>cash withdraw seof</t>
  </si>
  <si>
    <t>new ac-1307</t>
  </si>
  <si>
    <t>deposite-1164</t>
  </si>
  <si>
    <t>new acc-1309</t>
  </si>
  <si>
    <t>1315-meena devi</t>
  </si>
  <si>
    <t>1317-shanti devi</t>
  </si>
  <si>
    <t>1319-pinki rai</t>
  </si>
  <si>
    <t>1320-rina pramanik</t>
  </si>
  <si>
    <t>1322-sumitra pramanik</t>
  </si>
  <si>
    <t>1326-rekha majumdar</t>
  </si>
  <si>
    <t>1327-putun mahato</t>
  </si>
  <si>
    <t>1329-monasingh sardar</t>
  </si>
  <si>
    <t>1331-soni devi</t>
  </si>
  <si>
    <t>1332-gulabi sardar</t>
  </si>
  <si>
    <t>1334-china dey</t>
  </si>
  <si>
    <t>1336-shanti karmakar</t>
  </si>
  <si>
    <t>1337-rakhi mahato</t>
  </si>
  <si>
    <t>1339-puja kumari</t>
  </si>
  <si>
    <t>1342-laxmi hansda</t>
  </si>
  <si>
    <t>1343-simota devo</t>
  </si>
  <si>
    <t>1345- maya devi pandey</t>
  </si>
  <si>
    <t>1347-anupama joseph</t>
  </si>
  <si>
    <t>1348-nitu kumari</t>
  </si>
  <si>
    <t>1349-chinta devi</t>
  </si>
  <si>
    <t>1351-sumita das</t>
  </si>
  <si>
    <t>1354-jhuma khamri</t>
  </si>
  <si>
    <t>1357-sandhya khamri</t>
  </si>
  <si>
    <t>1358-tutun khamri</t>
  </si>
  <si>
    <t>1360-saraswati khamri</t>
  </si>
  <si>
    <t>1361-sushila nag</t>
  </si>
  <si>
    <t>1363-basanti nag</t>
  </si>
  <si>
    <t>1364-nisha munda</t>
  </si>
  <si>
    <t>1367-swapa kundu</t>
  </si>
  <si>
    <t>1369-lakshmi gorai</t>
  </si>
  <si>
    <t>1370-sangita devi</t>
  </si>
  <si>
    <t>1372-puja gorai</t>
  </si>
  <si>
    <t>deposite(manoj gupta)-672</t>
  </si>
  <si>
    <t>1398-pano tantubai</t>
  </si>
  <si>
    <t>1399-shila dutta</t>
  </si>
  <si>
    <t>1400-manju karmakar</t>
  </si>
  <si>
    <t>1401-arti kumari</t>
  </si>
  <si>
    <t>1404-putul jana</t>
  </si>
  <si>
    <t>1405-anusua jana</t>
  </si>
  <si>
    <t>1406-sweta jana</t>
  </si>
  <si>
    <t>1408-nandini jana</t>
  </si>
  <si>
    <t>1409-edna toppo</t>
  </si>
  <si>
    <t>1412-anita-sandil</t>
  </si>
  <si>
    <t>1413-pushpalata sandil</t>
  </si>
  <si>
    <t>1414-kalpana jana</t>
  </si>
  <si>
    <t>1415-shankar sandil</t>
  </si>
  <si>
    <t>1417-pushpa sandil</t>
  </si>
  <si>
    <t>1419-kailashi sagar</t>
  </si>
  <si>
    <t>1420-anjana goswami</t>
  </si>
  <si>
    <t>1451-mahima kumari</t>
  </si>
  <si>
    <t>1421-chandana das</t>
  </si>
  <si>
    <t>1423-sunita das</t>
  </si>
  <si>
    <t>1424-madhumia das</t>
  </si>
  <si>
    <t>1426-sangeeta joseph</t>
  </si>
  <si>
    <t>1428-alizabeth solomon</t>
  </si>
  <si>
    <t>1429-joshpin salemon</t>
  </si>
  <si>
    <t>1431-Barsha maity</t>
  </si>
  <si>
    <t>1433-pratima sinha</t>
  </si>
  <si>
    <t>1435-Bela sinha</t>
  </si>
  <si>
    <t>1436-sarjit singh</t>
  </si>
  <si>
    <t>1439-kajoj munda</t>
  </si>
  <si>
    <t>1441-deepa kachchhap</t>
  </si>
  <si>
    <t>1442-balwir kour</t>
  </si>
  <si>
    <t>1445-sandhya munda</t>
  </si>
  <si>
    <t>1446-sharbani das</t>
  </si>
  <si>
    <t>1448pinki das</t>
  </si>
  <si>
    <t>503-sanjana shree</t>
  </si>
  <si>
    <t>504-chandrakala devi</t>
  </si>
  <si>
    <t>kunal maity</t>
  </si>
  <si>
    <t xml:space="preserve">ccustomer </t>
  </si>
  <si>
    <t>c/w</t>
  </si>
  <si>
    <t>672-manoj gupta</t>
  </si>
  <si>
    <t>1499-kundan maity</t>
  </si>
  <si>
    <t>1367-swapana kundu</t>
  </si>
  <si>
    <t>1307-deposit</t>
  </si>
  <si>
    <t>535-deposite</t>
  </si>
  <si>
    <t>Ac No</t>
  </si>
  <si>
    <t>Uid</t>
  </si>
  <si>
    <t>Mob</t>
  </si>
  <si>
    <t>Open dt</t>
  </si>
  <si>
    <t>PAN</t>
  </si>
  <si>
    <t>345786855358</t>
  </si>
  <si>
    <t>LOCALITY</t>
  </si>
  <si>
    <t>BARINAGAR</t>
  </si>
  <si>
    <t>COLONY</t>
  </si>
  <si>
    <t>GHORABANDH</t>
  </si>
  <si>
    <t>RNGR</t>
  </si>
  <si>
    <t>SHAHNAZ BEGUM</t>
  </si>
  <si>
    <t>8409508277</t>
  </si>
  <si>
    <t>SOURAV PRASAD</t>
  </si>
  <si>
    <t>VIKASH KUMAR</t>
  </si>
  <si>
    <t>9294905023</t>
  </si>
  <si>
    <t>ROHIT KARMAKAR</t>
  </si>
  <si>
    <t>7970997741</t>
  </si>
  <si>
    <t>SURAJIT GORAI</t>
  </si>
  <si>
    <t>RUBI MAHATO</t>
  </si>
  <si>
    <t>VIJAY CHOUDHARY</t>
  </si>
  <si>
    <t>SANGITA DEVI</t>
  </si>
  <si>
    <t>MD ALIMUDDIN</t>
  </si>
  <si>
    <t>NILU SINGH</t>
  </si>
  <si>
    <t>BINOD PRASAD</t>
  </si>
  <si>
    <t>CHAMPA GORAI</t>
  </si>
  <si>
    <t>SIMA KHATOON</t>
  </si>
  <si>
    <t xml:space="preserve">SURAJ KUMAR </t>
  </si>
  <si>
    <t>SATISH KR CHAKRAM</t>
  </si>
  <si>
    <t>deposite/2325</t>
  </si>
  <si>
    <t>deposite/2083</t>
  </si>
  <si>
    <t>deposite/1107</t>
  </si>
  <si>
    <t>cash withdraw</t>
  </si>
  <si>
    <t>deposite/3307</t>
  </si>
  <si>
    <t>withdrawal/1504</t>
  </si>
  <si>
    <t>w/1504</t>
  </si>
  <si>
    <t>deposite01/2464</t>
  </si>
  <si>
    <t>deposite/1486</t>
  </si>
  <si>
    <t>deposite/1980</t>
  </si>
  <si>
    <t>withdrawal sinni</t>
  </si>
  <si>
    <t>sinni</t>
  </si>
  <si>
    <t>WITHDRA</t>
  </si>
  <si>
    <t>deposite/81-2357</t>
  </si>
  <si>
    <t>deposite/81-2359</t>
  </si>
  <si>
    <t>deposite/01-2112 surin</t>
  </si>
  <si>
    <t>deposite/01-1455</t>
  </si>
  <si>
    <t>withdraw laxmi</t>
  </si>
  <si>
    <t>withdrawal laxmi</t>
  </si>
  <si>
    <t>Mohan Lohar</t>
  </si>
  <si>
    <t xml:space="preserve">Uttam Mukhi </t>
  </si>
  <si>
    <t>Madhusudhan Behar</t>
  </si>
  <si>
    <t>Bharat Sahu</t>
  </si>
  <si>
    <t>Kavita Devi</t>
  </si>
  <si>
    <t>Anand Gorai</t>
  </si>
  <si>
    <t>E Hemlatha</t>
  </si>
  <si>
    <t>Chhanda Ghosh</t>
  </si>
  <si>
    <t>Shivnath Behra</t>
  </si>
  <si>
    <t>Goma Suren</t>
  </si>
  <si>
    <t>Sanjay Hembram</t>
  </si>
  <si>
    <t>Suraj mandal</t>
  </si>
  <si>
    <t>Gopal Ojha</t>
  </si>
  <si>
    <t>P Shankar Rao</t>
  </si>
  <si>
    <t>Budhram Mukhi</t>
  </si>
  <si>
    <t>Sandhya Devi</t>
  </si>
  <si>
    <t>Akash Suren</t>
  </si>
  <si>
    <t xml:space="preserve">Dheeraj Mandal </t>
  </si>
  <si>
    <t>Sukhram Soren</t>
  </si>
  <si>
    <t>Moumita Roy Choudhary</t>
  </si>
  <si>
    <t>Neha Pandey</t>
  </si>
  <si>
    <t>Kritibash Mahato</t>
  </si>
  <si>
    <t>Rajib Kumar Mahato</t>
  </si>
  <si>
    <t>Azad Khan</t>
  </si>
  <si>
    <t>Rajesh Kundu</t>
  </si>
  <si>
    <t>Anandini Topno</t>
  </si>
  <si>
    <t>Mahima Tigga</t>
  </si>
  <si>
    <t>Urmila karmakar</t>
  </si>
  <si>
    <t>Chandra kanta</t>
  </si>
  <si>
    <t>Puja gorai</t>
  </si>
  <si>
    <t>Chandni Devi</t>
  </si>
  <si>
    <t xml:space="preserve">Shubha </t>
  </si>
  <si>
    <t xml:space="preserve">Divyanka Goswami </t>
  </si>
  <si>
    <t>Md Tauqeer Kaisar</t>
  </si>
  <si>
    <t>Munni Devi</t>
  </si>
  <si>
    <t>Rukmani Mahato</t>
  </si>
  <si>
    <t>Mallika Mahato</t>
  </si>
  <si>
    <t>Abhilasha Jha</t>
  </si>
  <si>
    <t>Pratap Kr. Gorai</t>
  </si>
  <si>
    <t>Dipali Gorai</t>
  </si>
  <si>
    <t>Shahin Perween</t>
  </si>
  <si>
    <t>Jhumparani Shaw</t>
  </si>
  <si>
    <t>Rekha Devi</t>
  </si>
  <si>
    <t>Kalpana Gorai</t>
  </si>
  <si>
    <t>Neha Kumar Soni</t>
  </si>
  <si>
    <t>Simran Kaur</t>
  </si>
  <si>
    <t>Hira Muni Munda</t>
  </si>
  <si>
    <t>Sandhya Rani</t>
  </si>
  <si>
    <t>Priyanka nan deoiyar</t>
  </si>
  <si>
    <t>Supriya Patro</t>
  </si>
  <si>
    <t>Shama Perween</t>
  </si>
  <si>
    <t>Uttam Kumar</t>
  </si>
  <si>
    <t>Rabi Shankar Dey</t>
  </si>
  <si>
    <t>Archana Sharma</t>
  </si>
  <si>
    <t>Asama begum</t>
  </si>
  <si>
    <t>Suman Raj</t>
  </si>
  <si>
    <t>Prakash Sharma</t>
  </si>
  <si>
    <t>Punita Kumari</t>
  </si>
  <si>
    <t>Sunita Prajapati</t>
  </si>
  <si>
    <t>Tarun Kr Singh dev</t>
  </si>
  <si>
    <t>Sita Thakur</t>
  </si>
  <si>
    <t>Syed Hasan Ali</t>
  </si>
  <si>
    <t>Syed Akhtar Ali</t>
  </si>
  <si>
    <t>Usha Singh</t>
  </si>
  <si>
    <t>Arti Kumari</t>
  </si>
  <si>
    <t>Mohammad Miraj</t>
  </si>
  <si>
    <t xml:space="preserve">Alomati Mahato </t>
  </si>
  <si>
    <t>md Sharwar  Hussain</t>
  </si>
  <si>
    <t xml:space="preserve">Ayush Kumar </t>
  </si>
  <si>
    <t>Rishav Singh Sardar</t>
  </si>
  <si>
    <t>Arunima Basu Chowdhary</t>
  </si>
  <si>
    <t>Subendhu Gorai</t>
  </si>
  <si>
    <t>Md Zainul Zahidelin</t>
  </si>
  <si>
    <t>Radhika Devi</t>
  </si>
  <si>
    <t>Parasnath Prasad</t>
  </si>
  <si>
    <t>Subbahi Kumar</t>
  </si>
  <si>
    <t>Laxmi Prasad</t>
  </si>
  <si>
    <t>Geeta Devi</t>
  </si>
  <si>
    <t>Basanti Bera</t>
  </si>
  <si>
    <t>Mandeep Kour Shidhu</t>
  </si>
  <si>
    <t>Pranab Paul</t>
  </si>
  <si>
    <t>Snigndha Ghosh</t>
  </si>
  <si>
    <t>Sumit Kr. Jaiswal</t>
  </si>
  <si>
    <t>Sabita Kumari</t>
  </si>
  <si>
    <t>Gayatri Kumari</t>
  </si>
  <si>
    <t>Munna Munda</t>
  </si>
  <si>
    <t>Pawan Kumar</t>
  </si>
  <si>
    <t>Shoaib Khan</t>
  </si>
  <si>
    <t>Manshi Sharma</t>
  </si>
  <si>
    <t xml:space="preserve">Tanya </t>
  </si>
  <si>
    <t>Kashish Sharma</t>
  </si>
  <si>
    <t>Annu Devi</t>
  </si>
  <si>
    <t>Mobasher Zaufashan</t>
  </si>
  <si>
    <t>Rounak Biswas</t>
  </si>
  <si>
    <t>Meera Singh</t>
  </si>
  <si>
    <t>Brijesh Singh</t>
  </si>
  <si>
    <t>Nikhat Perween</t>
  </si>
  <si>
    <t>Savitri Kumari</t>
  </si>
  <si>
    <t>Shahid Nazim</t>
  </si>
  <si>
    <t>Anita Devi</t>
  </si>
  <si>
    <t>Neha Kumari Prasad</t>
  </si>
  <si>
    <t>Ujjwal Kumar Prasad</t>
  </si>
  <si>
    <t>jasmin soren</t>
  </si>
  <si>
    <t>Gulin Kaur</t>
  </si>
  <si>
    <t>Kishan Kumar Singn</t>
  </si>
  <si>
    <t>Sanjay Kumar</t>
  </si>
  <si>
    <t>Satyajit Mahato</t>
  </si>
  <si>
    <t>Suruchi Kumari</t>
  </si>
  <si>
    <t>Syam Sunder Sonar</t>
  </si>
  <si>
    <t>Ajay Mahato</t>
  </si>
  <si>
    <t>Nisha Sharma</t>
  </si>
  <si>
    <t>Natun Devi</t>
  </si>
  <si>
    <t>Beauti Kumari</t>
  </si>
  <si>
    <t>Sandhya Mahato</t>
  </si>
  <si>
    <t>Usha Devi</t>
  </si>
  <si>
    <t>Shahbana Perween</t>
  </si>
  <si>
    <t>Dipa Munda</t>
  </si>
  <si>
    <t>Parmehwar Munda</t>
  </si>
  <si>
    <t>Md Rijwana</t>
  </si>
  <si>
    <t>Jitendra Das</t>
  </si>
  <si>
    <t>Pritha Sahu</t>
  </si>
  <si>
    <t>Putul sarkar</t>
  </si>
  <si>
    <t>Reena Nayak</t>
  </si>
  <si>
    <t>Sakuntala</t>
  </si>
  <si>
    <t>Mittu Mishra</t>
  </si>
  <si>
    <t>Ashwini Kumari</t>
  </si>
  <si>
    <t>Rita Devi</t>
  </si>
  <si>
    <t>Puja Kumari</t>
  </si>
  <si>
    <t>Radha Devi</t>
  </si>
  <si>
    <t>Nikita Kumari</t>
  </si>
  <si>
    <t>Soha Nayak</t>
  </si>
  <si>
    <t>Jasaoda Devi</t>
  </si>
  <si>
    <t>Shanti Sahu</t>
  </si>
  <si>
    <t>Rina mishra</t>
  </si>
  <si>
    <t>Lakshmi Karmakar</t>
  </si>
  <si>
    <t>Malti Sarkar</t>
  </si>
  <si>
    <t>Md Samim</t>
  </si>
  <si>
    <t>Sashi Sahu</t>
  </si>
  <si>
    <t>Robbai Singh</t>
  </si>
  <si>
    <t>Sadhna Mahato</t>
  </si>
  <si>
    <t>Tiyanti Mahato</t>
  </si>
  <si>
    <t xml:space="preserve">Gangadhar Mahato </t>
  </si>
  <si>
    <t>Ranjana Devi</t>
  </si>
  <si>
    <t>Deep Shikha Tantubai</t>
  </si>
  <si>
    <t>Kiran Devi</t>
  </si>
  <si>
    <t>Tijomani Tantubai</t>
  </si>
  <si>
    <t>Kumari Bisakha Tantubai</t>
  </si>
  <si>
    <t>Sabita Devi</t>
  </si>
  <si>
    <t>Shobha Singh</t>
  </si>
  <si>
    <t>Mira Devi</t>
  </si>
  <si>
    <t>Divya Singh</t>
  </si>
  <si>
    <t>Nasrin Begum</t>
  </si>
  <si>
    <t>Sanjay Karmakar</t>
  </si>
  <si>
    <t>Madhusudan Tiwary</t>
  </si>
  <si>
    <t>Shitla Gorai</t>
  </si>
  <si>
    <t>Neha Kumari</t>
  </si>
  <si>
    <t>Jyotsna Gorai</t>
  </si>
  <si>
    <t>Pushpa karmakar</t>
  </si>
  <si>
    <t>Madhu Sarkar</t>
  </si>
  <si>
    <t>Rani Gorai</t>
  </si>
  <si>
    <t>Sunita Gorai</t>
  </si>
  <si>
    <t>Saraswati Ganguly</t>
  </si>
  <si>
    <t>Binita Devi</t>
  </si>
  <si>
    <t>Soma Sinha</t>
  </si>
  <si>
    <t>Punam Devi</t>
  </si>
  <si>
    <t>Shakila Begum</t>
  </si>
  <si>
    <t>Nisha Devi</t>
  </si>
  <si>
    <t>Sukhdev Singh</t>
  </si>
  <si>
    <t>Falguni Maity</t>
  </si>
  <si>
    <t>Shanti Devi</t>
  </si>
  <si>
    <t>Pinky Devi</t>
  </si>
  <si>
    <t xml:space="preserve">Rina Pramanik </t>
  </si>
  <si>
    <t>Sumitra Pramanik</t>
  </si>
  <si>
    <t>Putun Mahato</t>
  </si>
  <si>
    <t>Mona Singh Sardar</t>
  </si>
  <si>
    <t>Soni Devi</t>
  </si>
  <si>
    <t>Chinta Devi</t>
  </si>
  <si>
    <t>Sumitra Das</t>
  </si>
  <si>
    <t>Jhuma Khamri</t>
  </si>
  <si>
    <t>Sandhya Khamri</t>
  </si>
  <si>
    <t>Tutun Khamri</t>
  </si>
  <si>
    <t>Saraswati Khamri</t>
  </si>
  <si>
    <t>Sushila Nag</t>
  </si>
  <si>
    <t>Basanti Nag</t>
  </si>
  <si>
    <t>Nisha Munda</t>
  </si>
  <si>
    <t>Swapna Kundu</t>
  </si>
  <si>
    <t>Laxmi Gorai</t>
  </si>
  <si>
    <t>Sangita Devi</t>
  </si>
  <si>
    <t>Gulabi Sardar</t>
  </si>
  <si>
    <t>China Dey</t>
  </si>
  <si>
    <t>Sarathi Karmakar</t>
  </si>
  <si>
    <t>Rakhi Mahato</t>
  </si>
  <si>
    <t>puja Kumari</t>
  </si>
  <si>
    <t>Laxmi Hansda</t>
  </si>
  <si>
    <t>Maya Devi Pandey</t>
  </si>
  <si>
    <t>Anupama Joseph</t>
  </si>
  <si>
    <t>Nitu Kumari</t>
  </si>
  <si>
    <t>Meena Devi</t>
  </si>
  <si>
    <t>Rekha Majumdar</t>
  </si>
  <si>
    <t>Pano Tantubai</t>
  </si>
  <si>
    <t>Shila Dutta</t>
  </si>
  <si>
    <t>Manju karmakar</t>
  </si>
  <si>
    <t>Sujata Jana</t>
  </si>
  <si>
    <t>Putul Jana</t>
  </si>
  <si>
    <t>Anusua jana</t>
  </si>
  <si>
    <t>Sweta Jana</t>
  </si>
  <si>
    <t>Nandini jana</t>
  </si>
  <si>
    <t>Edna Toppo</t>
  </si>
  <si>
    <t>Anita Sandil</t>
  </si>
  <si>
    <t>Pushplata Sandil</t>
  </si>
  <si>
    <t>Kalpana Jana</t>
  </si>
  <si>
    <t>Shankar Sandil</t>
  </si>
  <si>
    <t>Puspa Sandil</t>
  </si>
  <si>
    <t>Kailash Sagar</t>
  </si>
  <si>
    <t>Anjana Goswami</t>
  </si>
  <si>
    <t>Chandana Das</t>
  </si>
  <si>
    <t>Sunita Das</t>
  </si>
  <si>
    <t>Madhumita Das</t>
  </si>
  <si>
    <t>Sangeeta Joseph</t>
  </si>
  <si>
    <t>Alizabeth Solomon</t>
  </si>
  <si>
    <t>Jospin Solemon</t>
  </si>
  <si>
    <t>Barsa Maity</t>
  </si>
  <si>
    <t>Pratima Sinha</t>
  </si>
  <si>
    <t>Bela Sinha</t>
  </si>
  <si>
    <t>Sarjit Singh</t>
  </si>
  <si>
    <t>Kajol Munda</t>
  </si>
  <si>
    <t>Deepa Kachchhap</t>
  </si>
  <si>
    <t>Balwir Kour</t>
  </si>
  <si>
    <t>sandhya Munda</t>
  </si>
  <si>
    <t>Sharbani Das</t>
  </si>
  <si>
    <t>Pinky Das</t>
  </si>
  <si>
    <t>Mihima Kumari</t>
  </si>
  <si>
    <t>Rohit Tantubai</t>
  </si>
  <si>
    <t>Hardeep Kaur</t>
  </si>
  <si>
    <t>Simran Singh</t>
  </si>
  <si>
    <t>Anita Gope</t>
  </si>
  <si>
    <t>Ranu Mahanty</t>
  </si>
  <si>
    <t>Kalpna Devi</t>
  </si>
  <si>
    <t>Rani Karmakar</t>
  </si>
  <si>
    <t>Dolon Pramanik</t>
  </si>
  <si>
    <t>Sakuntala Karmakar</t>
  </si>
  <si>
    <t>Madhuri Devi</t>
  </si>
  <si>
    <t>Rarvati Sandil</t>
  </si>
  <si>
    <t>Puja Kumari Gupta</t>
  </si>
  <si>
    <t xml:space="preserve">Nisha Upadhyay </t>
  </si>
  <si>
    <t>Khushbu Upadhyay</t>
  </si>
  <si>
    <t>Lalita Devi</t>
  </si>
  <si>
    <t>Shiv Shankar Thakur</t>
  </si>
  <si>
    <t>Manju Devi</t>
  </si>
  <si>
    <t>Basmoti Ruhidas</t>
  </si>
  <si>
    <t>Balika Gorai</t>
  </si>
  <si>
    <t>Dipmala Devi</t>
  </si>
  <si>
    <t>Anita  Gorai</t>
  </si>
  <si>
    <t>Shibu Singh</t>
  </si>
  <si>
    <t>Anisha Begum</t>
  </si>
  <si>
    <t>Kaushalya Devi</t>
  </si>
  <si>
    <t>Sina Kumari</t>
  </si>
  <si>
    <t>Anjali Devi</t>
  </si>
  <si>
    <t>Sunita Tahakur</t>
  </si>
  <si>
    <t>Gudia Gope</t>
  </si>
  <si>
    <t xml:space="preserve">Putul Gope </t>
  </si>
  <si>
    <t>Laxshmi Hansda</t>
  </si>
  <si>
    <t>Hina Sardar</t>
  </si>
  <si>
    <t>Tiya Singh</t>
  </si>
  <si>
    <t>Deepak Kumar Singh</t>
  </si>
  <si>
    <t>Suku Rani Gorai</t>
  </si>
  <si>
    <t>Nisha Thakur</t>
  </si>
  <si>
    <t>Shilpa Sony</t>
  </si>
  <si>
    <t>Konka Gope</t>
  </si>
  <si>
    <t>Mahadevi Malwa</t>
  </si>
  <si>
    <t>sarita Kumari</t>
  </si>
  <si>
    <t>Bhadu Tantubai</t>
  </si>
  <si>
    <t>Bharti Gorai</t>
  </si>
  <si>
    <t>Jayasudha G</t>
  </si>
  <si>
    <t>Shobha Devi</t>
  </si>
  <si>
    <t>Nirmala Devi</t>
  </si>
  <si>
    <t>Kavita Das</t>
  </si>
  <si>
    <t>Kiran Srivastava</t>
  </si>
  <si>
    <t xml:space="preserve">Bhawani </t>
  </si>
  <si>
    <t>Sumitra Roy</t>
  </si>
  <si>
    <t>Saraswati Gorai</t>
  </si>
  <si>
    <t>Harjeet kour</t>
  </si>
  <si>
    <t>Putul Mandal</t>
  </si>
  <si>
    <t>Mamata Mnadal</t>
  </si>
  <si>
    <t>Simran Pal Kaur</t>
  </si>
  <si>
    <t>Rajendra Prasad Poddar</t>
  </si>
  <si>
    <t xml:space="preserve">D Lavanya </t>
  </si>
  <si>
    <t>Indrawati</t>
  </si>
  <si>
    <t>Rupa Ghosh</t>
  </si>
  <si>
    <t>Rita Das</t>
  </si>
  <si>
    <t>Kalpana Das</t>
  </si>
  <si>
    <t>Shikha Pandey</t>
  </si>
  <si>
    <t>Shilpa Devi</t>
  </si>
  <si>
    <t>Ritu Mahato</t>
  </si>
  <si>
    <t>Bhavani Mahato</t>
  </si>
  <si>
    <t>Suresh Bhumij</t>
  </si>
  <si>
    <t>Tolat parveen</t>
  </si>
  <si>
    <t>Jonaid Akhtar</t>
  </si>
  <si>
    <t>Fultusi Gorai</t>
  </si>
  <si>
    <t>Fekani Devi</t>
  </si>
  <si>
    <t>Usha Gorai</t>
  </si>
  <si>
    <t>Janardan Nayak</t>
  </si>
  <si>
    <t>Chhutu Ruhidas</t>
  </si>
  <si>
    <t>Niyati Gorai</t>
  </si>
  <si>
    <t>Shanti Mahato</t>
  </si>
  <si>
    <t>Gandheswari Gorai</t>
  </si>
  <si>
    <t>Mamta Mandal</t>
  </si>
  <si>
    <t>Sanjay Das</t>
  </si>
  <si>
    <t>Huzaipa Khalid</t>
  </si>
  <si>
    <t>Saraswati Soren</t>
  </si>
  <si>
    <t>Rinki Giri</t>
  </si>
  <si>
    <t>Komal Priya</t>
  </si>
  <si>
    <t>Usha Sunani</t>
  </si>
  <si>
    <t>uday Hansda</t>
  </si>
  <si>
    <t>Sudha Jyoti Kumari</t>
  </si>
  <si>
    <t>Shankar Sunani</t>
  </si>
  <si>
    <t>Raj Kour</t>
  </si>
  <si>
    <t>Aman Preet kaur</t>
  </si>
  <si>
    <t>Gurdeep Singh</t>
  </si>
  <si>
    <t>Kiran verma</t>
  </si>
  <si>
    <t>Tumpa Gorai</t>
  </si>
  <si>
    <t>Pratima Gorai</t>
  </si>
  <si>
    <t>Manju Gorai</t>
  </si>
  <si>
    <t>Pintu Kumar</t>
  </si>
  <si>
    <t>Shreya Das</t>
  </si>
  <si>
    <t>Tapasi Das</t>
  </si>
  <si>
    <t>China Gorai</t>
  </si>
  <si>
    <t>deposite-1640</t>
  </si>
  <si>
    <t>withdl</t>
  </si>
  <si>
    <t>Reshmi Devi</t>
  </si>
  <si>
    <t>Jitendar san</t>
  </si>
  <si>
    <t>Kabita Ghosh</t>
  </si>
  <si>
    <t>Pari Nayak</t>
  </si>
  <si>
    <t>Shobha Tripathy</t>
  </si>
  <si>
    <t>Namita Das</t>
  </si>
  <si>
    <t>Arati Devi</t>
  </si>
  <si>
    <t>Suchitra Pandey</t>
  </si>
  <si>
    <t>Swati Kumari</t>
  </si>
  <si>
    <t>Akash Ram</t>
  </si>
  <si>
    <t>Dolly Devi</t>
  </si>
  <si>
    <t>Harpreet Kaur  Bhambra</t>
  </si>
  <si>
    <t xml:space="preserve">Anita Rao </t>
  </si>
  <si>
    <t>Renu Devi</t>
  </si>
  <si>
    <t>Sushmita Kumar Sen</t>
  </si>
  <si>
    <t>Presa Sony</t>
  </si>
  <si>
    <t>Bejamin Soy</t>
  </si>
  <si>
    <t xml:space="preserve">Tony Davis </t>
  </si>
  <si>
    <t>Raj Kumari Devi</t>
  </si>
  <si>
    <t>Khushbu</t>
  </si>
  <si>
    <t>Puspa Gorai</t>
  </si>
  <si>
    <t>Pinkey Gorai</t>
  </si>
  <si>
    <t>S Bhanu</t>
  </si>
  <si>
    <t>Nazia Tabassum</t>
  </si>
  <si>
    <t>Pashupati Gorai</t>
  </si>
  <si>
    <t>Kalyani Ruhidas</t>
  </si>
  <si>
    <t>Namita Singh</t>
  </si>
  <si>
    <t>Archana Tewary</t>
  </si>
  <si>
    <t>Samsoon Nisha</t>
  </si>
  <si>
    <t>Suclochana Pramanik</t>
  </si>
  <si>
    <t>Wajda Mehboob Ansari</t>
  </si>
  <si>
    <t>Mayna Pramanik</t>
  </si>
  <si>
    <t>Rinkey Devi</t>
  </si>
  <si>
    <t>Nandi Sawaya</t>
  </si>
  <si>
    <t>Geeta Sawaya</t>
  </si>
  <si>
    <t>Priyanka Sawaya</t>
  </si>
  <si>
    <t xml:space="preserve"> poonam Verma </t>
  </si>
  <si>
    <t>Riya Mukherjee</t>
  </si>
  <si>
    <t>Purnima Mukherjee</t>
  </si>
  <si>
    <t>Chandmuni Mahato</t>
  </si>
  <si>
    <t>Savita Karmakar</t>
  </si>
  <si>
    <t>Shalo Karmakar</t>
  </si>
  <si>
    <t>Disha Jala</t>
  </si>
  <si>
    <t>Suru Karmakar</t>
  </si>
  <si>
    <t>Sitla Bhumij</t>
  </si>
  <si>
    <t>Bari Lohar</t>
  </si>
  <si>
    <t>Sushita Patro</t>
  </si>
  <si>
    <t>Rani Gounder</t>
  </si>
  <si>
    <t>Ganga Devi</t>
  </si>
  <si>
    <t>Magli Tudu</t>
  </si>
  <si>
    <t xml:space="preserve">Chwa Moni </t>
  </si>
  <si>
    <t>Jhoma Bisui</t>
  </si>
  <si>
    <t>Pradbita Das</t>
  </si>
  <si>
    <t>Babli Banerjee</t>
  </si>
  <si>
    <t>Nepali Gorai</t>
  </si>
  <si>
    <t>Vanita Gounder</t>
  </si>
  <si>
    <t>Rajeshwari Devi</t>
  </si>
  <si>
    <t>Jule Singh</t>
  </si>
  <si>
    <t>Kalyani Gorai</t>
  </si>
  <si>
    <t>Uttam Singh</t>
  </si>
  <si>
    <t>Sumitra Hembrom</t>
  </si>
  <si>
    <t>Malati Devi</t>
  </si>
  <si>
    <t>Laxmi Singh</t>
  </si>
  <si>
    <t>Sonal Jeet Kaur</t>
  </si>
  <si>
    <t>Mayna Gorai</t>
  </si>
  <si>
    <t>Akul Dey</t>
  </si>
  <si>
    <t>Husan Bibi</t>
  </si>
  <si>
    <t>Shaikh Sirajuddin</t>
  </si>
  <si>
    <t>Lavanya Chipurupalli</t>
  </si>
  <si>
    <t>C H Sunil</t>
  </si>
  <si>
    <t>Rebita Soy</t>
  </si>
  <si>
    <t>Punam Kumari</t>
  </si>
  <si>
    <t>Sangita Soy</t>
  </si>
  <si>
    <t>Abika Gorai</t>
  </si>
  <si>
    <t>Esita Maity</t>
  </si>
  <si>
    <t>Kabita Mukherjee</t>
  </si>
  <si>
    <t>Vinodani Swansi</t>
  </si>
  <si>
    <t>Sita Tantubai</t>
  </si>
  <si>
    <t>Chhabi Karmakar</t>
  </si>
  <si>
    <t>Habiba Khatoon</t>
  </si>
  <si>
    <t>Sunita Munda</t>
  </si>
  <si>
    <t>Bobby Choudhary</t>
  </si>
  <si>
    <t>Kanta Mukhi</t>
  </si>
  <si>
    <t>Afroz Perween</t>
  </si>
  <si>
    <t>Durga Munda</t>
  </si>
  <si>
    <t>Subroto Das</t>
  </si>
  <si>
    <t>Sukla Modak</t>
  </si>
  <si>
    <t xml:space="preserve">Lalita Modak </t>
  </si>
  <si>
    <t>Punam Sawaya</t>
  </si>
  <si>
    <t>Pratima Singh</t>
  </si>
  <si>
    <t>Uttam  Namita</t>
  </si>
  <si>
    <t>Anu Namata</t>
  </si>
  <si>
    <t>Mukta Pramanik</t>
  </si>
  <si>
    <t>Arati DAS</t>
  </si>
  <si>
    <t>Painy Gorai</t>
  </si>
  <si>
    <t>Sabita Das</t>
  </si>
  <si>
    <t>Somwari Hansda</t>
  </si>
  <si>
    <t>Nahida Khatoon</t>
  </si>
  <si>
    <t xml:space="preserve">Laxmi Handa </t>
  </si>
  <si>
    <t>Rekha Ruhidas</t>
  </si>
  <si>
    <t>Manaki Ravidas</t>
  </si>
  <si>
    <t>Uma Sardar</t>
  </si>
  <si>
    <t>Ravi Modak</t>
  </si>
  <si>
    <t>Bina Singh</t>
  </si>
  <si>
    <t>Pramila Mahato</t>
  </si>
  <si>
    <t>Urmila Mahato</t>
  </si>
  <si>
    <t>Gurubari Gorai</t>
  </si>
  <si>
    <t>Kanchan Devi</t>
  </si>
  <si>
    <t>Rumpa Shaw</t>
  </si>
  <si>
    <t>Sandip Pramanik</t>
  </si>
  <si>
    <t>Phulmani Goai</t>
  </si>
  <si>
    <t>Rajesh Ravidas</t>
  </si>
  <si>
    <t>R.L.P. Sinha</t>
  </si>
  <si>
    <t>Bhola nath Dutta</t>
  </si>
  <si>
    <t>Pari Dutta</t>
  </si>
  <si>
    <t>Rina Ghosh</t>
  </si>
  <si>
    <t>Nilam Devi</t>
  </si>
  <si>
    <t>Mithila Lohar</t>
  </si>
  <si>
    <t>Shahnaz Begum</t>
  </si>
  <si>
    <t>Nikku Devi</t>
  </si>
  <si>
    <t>Santosh Kumar Sen</t>
  </si>
  <si>
    <t>Neha Devi</t>
  </si>
  <si>
    <t>Shri Mati Meera Devi</t>
  </si>
  <si>
    <t>Laxman Sharma</t>
  </si>
  <si>
    <t>Sadhan Gorai</t>
  </si>
  <si>
    <t>Ujjawala Mahato</t>
  </si>
  <si>
    <t>Bijola Mahato</t>
  </si>
  <si>
    <t>Sabita Choudhary</t>
  </si>
  <si>
    <t>Krishna Kant Choudhary</t>
  </si>
  <si>
    <t>Anjali Kumari</t>
  </si>
  <si>
    <t>Sachidanand Choudhary</t>
  </si>
  <si>
    <t>Yoshoda Lohar</t>
  </si>
  <si>
    <t>Ambabati Devi</t>
  </si>
  <si>
    <t>Munmun Guin</t>
  </si>
  <si>
    <t>Dhatri Gorai</t>
  </si>
  <si>
    <t xml:space="preserve">Pinkey gorai </t>
  </si>
  <si>
    <t>Amarjit Kour</t>
  </si>
  <si>
    <t>Amrik Singh</t>
  </si>
  <si>
    <t>Ram Lakhan Prasad</t>
  </si>
  <si>
    <t>Bhajan Dutta</t>
  </si>
  <si>
    <t>Sabita Gorai</t>
  </si>
  <si>
    <t>Shampa Sharma</t>
  </si>
  <si>
    <t>Rekha Sharma</t>
  </si>
  <si>
    <t>Ranjana Sinha</t>
  </si>
  <si>
    <t>Kalyani Saha</t>
  </si>
  <si>
    <t>Putul Gorai</t>
  </si>
  <si>
    <t>Ganga Devi Khadka</t>
  </si>
  <si>
    <t>Padma Adhikari</t>
  </si>
  <si>
    <t>Basanti Modak</t>
  </si>
  <si>
    <t>Shobha Karmakar</t>
  </si>
  <si>
    <t>Joshoda Tantubai</t>
  </si>
  <si>
    <t>Aruna Gupta</t>
  </si>
  <si>
    <t>Pankaj Gorai</t>
  </si>
  <si>
    <t>Devonti Devi</t>
  </si>
  <si>
    <t>Sunita Prasad</t>
  </si>
  <si>
    <t>Laxmi Pramanik</t>
  </si>
  <si>
    <t>jyoti Pramanik</t>
  </si>
  <si>
    <t>Madhunata Sarkar</t>
  </si>
  <si>
    <t>Rita Ravidas</t>
  </si>
  <si>
    <t>Sandhya Modak</t>
  </si>
  <si>
    <t>Bhojohari Modak</t>
  </si>
  <si>
    <t>Mukul Singh</t>
  </si>
  <si>
    <t>Reboti Modak</t>
  </si>
  <si>
    <t>Pushpa Gorai</t>
  </si>
  <si>
    <t>Babita Devi</t>
  </si>
  <si>
    <t>Muskan Kumari</t>
  </si>
  <si>
    <t>Priya Kumari</t>
  </si>
  <si>
    <t>Sweety Kumari</t>
  </si>
  <si>
    <t>Bijola Rajak</t>
  </si>
  <si>
    <t>Ajay Karmakar</t>
  </si>
  <si>
    <t>Wasima Khatoon</t>
  </si>
  <si>
    <t>Putul Dey</t>
  </si>
  <si>
    <t>Sumitra Mahato</t>
  </si>
  <si>
    <t>Savita Tantubai</t>
  </si>
  <si>
    <t>Priyanka Devi</t>
  </si>
  <si>
    <t>Asha Kumari Shaw</t>
  </si>
  <si>
    <t>Navina Devi</t>
  </si>
  <si>
    <t>Sony Verma</t>
  </si>
  <si>
    <t>Ravi Mahato</t>
  </si>
  <si>
    <t>Ramla Mahato</t>
  </si>
  <si>
    <t>Ajit Kumar Rajak</t>
  </si>
  <si>
    <t>Anita Rajak</t>
  </si>
  <si>
    <t>Kalpana Goari</t>
  </si>
  <si>
    <t>Savitri Devi Tantubai</t>
  </si>
  <si>
    <t>Mintu Devi</t>
  </si>
  <si>
    <t>Sony RajHons</t>
  </si>
  <si>
    <t>Jaspreet Singh</t>
  </si>
  <si>
    <t>Jyoti Verma</t>
  </si>
  <si>
    <t>Unchit Sharma</t>
  </si>
  <si>
    <t>Agani Lohra</t>
  </si>
  <si>
    <t>Sabita Lohra</t>
  </si>
  <si>
    <t>Baby Paul</t>
  </si>
  <si>
    <t>Sulekha Paul</t>
  </si>
  <si>
    <t>Gurjeet Kaur</t>
  </si>
  <si>
    <t>Lakhbir Singh</t>
  </si>
  <si>
    <t>Ashok Karmakar</t>
  </si>
  <si>
    <t>Sulekha Gorai</t>
  </si>
  <si>
    <t>Sanju Paul</t>
  </si>
  <si>
    <t>Parwati Gounder</t>
  </si>
  <si>
    <t>Akash Suwanni</t>
  </si>
  <si>
    <t>Jarna Paul</t>
  </si>
  <si>
    <t>Madhunita Giri</t>
  </si>
  <si>
    <t>Basanti Mahato</t>
  </si>
  <si>
    <t>Durga Mahato</t>
  </si>
  <si>
    <t>Vicky Tantubai</t>
  </si>
  <si>
    <t>Jadu Patro</t>
  </si>
  <si>
    <t>Buni Modak</t>
  </si>
  <si>
    <t>Bhagyabati Parmanik</t>
  </si>
  <si>
    <t>Laxmi Karmakar</t>
  </si>
  <si>
    <t>Kalyani Mahanandi</t>
  </si>
  <si>
    <t>Meena Choudhary</t>
  </si>
  <si>
    <t>Bharti Choudhary</t>
  </si>
  <si>
    <t>Binita Hembrom</t>
  </si>
  <si>
    <t>Sandeep Kumar Rajak</t>
  </si>
  <si>
    <t>Shiuli Gorai</t>
  </si>
  <si>
    <t>Namita Mahato</t>
  </si>
  <si>
    <t>Mohammad israil</t>
  </si>
  <si>
    <t>Halati Rajak</t>
  </si>
  <si>
    <t>Sumitra Sahu</t>
  </si>
  <si>
    <t xml:space="preserve">Kashish Kumari </t>
  </si>
  <si>
    <t>Suman Kumari</t>
  </si>
  <si>
    <t>Shabnam Khan</t>
  </si>
  <si>
    <t>Prasant Bhasker Pandey</t>
  </si>
  <si>
    <t>Manjeet Karu</t>
  </si>
  <si>
    <t>Batari Gorai</t>
  </si>
  <si>
    <t>Laxmi Kumari</t>
  </si>
  <si>
    <t>Anita Kundra</t>
  </si>
  <si>
    <t>Sushma Devi</t>
  </si>
  <si>
    <t>Pravan kumar Kundra</t>
  </si>
  <si>
    <t>Birendra Ray</t>
  </si>
  <si>
    <t>Sneha Kumari</t>
  </si>
  <si>
    <t>Bhagwat Modak</t>
  </si>
  <si>
    <t>Putul Poddar</t>
  </si>
  <si>
    <t>Joba Chatterjee</t>
  </si>
  <si>
    <t>Shamim Altamash</t>
  </si>
  <si>
    <t>Imam Savat</t>
  </si>
  <si>
    <t>Koushik Paul</t>
  </si>
  <si>
    <t>Kritika Paul</t>
  </si>
  <si>
    <t>Nilima Paul</t>
  </si>
  <si>
    <t>Firoza khatoon</t>
  </si>
  <si>
    <t>Ranjeet Kumar Yadav</t>
  </si>
  <si>
    <t>Ranga Swami</t>
  </si>
  <si>
    <t>Neha Verma</t>
  </si>
  <si>
    <t>Ganesh Mahato</t>
  </si>
  <si>
    <t>Sujata Gorai</t>
  </si>
  <si>
    <t>Tapan Gorai</t>
  </si>
  <si>
    <t>Pandow mahato</t>
  </si>
  <si>
    <t>Teju mahato</t>
  </si>
  <si>
    <t>Sumitra Gorai</t>
  </si>
  <si>
    <t>Shanti Goria</t>
  </si>
  <si>
    <t>h Kuppu Devi</t>
  </si>
  <si>
    <t>Soma Pal</t>
  </si>
  <si>
    <t>kalpana Gorai</t>
  </si>
  <si>
    <t>Rajeswari Gorai</t>
  </si>
  <si>
    <t>Mamta Gorai</t>
  </si>
  <si>
    <t>Sumitra Singh</t>
  </si>
  <si>
    <t>Narayan Singh Munda</t>
  </si>
  <si>
    <t>Annapurna Singh Munda</t>
  </si>
  <si>
    <t xml:space="preserve">Bhabani Dutta </t>
  </si>
  <si>
    <t>Madhumala Bera</t>
  </si>
  <si>
    <t>Madhuri Gorai</t>
  </si>
  <si>
    <t>Ranju Tiwary</t>
  </si>
  <si>
    <t>Suren Gorai</t>
  </si>
  <si>
    <t>Divakaran Mahato</t>
  </si>
  <si>
    <t>Badal Gorai</t>
  </si>
  <si>
    <t>Prem Sharma</t>
  </si>
  <si>
    <t>Tajinder Kaur</t>
  </si>
  <si>
    <t>Jasraj Singh</t>
  </si>
  <si>
    <t>Nikata Barik</t>
  </si>
  <si>
    <t>Asha Shau</t>
  </si>
  <si>
    <t>mausami Sahu</t>
  </si>
  <si>
    <t>Asit Sahu</t>
  </si>
  <si>
    <t>Mousami Gorai</t>
  </si>
  <si>
    <t>Nazra Khatoon</t>
  </si>
  <si>
    <t>Prakash Paul</t>
  </si>
  <si>
    <t>Parbati Gorai</t>
  </si>
  <si>
    <t>Harjeet Kaur</t>
  </si>
  <si>
    <t>Radhika Gope</t>
  </si>
  <si>
    <t>Namita Mandal</t>
  </si>
  <si>
    <t>Charubala Barik</t>
  </si>
  <si>
    <t>Mamta Tripathi</t>
  </si>
  <si>
    <t>Raja Amma Gounder</t>
  </si>
  <si>
    <t>Vonita Gounder</t>
  </si>
  <si>
    <t>Parvate Swami</t>
  </si>
  <si>
    <t>Sabitri Swami</t>
  </si>
  <si>
    <t>Augustine solomon</t>
  </si>
  <si>
    <t>Pinky karmakar</t>
  </si>
  <si>
    <t>Khatoon Bibi</t>
  </si>
  <si>
    <t>Surjeet Kaur</t>
  </si>
  <si>
    <t>Laxmi Chhetri</t>
  </si>
  <si>
    <t>Amlesh Devi</t>
  </si>
  <si>
    <t>Suravi Gorai</t>
  </si>
  <si>
    <t>Ambika Gorai</t>
  </si>
  <si>
    <t>Sita Devi</t>
  </si>
  <si>
    <t>Kami Devi</t>
  </si>
  <si>
    <t>Pratima Modak</t>
  </si>
  <si>
    <t>chandrawati devi</t>
  </si>
  <si>
    <t>Anita Thakur</t>
  </si>
  <si>
    <t>Seema Devi</t>
  </si>
  <si>
    <t>Sonu Singh</t>
  </si>
  <si>
    <t>Velly Gounder</t>
  </si>
  <si>
    <t>Parwati gonder</t>
  </si>
  <si>
    <t>Juliet Josph</t>
  </si>
  <si>
    <t>Gurucharan Kaur</t>
  </si>
  <si>
    <t>Surjit Kaur</t>
  </si>
  <si>
    <t>Renu Singh</t>
  </si>
  <si>
    <t>Lakhi Mani lohar</t>
  </si>
  <si>
    <t>Jyotisha Mahanandi</t>
  </si>
  <si>
    <t>Sharmili Sarkar</t>
  </si>
  <si>
    <t>Rudan mahato</t>
  </si>
  <si>
    <t>Rajkishor Gupta</t>
  </si>
  <si>
    <t>Saraswati Devi</t>
  </si>
  <si>
    <t>Lakshmi Soren</t>
  </si>
  <si>
    <t>Saraswati karmakar</t>
  </si>
  <si>
    <t>Kajal Dey</t>
  </si>
  <si>
    <t>usha Mahato</t>
  </si>
  <si>
    <t>Mallika Kumbhakar</t>
  </si>
  <si>
    <t>Soma Jana</t>
  </si>
  <si>
    <t>Sneha Jana</t>
  </si>
  <si>
    <t>Suman Jana</t>
  </si>
  <si>
    <t>Babli Singh</t>
  </si>
  <si>
    <t>Sima Chatterjee</t>
  </si>
  <si>
    <t>Gita Patro</t>
  </si>
  <si>
    <t>Binita Singh</t>
  </si>
  <si>
    <t>Sangita Mahato</t>
  </si>
  <si>
    <t>Radha Mahato</t>
  </si>
  <si>
    <t>Priti Kumari</t>
  </si>
  <si>
    <t>Rinku Das</t>
  </si>
  <si>
    <t>Moti Sandel</t>
  </si>
  <si>
    <t>Purnima Das</t>
  </si>
  <si>
    <t>Sharda Tiwari</t>
  </si>
  <si>
    <t>Sanjay Giri</t>
  </si>
  <si>
    <t>Dipak Gorai</t>
  </si>
  <si>
    <t>Chhaya Dutta</t>
  </si>
  <si>
    <t>Punam Mishra</t>
  </si>
  <si>
    <t>Vivek Kumar Thakur</t>
  </si>
  <si>
    <t>Tapsi Shit</t>
  </si>
  <si>
    <t>Jhuma Das</t>
  </si>
  <si>
    <t>Rebati Sahu</t>
  </si>
  <si>
    <t>Simaranjeet Kaur</t>
  </si>
  <si>
    <t>Jyoshna Roy</t>
  </si>
  <si>
    <t>Chanda Devi</t>
  </si>
  <si>
    <t>Chandan Kumar Prasad</t>
  </si>
  <si>
    <t>Jayanti Mahato</t>
  </si>
  <si>
    <t>Krishna Sangiri</t>
  </si>
  <si>
    <t>kamakshi Gounder</t>
  </si>
  <si>
    <t>Mamta Kar</t>
  </si>
  <si>
    <t>Sarabjeet Kaur</t>
  </si>
  <si>
    <t>Sareeta Sahu</t>
  </si>
  <si>
    <t xml:space="preserve">Malika </t>
  </si>
  <si>
    <t>Chhaya Gorai</t>
  </si>
  <si>
    <t>Rajesh Mahato</t>
  </si>
  <si>
    <t>Anil Sagar</t>
  </si>
  <si>
    <t>Seema Sinha</t>
  </si>
  <si>
    <t>Jayanti Sharma</t>
  </si>
  <si>
    <t>Sumi Sinha</t>
  </si>
  <si>
    <t>Manju Ojha</t>
  </si>
  <si>
    <t>Chanchala Gorai</t>
  </si>
  <si>
    <t>Urmaila Devi</t>
  </si>
  <si>
    <t xml:space="preserve">Pratima Kindu </t>
  </si>
  <si>
    <t>Kajal Ganaguli</t>
  </si>
  <si>
    <t>Chinta mani Sardar</t>
  </si>
  <si>
    <t>Manisha Das</t>
  </si>
  <si>
    <t>Jamuna Gorai</t>
  </si>
  <si>
    <t>Rahela khat</t>
  </si>
  <si>
    <t>Kanta Ekka</t>
  </si>
  <si>
    <t>Ambika Gope</t>
  </si>
  <si>
    <t>Raboti Gope</t>
  </si>
  <si>
    <t>padda Devi</t>
  </si>
  <si>
    <t>Jhingi Sardar</t>
  </si>
  <si>
    <t>Gita Lohar</t>
  </si>
  <si>
    <t>Parboti mahanandi</t>
  </si>
  <si>
    <t>Shilpa Gorai</t>
  </si>
  <si>
    <t>Kavita Gorai</t>
  </si>
  <si>
    <t>Umma Maria</t>
  </si>
  <si>
    <t>Qamrun Nisha</t>
  </si>
  <si>
    <t>Kuldeep Singh</t>
  </si>
  <si>
    <t>Shabnam Naaz</t>
  </si>
  <si>
    <t>Niyati Gope</t>
  </si>
  <si>
    <t>kajal Sahis</t>
  </si>
  <si>
    <t>Shivam Singh</t>
  </si>
  <si>
    <t>Riti Singh Bhumij</t>
  </si>
  <si>
    <t>Tinki Mukhi</t>
  </si>
  <si>
    <t>Rekh Mahanandi</t>
  </si>
  <si>
    <t>Priya Sunani</t>
  </si>
  <si>
    <t>Shivani Kumari</t>
  </si>
  <si>
    <t>Mandira roy</t>
  </si>
  <si>
    <t>Manuni Sahu</t>
  </si>
  <si>
    <t>Soniya Siddiqua</t>
  </si>
  <si>
    <t>Habiba khatoon</t>
  </si>
  <si>
    <t>Asmat Ara</t>
  </si>
  <si>
    <t>Madhumita Ghosh</t>
  </si>
  <si>
    <t>Subasini Pramanik</t>
  </si>
  <si>
    <t>Anjana Singh</t>
  </si>
  <si>
    <t>Sandhya Singh</t>
  </si>
  <si>
    <t>Madhuri devi</t>
  </si>
  <si>
    <t>Anamika Singh</t>
  </si>
  <si>
    <t>Anjali Singh</t>
  </si>
  <si>
    <t>Geeta Singh</t>
  </si>
  <si>
    <t>Namita Chakraborty</t>
  </si>
  <si>
    <t>Chinmay Das</t>
  </si>
  <si>
    <t>Ali mel Devi</t>
  </si>
  <si>
    <t>Seema Geedia</t>
  </si>
  <si>
    <t>Aleka Ghosh</t>
  </si>
  <si>
    <t>Durga Kumari</t>
  </si>
  <si>
    <t>Rubi Jha</t>
  </si>
  <si>
    <t>Rakhi Poddar</t>
  </si>
  <si>
    <t>Kamaljeet kaur</t>
  </si>
  <si>
    <t>Rajesh Nag</t>
  </si>
  <si>
    <t xml:space="preserve">Sumitra Sahis </t>
  </si>
  <si>
    <t>Tapaswani Bhagat</t>
  </si>
  <si>
    <t>Rina Singh</t>
  </si>
  <si>
    <t>Pappu Mahanandi</t>
  </si>
  <si>
    <t>Kulvinder Kaur</t>
  </si>
  <si>
    <t xml:space="preserve">Pritam das modak </t>
  </si>
  <si>
    <t>Sumitra Kumari</t>
  </si>
  <si>
    <t>Shabnam Singh</t>
  </si>
  <si>
    <t>Rekha Kumari</t>
  </si>
  <si>
    <t>Khusbu Karmakar</t>
  </si>
  <si>
    <t>Sandhya Kumari</t>
  </si>
  <si>
    <t>Asha Devi</t>
  </si>
  <si>
    <t>Pradeep Rabidas</t>
  </si>
  <si>
    <t>Bilari Karmakar</t>
  </si>
  <si>
    <t>Hema Biswas</t>
  </si>
  <si>
    <t>Asha Biswas</t>
  </si>
  <si>
    <t>Bandana Maal</t>
  </si>
  <si>
    <t>Lakhi Maal</t>
  </si>
  <si>
    <t>Savitri Gorai</t>
  </si>
  <si>
    <t>Abmika Gorai</t>
  </si>
  <si>
    <t>Niharika Prasad</t>
  </si>
  <si>
    <t>Malti Devi</t>
  </si>
  <si>
    <t>Prem lala Devi</t>
  </si>
  <si>
    <t>Shaheen Perween</t>
  </si>
  <si>
    <t>Fani Gorai</t>
  </si>
  <si>
    <t>Tanvi karua</t>
  </si>
  <si>
    <t>Kavita Kumar</t>
  </si>
  <si>
    <t>Depali Das Modak</t>
  </si>
  <si>
    <t>Uttam das modak</t>
  </si>
  <si>
    <t>Ruma Das Modak</t>
  </si>
  <si>
    <t>Zulekha Hasmat</t>
  </si>
  <si>
    <t>Lakhi mukherjee</t>
  </si>
  <si>
    <t>Ansura Khatoon</t>
  </si>
  <si>
    <t>Minu Sahu</t>
  </si>
  <si>
    <t>Binapani Mahato</t>
  </si>
  <si>
    <t>Manju Ghosh</t>
  </si>
  <si>
    <t>Sankera Devi</t>
  </si>
  <si>
    <t>preeti Kumari</t>
  </si>
  <si>
    <t>Sahana Khatoon</t>
  </si>
  <si>
    <t>Lutfa khatoon</t>
  </si>
  <si>
    <t>Purnima Gorai</t>
  </si>
  <si>
    <t>Tarannum Nigar</t>
  </si>
  <si>
    <t>Saviti Keshri</t>
  </si>
  <si>
    <t>Saroj Devi</t>
  </si>
  <si>
    <t xml:space="preserve">Diya </t>
  </si>
  <si>
    <t>Palalk</t>
  </si>
  <si>
    <t>Khushboo Kumari</t>
  </si>
  <si>
    <t>Bhavya Raj</t>
  </si>
  <si>
    <t>Nabomita Pramanik</t>
  </si>
  <si>
    <t>Doly Priya Singh</t>
  </si>
  <si>
    <t>Renuka Shaa</t>
  </si>
  <si>
    <t>Kakuli Saha</t>
  </si>
  <si>
    <t>Kamala Devi</t>
  </si>
  <si>
    <t>Arpita Maity</t>
  </si>
  <si>
    <t>Komal Raj</t>
  </si>
  <si>
    <t xml:space="preserve">Putul Biswas </t>
  </si>
  <si>
    <t>Raimoni hansda</t>
  </si>
  <si>
    <t>Preety Sahu</t>
  </si>
  <si>
    <t>Spb Charan Sahu</t>
  </si>
  <si>
    <t>Girija  Devi</t>
  </si>
  <si>
    <t>Pratima Pramanik</t>
  </si>
  <si>
    <t>Shahnaz Khatoon</t>
  </si>
  <si>
    <t>Afsana Begum</t>
  </si>
  <si>
    <t>Baijnath Sharma</t>
  </si>
  <si>
    <t>Behulla Gope</t>
  </si>
  <si>
    <t>Shilpi Devi</t>
  </si>
  <si>
    <t>Aoka Devi</t>
  </si>
  <si>
    <t>Soni Singh</t>
  </si>
  <si>
    <t>Neha Bharati</t>
  </si>
  <si>
    <t>Lalita singh</t>
  </si>
  <si>
    <t>Puspa Devi</t>
  </si>
  <si>
    <t>Alwelu</t>
  </si>
  <si>
    <t>Saroj Verma</t>
  </si>
  <si>
    <t xml:space="preserve">Idrish khan </t>
  </si>
  <si>
    <t>Jayanti Mahto</t>
  </si>
  <si>
    <t>Mousumi Chakraborty</t>
  </si>
  <si>
    <t>Sonia Chakraborty</t>
  </si>
  <si>
    <t>Shakuntala Pramanik</t>
  </si>
  <si>
    <t>Rumpa Roy</t>
  </si>
  <si>
    <t>Sandhya Das</t>
  </si>
  <si>
    <t>Gayatri Sahu</t>
  </si>
  <si>
    <t>Sangita Nag</t>
  </si>
  <si>
    <t>Ritu Das</t>
  </si>
  <si>
    <t>Prabhavati Gorai</t>
  </si>
  <si>
    <t>Gunja Karua</t>
  </si>
  <si>
    <t>Gurubari Karua</t>
  </si>
  <si>
    <t>Shagufta Perween</t>
  </si>
  <si>
    <t>Jagdish Patro</t>
  </si>
  <si>
    <t>Ranju Pandey</t>
  </si>
  <si>
    <t>Zainab Siddiqua</t>
  </si>
  <si>
    <t>Mamta Singh Dhabal</t>
  </si>
  <si>
    <t>Durga Sahu</t>
  </si>
  <si>
    <t>Jitendra Kumar Singh</t>
  </si>
  <si>
    <t>Bishakha Barik</t>
  </si>
  <si>
    <t>Ram Kumar Thakur</t>
  </si>
  <si>
    <t>Aloka Kumari Lohar</t>
  </si>
  <si>
    <t>Ruma Kundu</t>
  </si>
  <si>
    <t>Purnima Devi</t>
  </si>
  <si>
    <t>Purushottam Mahato</t>
  </si>
  <si>
    <t>Puja Sahis</t>
  </si>
  <si>
    <t>Vijay Singh Say</t>
  </si>
  <si>
    <t>Shambhu Tuti</t>
  </si>
  <si>
    <t>Mamta verma</t>
  </si>
  <si>
    <t>Aakansha Kunal</t>
  </si>
  <si>
    <t>Juhi Mahato</t>
  </si>
  <si>
    <t>Sujata Singh</t>
  </si>
  <si>
    <t>Prakash Ravidas</t>
  </si>
  <si>
    <t>Ashok Kumar Singh</t>
  </si>
  <si>
    <t>Sangeeta Kumari</t>
  </si>
  <si>
    <t>Pinkey shaw</t>
  </si>
  <si>
    <t>Chandra Chakraborty</t>
  </si>
  <si>
    <t>Usha karmakar</t>
  </si>
  <si>
    <t>Supriya Sahu</t>
  </si>
  <si>
    <t>Suniti Kumari</t>
  </si>
  <si>
    <t>Reena Karmakar</t>
  </si>
  <si>
    <t>Mamta Sardar</t>
  </si>
  <si>
    <t>Sahani Perween</t>
  </si>
  <si>
    <t>Shubham Bhattacharjee</t>
  </si>
  <si>
    <t>Shyamal Bhattacharjee</t>
  </si>
  <si>
    <t>Kulwant Kaur</t>
  </si>
  <si>
    <t>Shila Pramanik</t>
  </si>
  <si>
    <t>Ritu Kaur</t>
  </si>
  <si>
    <t>Moumita Chakraborty</t>
  </si>
  <si>
    <t>Bishni Karua</t>
  </si>
  <si>
    <t>Laxmi Gope</t>
  </si>
  <si>
    <t>Baljeet Kaur</t>
  </si>
  <si>
    <t>Surjan Singh</t>
  </si>
  <si>
    <t>Purnima Kumari</t>
  </si>
  <si>
    <t xml:space="preserve">Uma Gope </t>
  </si>
  <si>
    <t>Rinki Kour</t>
  </si>
  <si>
    <t>Kavita Sarkar</t>
  </si>
  <si>
    <t>Madhuri Singh Dhabal</t>
  </si>
  <si>
    <t>Bharti Karmakar</t>
  </si>
  <si>
    <t>Umesh Chandra Haldar</t>
  </si>
  <si>
    <t>Tabassum Perween</t>
  </si>
  <si>
    <t>Harsita Verma</t>
  </si>
  <si>
    <t>Nutan Kumari</t>
  </si>
  <si>
    <t>Priyanka Verma</t>
  </si>
  <si>
    <t>Itwary Mahato</t>
  </si>
  <si>
    <t>Wajid Ali</t>
  </si>
  <si>
    <t>Urvashi Mehta</t>
  </si>
  <si>
    <t>Savitri Devi</t>
  </si>
  <si>
    <t>md Aslam Ansari</t>
  </si>
  <si>
    <t>Disksha Kumari</t>
  </si>
  <si>
    <t>Meera Chakraborty</t>
  </si>
  <si>
    <t>Anupama Chakraborty</t>
  </si>
  <si>
    <t>Sudha Devi</t>
  </si>
  <si>
    <t>Arpita Sahu</t>
  </si>
  <si>
    <t>Sonam Kumari</t>
  </si>
  <si>
    <t>Shashi Sharma</t>
  </si>
  <si>
    <t>Shakuntala Kumari</t>
  </si>
  <si>
    <t>Meera Byar</t>
  </si>
  <si>
    <t>Joy Shalu</t>
  </si>
  <si>
    <t>Ranjeeta Kumari</t>
  </si>
  <si>
    <t>Malti Karmakar</t>
  </si>
  <si>
    <t>Ganga Tudu</t>
  </si>
  <si>
    <t>Naagish Perween</t>
  </si>
  <si>
    <t>Sakuntala Nag</t>
  </si>
  <si>
    <t>Rahmat Ansari</t>
  </si>
  <si>
    <t>Reshma Prabin</t>
  </si>
  <si>
    <t>Bulu Saha</t>
  </si>
  <si>
    <t>Pinkey Rout</t>
  </si>
  <si>
    <t>Noor Fatma</t>
  </si>
  <si>
    <t>Gurmeet Singh</t>
  </si>
  <si>
    <t>Deb Kishan Rout</t>
  </si>
  <si>
    <t>Khuku Raj</t>
  </si>
  <si>
    <t>Malati Munda</t>
  </si>
  <si>
    <t>Shahjhan Khjatoon</t>
  </si>
  <si>
    <t>Jilal Guria</t>
  </si>
  <si>
    <t>K Jalaja</t>
  </si>
  <si>
    <t>Mithu Gorai</t>
  </si>
  <si>
    <t>Rajeshwari</t>
  </si>
  <si>
    <t>Mina Gorai</t>
  </si>
  <si>
    <t>Jhunu Das</t>
  </si>
  <si>
    <t>Heera Jha</t>
  </si>
  <si>
    <t>Komal Kumari mahato</t>
  </si>
  <si>
    <t>Muskan Mahato</t>
  </si>
  <si>
    <t>Pallavi Kumari</t>
  </si>
  <si>
    <t xml:space="preserve">Putul Dey </t>
  </si>
  <si>
    <t>Jhama Bera</t>
  </si>
  <si>
    <t>G Damayanti</t>
  </si>
  <si>
    <t>S  Laxmi</t>
  </si>
  <si>
    <t>Chandana Maity</t>
  </si>
  <si>
    <t>Mukti Maity</t>
  </si>
  <si>
    <t>Gayatri Gorai</t>
  </si>
  <si>
    <t>Juhi Sharma</t>
  </si>
  <si>
    <t>Basanti Karmakar</t>
  </si>
  <si>
    <t>Pinkey Verma</t>
  </si>
  <si>
    <t>Vina Mahato</t>
  </si>
  <si>
    <t>Kajal Devi</t>
  </si>
  <si>
    <t>hirdya Nath Tiwary</t>
  </si>
  <si>
    <t>Bina Gorai</t>
  </si>
  <si>
    <t>Safiya Fatima</t>
  </si>
  <si>
    <t>Kamleh Sharma</t>
  </si>
  <si>
    <t>Mina Khan</t>
  </si>
  <si>
    <t>Pradip Kumar Khan</t>
  </si>
  <si>
    <t>Swati Srivastava</t>
  </si>
  <si>
    <t>Shruti Singh</t>
  </si>
  <si>
    <t>Sugandha Singh</t>
  </si>
  <si>
    <t>Syed Sabina Artari</t>
  </si>
  <si>
    <t>Shristi kumari</t>
  </si>
  <si>
    <t>Mianti Bhattacharjee</t>
  </si>
  <si>
    <t>Ritika Kumari</t>
  </si>
  <si>
    <t>Rinku Devi</t>
  </si>
  <si>
    <t>Monika Kumari</t>
  </si>
  <si>
    <t>Ram Goswami</t>
  </si>
  <si>
    <t>Tulsi Hembrom</t>
  </si>
  <si>
    <t>Arjun Hembrom</t>
  </si>
  <si>
    <t>Chandni Bhadra</t>
  </si>
  <si>
    <t>Rinku Bhadra</t>
  </si>
  <si>
    <t>Surekha Mahato</t>
  </si>
  <si>
    <t>Sunita nag</t>
  </si>
  <si>
    <t>Jayank Pramanik</t>
  </si>
  <si>
    <t>Trishna Patra</t>
  </si>
  <si>
    <t>Chhanda Karmakar</t>
  </si>
  <si>
    <t>Shabana Kahatoon</t>
  </si>
  <si>
    <t>Nirmala Sharma</t>
  </si>
  <si>
    <t>Nahid Sultan</t>
  </si>
  <si>
    <t>Sharmistha mahato</t>
  </si>
  <si>
    <t>Dulati Devi</t>
  </si>
  <si>
    <t>Anjana Devi</t>
  </si>
  <si>
    <t>Nilima Gorai</t>
  </si>
  <si>
    <t>Bornali Mahato</t>
  </si>
  <si>
    <t>Anjana gorai</t>
  </si>
  <si>
    <t>Anju Gorai</t>
  </si>
  <si>
    <t>Jobra Khatoon</t>
  </si>
  <si>
    <t>Sanjida Khatoon</t>
  </si>
  <si>
    <t>Bedi pramanik</t>
  </si>
  <si>
    <t>Puja Singh Sardar</t>
  </si>
  <si>
    <t>Bilasi Sardar</t>
  </si>
  <si>
    <t>Reba Sahu</t>
  </si>
  <si>
    <t>Puja Sahu</t>
  </si>
  <si>
    <t>Reeta Chatterjee</t>
  </si>
  <si>
    <t>Vivekanand Bose</t>
  </si>
  <si>
    <t>Budheswar Lohra</t>
  </si>
  <si>
    <t>Nargis Champia</t>
  </si>
  <si>
    <t>Bishnu Charan Lohar</t>
  </si>
  <si>
    <t>Binod Lohar</t>
  </si>
  <si>
    <t>Bhujan singh Champia</t>
  </si>
  <si>
    <t>Sinni Pandey</t>
  </si>
  <si>
    <t>Najma Pandey</t>
  </si>
  <si>
    <t>Mohammad Farid</t>
  </si>
  <si>
    <t>Madhu munda</t>
  </si>
  <si>
    <t>Usha Murmu</t>
  </si>
  <si>
    <t>Sita Lohar</t>
  </si>
  <si>
    <t>Swapan Kumar Patro</t>
  </si>
  <si>
    <t>Soma Mitra</t>
  </si>
  <si>
    <t>Ankita Mitra</t>
  </si>
  <si>
    <t>Somari Soren</t>
  </si>
  <si>
    <t>Jay Prakash singh</t>
  </si>
  <si>
    <t>Piru Gorai</t>
  </si>
  <si>
    <t>Champa Chatterjee</t>
  </si>
  <si>
    <t>Sima Das</t>
  </si>
  <si>
    <t>Karabi Bose</t>
  </si>
  <si>
    <t>Lilmoni Das</t>
  </si>
  <si>
    <t>Arti Ravidas</t>
  </si>
  <si>
    <t>Maya Devi</t>
  </si>
  <si>
    <t>Pravhawati Devi</t>
  </si>
  <si>
    <t>Sarita Devi</t>
  </si>
  <si>
    <t>Urmila Devi</t>
  </si>
  <si>
    <t>Balwinder Kaur</t>
  </si>
  <si>
    <t>Hema Malin Majhyan</t>
  </si>
  <si>
    <t>Mangla Chatterjee</t>
  </si>
  <si>
    <t>Kuili mardi</t>
  </si>
  <si>
    <t>Usha Kumari Sharma</t>
  </si>
  <si>
    <t xml:space="preserve">Chhabi Lal </t>
  </si>
  <si>
    <t>Shaikh Shahin</t>
  </si>
  <si>
    <t>Subhadra Devi</t>
  </si>
  <si>
    <t>Shaikh Shabnam</t>
  </si>
  <si>
    <t>Yasmin Begum</t>
  </si>
  <si>
    <t>Sevaki Kumari Mahato</t>
  </si>
  <si>
    <t>Vicky Bedi</t>
  </si>
  <si>
    <t>Pyari Lohar</t>
  </si>
  <si>
    <t>Maya Lohar</t>
  </si>
  <si>
    <t>Rinki Gorai</t>
  </si>
  <si>
    <t>Meera Devi</t>
  </si>
  <si>
    <t>Laxmi Karua</t>
  </si>
  <si>
    <t>Sukati Sahu</t>
  </si>
  <si>
    <t>Saroj Sahrma</t>
  </si>
  <si>
    <t>Manjeet Kaur</t>
  </si>
  <si>
    <t>Dilraj Kaur</t>
  </si>
  <si>
    <t>Ratoon Bibi</t>
  </si>
  <si>
    <t>Ashma Naaz</t>
  </si>
  <si>
    <t>Krishna Ghosh</t>
  </si>
  <si>
    <t>Sujata Pramanik</t>
  </si>
  <si>
    <t>Sujeet Gorai</t>
  </si>
  <si>
    <t>Abla manna</t>
  </si>
  <si>
    <t>Sharmishtha Manna</t>
  </si>
  <si>
    <t>Sweeta Kumai</t>
  </si>
  <si>
    <t>Tuni Devi</t>
  </si>
  <si>
    <t>Shibani Mahato</t>
  </si>
  <si>
    <t>Sunita Mahato</t>
  </si>
  <si>
    <t>Pinky Karmakar</t>
  </si>
  <si>
    <t>Puja Rani Pal</t>
  </si>
  <si>
    <t>Subroto Chatterjee</t>
  </si>
  <si>
    <t>Santoshi Karmakar</t>
  </si>
  <si>
    <t>Tanushree Chatterjee</t>
  </si>
  <si>
    <t>Rakhi Biswas</t>
  </si>
  <si>
    <t>Manorama Devi</t>
  </si>
  <si>
    <t>Suraj Kumar Lall</t>
  </si>
  <si>
    <t>Tej Pratap Singh</t>
  </si>
  <si>
    <t>samarjeet Mahapatra</t>
  </si>
  <si>
    <t>Sourav Gorai</t>
  </si>
  <si>
    <t>Dhananjay Gope</t>
  </si>
  <si>
    <t>Sunita Sharma</t>
  </si>
  <si>
    <t>K Kala Devi</t>
  </si>
  <si>
    <t>Suresh Nag</t>
  </si>
  <si>
    <t>Mousumi Maity</t>
  </si>
  <si>
    <t>G Puspa Rao</t>
  </si>
  <si>
    <t>N Baby</t>
  </si>
  <si>
    <t>M Radha</t>
  </si>
  <si>
    <t>Sunita Gupta</t>
  </si>
  <si>
    <t>Ruma Haldar</t>
  </si>
  <si>
    <t>Arati Gorai</t>
  </si>
  <si>
    <t>Bela Nandi</t>
  </si>
  <si>
    <t>Manish Nandi</t>
  </si>
  <si>
    <t>Paspati Devi</t>
  </si>
  <si>
    <t>Sanjana Karmakar</t>
  </si>
  <si>
    <t>Rudwanti Devi</t>
  </si>
  <si>
    <t>Arisha Rehman</t>
  </si>
  <si>
    <t>Rupa Pandey</t>
  </si>
  <si>
    <t>Puja Rani Dey</t>
  </si>
  <si>
    <t>Mala Gorai</t>
  </si>
  <si>
    <t>Mukhtar Hussain</t>
  </si>
  <si>
    <t>Neha Perween</t>
  </si>
  <si>
    <t>Swapan Sarkar</t>
  </si>
  <si>
    <t>Nandini Karwa</t>
  </si>
  <si>
    <t>Jaswinder Karwa</t>
  </si>
  <si>
    <t>Beena Baskey</t>
  </si>
  <si>
    <t>Ashis Kumar</t>
  </si>
  <si>
    <t xml:space="preserve">Najmun Nisa </t>
  </si>
  <si>
    <t>Bijay Shit</t>
  </si>
  <si>
    <t>Renu Das</t>
  </si>
  <si>
    <t>Nausaba Khatoon</t>
  </si>
  <si>
    <t>G Anu Rao</t>
  </si>
  <si>
    <t>Sakil Ahmad</t>
  </si>
  <si>
    <t>Subash Kumar</t>
  </si>
  <si>
    <t>Shymali Pramanik</t>
  </si>
  <si>
    <t>Deepika Mandal</t>
  </si>
  <si>
    <t>Rinku Khan</t>
  </si>
  <si>
    <t>Rani Kumari</t>
  </si>
  <si>
    <t>Ritu Sharma</t>
  </si>
  <si>
    <t>Harmeet Bhamra</t>
  </si>
  <si>
    <t xml:space="preserve">Mouha Deb </t>
  </si>
  <si>
    <t>Chanda mandal</t>
  </si>
  <si>
    <t>Yogita Kumari</t>
  </si>
  <si>
    <t>Mousami biswas</t>
  </si>
  <si>
    <t>K Manju Rao</t>
  </si>
  <si>
    <t>Ramapati Devi</t>
  </si>
  <si>
    <t>DEPOSITE81/1071</t>
  </si>
  <si>
    <t>DEPOSITE81/504</t>
  </si>
  <si>
    <t>DEPOSITE81/503</t>
  </si>
  <si>
    <t>DEPOSITE81</t>
  </si>
  <si>
    <t>deposite81</t>
  </si>
  <si>
    <t>DEPOSITE/01</t>
  </si>
  <si>
    <t>deposite/01</t>
  </si>
  <si>
    <t>deposite/81</t>
  </si>
  <si>
    <t>KADMA</t>
  </si>
  <si>
    <t>TELCO</t>
  </si>
  <si>
    <t>DEPOSITE81/1263</t>
  </si>
  <si>
    <t>outcust</t>
  </si>
  <si>
    <t>Int. Amt</t>
  </si>
  <si>
    <t>20-04-202</t>
  </si>
  <si>
    <t>81/504</t>
  </si>
  <si>
    <t>01/1271</t>
  </si>
  <si>
    <t>01/1455</t>
  </si>
  <si>
    <t>81/1816</t>
  </si>
  <si>
    <t>Kgn</t>
  </si>
  <si>
    <t>charanjeet Kaur</t>
  </si>
  <si>
    <t>81/535</t>
  </si>
  <si>
    <t>01/1115</t>
  </si>
  <si>
    <t>01/1278</t>
  </si>
  <si>
    <t>81/1372</t>
  </si>
  <si>
    <t>81/1369</t>
  </si>
  <si>
    <t>withdawal</t>
  </si>
  <si>
    <t>BOI</t>
  </si>
  <si>
    <t>river view</t>
  </si>
  <si>
    <t>Kamputa</t>
  </si>
  <si>
    <t>81/1107</t>
  </si>
  <si>
    <t>khushboo singh</t>
  </si>
  <si>
    <t>Barinager</t>
  </si>
  <si>
    <t>Birsanager</t>
  </si>
  <si>
    <t>81/1232</t>
  </si>
  <si>
    <t>Barinaga</t>
  </si>
  <si>
    <t>N type</t>
  </si>
  <si>
    <t>02/197</t>
  </si>
  <si>
    <t>RDMS associated</t>
  </si>
  <si>
    <t>Kartik nagar</t>
  </si>
  <si>
    <t>1b</t>
  </si>
  <si>
    <t>ghorabandha</t>
  </si>
  <si>
    <t>boi</t>
  </si>
  <si>
    <t>radhikanagar</t>
  </si>
  <si>
    <t>81/2028</t>
  </si>
  <si>
    <t>kundan maity</t>
  </si>
  <si>
    <t>81/2700</t>
  </si>
  <si>
    <t>81/1237</t>
  </si>
  <si>
    <t>mbgbank</t>
  </si>
  <si>
    <t>41/1107</t>
  </si>
  <si>
    <t>81/630</t>
  </si>
  <si>
    <t>BOB</t>
  </si>
  <si>
    <t>81/1145</t>
  </si>
  <si>
    <t>BOB-OUT</t>
  </si>
  <si>
    <t>BOB OUT</t>
  </si>
  <si>
    <t>md salim</t>
  </si>
  <si>
    <t>luabasa</t>
  </si>
  <si>
    <t>Kalpana Samuel</t>
  </si>
  <si>
    <t>barinagar</t>
  </si>
  <si>
    <t>9955720780</t>
  </si>
  <si>
    <t>250163092712</t>
  </si>
  <si>
    <t>81/1236</t>
  </si>
  <si>
    <t>81/1499</t>
  </si>
  <si>
    <t>Md salim</t>
  </si>
  <si>
    <t>kgn</t>
  </si>
  <si>
    <t>81/1144</t>
  </si>
  <si>
    <t>81/1235</t>
  </si>
  <si>
    <t>telco</t>
  </si>
  <si>
    <t>81/1490</t>
  </si>
  <si>
    <t>NISHA DEVI</t>
  </si>
  <si>
    <t>jyoti angar</t>
  </si>
  <si>
    <t>81/1254</t>
  </si>
  <si>
    <t>shobha singh</t>
  </si>
  <si>
    <t>81/4041</t>
  </si>
  <si>
    <t>sabir ali</t>
  </si>
  <si>
    <t>81/1331</t>
  </si>
  <si>
    <t>81/1455</t>
  </si>
  <si>
    <t>PMJSY</t>
  </si>
  <si>
    <t>JJ</t>
  </si>
  <si>
    <t>SB</t>
  </si>
  <si>
    <t>81/2006</t>
  </si>
  <si>
    <t>MICRO</t>
  </si>
  <si>
    <t>comm may</t>
  </si>
  <si>
    <t>81/2577</t>
  </si>
  <si>
    <t>81/2357</t>
  </si>
  <si>
    <t>81/2359</t>
  </si>
  <si>
    <t>81/1101</t>
  </si>
  <si>
    <t>cbi</t>
  </si>
  <si>
    <t>81/1773</t>
  </si>
  <si>
    <t>81/631</t>
  </si>
  <si>
    <t>GORAI</t>
  </si>
  <si>
    <t>SANJAY GORAI</t>
  </si>
  <si>
    <t>deposite 81/4041</t>
  </si>
  <si>
    <t>with</t>
  </si>
  <si>
    <t>w</t>
  </si>
  <si>
    <t>d</t>
  </si>
  <si>
    <t>out</t>
  </si>
  <si>
    <t>sms allert</t>
  </si>
  <si>
    <t>md samim</t>
  </si>
  <si>
    <t>surjit kaur</t>
  </si>
  <si>
    <t>9534224296</t>
  </si>
  <si>
    <t>735292697897</t>
  </si>
  <si>
    <t>81/2749</t>
  </si>
  <si>
    <t>Minu sahu</t>
  </si>
  <si>
    <t>81/2645</t>
  </si>
  <si>
    <t>KUNDAN</t>
  </si>
  <si>
    <t>81/4120</t>
  </si>
  <si>
    <t>81/4121</t>
  </si>
  <si>
    <t>sunita pandey</t>
  </si>
  <si>
    <t>harkirat singh suri</t>
  </si>
  <si>
    <t>DOB</t>
  </si>
  <si>
    <t>SUNITA PADEY</t>
  </si>
  <si>
    <t>Harkirat Singh Suri</t>
  </si>
  <si>
    <t>colony</t>
  </si>
  <si>
    <t>N/A</t>
  </si>
  <si>
    <t>586847556016</t>
  </si>
  <si>
    <t>9939401974</t>
  </si>
  <si>
    <t>250990649390</t>
  </si>
  <si>
    <t>9386090348</t>
  </si>
  <si>
    <t>BAGUNHATU</t>
  </si>
  <si>
    <t>81/4125</t>
  </si>
  <si>
    <t>81/4126</t>
  </si>
  <si>
    <t>81/4127</t>
  </si>
  <si>
    <t>81/2900</t>
  </si>
  <si>
    <t>jj</t>
  </si>
  <si>
    <t>81/2898</t>
  </si>
  <si>
    <t>Kailash Karua</t>
  </si>
  <si>
    <t>Madhuri Pramanik</t>
  </si>
  <si>
    <t>Partha Pramanik</t>
  </si>
  <si>
    <t>Kiran Kumari</t>
  </si>
  <si>
    <t>Dayamay Pramanik</t>
  </si>
  <si>
    <t>Reena Kumari</t>
  </si>
  <si>
    <t>plaza</t>
  </si>
  <si>
    <t>81/4128</t>
  </si>
  <si>
    <t>81/4129</t>
  </si>
  <si>
    <t>Sadhu Pramanik</t>
  </si>
  <si>
    <t>81/4130</t>
  </si>
  <si>
    <t>Anju Pandey</t>
  </si>
  <si>
    <t>81/4136</t>
  </si>
  <si>
    <t>DAYAMAY PRAMANIK</t>
  </si>
  <si>
    <t>JAYANTI SHARMA</t>
  </si>
  <si>
    <t>SARASWATI GORAI</t>
  </si>
  <si>
    <t>81/1552</t>
  </si>
  <si>
    <t>81/2509</t>
  </si>
  <si>
    <t>SADHU PRAMANIK</t>
  </si>
  <si>
    <t>MADHURI PRAMANIK</t>
  </si>
  <si>
    <t>sb</t>
  </si>
  <si>
    <t>sumi sinha</t>
  </si>
  <si>
    <t>81/2510</t>
  </si>
  <si>
    <t>jay prakash singh</t>
  </si>
  <si>
    <t>81/3225</t>
  </si>
  <si>
    <t>9304534526</t>
  </si>
  <si>
    <t>611881352394</t>
  </si>
  <si>
    <t>9304281734</t>
  </si>
  <si>
    <t>613160085635</t>
  </si>
  <si>
    <t>7763938106</t>
  </si>
  <si>
    <t>521763363308</t>
  </si>
  <si>
    <t>7209933113</t>
  </si>
  <si>
    <t>672578617574</t>
  </si>
  <si>
    <t>8797113281</t>
  </si>
  <si>
    <t>736104816223</t>
  </si>
  <si>
    <t>6202971793</t>
  </si>
  <si>
    <t>931637796655</t>
  </si>
  <si>
    <t>9304776851</t>
  </si>
  <si>
    <t>742644114005</t>
  </si>
  <si>
    <t>8340157050</t>
  </si>
  <si>
    <t>837603549576</t>
  </si>
  <si>
    <t>boi withdrawl</t>
  </si>
  <si>
    <t>81/1263</t>
  </si>
  <si>
    <t>sanjay karmakar</t>
  </si>
  <si>
    <t>birsangar</t>
  </si>
  <si>
    <t>Birsanagar</t>
  </si>
  <si>
    <t>81/2697</t>
  </si>
  <si>
    <t>81/1906</t>
  </si>
  <si>
    <t>Kavita Mukherjee</t>
  </si>
  <si>
    <t>81/916</t>
  </si>
  <si>
    <t>krishna gorai</t>
  </si>
  <si>
    <t>sangeeta kumari</t>
  </si>
  <si>
    <t>81/2945</t>
  </si>
  <si>
    <t>radhikangar</t>
  </si>
  <si>
    <t>81/4138</t>
  </si>
  <si>
    <t>81/4139</t>
  </si>
  <si>
    <t>mritunjay Gorai</t>
  </si>
  <si>
    <t>81/2252</t>
  </si>
  <si>
    <t>81/1890</t>
  </si>
  <si>
    <t>81/1496</t>
  </si>
  <si>
    <t>81/1493</t>
  </si>
  <si>
    <t>sushil mani horo</t>
  </si>
  <si>
    <t>hanna soy</t>
  </si>
  <si>
    <t>badal gorai</t>
  </si>
  <si>
    <t>mayan gorai</t>
  </si>
  <si>
    <t>Mritunjay Gorai</t>
  </si>
  <si>
    <t>hurlung</t>
  </si>
  <si>
    <t>ghorabanadha</t>
  </si>
  <si>
    <t>Bagunhatu</t>
  </si>
  <si>
    <t>birsanagar</t>
  </si>
  <si>
    <t>8877326689</t>
  </si>
  <si>
    <t>901128968789</t>
  </si>
  <si>
    <t>sombari sorn</t>
  </si>
  <si>
    <t>81/3224</t>
  </si>
  <si>
    <t>81/4141</t>
  </si>
  <si>
    <t>SEWTI SAHU</t>
  </si>
  <si>
    <t>81/4142</t>
  </si>
  <si>
    <t>Sunit gorai</t>
  </si>
  <si>
    <t>81/4143</t>
  </si>
  <si>
    <t>Pushpa Sahu</t>
  </si>
  <si>
    <t>81/1292</t>
  </si>
  <si>
    <t>saraswati ganguli</t>
  </si>
  <si>
    <t>Sewti Sahu</t>
  </si>
  <si>
    <t>8092295374</t>
  </si>
  <si>
    <t>400796162754</t>
  </si>
  <si>
    <t>7209367836</t>
  </si>
  <si>
    <t>716124839021</t>
  </si>
  <si>
    <t>8789818753</t>
  </si>
  <si>
    <t>922315391266</t>
  </si>
  <si>
    <t>9199355461</t>
  </si>
  <si>
    <t>484741555855</t>
  </si>
  <si>
    <t>81/4145</t>
  </si>
  <si>
    <t>soni kumari</t>
  </si>
  <si>
    <t>bangal gramin bank</t>
  </si>
  <si>
    <t>radhi</t>
  </si>
  <si>
    <t>81/4124</t>
  </si>
  <si>
    <t>81/3225 jay prakash singh</t>
  </si>
  <si>
    <t>81/4128 kiran kumari</t>
  </si>
  <si>
    <t>81/2840</t>
  </si>
  <si>
    <t>reena</t>
  </si>
  <si>
    <t>behulla gope</t>
  </si>
  <si>
    <t>A</t>
  </si>
  <si>
    <t>a</t>
  </si>
  <si>
    <t>N Meena</t>
  </si>
  <si>
    <t>tradeorkagarwal@gmail.com</t>
  </si>
  <si>
    <t>Shubham Raj</t>
  </si>
  <si>
    <t>shubham14p3@gmail.com</t>
  </si>
  <si>
    <t>Pranab Pal</t>
  </si>
  <si>
    <t>706418</t>
  </si>
  <si>
    <t>Sabir Ali</t>
  </si>
  <si>
    <t>Ghousul Haque Khan</t>
  </si>
  <si>
    <t>Hemant kumar Singh</t>
  </si>
  <si>
    <t>coolhemantsingh@gmail.com</t>
  </si>
  <si>
    <t>Md Faiyaz Alam</t>
  </si>
  <si>
    <t>Anita Singh</t>
  </si>
  <si>
    <t>B</t>
  </si>
  <si>
    <t>Santosh Kumar</t>
  </si>
  <si>
    <t>Vicky Soni</t>
  </si>
  <si>
    <t>Chandrkala Devi</t>
  </si>
  <si>
    <t>854644</t>
  </si>
  <si>
    <t>81/1596</t>
  </si>
  <si>
    <t>gandheswari gorai</t>
  </si>
  <si>
    <t>81/1309</t>
  </si>
  <si>
    <t>81/1367</t>
  </si>
  <si>
    <t>ms kundu</t>
  </si>
  <si>
    <t>withdrawal surjit kaur</t>
  </si>
  <si>
    <t>IDBI</t>
  </si>
  <si>
    <t>Ashim Kumar Kha</t>
  </si>
  <si>
    <t>987985</t>
  </si>
  <si>
    <t>Dilip Kumar Sah</t>
  </si>
  <si>
    <t>nwebh</t>
  </si>
  <si>
    <t>676015</t>
  </si>
  <si>
    <t>surjit kaur-idbi</t>
  </si>
  <si>
    <t>idbi</t>
  </si>
  <si>
    <t>kundu maity</t>
  </si>
  <si>
    <t>Amrita Singh</t>
  </si>
  <si>
    <t>368987</t>
  </si>
  <si>
    <t>sombari soren</t>
  </si>
  <si>
    <t>628292</t>
  </si>
  <si>
    <t>main</t>
  </si>
  <si>
    <t>alt</t>
  </si>
  <si>
    <t>somvari567@gmail.com</t>
  </si>
  <si>
    <t>81/2981</t>
  </si>
  <si>
    <t>81/2981(umesh chandra haldar)</t>
  </si>
  <si>
    <t>halder</t>
  </si>
  <si>
    <t>soma pani</t>
  </si>
  <si>
    <t>642524</t>
  </si>
  <si>
    <t>81/2547</t>
  </si>
  <si>
    <t>gita lohar</t>
  </si>
  <si>
    <t>Bimlesh Kumar Sharma</t>
  </si>
  <si>
    <t>671273</t>
  </si>
  <si>
    <t>n/a</t>
  </si>
  <si>
    <t>Anita Choudhary</t>
  </si>
  <si>
    <t>radhka</t>
  </si>
  <si>
    <t>81/4152</t>
  </si>
  <si>
    <t>Abdul Quadir</t>
  </si>
  <si>
    <t>040934</t>
  </si>
  <si>
    <t>723929611440</t>
  </si>
  <si>
    <t>7004770032</t>
  </si>
  <si>
    <t>825853860759</t>
  </si>
  <si>
    <t>7488607478</t>
  </si>
  <si>
    <t>samim</t>
  </si>
  <si>
    <t>81/4155</t>
  </si>
  <si>
    <t>deo krishna choudhary</t>
  </si>
  <si>
    <t>Deo Krishna choudhary</t>
  </si>
  <si>
    <t>Ishita Arya</t>
  </si>
  <si>
    <t>81/4156</t>
  </si>
  <si>
    <t>81/4516</t>
  </si>
  <si>
    <t>minor</t>
  </si>
  <si>
    <t>81/535-sunita</t>
  </si>
  <si>
    <t>sunita devi</t>
  </si>
  <si>
    <t>81/4157</t>
  </si>
  <si>
    <t>indu devi</t>
  </si>
  <si>
    <t>81/1596 gandheshwari</t>
  </si>
  <si>
    <t>81/2359 surjit</t>
  </si>
  <si>
    <t>Madan Pal</t>
  </si>
  <si>
    <t>gwalabasi</t>
  </si>
  <si>
    <t>Kalpana Bhawal</t>
  </si>
  <si>
    <t>shiv naagar</t>
  </si>
  <si>
    <t>Tara Devi</t>
  </si>
  <si>
    <t>zone 5</t>
  </si>
  <si>
    <t>Sima gorai</t>
  </si>
  <si>
    <t>radhika</t>
  </si>
  <si>
    <t>KARTIKNGAR</t>
  </si>
  <si>
    <t>81/4158</t>
  </si>
  <si>
    <t>81/4159</t>
  </si>
  <si>
    <t>81/4160</t>
  </si>
  <si>
    <t>81/4161</t>
  </si>
  <si>
    <t>Sima Gorai</t>
  </si>
  <si>
    <t>Surajit gorai</t>
  </si>
  <si>
    <t>81/4162</t>
  </si>
  <si>
    <t>Prakash Tiwari</t>
  </si>
  <si>
    <t>Cash Deposite</t>
  </si>
  <si>
    <t>bob</t>
  </si>
  <si>
    <t>kabita mukherjee</t>
  </si>
  <si>
    <t>kabita mukherjee-bob</t>
  </si>
  <si>
    <t>nweb.hub</t>
  </si>
  <si>
    <t>jio</t>
  </si>
  <si>
    <t>bsnl</t>
  </si>
  <si>
    <t>Rajkumari</t>
  </si>
  <si>
    <t>982063</t>
  </si>
  <si>
    <t>606815</t>
  </si>
  <si>
    <t>Sunil Kumar Prasad</t>
  </si>
  <si>
    <t>kharangajhar</t>
  </si>
  <si>
    <t>Pushpam Singh</t>
  </si>
  <si>
    <t>birsa</t>
  </si>
  <si>
    <t>Rakhi Kumari</t>
  </si>
  <si>
    <t>Rakhi Kumari 81-4165</t>
  </si>
  <si>
    <t>Pushpam singh 81-4164</t>
  </si>
  <si>
    <t>81-2359</t>
  </si>
  <si>
    <t>81-1292</t>
  </si>
  <si>
    <t>01-1278</t>
  </si>
  <si>
    <t>81-4163</t>
  </si>
  <si>
    <t>81-4164</t>
  </si>
  <si>
    <t>81-4165</t>
  </si>
  <si>
    <t>01-1455</t>
  </si>
  <si>
    <t>kundan</t>
  </si>
  <si>
    <t>CHANDESHWAR BHARDWAJ</t>
  </si>
  <si>
    <t>amita.piya@gmail.com</t>
  </si>
  <si>
    <t>515761</t>
  </si>
  <si>
    <t>Jai Prakash</t>
  </si>
  <si>
    <t>362756</t>
  </si>
  <si>
    <t>961779</t>
  </si>
  <si>
    <t>81-4041</t>
  </si>
  <si>
    <t>md sabir</t>
  </si>
  <si>
    <t>Panna</t>
  </si>
  <si>
    <t>Dhannu</t>
  </si>
  <si>
    <t>Punita Devi</t>
  </si>
  <si>
    <t>Sharat Mishra</t>
  </si>
  <si>
    <t>256621</t>
  </si>
  <si>
    <t>133671</t>
  </si>
  <si>
    <t>s jogeshwar rao</t>
  </si>
  <si>
    <t>890918</t>
  </si>
  <si>
    <t>santosh</t>
  </si>
  <si>
    <t>835508</t>
  </si>
  <si>
    <t>bholi</t>
  </si>
  <si>
    <t>861701</t>
  </si>
  <si>
    <t>122298</t>
  </si>
  <si>
    <t>332169</t>
  </si>
  <si>
    <t>Dina nath ray</t>
  </si>
  <si>
    <t>464044</t>
  </si>
  <si>
    <t>Amita Sharma</t>
  </si>
  <si>
    <t>392623</t>
  </si>
  <si>
    <t>nildih</t>
  </si>
  <si>
    <t>GUNGUN</t>
  </si>
  <si>
    <t>C/O HEMAN</t>
  </si>
  <si>
    <t>81-1232</t>
  </si>
  <si>
    <t>kamalkant gorai</t>
  </si>
  <si>
    <t>Lata Mandal</t>
  </si>
  <si>
    <t>310899197430</t>
  </si>
  <si>
    <t>6287749995</t>
  </si>
  <si>
    <t>81-4166</t>
  </si>
  <si>
    <t>Rani mandal</t>
  </si>
  <si>
    <t>81-2189</t>
  </si>
  <si>
    <t>81-503</t>
  </si>
  <si>
    <t>biswanath maity</t>
  </si>
  <si>
    <t>81-2303</t>
  </si>
  <si>
    <t>Meeru Sharma</t>
  </si>
  <si>
    <t>81-4167</t>
  </si>
  <si>
    <t>435819317142</t>
  </si>
  <si>
    <t>9771616936</t>
  </si>
  <si>
    <t>Sanjay kumar</t>
  </si>
  <si>
    <t>Parwati karmakar</t>
  </si>
  <si>
    <t>500</t>
  </si>
  <si>
    <t>225389462040</t>
  </si>
  <si>
    <t>9304417326</t>
  </si>
  <si>
    <t>81-4168</t>
  </si>
  <si>
    <t>parwati karmakar</t>
  </si>
  <si>
    <t>81-4169</t>
  </si>
  <si>
    <t>Tanish Choudhary</t>
  </si>
  <si>
    <t>9142564123</t>
  </si>
  <si>
    <t>667318292583</t>
  </si>
  <si>
    <t>Alok Tiwary</t>
  </si>
  <si>
    <t>Munibhushan</t>
  </si>
  <si>
    <t>715592</t>
  </si>
  <si>
    <t>Vikas Kumar Singh</t>
  </si>
  <si>
    <t>563374</t>
  </si>
  <si>
    <t>376792</t>
  </si>
  <si>
    <t>Nitu Singh</t>
  </si>
  <si>
    <t>964302</t>
  </si>
  <si>
    <t>Abhishek Banerjee</t>
  </si>
  <si>
    <t>528270</t>
  </si>
  <si>
    <t>Suraj Kumar</t>
  </si>
  <si>
    <t>758062</t>
  </si>
  <si>
    <t>Birju Das</t>
  </si>
  <si>
    <t>725870</t>
  </si>
  <si>
    <t>462734</t>
  </si>
  <si>
    <t>Kanchan Singh</t>
  </si>
  <si>
    <t>527986</t>
  </si>
  <si>
    <t>81-3001</t>
  </si>
  <si>
    <t>kalpana gorai</t>
  </si>
  <si>
    <t>Kala Hansda</t>
  </si>
  <si>
    <t>sundernagar</t>
  </si>
  <si>
    <t>7634849950</t>
  </si>
  <si>
    <t>323467504319</t>
  </si>
  <si>
    <t>na</t>
  </si>
  <si>
    <t>81-4170</t>
  </si>
  <si>
    <t>kala hansda</t>
  </si>
  <si>
    <t>056730</t>
  </si>
  <si>
    <t>Purushottam Kr Sharma</t>
  </si>
  <si>
    <t>443687</t>
  </si>
  <si>
    <t>Himanshu Ranjan</t>
  </si>
  <si>
    <t>473891</t>
  </si>
  <si>
    <t>931855</t>
  </si>
  <si>
    <t>436883</t>
  </si>
  <si>
    <t>Ranjeet Singh</t>
  </si>
  <si>
    <t>987965</t>
  </si>
  <si>
    <t>Rishav Raj Singh</t>
  </si>
  <si>
    <t>686456</t>
  </si>
  <si>
    <t>Baby singh</t>
  </si>
  <si>
    <t>194569</t>
  </si>
  <si>
    <t>81-1403</t>
  </si>
  <si>
    <t>Sujata jana</t>
  </si>
  <si>
    <t>81-4121</t>
  </si>
  <si>
    <t>Sajamda</t>
  </si>
  <si>
    <t>81-504</t>
  </si>
  <si>
    <t>81-2107</t>
  </si>
  <si>
    <t>Sulekha pal</t>
  </si>
  <si>
    <t>81-557</t>
  </si>
  <si>
    <t>Jitendra Nath Mahato</t>
  </si>
  <si>
    <t>643781</t>
  </si>
  <si>
    <t>jitendranathmahato@gmail.com</t>
  </si>
  <si>
    <t>197574</t>
  </si>
  <si>
    <t>899376</t>
  </si>
  <si>
    <t>Chandrakala Devi(myplan)</t>
  </si>
  <si>
    <t>recharge of 49 only upto 6month</t>
  </si>
  <si>
    <t>02-50</t>
  </si>
  <si>
    <t>81-1107</t>
  </si>
  <si>
    <t>81-1596</t>
  </si>
  <si>
    <t>comport</t>
  </si>
  <si>
    <t>Ashish Kumar</t>
  </si>
  <si>
    <t>baridih</t>
  </si>
  <si>
    <t>81-4171</t>
  </si>
  <si>
    <t>N Geeta</t>
  </si>
  <si>
    <t>187568</t>
  </si>
  <si>
    <t>81-3682</t>
  </si>
  <si>
    <t>Bharti Sahu</t>
  </si>
  <si>
    <t>81-631</t>
  </si>
  <si>
    <t>02-214</t>
  </si>
  <si>
    <t>compot-50</t>
  </si>
  <si>
    <t>baby queen</t>
  </si>
  <si>
    <t>Damini Pramanik</t>
  </si>
  <si>
    <t>690595730719</t>
  </si>
  <si>
    <t>9102936941</t>
  </si>
  <si>
    <t>Archana Sushil Sharma</t>
  </si>
  <si>
    <t>prakashngr</t>
  </si>
  <si>
    <t>588877896359</t>
  </si>
  <si>
    <t>81-4173</t>
  </si>
  <si>
    <t>19-20</t>
  </si>
  <si>
    <t>20-21</t>
  </si>
  <si>
    <t>canara</t>
  </si>
  <si>
    <t>81-565</t>
  </si>
  <si>
    <t>81-682</t>
  </si>
  <si>
    <t>81-651</t>
  </si>
  <si>
    <t>81-535</t>
  </si>
  <si>
    <t>air</t>
  </si>
  <si>
    <t>operator</t>
  </si>
  <si>
    <t>mob</t>
  </si>
  <si>
    <t>description</t>
  </si>
  <si>
    <t>Last Rech</t>
  </si>
  <si>
    <t>Nxt Rechar</t>
  </si>
  <si>
    <t>81-2767</t>
  </si>
  <si>
    <t>81-1490</t>
  </si>
  <si>
    <t>6299590154</t>
  </si>
  <si>
    <t>583835194968</t>
  </si>
  <si>
    <t>Ankit Dubey</t>
  </si>
  <si>
    <t>ANISHA KUMARI</t>
  </si>
  <si>
    <t>81-4178</t>
  </si>
  <si>
    <t>81-4179</t>
  </si>
  <si>
    <t>01-1115</t>
  </si>
  <si>
    <t>81-264(surjit gorai</t>
  </si>
  <si>
    <t>81-682(kalpana)</t>
  </si>
  <si>
    <t>Akash Dubey</t>
  </si>
  <si>
    <t>976492430555</t>
  </si>
  <si>
    <t>commision jun2020</t>
  </si>
  <si>
    <t>sabir</t>
  </si>
  <si>
    <t>putul poddar</t>
  </si>
  <si>
    <t>HEMANT self</t>
  </si>
  <si>
    <t>81-2803</t>
  </si>
  <si>
    <t>01-214</t>
  </si>
  <si>
    <t>BH49492</t>
  </si>
  <si>
    <t>JIO</t>
  </si>
  <si>
    <t>voda</t>
  </si>
  <si>
    <t>81-3034</t>
  </si>
  <si>
    <t>81-3027</t>
  </si>
  <si>
    <t>Sanjay Kumar(1799)</t>
  </si>
  <si>
    <t>933919</t>
  </si>
  <si>
    <t>81-1906</t>
  </si>
  <si>
    <t>989364339669</t>
  </si>
  <si>
    <t>8986815942</t>
  </si>
  <si>
    <t>81-3986</t>
  </si>
  <si>
    <t>Gudiya Kumari</t>
  </si>
  <si>
    <t>damini Pramanik</t>
  </si>
  <si>
    <t>81-4172</t>
  </si>
  <si>
    <t>81-264</t>
  </si>
  <si>
    <t>(surjit gorai</t>
  </si>
  <si>
    <t>(kalpana)</t>
  </si>
  <si>
    <t>500 depo?</t>
  </si>
  <si>
    <t>Bikash Sarkar</t>
  </si>
  <si>
    <t>BH89773</t>
  </si>
  <si>
    <r>
      <t> </t>
    </r>
    <r>
      <rPr>
        <b/>
        <sz val="7"/>
        <color rgb="FF800000"/>
        <rFont val="Verdana"/>
        <family val="2"/>
      </rPr>
      <t>647273</t>
    </r>
  </si>
  <si>
    <t>outside</t>
  </si>
  <si>
    <t>Subrat kumar mohanty</t>
  </si>
  <si>
    <t>493416</t>
  </si>
  <si>
    <t>765837</t>
  </si>
  <si>
    <t>81-4182</t>
  </si>
  <si>
    <t>81-4183</t>
  </si>
  <si>
    <t>Purushottam Sharma</t>
  </si>
  <si>
    <t>BH17689</t>
  </si>
  <si>
    <t>Sanjukta Sen</t>
  </si>
  <si>
    <t>Rahul Kumar</t>
  </si>
  <si>
    <t>263933</t>
  </si>
  <si>
    <t>753239</t>
  </si>
  <si>
    <t>288629</t>
  </si>
  <si>
    <t>mohammad manzar waris</t>
  </si>
  <si>
    <t>Mosarrat Ali Khan</t>
  </si>
  <si>
    <t>Amit Kumar Sharma</t>
  </si>
  <si>
    <t>438265</t>
  </si>
  <si>
    <t>Gulam Mohammad Gaush</t>
  </si>
  <si>
    <t>518855</t>
  </si>
  <si>
    <t>Gopi Mukhi</t>
  </si>
  <si>
    <t>669451</t>
  </si>
  <si>
    <t>Jitendra Soni</t>
  </si>
  <si>
    <t>396456</t>
  </si>
  <si>
    <t>81-4185</t>
  </si>
  <si>
    <t>Gurcharan Kaur</t>
  </si>
  <si>
    <t>466933</t>
  </si>
  <si>
    <t>Bablu Paramanik</t>
  </si>
  <si>
    <t>717221</t>
  </si>
  <si>
    <t>Sumit Kumar</t>
  </si>
  <si>
    <t>449651</t>
  </si>
  <si>
    <t>81-1501</t>
  </si>
  <si>
    <t>81-2981</t>
  </si>
  <si>
    <t>zone 1b</t>
  </si>
  <si>
    <t>Shambhu Nath Singh</t>
  </si>
  <si>
    <t>shambhukumar2014singh@gmail.com</t>
  </si>
  <si>
    <t>cash deposie</t>
  </si>
  <si>
    <t>withdrawal 81-611</t>
  </si>
  <si>
    <t>81-2910</t>
  </si>
  <si>
    <t>comport-50</t>
  </si>
  <si>
    <t>81-1455</t>
  </si>
  <si>
    <t>81-4139</t>
  </si>
  <si>
    <t>81-611</t>
  </si>
  <si>
    <t>81-7164</t>
  </si>
  <si>
    <t>81-2245</t>
  </si>
  <si>
    <t>81-3172</t>
  </si>
  <si>
    <t>81-3000</t>
  </si>
  <si>
    <t>81-3482</t>
  </si>
  <si>
    <t>06-353</t>
  </si>
  <si>
    <t>MALYON</t>
  </si>
  <si>
    <t>81-4162</t>
  </si>
  <si>
    <t>Md.Mojeeb Akhtar</t>
  </si>
  <si>
    <t>983510</t>
  </si>
  <si>
    <t>81-1145</t>
  </si>
  <si>
    <t>BOB OUT LAXMINARAYAN SAW</t>
  </si>
  <si>
    <t>COPRATION BANK</t>
  </si>
  <si>
    <t>OUT</t>
  </si>
  <si>
    <t>COPERATIVE BANK</t>
  </si>
  <si>
    <t>LAXMI NARAYAN SAW</t>
  </si>
  <si>
    <t>Shubham Raj-2===1799</t>
  </si>
  <si>
    <t>sanjay kumar=1799</t>
  </si>
  <si>
    <t>663972</t>
  </si>
  <si>
    <t>662887</t>
  </si>
  <si>
    <t>Manmeet Singh Albela</t>
  </si>
  <si>
    <t>591636</t>
  </si>
  <si>
    <t>579218</t>
  </si>
  <si>
    <t>220 d</t>
  </si>
  <si>
    <t>81-1141</t>
  </si>
  <si>
    <t>Gouri Shankar Singh</t>
  </si>
  <si>
    <t>178391</t>
  </si>
  <si>
    <t>942256</t>
  </si>
  <si>
    <t>81-1890</t>
  </si>
  <si>
    <t>81-2252</t>
  </si>
  <si>
    <t>Gopinath Goai</t>
  </si>
  <si>
    <t>629627</t>
  </si>
  <si>
    <t>Nazrul Hassan</t>
  </si>
  <si>
    <t>577246</t>
  </si>
  <si>
    <t>644636</t>
  </si>
  <si>
    <t>Sunila Saha</t>
  </si>
  <si>
    <t>81-2131</t>
  </si>
  <si>
    <t>156882</t>
  </si>
  <si>
    <t>Bibhas Chandra Banerjee</t>
  </si>
  <si>
    <t>779223</t>
  </si>
  <si>
    <t>24-12-2002</t>
  </si>
  <si>
    <t>8084200205</t>
  </si>
  <si>
    <t>coloy</t>
  </si>
  <si>
    <t>Deepak Kumar</t>
  </si>
  <si>
    <t>635454</t>
  </si>
  <si>
    <t>81-</t>
  </si>
  <si>
    <t>376694</t>
  </si>
  <si>
    <t>Upendra Singh</t>
  </si>
  <si>
    <t>787361</t>
  </si>
  <si>
    <t>V P Singh</t>
  </si>
  <si>
    <t>Himanshu</t>
  </si>
  <si>
    <t>Suraj Verma</t>
  </si>
  <si>
    <t>582521</t>
  </si>
  <si>
    <t>idea</t>
  </si>
  <si>
    <t>81-4196</t>
  </si>
  <si>
    <t>81-4199</t>
  </si>
  <si>
    <t>81-2616</t>
  </si>
  <si>
    <t>Roshni Kujur</t>
  </si>
  <si>
    <t>668463</t>
  </si>
  <si>
    <t>Prakash Tiwary</t>
  </si>
  <si>
    <t>sanjana</t>
  </si>
  <si>
    <t>Jitenda Nath mahato</t>
  </si>
  <si>
    <t>Uttam Soni</t>
  </si>
  <si>
    <t>81-2357</t>
  </si>
  <si>
    <t>Gurucharan kaur</t>
  </si>
  <si>
    <t>01-2112</t>
  </si>
  <si>
    <t>81-4128</t>
  </si>
  <si>
    <t>Nehal Khan</t>
  </si>
  <si>
    <t>721656</t>
  </si>
  <si>
    <t>81-1527</t>
  </si>
  <si>
    <t>BH839665</t>
  </si>
  <si>
    <t>236876</t>
  </si>
  <si>
    <t>Sneha Bag</t>
  </si>
  <si>
    <t>81-1592</t>
  </si>
  <si>
    <t>start dt</t>
  </si>
  <si>
    <t>last rec</t>
  </si>
  <si>
    <t>next rec</t>
  </si>
  <si>
    <t>bal</t>
  </si>
  <si>
    <t>sanjay kumar</t>
  </si>
  <si>
    <t>Manas Paul</t>
  </si>
  <si>
    <t>Saswati Mitra</t>
  </si>
  <si>
    <t>Sanchita Roy</t>
  </si>
  <si>
    <t>912612</t>
  </si>
  <si>
    <t>Manibhushan</t>
  </si>
  <si>
    <t>831582</t>
  </si>
  <si>
    <t>617853</t>
  </si>
  <si>
    <t>Santosh Kumar Soni</t>
  </si>
  <si>
    <t>479277</t>
  </si>
  <si>
    <t>598299</t>
  </si>
  <si>
    <t>Birendra Kumar Singh</t>
  </si>
  <si>
    <t>386384</t>
  </si>
  <si>
    <t>Kumari Sarangachha</t>
  </si>
  <si>
    <t>889424</t>
  </si>
  <si>
    <t>827469</t>
  </si>
  <si>
    <t>797257</t>
  </si>
  <si>
    <t>81-2357 Gurucharan</t>
  </si>
  <si>
    <t>Bikas Sarkar</t>
  </si>
  <si>
    <t>81-4208</t>
  </si>
  <si>
    <t>cash</t>
  </si>
  <si>
    <t>81-672</t>
  </si>
  <si>
    <t>Sanjay Kumar799</t>
  </si>
  <si>
    <t>766294</t>
  </si>
  <si>
    <t>Bikas Sarkar(airtel 249)1+1</t>
  </si>
  <si>
    <t>916699</t>
  </si>
  <si>
    <t>Syed Azhar Hussain</t>
  </si>
  <si>
    <t xml:space="preserve">ibrar </t>
  </si>
  <si>
    <t>81-4208 namita gorai</t>
  </si>
  <si>
    <t>81-4211</t>
  </si>
  <si>
    <t>cbi withdrawal</t>
  </si>
  <si>
    <t>81-4212</t>
  </si>
  <si>
    <t>81-4206</t>
  </si>
  <si>
    <t>Namita Gorai</t>
  </si>
  <si>
    <t>81-4210</t>
  </si>
  <si>
    <t>Shakila Bano</t>
  </si>
  <si>
    <t>Navjot Kaur</t>
  </si>
  <si>
    <t>Sheetal Kaur</t>
  </si>
  <si>
    <t>done</t>
  </si>
  <si>
    <t>BH974734</t>
  </si>
  <si>
    <t>Ghorabandha</t>
  </si>
  <si>
    <t>srinivas singh</t>
  </si>
  <si>
    <t>Sriniwash Singh</t>
  </si>
  <si>
    <t>BH528563</t>
  </si>
  <si>
    <t>779355</t>
  </si>
  <si>
    <t>bob wb</t>
  </si>
  <si>
    <t>gudiya devi</t>
  </si>
  <si>
    <t>81-4224</t>
  </si>
  <si>
    <t>81-4225</t>
  </si>
  <si>
    <t>81-757</t>
  </si>
  <si>
    <t>81-4226</t>
  </si>
  <si>
    <t>81-4227</t>
  </si>
  <si>
    <t>malyon</t>
  </si>
  <si>
    <t>rita singh</t>
  </si>
  <si>
    <t>81-4202</t>
  </si>
  <si>
    <t>Premlata Kumari</t>
  </si>
  <si>
    <t>Madhuri Kalpana Kujur</t>
  </si>
  <si>
    <t>614838</t>
  </si>
  <si>
    <t>394632650592</t>
  </si>
  <si>
    <t>Ravi Ranjan Kumar</t>
  </si>
  <si>
    <t>919810319628</t>
  </si>
  <si>
    <t>8809572654</t>
  </si>
  <si>
    <t>Khushboo</t>
  </si>
  <si>
    <t>Hiralal Das</t>
  </si>
  <si>
    <t>230635748811</t>
  </si>
  <si>
    <t>7549528225</t>
  </si>
  <si>
    <t>796846396723</t>
  </si>
  <si>
    <t>739822152591</t>
  </si>
  <si>
    <t>7808465964</t>
  </si>
  <si>
    <t>599143558630</t>
  </si>
  <si>
    <t>7070254769</t>
  </si>
  <si>
    <t>921693125618</t>
  </si>
  <si>
    <t>9204427771</t>
  </si>
  <si>
    <t>Premlata</t>
  </si>
  <si>
    <t>933606878131</t>
  </si>
  <si>
    <t>8935993977</t>
  </si>
  <si>
    <t>Pappu Thakur</t>
  </si>
  <si>
    <t>446979514928</t>
  </si>
  <si>
    <t>9852076775</t>
  </si>
  <si>
    <t>Ashutosh Mahato</t>
  </si>
  <si>
    <t>886452279823</t>
  </si>
  <si>
    <t>8434053129</t>
  </si>
  <si>
    <t>Rajiv Verma</t>
  </si>
  <si>
    <t>418736526539</t>
  </si>
  <si>
    <t>8340649064</t>
  </si>
  <si>
    <t>Puja Devi</t>
  </si>
  <si>
    <t>758938594478</t>
  </si>
  <si>
    <t>6203142500</t>
  </si>
  <si>
    <t>Gourav Kumar</t>
  </si>
  <si>
    <t>450518737048</t>
  </si>
  <si>
    <t>7209475075</t>
  </si>
  <si>
    <t>Farudin Nisha</t>
  </si>
  <si>
    <t>367387103313</t>
  </si>
  <si>
    <t>932227053574</t>
  </si>
  <si>
    <t>7979738994</t>
  </si>
  <si>
    <t>Rina Devi</t>
  </si>
  <si>
    <t>81-1528</t>
  </si>
  <si>
    <t>81-4228</t>
  </si>
  <si>
    <t>81-4229</t>
  </si>
  <si>
    <t>81-4230</t>
  </si>
  <si>
    <t>81-4231</t>
  </si>
  <si>
    <t>Malyon</t>
  </si>
  <si>
    <t>Anupriya Soumitra</t>
  </si>
  <si>
    <t>673191</t>
  </si>
  <si>
    <t>Debashis Dey</t>
  </si>
  <si>
    <t>771587</t>
  </si>
  <si>
    <t>Baisakhi Sahu</t>
  </si>
  <si>
    <t>546955</t>
  </si>
  <si>
    <t>bob out</t>
  </si>
  <si>
    <t>basanti modak</t>
  </si>
  <si>
    <t>81-4234</t>
  </si>
  <si>
    <t>81-1263</t>
  </si>
  <si>
    <t>81-3177</t>
  </si>
  <si>
    <t>cash deposit</t>
  </si>
  <si>
    <t>bob other</t>
  </si>
  <si>
    <t>BH339126</t>
  </si>
  <si>
    <t>123526</t>
  </si>
  <si>
    <t>Munilal Sah</t>
  </si>
  <si>
    <t>Mandvi Pandey</t>
  </si>
  <si>
    <t>647389</t>
  </si>
  <si>
    <t>Kamodani Lohar</t>
  </si>
  <si>
    <t>149454</t>
  </si>
  <si>
    <t>Sujat Ali</t>
  </si>
  <si>
    <t>846338378340</t>
  </si>
  <si>
    <t>9031989594</t>
  </si>
  <si>
    <t>Shivam Kumar</t>
  </si>
  <si>
    <t>419098603646</t>
  </si>
  <si>
    <t>7463058716</t>
  </si>
  <si>
    <t>Suraj Mukhi Soni</t>
  </si>
  <si>
    <t>846524</t>
  </si>
  <si>
    <t>Rizwana Tabassum</t>
  </si>
  <si>
    <t>394476</t>
  </si>
  <si>
    <t>BH961279</t>
  </si>
  <si>
    <t>346345</t>
  </si>
  <si>
    <t>Vishwakarma Kumar</t>
  </si>
  <si>
    <t>Airtel</t>
  </si>
  <si>
    <t>BH355868</t>
  </si>
  <si>
    <t>975843</t>
  </si>
  <si>
    <t>dishtv</t>
  </si>
  <si>
    <t>rupa ghosh</t>
  </si>
  <si>
    <t>Permeshwari munda</t>
  </si>
  <si>
    <t>4202</t>
  </si>
  <si>
    <t>1490</t>
  </si>
  <si>
    <t>opeing suspense</t>
  </si>
  <si>
    <t>jio key</t>
  </si>
  <si>
    <t>Enagula Hari hara Nath</t>
  </si>
  <si>
    <t>975191</t>
  </si>
  <si>
    <t>BH472561</t>
  </si>
  <si>
    <t>392394</t>
  </si>
  <si>
    <t>Recharge amt</t>
  </si>
  <si>
    <t>BH169474</t>
  </si>
  <si>
    <t>family</t>
  </si>
  <si>
    <t>75+75+49*3</t>
  </si>
  <si>
    <t>enagula</t>
  </si>
  <si>
    <t>Chandrakala Devi-1096</t>
  </si>
  <si>
    <t>312456</t>
  </si>
  <si>
    <t>Air-dth</t>
  </si>
  <si>
    <t>81-4241</t>
  </si>
  <si>
    <t>81-1408</t>
  </si>
  <si>
    <t>81-1640</t>
  </si>
  <si>
    <t>SUMITRA GORAI</t>
  </si>
  <si>
    <t>MAMTA MANDAL</t>
  </si>
  <si>
    <t>COMPORT</t>
  </si>
  <si>
    <t>81-4238</t>
  </si>
  <si>
    <t>81-1071</t>
  </si>
  <si>
    <t>BH291844</t>
  </si>
  <si>
    <t>Tarak Nath Ghosal</t>
  </si>
  <si>
    <t>Jio</t>
  </si>
  <si>
    <t>Anup Kumar</t>
  </si>
  <si>
    <t>152586</t>
  </si>
  <si>
    <t>31-42</t>
  </si>
  <si>
    <t>31-91</t>
  </si>
  <si>
    <t>37-22</t>
  </si>
  <si>
    <t>110-157</t>
  </si>
  <si>
    <t>0-156</t>
  </si>
  <si>
    <t>BH738549</t>
  </si>
  <si>
    <t>288478</t>
  </si>
  <si>
    <t>BH817939</t>
  </si>
  <si>
    <t>19-8</t>
  </si>
  <si>
    <t>add to this</t>
  </si>
  <si>
    <t>sponser</t>
  </si>
  <si>
    <t>BH15291-A</t>
  </si>
  <si>
    <t>BH15291-B</t>
  </si>
  <si>
    <t>Shraboni Banerjee</t>
  </si>
  <si>
    <t>972844</t>
  </si>
  <si>
    <t>81-1604</t>
  </si>
  <si>
    <t>waris</t>
  </si>
  <si>
    <t>other</t>
  </si>
  <si>
    <t xml:space="preserve"> </t>
  </si>
  <si>
    <t>Prahlad Singh</t>
  </si>
  <si>
    <t>Upendra Sahu</t>
  </si>
  <si>
    <t>815418</t>
  </si>
  <si>
    <t>295382</t>
  </si>
  <si>
    <t>Neetu Kumari Mahato</t>
  </si>
  <si>
    <t>268821</t>
  </si>
  <si>
    <t>81-1367</t>
  </si>
  <si>
    <t>Piyush Tiwary</t>
  </si>
  <si>
    <t>BH559892</t>
  </si>
  <si>
    <t>463548</t>
  </si>
  <si>
    <t>45963-A</t>
  </si>
  <si>
    <t>10-10</t>
  </si>
  <si>
    <t>BH538199</t>
  </si>
  <si>
    <t>494952</t>
  </si>
  <si>
    <t>Rakesh Kumar</t>
  </si>
  <si>
    <t>28 left</t>
  </si>
  <si>
    <t>Srijita Mitra</t>
  </si>
  <si>
    <t>626317</t>
  </si>
  <si>
    <t>321992147022</t>
  </si>
  <si>
    <t>8092539331</t>
  </si>
  <si>
    <t>B Suresh</t>
  </si>
  <si>
    <t>616374</t>
  </si>
  <si>
    <t>81-4245</t>
  </si>
  <si>
    <t>81-2562</t>
  </si>
  <si>
    <t>aman singh</t>
  </si>
  <si>
    <t>sony rajhans</t>
  </si>
  <si>
    <t>pinkey gorai</t>
  </si>
  <si>
    <t>Manisha Lohar</t>
  </si>
  <si>
    <t>81-4250</t>
  </si>
  <si>
    <t>81-3150</t>
  </si>
  <si>
    <t>SUSPENSE</t>
  </si>
  <si>
    <t>6-8</t>
  </si>
  <si>
    <r>
      <t> </t>
    </r>
    <r>
      <rPr>
        <sz val="11"/>
        <color rgb="FF333333"/>
        <rFont val="Arial"/>
        <family val="2"/>
      </rPr>
      <t>8789362332</t>
    </r>
  </si>
  <si>
    <t>bangiya gramin bank</t>
  </si>
  <si>
    <t>81-2069</t>
  </si>
  <si>
    <t>Ranjan Mahato</t>
  </si>
  <si>
    <t>173353</t>
  </si>
  <si>
    <t>Kanak</t>
  </si>
  <si>
    <t>529966</t>
  </si>
  <si>
    <t>Ranjit Kumra</t>
  </si>
  <si>
    <t>834318</t>
  </si>
  <si>
    <t>412628</t>
  </si>
  <si>
    <t>Air</t>
  </si>
  <si>
    <t>due</t>
  </si>
  <si>
    <t>BH77444-A</t>
  </si>
  <si>
    <t>Manas Paul wife</t>
  </si>
  <si>
    <t>891447</t>
  </si>
  <si>
    <t>Shankar Poddar</t>
  </si>
  <si>
    <t>zone-5</t>
  </si>
  <si>
    <t>209551438815</t>
  </si>
  <si>
    <t>Vishal Kumar Jha</t>
  </si>
  <si>
    <t>sadhudera</t>
  </si>
  <si>
    <t>200457756197</t>
  </si>
  <si>
    <t>81-1464</t>
  </si>
  <si>
    <t>81-4256</t>
  </si>
  <si>
    <t>81-4257</t>
  </si>
  <si>
    <t>81-4258</t>
  </si>
  <si>
    <t>81-1257</t>
  </si>
  <si>
    <t>81-1499</t>
  </si>
  <si>
    <t>81-916</t>
  </si>
  <si>
    <t>81-2635</t>
  </si>
  <si>
    <t>81-4268</t>
  </si>
  <si>
    <t>81-4270</t>
  </si>
  <si>
    <t>cbi customer</t>
  </si>
  <si>
    <t>81-4259</t>
  </si>
  <si>
    <t>01-2562</t>
  </si>
  <si>
    <t>2359</t>
  </si>
  <si>
    <t>Lal babu Sah</t>
  </si>
  <si>
    <t>BH789589</t>
  </si>
  <si>
    <t>122186</t>
  </si>
  <si>
    <t>BH254269</t>
  </si>
  <si>
    <t>248194</t>
  </si>
  <si>
    <t>cust-bob</t>
  </si>
  <si>
    <t>81-4275</t>
  </si>
  <si>
    <t>512239276013</t>
  </si>
  <si>
    <t>07-010-2020</t>
  </si>
  <si>
    <t>Priyappa Kumari</t>
  </si>
  <si>
    <t>573376672433</t>
  </si>
  <si>
    <t>sbi out</t>
  </si>
  <si>
    <t>Pradeep Kumar Sharma</t>
  </si>
  <si>
    <t>558362</t>
  </si>
  <si>
    <t>Sumit Kumar sharma</t>
  </si>
  <si>
    <t>223913</t>
  </si>
  <si>
    <t>gorai withdrawal</t>
  </si>
  <si>
    <t>81-4277</t>
  </si>
  <si>
    <t>Naina Koleth</t>
  </si>
  <si>
    <t>naina Loketh</t>
  </si>
  <si>
    <t>Agrico</t>
  </si>
  <si>
    <t>230124196002</t>
  </si>
  <si>
    <t>7295950754</t>
  </si>
  <si>
    <t>81-4265</t>
  </si>
  <si>
    <t>Sanju Kumari</t>
  </si>
  <si>
    <t>golmuri</t>
  </si>
  <si>
    <t>Shalendra Mahato</t>
  </si>
  <si>
    <t>144359</t>
  </si>
  <si>
    <t>81-4278</t>
  </si>
  <si>
    <t>sanjay singh</t>
  </si>
  <si>
    <t>khushbhu modak</t>
  </si>
  <si>
    <t>Nasreen Perwin</t>
  </si>
  <si>
    <t>81-2659</t>
  </si>
  <si>
    <t>MOHAN TANTUBAI</t>
  </si>
  <si>
    <t>Gurmeet Kaur</t>
  </si>
  <si>
    <t>Nasreent Parween</t>
  </si>
  <si>
    <t>bari</t>
  </si>
  <si>
    <t>81-4280</t>
  </si>
  <si>
    <t>Saryu Ravi das</t>
  </si>
  <si>
    <t>354697</t>
  </si>
  <si>
    <t>pintu</t>
  </si>
  <si>
    <t>lal bihar gupta</t>
  </si>
  <si>
    <t>paytm</t>
  </si>
  <si>
    <t>sarjit singh</t>
  </si>
  <si>
    <t>81-4285</t>
  </si>
  <si>
    <t>81-4286</t>
  </si>
  <si>
    <t>rina singh</t>
  </si>
  <si>
    <t>81-4288</t>
  </si>
  <si>
    <t>jite</t>
  </si>
  <si>
    <t>Santosh kumar</t>
  </si>
  <si>
    <t>rohit</t>
  </si>
  <si>
    <t>Haripriya Das</t>
  </si>
  <si>
    <t>golmru</t>
  </si>
  <si>
    <t>462661872062</t>
  </si>
  <si>
    <t>9430772130</t>
  </si>
  <si>
    <t>Hemant Das</t>
  </si>
  <si>
    <t>623946790690</t>
  </si>
  <si>
    <t>6299173377</t>
  </si>
  <si>
    <t>kundan maiti</t>
  </si>
  <si>
    <t>814291</t>
  </si>
  <si>
    <t>premlata</t>
  </si>
  <si>
    <t>81-4293</t>
  </si>
  <si>
    <t>bout</t>
  </si>
  <si>
    <t>anita devi</t>
  </si>
  <si>
    <t>pramila devi</t>
  </si>
  <si>
    <t>anju pandey</t>
  </si>
  <si>
    <t>81-4120</t>
  </si>
  <si>
    <t>81-4298</t>
  </si>
  <si>
    <t>81-2955</t>
  </si>
  <si>
    <t>1367</t>
  </si>
  <si>
    <t>81-4291</t>
  </si>
  <si>
    <t>01-2755</t>
  </si>
  <si>
    <t>suravi gorai</t>
  </si>
  <si>
    <t>sajna Machhua</t>
  </si>
  <si>
    <t>surajit kaur</t>
  </si>
  <si>
    <t>namita gorai</t>
  </si>
  <si>
    <t>kalpanagorai</t>
  </si>
  <si>
    <t>misc</t>
  </si>
  <si>
    <t> BH355687</t>
  </si>
  <si>
    <t>bw</t>
  </si>
  <si>
    <t>ptm-26-10</t>
  </si>
  <si>
    <t>BH835198</t>
  </si>
  <si>
    <t>686669</t>
  </si>
  <si>
    <t>BH355687</t>
  </si>
  <si>
    <t>397555</t>
  </si>
  <si>
    <t>BLANK</t>
  </si>
  <si>
    <t>allababad</t>
  </si>
  <si>
    <t>puja devi</t>
  </si>
  <si>
    <t>81-4309</t>
  </si>
  <si>
    <t>81-4307</t>
  </si>
  <si>
    <t>CASH DEPOSITED</t>
  </si>
  <si>
    <t>81-4311</t>
  </si>
  <si>
    <t>Mehboob Ansari</t>
  </si>
  <si>
    <t>Saptarshi Chandra</t>
  </si>
  <si>
    <t>BH418517</t>
  </si>
  <si>
    <t>81-4314</t>
  </si>
  <si>
    <t>Durga Kumai</t>
  </si>
  <si>
    <t>Gurdeet Skngh</t>
  </si>
  <si>
    <t>Abhishek Kumar</t>
  </si>
  <si>
    <t>06-323</t>
  </si>
  <si>
    <t>paid</t>
  </si>
  <si>
    <t>81-611 gudiya devi</t>
  </si>
  <si>
    <t>81-1981</t>
  </si>
  <si>
    <t>81-4315</t>
  </si>
  <si>
    <t>rohit-3</t>
  </si>
  <si>
    <t>sudhika-valley</t>
  </si>
  <si>
    <t>81-2246</t>
  </si>
  <si>
    <t>81-1232( md samim)</t>
  </si>
  <si>
    <t>81-4164 (Pushpam)</t>
  </si>
  <si>
    <t>cash withdraw self</t>
  </si>
  <si>
    <t>canara out</t>
  </si>
  <si>
    <t>blank so far</t>
  </si>
  <si>
    <t>self</t>
  </si>
  <si>
    <t>KYC done</t>
  </si>
  <si>
    <t>81-2295</t>
  </si>
  <si>
    <t>cashdeposite</t>
  </si>
  <si>
    <t>81-1987</t>
  </si>
  <si>
    <t>81-1983</t>
  </si>
  <si>
    <t>namita mandal</t>
  </si>
  <si>
    <t>cash depostei</t>
  </si>
  <si>
    <t>2850</t>
  </si>
  <si>
    <t>4329(Mamita devi)</t>
  </si>
  <si>
    <t>4330 (laxmi bosa)</t>
  </si>
  <si>
    <t>2295</t>
  </si>
  <si>
    <t>Lalbihari Gupta</t>
  </si>
  <si>
    <t>1752</t>
  </si>
  <si>
    <t>1730-tara singh</t>
  </si>
  <si>
    <t>kalpana dorai</t>
  </si>
  <si>
    <t>pintu kumar</t>
  </si>
  <si>
    <t>81-4332</t>
  </si>
  <si>
    <t>4326</t>
  </si>
  <si>
    <t>4206-rina singh</t>
  </si>
  <si>
    <t>4121</t>
  </si>
  <si>
    <t>264</t>
  </si>
  <si>
    <t>504</t>
  </si>
  <si>
    <t>Dn by co</t>
  </si>
  <si>
    <t>do by me</t>
  </si>
  <si>
    <t>sky</t>
  </si>
  <si>
    <t>Rani Kar</t>
  </si>
  <si>
    <t>81-4333</t>
  </si>
  <si>
    <t>comm-oct</t>
  </si>
  <si>
    <t>4182</t>
  </si>
  <si>
    <t>631</t>
  </si>
  <si>
    <t>1981</t>
  </si>
  <si>
    <t>249-alok</t>
  </si>
  <si>
    <t>250-bikash sarkar</t>
  </si>
  <si>
    <t>marked</t>
  </si>
  <si>
    <t>BH41189</t>
  </si>
  <si>
    <t>O</t>
  </si>
  <si>
    <t>2981</t>
  </si>
  <si>
    <t>1107</t>
  </si>
  <si>
    <t>1695</t>
  </si>
  <si>
    <t>1640</t>
  </si>
  <si>
    <t>81-4344</t>
  </si>
  <si>
    <t>81-4203</t>
  </si>
  <si>
    <t>81-4343</t>
  </si>
  <si>
    <t>81-4342</t>
  </si>
  <si>
    <t>reemanayak</t>
  </si>
  <si>
    <t>4348</t>
  </si>
  <si>
    <t>4349</t>
  </si>
  <si>
    <t>4309</t>
  </si>
  <si>
    <t>1145</t>
  </si>
  <si>
    <t>tara devi</t>
  </si>
  <si>
    <t>tara devi81-4160</t>
  </si>
  <si>
    <t>81-1730</t>
  </si>
  <si>
    <t>abhishek</t>
  </si>
  <si>
    <t>s k singh</t>
  </si>
  <si>
    <t>3177</t>
  </si>
  <si>
    <t>2246</t>
  </si>
  <si>
    <t>2528</t>
  </si>
  <si>
    <t>2112</t>
  </si>
  <si>
    <t>DUE</t>
  </si>
  <si>
    <t>AUTO DN</t>
  </si>
  <si>
    <t>ME DONE</t>
  </si>
  <si>
    <t>3569</t>
  </si>
  <si>
    <t>4303</t>
  </si>
  <si>
    <t>axis</t>
  </si>
  <si>
    <t>81-1162</t>
  </si>
  <si>
    <t>AMT</t>
  </si>
  <si>
    <t>COST</t>
  </si>
  <si>
    <t>EARN</t>
  </si>
  <si>
    <r>
      <t> </t>
    </r>
    <r>
      <rPr>
        <sz val="11"/>
        <color rgb="FFFF0000"/>
        <rFont val="Arial"/>
        <family val="2"/>
      </rPr>
      <t>8789362332</t>
    </r>
  </si>
  <si>
    <t>rdone</t>
  </si>
  <si>
    <t>1640-pintu</t>
  </si>
  <si>
    <t>1768-anjani devi</t>
  </si>
  <si>
    <t>pinku kumar</t>
  </si>
  <si>
    <t>anjali devi</t>
  </si>
  <si>
    <t>1768</t>
  </si>
  <si>
    <t>Enagula</t>
  </si>
  <si>
    <t>sarkar</t>
  </si>
  <si>
    <t>shreya</t>
  </si>
  <si>
    <t>vallye</t>
  </si>
  <si>
    <t>4th done by me</t>
  </si>
  <si>
    <t>3rd</t>
  </si>
  <si>
    <t>Vishwakarm kr</t>
  </si>
  <si>
    <t>rechared 599 get 200</t>
  </si>
  <si>
    <t>wst</t>
  </si>
  <si>
    <t>OK</t>
  </si>
  <si>
    <t>BH147395</t>
  </si>
  <si>
    <t>BH188366</t>
  </si>
  <si>
    <t>BH316888</t>
  </si>
  <si>
    <t>BH953263</t>
  </si>
  <si>
    <t>BH288727</t>
  </si>
  <si>
    <t>BH77496</t>
  </si>
  <si>
    <t>BH81373</t>
  </si>
  <si>
    <t>BH151723</t>
  </si>
  <si>
    <t>name</t>
  </si>
  <si>
    <t>mobile</t>
  </si>
  <si>
    <t>Alok</t>
  </si>
  <si>
    <t>billed</t>
  </si>
  <si>
    <t>ID</t>
  </si>
  <si>
    <t>Gourihankar</t>
  </si>
  <si>
    <t>truckpark</t>
  </si>
  <si>
    <t xml:space="preserve">Chandrakala Devi </t>
  </si>
  <si>
    <t>665</t>
  </si>
  <si>
    <t>4164</t>
  </si>
  <si>
    <t>4362</t>
  </si>
  <si>
    <t>4363</t>
  </si>
  <si>
    <t>1254</t>
  </si>
  <si>
    <t>214</t>
  </si>
  <si>
    <t>2755</t>
  </si>
  <si>
    <t>1005</t>
  </si>
  <si>
    <t>4161</t>
  </si>
  <si>
    <t>738</t>
  </si>
  <si>
    <t>2290</t>
  </si>
  <si>
    <t>1232</t>
  </si>
  <si>
    <t>3466</t>
  </si>
  <si>
    <t>772</t>
  </si>
  <si>
    <t>ca50</t>
  </si>
  <si>
    <t>4368</t>
  </si>
  <si>
    <t>5213</t>
  </si>
  <si>
    <t>2928</t>
  </si>
  <si>
    <t>4369</t>
  </si>
  <si>
    <t>1405</t>
  </si>
  <si>
    <t>1455</t>
  </si>
  <si>
    <t>shambhu</t>
  </si>
  <si>
    <t>kanak-shabhu</t>
  </si>
  <si>
    <t>CASH</t>
  </si>
  <si>
    <t xml:space="preserve">CASH </t>
  </si>
  <si>
    <t>81-1405</t>
  </si>
  <si>
    <t>81-1331</t>
  </si>
  <si>
    <t>2453</t>
  </si>
  <si>
    <t>563205-24</t>
  </si>
  <si>
    <t>bh559892</t>
  </si>
  <si>
    <t>BH256864</t>
  </si>
  <si>
    <t>All Clear</t>
  </si>
  <si>
    <t>bh812611</t>
  </si>
  <si>
    <t>Satyendra singh</t>
  </si>
  <si>
    <t>BH268811</t>
  </si>
  <si>
    <t>Ranjit Kumar</t>
  </si>
  <si>
    <t>1096-249*2-- 8797630610-jan17 air</t>
  </si>
  <si>
    <t>DURGA DEVI</t>
  </si>
  <si>
    <t>POOJA JENA</t>
  </si>
  <si>
    <t>SACHIN SINGH</t>
  </si>
  <si>
    <t>PRATIBHA SHAH</t>
  </si>
  <si>
    <t>806786848648</t>
  </si>
  <si>
    <t>6202914209</t>
  </si>
  <si>
    <t>793516589933</t>
  </si>
  <si>
    <t>7070975303</t>
  </si>
  <si>
    <t>522155058714</t>
  </si>
  <si>
    <t>8789909446</t>
  </si>
  <si>
    <t>768663170135</t>
  </si>
  <si>
    <t>8877177689</t>
  </si>
  <si>
    <t>536491414777</t>
  </si>
  <si>
    <t>7903759533</t>
  </si>
  <si>
    <t>Yogendra Prasad</t>
  </si>
  <si>
    <t>332032121596</t>
  </si>
  <si>
    <t>8409708058</t>
  </si>
  <si>
    <t>Sukhwinder Kaur</t>
  </si>
  <si>
    <t>283996963992</t>
  </si>
  <si>
    <t>8789483287</t>
  </si>
  <si>
    <t>Nivedita Dey</t>
  </si>
  <si>
    <t>704186349919</t>
  </si>
  <si>
    <t>Mamota Devi</t>
  </si>
  <si>
    <t>695009192003</t>
  </si>
  <si>
    <t>Laxmi Bosa</t>
  </si>
  <si>
    <t>458272023912</t>
  </si>
  <si>
    <t>9431737792</t>
  </si>
  <si>
    <t>Sangeeta Kar</t>
  </si>
  <si>
    <t>776275280901</t>
  </si>
  <si>
    <t>7070878131</t>
  </si>
  <si>
    <t>pinki Kumari</t>
  </si>
  <si>
    <t>Sanjana Kumari</t>
  </si>
  <si>
    <t>Gunjan Kumari</t>
  </si>
  <si>
    <t>619541972159</t>
  </si>
  <si>
    <t>8521924225</t>
  </si>
  <si>
    <t>352945839941</t>
  </si>
  <si>
    <t>6204206854</t>
  </si>
  <si>
    <t>846524345758</t>
  </si>
  <si>
    <t>9709213014</t>
  </si>
  <si>
    <t>Shobha Tudu</t>
  </si>
  <si>
    <t>bnagar</t>
  </si>
  <si>
    <t>989207978805</t>
  </si>
  <si>
    <t>9934174537</t>
  </si>
  <si>
    <t>s m altamash madani</t>
  </si>
  <si>
    <t>544480097002</t>
  </si>
  <si>
    <t>8340507926</t>
  </si>
  <si>
    <t>Sharya Naaz</t>
  </si>
  <si>
    <t>514003373129</t>
  </si>
  <si>
    <t>8271312110</t>
  </si>
  <si>
    <t>Jyoti Prakash</t>
  </si>
  <si>
    <t>Santu Karmakar</t>
  </si>
  <si>
    <t>288136698537</t>
  </si>
  <si>
    <t>8235430915</t>
  </si>
  <si>
    <t>jhanubala Mahato</t>
  </si>
  <si>
    <t>658774825190</t>
  </si>
  <si>
    <t>8210959986</t>
  </si>
  <si>
    <t>Noor Jahan</t>
  </si>
  <si>
    <t>285188221247</t>
  </si>
  <si>
    <t>9122599355</t>
  </si>
  <si>
    <t>Suraj Mahato</t>
  </si>
  <si>
    <t>862340835265</t>
  </si>
  <si>
    <t>9608766820</t>
  </si>
  <si>
    <t>Mamta Kumari</t>
  </si>
  <si>
    <t>403777401569</t>
  </si>
  <si>
    <t>7004512957</t>
  </si>
  <si>
    <t>457329665104</t>
  </si>
  <si>
    <t>9234849548</t>
  </si>
  <si>
    <t>Anil Karmakar</t>
  </si>
  <si>
    <t>750632858975</t>
  </si>
  <si>
    <t>7762847089</t>
  </si>
  <si>
    <t>Sagar Mahato</t>
  </si>
  <si>
    <t>644205407017</t>
  </si>
  <si>
    <t>9955688040</t>
  </si>
  <si>
    <t>Budhni</t>
  </si>
  <si>
    <t>543971828002</t>
  </si>
  <si>
    <t>9199976992</t>
  </si>
  <si>
    <t>Heena Mukhi</t>
  </si>
  <si>
    <t>322240372555</t>
  </si>
  <si>
    <t>7903767552</t>
  </si>
  <si>
    <t>81-1135</t>
  </si>
  <si>
    <t>81-0738</t>
  </si>
  <si>
    <t>81-4124</t>
  </si>
  <si>
    <t>81-4363</t>
  </si>
  <si>
    <t>1135</t>
  </si>
  <si>
    <t>1034</t>
  </si>
  <si>
    <t>4380</t>
  </si>
  <si>
    <t>4381</t>
  </si>
  <si>
    <t>3472</t>
  </si>
  <si>
    <t>02-218</t>
  </si>
  <si>
    <t>4385</t>
  </si>
  <si>
    <t>4378</t>
  </si>
  <si>
    <t>1436</t>
  </si>
  <si>
    <t>4386</t>
  </si>
  <si>
    <t>Mahboob Ansari</t>
  </si>
  <si>
    <t>albela</t>
  </si>
  <si>
    <t>Sagar Tantubai</t>
  </si>
  <si>
    <t>973133130860</t>
  </si>
  <si>
    <t>comp-50</t>
  </si>
  <si>
    <t>81-526</t>
  </si>
  <si>
    <t>81-4388</t>
  </si>
  <si>
    <t>comp-24</t>
  </si>
  <si>
    <t>sbi</t>
  </si>
  <si>
    <t>81-4394</t>
  </si>
  <si>
    <t>81-2453</t>
  </si>
  <si>
    <t>81-2207</t>
  </si>
  <si>
    <t>81-2290</t>
  </si>
  <si>
    <t>81-4395</t>
  </si>
  <si>
    <t>81-1891</t>
  </si>
  <si>
    <t>81-3358</t>
  </si>
  <si>
    <t>81-4113</t>
  </si>
  <si>
    <t>81-439</t>
  </si>
  <si>
    <t>SBi</t>
  </si>
  <si>
    <t>4278</t>
  </si>
  <si>
    <t>4399</t>
  </si>
  <si>
    <t>4402</t>
  </si>
  <si>
    <t>630</t>
  </si>
  <si>
    <t>4403</t>
  </si>
  <si>
    <t>rajesh mahato</t>
  </si>
  <si>
    <t>4404</t>
  </si>
  <si>
    <t>19110100003436</t>
  </si>
  <si>
    <t>4231</t>
  </si>
  <si>
    <t>81-4398</t>
  </si>
  <si>
    <t>4401</t>
  </si>
  <si>
    <t>cost/card</t>
  </si>
  <si>
    <t>G Savitri</t>
  </si>
  <si>
    <t>Chetan Kumar Sharma</t>
  </si>
  <si>
    <t>Manish Cohar</t>
  </si>
  <si>
    <t>Vishal Ranjan Tiru</t>
  </si>
  <si>
    <t>Lakhi Munda</t>
  </si>
  <si>
    <t>Kartik Dey</t>
  </si>
  <si>
    <t>Ganesh Tantubai</t>
  </si>
  <si>
    <t>Ankit Verma</t>
  </si>
  <si>
    <t>Bablu Singh</t>
  </si>
  <si>
    <t>Aniket Kumar Singh</t>
  </si>
  <si>
    <t>Alfrida</t>
  </si>
  <si>
    <t>Parvati ho</t>
  </si>
  <si>
    <t>Rakhi Devi</t>
  </si>
  <si>
    <t>Suraj Besra</t>
  </si>
  <si>
    <t>Subash Kumar Das</t>
  </si>
  <si>
    <t>Rohit Munda</t>
  </si>
  <si>
    <t>sanjeevan Karmakar</t>
  </si>
  <si>
    <t>Devshran Mandavi</t>
  </si>
  <si>
    <t>7542032142</t>
  </si>
  <si>
    <t>8210023504</t>
  </si>
  <si>
    <t>8797066680</t>
  </si>
  <si>
    <t>9031433143</t>
  </si>
  <si>
    <t>8797503783</t>
  </si>
  <si>
    <t>9142638798</t>
  </si>
  <si>
    <t>7631080615</t>
  </si>
  <si>
    <t>8092876548</t>
  </si>
  <si>
    <t>9835734991</t>
  </si>
  <si>
    <t>8935911610</t>
  </si>
  <si>
    <t>945781980713</t>
  </si>
  <si>
    <t>553687107389</t>
  </si>
  <si>
    <t>630916339596</t>
  </si>
  <si>
    <t>361412589518</t>
  </si>
  <si>
    <t>713321092614</t>
  </si>
  <si>
    <t>325611543938</t>
  </si>
  <si>
    <t>910433211570</t>
  </si>
  <si>
    <t>350415093057</t>
  </si>
  <si>
    <t>324719436567</t>
  </si>
  <si>
    <t>941310393996</t>
  </si>
  <si>
    <t>517417666789</t>
  </si>
  <si>
    <t>9102364843</t>
  </si>
  <si>
    <t>6287855447</t>
  </si>
  <si>
    <t>6202319837</t>
  </si>
  <si>
    <t>Sundari Gounder</t>
  </si>
  <si>
    <t>647059373656</t>
  </si>
  <si>
    <t>8235432633</t>
  </si>
  <si>
    <t>Swarn Singh</t>
  </si>
  <si>
    <t>484021826371</t>
  </si>
  <si>
    <t>7233179949</t>
  </si>
  <si>
    <t>Md kalim akhtar</t>
  </si>
  <si>
    <t>8809996887</t>
  </si>
  <si>
    <t>Kusum Devi</t>
  </si>
  <si>
    <t>233765558136</t>
  </si>
  <si>
    <t>8092880723</t>
  </si>
  <si>
    <t>Kamrun Nisha</t>
  </si>
  <si>
    <t>396417033068</t>
  </si>
  <si>
    <t>Md Zaid Tausif</t>
  </si>
  <si>
    <t>583918358143</t>
  </si>
  <si>
    <t>7280090126</t>
  </si>
  <si>
    <t>new ac-4456</t>
  </si>
  <si>
    <t>SArita (aloka)</t>
  </si>
  <si>
    <t>HALF-2</t>
  </si>
  <si>
    <t>Ganesh Pd Mahato</t>
  </si>
  <si>
    <t>Shailendra Sinha</t>
  </si>
  <si>
    <t>Anil Kumar</t>
  </si>
  <si>
    <t>Nickey Lohar</t>
  </si>
  <si>
    <t>Pinkey Kumari</t>
  </si>
  <si>
    <t>370964921185</t>
  </si>
  <si>
    <t>9523322522</t>
  </si>
  <si>
    <t>274099092022</t>
  </si>
  <si>
    <t>8235430848</t>
  </si>
  <si>
    <t>815661014507</t>
  </si>
  <si>
    <t>783732805496</t>
  </si>
  <si>
    <t>7808487570</t>
  </si>
  <si>
    <t>896326129627</t>
  </si>
  <si>
    <t>7209644519</t>
  </si>
  <si>
    <t>Lakshmi Devi</t>
  </si>
  <si>
    <t>Kamla Gorai</t>
  </si>
  <si>
    <t xml:space="preserve">  </t>
  </si>
  <si>
    <t>`</t>
  </si>
  <si>
    <t>7209441354</t>
  </si>
  <si>
    <t>dn</t>
  </si>
  <si>
    <t>Monoranjan Mal</t>
  </si>
  <si>
    <t>Anne Simran Toppo</t>
  </si>
  <si>
    <t>Ranjit Rajak</t>
  </si>
  <si>
    <t>Sanatan Bhumij</t>
  </si>
  <si>
    <t xml:space="preserve">ref. </t>
  </si>
  <si>
    <t>365671264635</t>
  </si>
  <si>
    <t>Sohan Tudu</t>
  </si>
  <si>
    <t>452415539727</t>
  </si>
  <si>
    <t>7667651298</t>
  </si>
  <si>
    <t>819305186279</t>
  </si>
  <si>
    <t>7764069145</t>
  </si>
  <si>
    <t>923983551361</t>
  </si>
  <si>
    <t>7903636798</t>
  </si>
  <si>
    <t>9142791675</t>
  </si>
  <si>
    <t>973068140189</t>
  </si>
  <si>
    <t>706990329246</t>
  </si>
  <si>
    <t>7061194051</t>
  </si>
  <si>
    <t>9031395162</t>
  </si>
  <si>
    <t>Jiten Dhibar</t>
  </si>
  <si>
    <t>917970107977</t>
  </si>
  <si>
    <t>8757450679</t>
  </si>
  <si>
    <t>Anjani Devi</t>
  </si>
  <si>
    <t>Grace Biswas</t>
  </si>
  <si>
    <t>Omika Biswas</t>
  </si>
  <si>
    <t>440486005288</t>
  </si>
  <si>
    <t>822146692732</t>
  </si>
  <si>
    <t>Shreshdhar gorai</t>
  </si>
  <si>
    <t>Priyanka Choudhary</t>
  </si>
  <si>
    <t>360807590828</t>
  </si>
  <si>
    <t>Akash Gorai</t>
  </si>
  <si>
    <t>Kakuli Bhakat</t>
  </si>
  <si>
    <t>Rukhsana Perween</t>
  </si>
  <si>
    <t>Tanushree Gorai</t>
  </si>
  <si>
    <t>7488713084</t>
  </si>
  <si>
    <t>9334817717</t>
  </si>
  <si>
    <t>242489367140</t>
  </si>
  <si>
    <t>957957505437</t>
  </si>
  <si>
    <t>9931412861</t>
  </si>
  <si>
    <t>785696465795</t>
  </si>
  <si>
    <t>9234418119</t>
  </si>
  <si>
    <t>233283613307</t>
  </si>
  <si>
    <t>9386741691</t>
  </si>
  <si>
    <t>Laxmi Devi</t>
  </si>
  <si>
    <t>Manisha Kumari</t>
  </si>
  <si>
    <t>Chabi Rani Ghosh</t>
  </si>
  <si>
    <t>Puja Karmakar</t>
  </si>
  <si>
    <t>Saibun Nisha</t>
  </si>
  <si>
    <t>Sayed Nasir Hussain</t>
  </si>
  <si>
    <t>Gopal Gorai</t>
  </si>
  <si>
    <t>Reena Devi</t>
  </si>
  <si>
    <t>6203562425</t>
  </si>
  <si>
    <t>9934326791</t>
  </si>
  <si>
    <t>206670183228</t>
  </si>
  <si>
    <t>7903578743</t>
  </si>
  <si>
    <t>9852503908</t>
  </si>
  <si>
    <t>884376634205</t>
  </si>
  <si>
    <t>9934828835</t>
  </si>
  <si>
    <t>7295913745</t>
  </si>
  <si>
    <t>9204689356</t>
  </si>
  <si>
    <t>prakashnagar</t>
  </si>
  <si>
    <t>Simraj Singh</t>
  </si>
  <si>
    <t>Pompa banerjee</t>
  </si>
  <si>
    <t>Gayari karmakar</t>
  </si>
  <si>
    <t>Ganga Mahato</t>
  </si>
  <si>
    <t>Usha Mandal</t>
  </si>
  <si>
    <t>Suchitra Mandal</t>
  </si>
  <si>
    <t>Neel Kamal Karmakar</t>
  </si>
  <si>
    <t>692254690525</t>
  </si>
  <si>
    <t>6200745641</t>
  </si>
  <si>
    <t>848224852921</t>
  </si>
  <si>
    <t>7667396287</t>
  </si>
  <si>
    <t>Ajay Choudhary</t>
  </si>
  <si>
    <t>7856938240</t>
  </si>
  <si>
    <t>Taniya Khatoon</t>
  </si>
  <si>
    <t>382549132559</t>
  </si>
  <si>
    <t>6206810491</t>
  </si>
  <si>
    <t xml:space="preserve">Sunil Kr Gupta </t>
  </si>
  <si>
    <t xml:space="preserve">Laxmi Mukhi </t>
  </si>
  <si>
    <t>743899123715</t>
  </si>
  <si>
    <t>8092879226</t>
  </si>
  <si>
    <t xml:space="preserve">Ritesh Tantubai </t>
  </si>
  <si>
    <t>308843988677</t>
  </si>
  <si>
    <t>987429598</t>
  </si>
  <si>
    <t>Haripada Sardar</t>
  </si>
  <si>
    <t>520347909159</t>
  </si>
  <si>
    <t>7209328193</t>
  </si>
  <si>
    <t>Sombari Munda</t>
  </si>
  <si>
    <t>212178309313</t>
  </si>
  <si>
    <t>9934921032</t>
  </si>
  <si>
    <t>Sudhir Gope</t>
  </si>
  <si>
    <t>705700010939</t>
  </si>
  <si>
    <t>9430368843</t>
  </si>
  <si>
    <t>Aditya Dutta</t>
  </si>
  <si>
    <t>9934768410</t>
  </si>
  <si>
    <t>Minu Devi</t>
  </si>
  <si>
    <t>614202494373</t>
  </si>
  <si>
    <t>6287749810</t>
  </si>
  <si>
    <t>Chunu Lohar</t>
  </si>
  <si>
    <t>719809434683</t>
  </si>
  <si>
    <t>6299651619</t>
  </si>
  <si>
    <t>Md Zishn Khan</t>
  </si>
  <si>
    <t>604844371026</t>
  </si>
  <si>
    <t>7779999572</t>
  </si>
  <si>
    <t>Rabi Gorai</t>
  </si>
  <si>
    <t>924120734316</t>
  </si>
  <si>
    <t>9693498476</t>
  </si>
  <si>
    <t>Bishwakarma Bhumij</t>
  </si>
  <si>
    <t>924006976148</t>
  </si>
  <si>
    <t>8340254035</t>
  </si>
  <si>
    <t>Arati Karmakar</t>
  </si>
  <si>
    <t>755743093100</t>
  </si>
  <si>
    <t>7543895185</t>
  </si>
  <si>
    <t>Anjum Singh</t>
  </si>
  <si>
    <t>615652452910</t>
  </si>
  <si>
    <t>Nisha Karmakar</t>
  </si>
  <si>
    <t>6204039748</t>
  </si>
  <si>
    <t xml:space="preserve"> 27-03-2021</t>
  </si>
  <si>
    <t xml:space="preserve">Shyampada </t>
  </si>
  <si>
    <t>928445723481</t>
  </si>
  <si>
    <t>Lila Chel</t>
  </si>
  <si>
    <t>615301411836</t>
  </si>
  <si>
    <t xml:space="preserve">Raghunath Sharma </t>
  </si>
  <si>
    <t>9117516522</t>
  </si>
  <si>
    <t>Shshila</t>
  </si>
  <si>
    <t>8235201453</t>
  </si>
  <si>
    <t>9801513788</t>
  </si>
  <si>
    <t>Subhashini Kaur</t>
  </si>
  <si>
    <t>Sunita Mukhi</t>
  </si>
  <si>
    <t>6201054032</t>
  </si>
  <si>
    <t>Punam Verma</t>
  </si>
  <si>
    <t>9931500514</t>
  </si>
  <si>
    <t>Madan Mahato</t>
  </si>
  <si>
    <t>8210359435</t>
  </si>
  <si>
    <t>Munna Dey</t>
  </si>
  <si>
    <t>Prasenjeet Sen</t>
  </si>
  <si>
    <t>8235947992</t>
  </si>
  <si>
    <t>403400082918</t>
  </si>
  <si>
    <t>Laxman Karmakar</t>
  </si>
  <si>
    <t>6287750373</t>
  </si>
  <si>
    <t>Lab Mardi</t>
  </si>
  <si>
    <t>423560237927</t>
  </si>
  <si>
    <t>9631681964</t>
  </si>
  <si>
    <t>Chandray Sardar</t>
  </si>
  <si>
    <t>590607055013</t>
  </si>
  <si>
    <t>8797974042</t>
  </si>
  <si>
    <t>Bhabfaran Khan</t>
  </si>
  <si>
    <t>870392464048</t>
  </si>
  <si>
    <t>9308383695</t>
  </si>
  <si>
    <t>D Suraj Kumar</t>
  </si>
  <si>
    <t>807955648303</t>
  </si>
  <si>
    <t>6205186357</t>
  </si>
  <si>
    <t xml:space="preserve">Shravani Bera </t>
  </si>
  <si>
    <t>570764110278</t>
  </si>
  <si>
    <t>693536456</t>
  </si>
  <si>
    <t>Astani Gorai</t>
  </si>
  <si>
    <t>316953250367</t>
  </si>
  <si>
    <t>7209418097</t>
  </si>
  <si>
    <t>Koyal Gorai</t>
  </si>
  <si>
    <t>8210811372</t>
  </si>
  <si>
    <t>Laxmi Rajak</t>
  </si>
  <si>
    <t>498088307519</t>
  </si>
  <si>
    <t>6204302709</t>
  </si>
  <si>
    <t>Jyoti Gorai</t>
  </si>
  <si>
    <t>548216641148</t>
  </si>
  <si>
    <t>Renu Hembram</t>
  </si>
  <si>
    <t>6203717079</t>
  </si>
  <si>
    <t>Hajra Begum</t>
  </si>
  <si>
    <t>763039901441</t>
  </si>
  <si>
    <t>Nazrin Begum</t>
  </si>
  <si>
    <t>436357599547</t>
  </si>
  <si>
    <t>7563917862</t>
  </si>
  <si>
    <t>Sonia  Sinha</t>
  </si>
  <si>
    <t>363011182015</t>
  </si>
  <si>
    <t>Kalabati Das</t>
  </si>
  <si>
    <t>336582741235</t>
  </si>
  <si>
    <t>Maisu Rahman</t>
  </si>
  <si>
    <t>450178083086</t>
  </si>
  <si>
    <t>8050255757</t>
  </si>
  <si>
    <t>Arindam  Chandra</t>
  </si>
  <si>
    <t>930756697927</t>
  </si>
  <si>
    <t>Rabita Tuhi</t>
  </si>
  <si>
    <t>619050394801</t>
  </si>
  <si>
    <t>Sanjay Gupta</t>
  </si>
  <si>
    <t>570120320658</t>
  </si>
  <si>
    <t>Davanti Devi</t>
  </si>
  <si>
    <t>261353939636</t>
  </si>
  <si>
    <t>7209237679</t>
  </si>
  <si>
    <t>Suraj Munda</t>
  </si>
  <si>
    <t>324716889979</t>
  </si>
  <si>
    <t>7903391084</t>
  </si>
  <si>
    <t>Bijay Singh</t>
  </si>
  <si>
    <t>219454920108</t>
  </si>
  <si>
    <t>7482901643</t>
  </si>
  <si>
    <t>Ritesh Mahato</t>
  </si>
  <si>
    <t>6202715369</t>
  </si>
  <si>
    <t>240978288481</t>
  </si>
  <si>
    <t>Sohan Ruhidas</t>
  </si>
  <si>
    <t>365264264498</t>
  </si>
  <si>
    <t>8092277716</t>
  </si>
  <si>
    <t>Prince Kumar</t>
  </si>
  <si>
    <t>560380774859</t>
  </si>
  <si>
    <t>Laxmi Ravidas</t>
  </si>
  <si>
    <t>769873348942</t>
  </si>
  <si>
    <t>7004752770</t>
  </si>
  <si>
    <t>Rubina Nazish</t>
  </si>
  <si>
    <t>751813936633</t>
  </si>
  <si>
    <t>9162567771</t>
  </si>
  <si>
    <t xml:space="preserve">Vijay Karwa </t>
  </si>
  <si>
    <t>614669748789</t>
  </si>
  <si>
    <t>8204116089</t>
  </si>
  <si>
    <t>Abhinav Srivastava</t>
  </si>
  <si>
    <t>620261459798</t>
  </si>
  <si>
    <t xml:space="preserve">Mohammad Mazamil </t>
  </si>
  <si>
    <t>428806977993</t>
  </si>
  <si>
    <t>7979026511</t>
  </si>
  <si>
    <t>Sima Mahato</t>
  </si>
  <si>
    <t>8521976635</t>
  </si>
  <si>
    <t>Afsana Perween</t>
  </si>
  <si>
    <t>929435610275</t>
  </si>
  <si>
    <t>9801608079</t>
  </si>
  <si>
    <t>Akamksha Sinha</t>
  </si>
  <si>
    <t>781184226496</t>
  </si>
  <si>
    <t>249228139960</t>
  </si>
  <si>
    <t>9204703536</t>
  </si>
  <si>
    <t>879978625634</t>
  </si>
  <si>
    <t>8797795705</t>
  </si>
  <si>
    <t>Kumkum Ravidas</t>
  </si>
  <si>
    <t>814216676462</t>
  </si>
  <si>
    <t>6206359557</t>
  </si>
  <si>
    <t>Shereen Akhtar</t>
  </si>
  <si>
    <t>285441445719</t>
  </si>
  <si>
    <t>8210165788</t>
  </si>
  <si>
    <t>Rina Sahis</t>
  </si>
  <si>
    <t>8092635350</t>
  </si>
  <si>
    <t>Kanhaiya Sahu</t>
  </si>
  <si>
    <t>337780894383</t>
  </si>
  <si>
    <t>666023342757</t>
  </si>
  <si>
    <t>Suresh Das</t>
  </si>
  <si>
    <t>621044379479</t>
  </si>
  <si>
    <t>9204668150</t>
  </si>
  <si>
    <t>Rahul Mandal</t>
  </si>
  <si>
    <t>976640409078</t>
  </si>
  <si>
    <t>9142640564</t>
  </si>
  <si>
    <t>Chinta Moni Devi</t>
  </si>
  <si>
    <t>391882044500</t>
  </si>
  <si>
    <t>6203388080</t>
  </si>
  <si>
    <t>Basnti Majumdar</t>
  </si>
  <si>
    <t>9204936533</t>
  </si>
  <si>
    <t>Asma Tabassum</t>
  </si>
  <si>
    <t>Chita  Mardi</t>
  </si>
  <si>
    <t>996667824591</t>
  </si>
  <si>
    <t>8797766601</t>
  </si>
  <si>
    <t>Nazrana Khatoon</t>
  </si>
  <si>
    <t>281618232707</t>
  </si>
  <si>
    <t>806246170750</t>
  </si>
  <si>
    <t>Reshm Ara</t>
  </si>
  <si>
    <t>672934138328</t>
  </si>
  <si>
    <t>Shab Ahmad Khan</t>
  </si>
  <si>
    <t>672984138328</t>
  </si>
  <si>
    <t>Umash Prasad</t>
  </si>
  <si>
    <t>897346671582</t>
  </si>
  <si>
    <t>6207347339</t>
  </si>
  <si>
    <t>Shabeen Bano</t>
  </si>
  <si>
    <t>617989433249</t>
  </si>
  <si>
    <t>Suku Mardi</t>
  </si>
  <si>
    <t>839668772173</t>
  </si>
  <si>
    <t>9142687456</t>
  </si>
  <si>
    <t>Nikhil Binay</t>
  </si>
  <si>
    <t>8863080153</t>
  </si>
  <si>
    <t>Tarani Mahato</t>
  </si>
  <si>
    <t>Veer Sandil</t>
  </si>
  <si>
    <t>9142617014</t>
  </si>
  <si>
    <t xml:space="preserve">Juhi Khanam </t>
  </si>
  <si>
    <t>6202304685</t>
  </si>
  <si>
    <t>Ajay Rantay</t>
  </si>
  <si>
    <t>9631500927</t>
  </si>
  <si>
    <t>Divya Kumari</t>
  </si>
  <si>
    <t>8434665190</t>
  </si>
  <si>
    <t>Sk Sufyan Hussain</t>
  </si>
  <si>
    <t>834064363</t>
  </si>
  <si>
    <t>Nandlal Gorai</t>
  </si>
  <si>
    <t>6209656635</t>
  </si>
  <si>
    <t>Rounak Naag</t>
  </si>
  <si>
    <t>9661504263</t>
  </si>
  <si>
    <t>Nikhil Kumar Soni</t>
  </si>
  <si>
    <t>636085099343</t>
  </si>
  <si>
    <t>9097021528</t>
  </si>
  <si>
    <t>Riya Kumari</t>
  </si>
  <si>
    <t>8235234241</t>
  </si>
  <si>
    <t>Bheem Panday</t>
  </si>
  <si>
    <t>293048359760</t>
  </si>
  <si>
    <t>Shobha  Karmakar</t>
  </si>
  <si>
    <t>6203366288</t>
  </si>
  <si>
    <t>Prity Sinha</t>
  </si>
  <si>
    <t>954919611489</t>
  </si>
  <si>
    <t>8709605789</t>
  </si>
  <si>
    <t>Ritik Kumar</t>
  </si>
  <si>
    <t>360789758176</t>
  </si>
  <si>
    <t>9234719976</t>
  </si>
  <si>
    <t>Harsh Vardan</t>
  </si>
  <si>
    <t>762430920508</t>
  </si>
  <si>
    <t>9199853347</t>
  </si>
  <si>
    <t>Roshan Kumar</t>
  </si>
  <si>
    <t>470314942517</t>
  </si>
  <si>
    <t>9031925401</t>
  </si>
  <si>
    <t>7209320530</t>
  </si>
  <si>
    <t>Laxmi Gagrai</t>
  </si>
  <si>
    <t>761482334032</t>
  </si>
  <si>
    <t>7762858166</t>
  </si>
  <si>
    <t>Sujit Mardi</t>
  </si>
  <si>
    <t>685978364609</t>
  </si>
  <si>
    <t>9031821116</t>
  </si>
  <si>
    <t>Bhavya Kumari</t>
  </si>
  <si>
    <t>499747224180</t>
  </si>
  <si>
    <t>9334416638</t>
  </si>
  <si>
    <t>406977726610</t>
  </si>
  <si>
    <t>7004848414</t>
  </si>
  <si>
    <t>545490525975</t>
  </si>
  <si>
    <t>9608783507</t>
  </si>
  <si>
    <t>Zeenat Perween</t>
  </si>
  <si>
    <t>941456388789</t>
  </si>
  <si>
    <t>9934860701</t>
  </si>
  <si>
    <t>929287168441</t>
  </si>
  <si>
    <t>9199293212</t>
  </si>
  <si>
    <t>Krishna Rani Sahu</t>
  </si>
  <si>
    <t>629511677654</t>
  </si>
  <si>
    <t>9279997369</t>
  </si>
  <si>
    <t>Parbati Khan</t>
  </si>
  <si>
    <t>440167858776</t>
  </si>
  <si>
    <t>9693375076</t>
  </si>
  <si>
    <t>Bhashwati Sahu</t>
  </si>
  <si>
    <t>396508728443</t>
  </si>
  <si>
    <t>9031505612</t>
  </si>
  <si>
    <t>Namita Ghosh</t>
  </si>
  <si>
    <t>262066205351</t>
  </si>
  <si>
    <t>9835997971</t>
  </si>
  <si>
    <t>Mangal Machchawa</t>
  </si>
  <si>
    <t>264970773314</t>
  </si>
  <si>
    <t>8825214668</t>
  </si>
  <si>
    <t>Anita Gorai</t>
  </si>
  <si>
    <t>243021157915</t>
  </si>
  <si>
    <t>8084688013</t>
  </si>
  <si>
    <t>Karishna Kumar Singh</t>
  </si>
  <si>
    <t>249782593420</t>
  </si>
  <si>
    <t>7488723684</t>
  </si>
  <si>
    <t>Riyu Giri</t>
  </si>
  <si>
    <t>592077606992</t>
  </si>
  <si>
    <t>9061274078</t>
  </si>
  <si>
    <t>Manoj Sahu</t>
  </si>
  <si>
    <t>861114682356</t>
  </si>
  <si>
    <t>8603102217</t>
  </si>
  <si>
    <t>Gita Sinha</t>
  </si>
  <si>
    <t>357217334769</t>
  </si>
  <si>
    <t>Debdali Sahu</t>
  </si>
  <si>
    <t>9931466642</t>
  </si>
  <si>
    <t>9162961347</t>
  </si>
  <si>
    <t>Geeta Sahu</t>
  </si>
  <si>
    <t>8789682635</t>
  </si>
  <si>
    <t>Munnum Sahu</t>
  </si>
  <si>
    <t>435780105513</t>
  </si>
  <si>
    <t>8797210630</t>
  </si>
  <si>
    <t>Urmila Garai</t>
  </si>
  <si>
    <t>693386484399</t>
  </si>
  <si>
    <t>6200073337</t>
  </si>
  <si>
    <t>Dimpla Mukhi</t>
  </si>
  <si>
    <t>260805961641</t>
  </si>
  <si>
    <t>6204995826</t>
  </si>
  <si>
    <t>Chintapali Deepika</t>
  </si>
  <si>
    <t>414623607239</t>
  </si>
  <si>
    <t>9204879622</t>
  </si>
  <si>
    <t>Kala Nayak</t>
  </si>
  <si>
    <t>326416999127</t>
  </si>
  <si>
    <t>9430113329</t>
  </si>
  <si>
    <t>Shomya Singh</t>
  </si>
  <si>
    <t>568548116870</t>
  </si>
  <si>
    <t>8603865392</t>
  </si>
  <si>
    <t>Diyam Singh</t>
  </si>
  <si>
    <t>306291876766</t>
  </si>
  <si>
    <t>Sabitri Singh</t>
  </si>
  <si>
    <t>759188380800</t>
  </si>
  <si>
    <t>6204417471</t>
  </si>
  <si>
    <t>Rama Shankar Sharma</t>
  </si>
  <si>
    <t>471586229542</t>
  </si>
  <si>
    <t>9209091621</t>
  </si>
  <si>
    <t>Puja Ravidas</t>
  </si>
  <si>
    <t>7808181704</t>
  </si>
  <si>
    <t>779347789057</t>
  </si>
  <si>
    <t>03.-01-2022</t>
  </si>
  <si>
    <t>Malti Das</t>
  </si>
  <si>
    <t>855085090145</t>
  </si>
  <si>
    <t>9508977896</t>
  </si>
  <si>
    <t>Sushma Bera</t>
  </si>
  <si>
    <t>900437759382</t>
  </si>
  <si>
    <t>8002834011</t>
  </si>
  <si>
    <t>Shiv Shankar Sahu</t>
  </si>
  <si>
    <t>409185682776</t>
  </si>
  <si>
    <t>7209366181</t>
  </si>
  <si>
    <t>Suresh Tudu</t>
  </si>
  <si>
    <t>204670827523</t>
  </si>
  <si>
    <t>6206759727</t>
  </si>
  <si>
    <t>Sonali Sinha</t>
  </si>
  <si>
    <t>915644266829</t>
  </si>
  <si>
    <t>9905310732</t>
  </si>
  <si>
    <t>Sushila Das</t>
  </si>
  <si>
    <t>313597998734</t>
  </si>
  <si>
    <t>Mehrun Nish</t>
  </si>
  <si>
    <t>870743574669</t>
  </si>
  <si>
    <t>Saraswati  Devi</t>
  </si>
  <si>
    <t>752010130106</t>
  </si>
  <si>
    <t>8797831300</t>
  </si>
  <si>
    <t>Dipak Kumar Tiwary</t>
  </si>
  <si>
    <t>211900874456</t>
  </si>
  <si>
    <t>9798401288</t>
  </si>
  <si>
    <t>Samima Bano</t>
  </si>
  <si>
    <t>648353244443</t>
  </si>
  <si>
    <t>8797471898</t>
  </si>
  <si>
    <t>Anand Kumar Verma</t>
  </si>
  <si>
    <t>841448277413</t>
  </si>
  <si>
    <t>638614206</t>
  </si>
  <si>
    <t>Sonu Kumar</t>
  </si>
  <si>
    <t>8873500292</t>
  </si>
  <si>
    <t>586703201205</t>
  </si>
  <si>
    <t>8210789697</t>
  </si>
  <si>
    <t>Mangal Lohar</t>
  </si>
  <si>
    <t>779070912908</t>
  </si>
  <si>
    <t>9973050543</t>
  </si>
  <si>
    <t>Md Sammer</t>
  </si>
  <si>
    <t>481976304734</t>
  </si>
  <si>
    <t>9341357659</t>
  </si>
  <si>
    <t>Ashish Kumar Shukla</t>
  </si>
  <si>
    <t>908912125183</t>
  </si>
  <si>
    <t>7482895662</t>
  </si>
  <si>
    <t>Khursida Khanam</t>
  </si>
  <si>
    <t>422915637807</t>
  </si>
  <si>
    <t>9931110369</t>
  </si>
  <si>
    <t>Gracy John Dcruze</t>
  </si>
  <si>
    <t>880095589760</t>
  </si>
  <si>
    <t>6206420493</t>
  </si>
  <si>
    <t>Abdul Hasib</t>
  </si>
  <si>
    <t>407256875205</t>
  </si>
  <si>
    <t>8603717388</t>
  </si>
  <si>
    <t>Antu Kumar</t>
  </si>
  <si>
    <t>605967685548</t>
  </si>
  <si>
    <t>8207352736</t>
  </si>
  <si>
    <t>Jhuma Ghosh</t>
  </si>
  <si>
    <t>Krishna Das</t>
  </si>
  <si>
    <t>458488844906</t>
  </si>
  <si>
    <t>6206534553</t>
  </si>
  <si>
    <t>Sangita Kumari</t>
  </si>
  <si>
    <t>376725573144</t>
  </si>
  <si>
    <t>7782852522</t>
  </si>
  <si>
    <t>M  Priya Raju</t>
  </si>
  <si>
    <t>407727770897</t>
  </si>
  <si>
    <t>6204543818</t>
  </si>
  <si>
    <t>Suraj Gorai</t>
  </si>
  <si>
    <t>996462337647</t>
  </si>
  <si>
    <t>8235430823</t>
  </si>
  <si>
    <t>Nasima Khatoon</t>
  </si>
  <si>
    <t>Raju Mahato</t>
  </si>
  <si>
    <t>933574454603</t>
  </si>
  <si>
    <t>6207364363</t>
  </si>
  <si>
    <t>Ranju Mahato</t>
  </si>
  <si>
    <t>591274612077</t>
  </si>
  <si>
    <t>9262511827</t>
  </si>
  <si>
    <t>Anjali Sarkar</t>
  </si>
  <si>
    <t>446797324710</t>
  </si>
  <si>
    <t>8235520741</t>
  </si>
  <si>
    <t>Champa Devi</t>
  </si>
  <si>
    <t>908791070259</t>
  </si>
  <si>
    <t>8674893988</t>
  </si>
  <si>
    <t>Nidhi Kumari</t>
  </si>
  <si>
    <t>7295016231</t>
  </si>
  <si>
    <t>Sahil Lohar</t>
  </si>
  <si>
    <t>9304431703</t>
  </si>
  <si>
    <t>Ankita Shree</t>
  </si>
  <si>
    <t>9534138257</t>
  </si>
  <si>
    <t>Balbinder Prasad Verma</t>
  </si>
  <si>
    <t>8092635915</t>
  </si>
  <si>
    <t>Madhu Kumari</t>
  </si>
  <si>
    <t>815172832780</t>
  </si>
  <si>
    <t>9263801745</t>
  </si>
  <si>
    <t>Viswanth Gope</t>
  </si>
  <si>
    <t>585545224488</t>
  </si>
  <si>
    <t>8797750025</t>
  </si>
  <si>
    <t>Vinay Ranjan Sarswati</t>
  </si>
  <si>
    <t>Sharda Devi</t>
  </si>
  <si>
    <t>229334892079</t>
  </si>
  <si>
    <t>9102141974</t>
  </si>
  <si>
    <t>Priyanka Kumari Singh</t>
  </si>
  <si>
    <t>373027750568</t>
  </si>
  <si>
    <t>9835636683</t>
  </si>
  <si>
    <t>Bulbul Adhikari</t>
  </si>
  <si>
    <t>223888348940</t>
  </si>
  <si>
    <t>8240116092</t>
  </si>
  <si>
    <t>Bijeta Kumari</t>
  </si>
  <si>
    <t>757201019297</t>
  </si>
  <si>
    <t>9199785912</t>
  </si>
  <si>
    <t>Dhiren Das</t>
  </si>
  <si>
    <t>438208524613</t>
  </si>
  <si>
    <t>8294412011</t>
  </si>
  <si>
    <t>Hena Naaz</t>
  </si>
  <si>
    <t>542246629936</t>
  </si>
  <si>
    <t>Momani Das</t>
  </si>
  <si>
    <t>8340171127</t>
  </si>
  <si>
    <t>Ayan Ali</t>
  </si>
  <si>
    <t>759474219396</t>
  </si>
  <si>
    <t>8797023758</t>
  </si>
  <si>
    <t>Md Farhaan Ali</t>
  </si>
  <si>
    <t>249912727146</t>
  </si>
  <si>
    <t>Roshan Mukhi</t>
  </si>
  <si>
    <t>312804739677</t>
  </si>
  <si>
    <t xml:space="preserve"> Shashank Pathk</t>
  </si>
  <si>
    <t>4872</t>
  </si>
  <si>
    <t>4875</t>
  </si>
  <si>
    <t>4877</t>
  </si>
  <si>
    <t>Aayush Sharma</t>
  </si>
  <si>
    <t>Jabarani Gorai</t>
  </si>
  <si>
    <t>Devanti Devi</t>
  </si>
  <si>
    <t>306222004872</t>
  </si>
  <si>
    <t>7209587049</t>
  </si>
  <si>
    <t>983849879746</t>
  </si>
  <si>
    <t>9939292520</t>
  </si>
  <si>
    <t>950585519484</t>
  </si>
  <si>
    <t>8757852550</t>
  </si>
  <si>
    <t>Bank</t>
  </si>
  <si>
    <t>in</t>
  </si>
  <si>
    <t>PNB</t>
  </si>
  <si>
    <t>Ajit Nayak</t>
  </si>
  <si>
    <t>thru</t>
  </si>
  <si>
    <t>4879</t>
  </si>
  <si>
    <t>4880</t>
  </si>
  <si>
    <t>Shreya Srivastava</t>
  </si>
  <si>
    <t>Riya Srivastva</t>
  </si>
  <si>
    <t>4883</t>
  </si>
  <si>
    <t>4884</t>
  </si>
  <si>
    <t>4885</t>
  </si>
  <si>
    <t>Anupama Pathak</t>
  </si>
  <si>
    <t>Monika Sahu</t>
  </si>
  <si>
    <t>Rohan Lohar</t>
  </si>
  <si>
    <t>9123435076</t>
  </si>
  <si>
    <t>6206925891</t>
  </si>
  <si>
    <t>8709346998</t>
  </si>
  <si>
    <t>207628456910</t>
  </si>
  <si>
    <t>590488350571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</si>
</sst>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&quot;BH&quot;#"/>
  </numFmts>
  <fonts count="4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color rgb="FF333333"/>
      <name val="Arial"/>
      <family val="2"/>
    </font>
    <font>
      <b/>
      <sz val="7"/>
      <color rgb="FF000080"/>
      <name val="Verdana"/>
      <family val="2"/>
    </font>
    <font>
      <b/>
      <sz val="7"/>
      <color rgb="FF800000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7"/>
      <color theme="1"/>
      <name val="Verdana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b/>
      <sz val="9"/>
      <color rgb="FF000080"/>
      <name val="Verdana"/>
      <family val="2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Arial"/>
      <family val="2"/>
    </font>
    <font>
      <b/>
      <sz val="7"/>
      <color rgb="FFFF0000"/>
      <name val="Verdana"/>
      <family val="2"/>
    </font>
    <font>
      <sz val="11"/>
      <color rgb="FF00B0F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C00000"/>
      <name val="Calibri"/>
      <family val="2"/>
      <scheme val="minor"/>
    </font>
    <font>
      <b/>
      <sz val="12"/>
      <color rgb="FF00B050"/>
      <name val="Verdana"/>
      <family val="2"/>
    </font>
    <font>
      <b/>
      <sz val="12"/>
      <color rgb="FF00B050"/>
      <name val="Calibri"/>
      <family val="2"/>
      <scheme val="minor"/>
    </font>
    <font>
      <b/>
      <sz val="7"/>
      <color rgb="FF00B050"/>
      <name val="Verdana"/>
      <family val="2"/>
    </font>
    <font>
      <sz val="11"/>
      <color rgb="FF00B050"/>
      <name val="Calibri"/>
      <family val="2"/>
      <scheme val="minor"/>
    </font>
    <font>
      <sz val="11"/>
      <color rgb="FF00B050"/>
      <name val="Arial"/>
      <family val="2"/>
    </font>
    <font>
      <sz val="11"/>
      <color theme="1"/>
      <name val="Arial"/>
      <family val="2"/>
    </font>
    <font>
      <b/>
      <sz val="11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/>
    <xf numFmtId="14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/>
    <xf numFmtId="0" fontId="0" fillId="0" borderId="0" xfId="0" applyFont="1"/>
    <xf numFmtId="1" fontId="1" fillId="3" borderId="0" xfId="0" applyNumberFormat="1" applyFont="1" applyFill="1" applyAlignment="1">
      <alignment horizontal="right"/>
    </xf>
    <xf numFmtId="16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Fon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5" fillId="0" borderId="0" xfId="0" applyFont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2" fontId="6" fillId="3" borderId="0" xfId="0" applyNumberFormat="1" applyFont="1" applyFill="1"/>
    <xf numFmtId="0" fontId="8" fillId="0" borderId="0" xfId="0" applyFont="1"/>
    <xf numFmtId="14" fontId="0" fillId="0" borderId="0" xfId="0" applyNumberFormat="1"/>
    <xf numFmtId="0" fontId="10" fillId="0" borderId="0" xfId="1"/>
    <xf numFmtId="165" fontId="0" fillId="0" borderId="0" xfId="0" applyNumberFormat="1"/>
    <xf numFmtId="49" fontId="0" fillId="0" borderId="0" xfId="0" applyNumberFormat="1" applyAlignment="1">
      <alignment horizontal="right"/>
    </xf>
    <xf numFmtId="0" fontId="11" fillId="0" borderId="0" xfId="0" applyFont="1"/>
    <xf numFmtId="0" fontId="1" fillId="5" borderId="0" xfId="0" applyFont="1" applyFill="1"/>
    <xf numFmtId="0" fontId="0" fillId="7" borderId="0" xfId="0" applyFill="1"/>
    <xf numFmtId="0" fontId="0" fillId="4" borderId="0" xfId="0" applyFont="1" applyFill="1"/>
    <xf numFmtId="0" fontId="8" fillId="0" borderId="0" xfId="0" applyFont="1" applyAlignment="1">
      <alignment horizontal="center"/>
    </xf>
    <xf numFmtId="0" fontId="0" fillId="4" borderId="0" xfId="0" applyFill="1"/>
    <xf numFmtId="0" fontId="1" fillId="4" borderId="0" xfId="0" applyFont="1" applyFill="1"/>
    <xf numFmtId="0" fontId="2" fillId="4" borderId="0" xfId="0" applyFont="1" applyFill="1"/>
    <xf numFmtId="14" fontId="0" fillId="4" borderId="0" xfId="0" applyNumberFormat="1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right"/>
    </xf>
    <xf numFmtId="0" fontId="2" fillId="8" borderId="0" xfId="0" applyFont="1" applyFill="1"/>
    <xf numFmtId="0" fontId="0" fillId="8" borderId="0" xfId="0" applyFont="1" applyFill="1"/>
    <xf numFmtId="0" fontId="1" fillId="8" borderId="0" xfId="0" applyFont="1" applyFill="1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0" fillId="2" borderId="0" xfId="0" applyNumberFormat="1" applyFill="1"/>
    <xf numFmtId="49" fontId="1" fillId="3" borderId="0" xfId="0" applyNumberFormat="1" applyFont="1" applyFill="1" applyAlignment="1">
      <alignment horizontal="right"/>
    </xf>
    <xf numFmtId="49" fontId="0" fillId="3" borderId="0" xfId="0" applyNumberFormat="1" applyFill="1"/>
    <xf numFmtId="49" fontId="8" fillId="0" borderId="0" xfId="0" applyNumberFormat="1" applyFont="1"/>
    <xf numFmtId="49" fontId="6" fillId="3" borderId="0" xfId="0" applyNumberFormat="1" applyFont="1" applyFill="1"/>
    <xf numFmtId="0" fontId="12" fillId="0" borderId="0" xfId="0" applyFont="1"/>
    <xf numFmtId="0" fontId="0" fillId="0" borderId="0" xfId="0" applyFill="1"/>
    <xf numFmtId="165" fontId="0" fillId="0" borderId="0" xfId="0" applyNumberFormat="1" applyAlignment="1">
      <alignment horizontal="right"/>
    </xf>
    <xf numFmtId="0" fontId="0" fillId="9" borderId="0" xfId="0" applyFill="1"/>
    <xf numFmtId="0" fontId="14" fillId="0" borderId="0" xfId="0" applyFont="1"/>
    <xf numFmtId="0" fontId="0" fillId="0" borderId="0" xfId="0" applyFill="1" applyAlignment="1">
      <alignment horizontal="right"/>
    </xf>
    <xf numFmtId="0" fontId="6" fillId="0" borderId="0" xfId="0" applyFont="1"/>
    <xf numFmtId="17" fontId="0" fillId="0" borderId="0" xfId="0" applyNumberFormat="1"/>
    <xf numFmtId="0" fontId="13" fillId="0" borderId="0" xfId="0" applyFont="1"/>
    <xf numFmtId="165" fontId="16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6" fillId="4" borderId="0" xfId="0" applyFont="1" applyFill="1"/>
    <xf numFmtId="14" fontId="6" fillId="0" borderId="0" xfId="0" applyNumberFormat="1" applyFont="1" applyAlignment="1">
      <alignment horizontal="center"/>
    </xf>
    <xf numFmtId="165" fontId="6" fillId="0" borderId="0" xfId="0" applyNumberFormat="1" applyFont="1"/>
    <xf numFmtId="49" fontId="6" fillId="0" borderId="0" xfId="0" applyNumberFormat="1" applyFont="1" applyAlignment="1">
      <alignment horizontal="right"/>
    </xf>
    <xf numFmtId="0" fontId="19" fillId="0" borderId="0" xfId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/>
    <xf numFmtId="14" fontId="15" fillId="0" borderId="0" xfId="0" applyNumberFormat="1" applyFont="1" applyAlignment="1">
      <alignment horizontal="center"/>
    </xf>
    <xf numFmtId="165" fontId="15" fillId="0" borderId="0" xfId="0" applyNumberFormat="1" applyFont="1"/>
    <xf numFmtId="49" fontId="15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center"/>
    </xf>
    <xf numFmtId="0" fontId="20" fillId="0" borderId="0" xfId="0" applyFont="1"/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22" fillId="0" borderId="0" xfId="0" applyFont="1"/>
    <xf numFmtId="14" fontId="22" fillId="0" borderId="0" xfId="0" applyNumberFormat="1" applyFont="1" applyAlignment="1">
      <alignment horizontal="center"/>
    </xf>
    <xf numFmtId="14" fontId="22" fillId="0" borderId="0" xfId="0" applyNumberFormat="1" applyFont="1"/>
    <xf numFmtId="0" fontId="22" fillId="0" borderId="0" xfId="0" applyFont="1" applyAlignment="1">
      <alignment horizontal="left"/>
    </xf>
    <xf numFmtId="165" fontId="22" fillId="0" borderId="0" xfId="0" applyNumberFormat="1" applyFont="1"/>
    <xf numFmtId="49" fontId="22" fillId="0" borderId="0" xfId="0" applyNumberFormat="1" applyFont="1" applyAlignment="1">
      <alignment horizontal="right"/>
    </xf>
    <xf numFmtId="0" fontId="15" fillId="0" borderId="0" xfId="0" applyFont="1" applyFill="1"/>
    <xf numFmtId="0" fontId="6" fillId="10" borderId="0" xfId="0" applyFont="1" applyFill="1"/>
    <xf numFmtId="14" fontId="6" fillId="10" borderId="0" xfId="0" applyNumberFormat="1" applyFont="1" applyFill="1" applyAlignment="1">
      <alignment horizontal="center"/>
    </xf>
    <xf numFmtId="165" fontId="6" fillId="10" borderId="0" xfId="0" applyNumberFormat="1" applyFont="1" applyFill="1"/>
    <xf numFmtId="49" fontId="6" fillId="10" borderId="0" xfId="0" applyNumberFormat="1" applyFont="1" applyFill="1" applyAlignment="1">
      <alignment horizontal="right"/>
    </xf>
    <xf numFmtId="0" fontId="15" fillId="10" borderId="0" xfId="0" applyFont="1" applyFill="1"/>
    <xf numFmtId="14" fontId="15" fillId="10" borderId="0" xfId="0" applyNumberFormat="1" applyFont="1" applyFill="1" applyAlignment="1">
      <alignment horizontal="center"/>
    </xf>
    <xf numFmtId="165" fontId="15" fillId="10" borderId="0" xfId="0" applyNumberFormat="1" applyFont="1" applyFill="1"/>
    <xf numFmtId="49" fontId="15" fillId="10" borderId="0" xfId="0" applyNumberFormat="1" applyFont="1" applyFill="1" applyAlignment="1">
      <alignment horizontal="right"/>
    </xf>
    <xf numFmtId="14" fontId="15" fillId="10" borderId="0" xfId="0" applyNumberFormat="1" applyFont="1" applyFill="1"/>
    <xf numFmtId="14" fontId="6" fillId="10" borderId="0" xfId="0" applyNumberFormat="1" applyFont="1" applyFill="1"/>
    <xf numFmtId="0" fontId="6" fillId="10" borderId="0" xfId="0" applyFont="1" applyFill="1" applyAlignment="1">
      <alignment horizontal="left"/>
    </xf>
    <xf numFmtId="0" fontId="21" fillId="11" borderId="0" xfId="0" applyFont="1" applyFill="1"/>
    <xf numFmtId="0" fontId="21" fillId="11" borderId="0" xfId="0" applyFont="1" applyFill="1" applyAlignment="1">
      <alignment horizontal="center"/>
    </xf>
    <xf numFmtId="0" fontId="23" fillId="11" borderId="0" xfId="1" applyFont="1" applyFill="1"/>
    <xf numFmtId="165" fontId="21" fillId="11" borderId="0" xfId="0" applyNumberFormat="1" applyFont="1" applyFill="1"/>
    <xf numFmtId="49" fontId="21" fillId="11" borderId="0" xfId="0" applyNumberFormat="1" applyFont="1" applyFill="1" applyAlignment="1">
      <alignment horizontal="right"/>
    </xf>
    <xf numFmtId="49" fontId="18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" fillId="0" borderId="0" xfId="0" applyFont="1" applyFill="1"/>
    <xf numFmtId="0" fontId="2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49" fontId="17" fillId="0" borderId="0" xfId="0" applyNumberFormat="1" applyFont="1" applyFill="1" applyAlignment="1">
      <alignment horizontal="right"/>
    </xf>
    <xf numFmtId="49" fontId="17" fillId="0" borderId="0" xfId="0" applyNumberFormat="1" applyFont="1" applyAlignment="1">
      <alignment horizontal="right"/>
    </xf>
    <xf numFmtId="49" fontId="6" fillId="3" borderId="0" xfId="0" applyNumberFormat="1" applyFont="1" applyFill="1" applyAlignment="1">
      <alignment horizontal="right"/>
    </xf>
    <xf numFmtId="0" fontId="27" fillId="0" borderId="0" xfId="0" applyFont="1"/>
    <xf numFmtId="0" fontId="6" fillId="0" borderId="0" xfId="0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28" fillId="0" borderId="0" xfId="0" applyNumberFormat="1" applyFont="1" applyAlignment="1">
      <alignment horizontal="center"/>
    </xf>
    <xf numFmtId="165" fontId="17" fillId="0" borderId="0" xfId="0" applyNumberFormat="1" applyFont="1" applyFill="1" applyAlignment="1">
      <alignment horizontal="right"/>
    </xf>
    <xf numFmtId="165" fontId="17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0" fontId="24" fillId="12" borderId="0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4" fontId="1" fillId="0" borderId="0" xfId="0" applyNumberFormat="1" applyFont="1"/>
    <xf numFmtId="14" fontId="29" fillId="0" borderId="0" xfId="0" applyNumberFormat="1" applyFont="1" applyAlignment="1">
      <alignment horizontal="center"/>
    </xf>
    <xf numFmtId="0" fontId="30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0" fontId="31" fillId="0" borderId="0" xfId="0" applyFont="1" applyAlignment="1">
      <alignment horizontal="right"/>
    </xf>
    <xf numFmtId="0" fontId="31" fillId="0" borderId="0" xfId="0" applyFont="1"/>
    <xf numFmtId="0" fontId="1" fillId="0" borderId="0" xfId="0" applyFont="1" applyAlignment="1">
      <alignment horizontal="right"/>
    </xf>
    <xf numFmtId="14" fontId="32" fillId="0" borderId="0" xfId="0" applyNumberFormat="1" applyFont="1"/>
    <xf numFmtId="0" fontId="1" fillId="7" borderId="0" xfId="0" applyFont="1" applyFill="1"/>
    <xf numFmtId="0" fontId="6" fillId="3" borderId="0" xfId="0" applyNumberFormat="1" applyFont="1" applyFill="1"/>
    <xf numFmtId="0" fontId="6" fillId="3" borderId="0" xfId="0" applyNumberFormat="1" applyFont="1" applyFill="1" applyAlignment="1">
      <alignment horizontal="right"/>
    </xf>
    <xf numFmtId="0" fontId="6" fillId="3" borderId="0" xfId="0" applyNumberFormat="1" applyFont="1" applyFill="1" applyAlignment="1">
      <alignment horizontal="center"/>
    </xf>
    <xf numFmtId="0" fontId="1" fillId="0" borderId="0" xfId="0" applyFont="1" applyBorder="1"/>
    <xf numFmtId="0" fontId="33" fillId="0" borderId="0" xfId="0" applyFont="1"/>
    <xf numFmtId="0" fontId="0" fillId="0" borderId="0" xfId="0" applyNumberFormat="1"/>
    <xf numFmtId="165" fontId="14" fillId="0" borderId="0" xfId="0" applyNumberFormat="1" applyFont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0" fontId="36" fillId="0" borderId="0" xfId="0" applyFont="1"/>
    <xf numFmtId="1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left"/>
    </xf>
    <xf numFmtId="49" fontId="3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34" fillId="0" borderId="3" xfId="0" applyFont="1" applyBorder="1" applyProtection="1">
      <protection locked="0"/>
    </xf>
    <xf numFmtId="0" fontId="15" fillId="0" borderId="0" xfId="0" applyFont="1" applyAlignment="1">
      <alignment horizontal="right"/>
    </xf>
    <xf numFmtId="0" fontId="37" fillId="0" borderId="0" xfId="0" applyFont="1"/>
    <xf numFmtId="0" fontId="38" fillId="0" borderId="0" xfId="0" applyFont="1"/>
    <xf numFmtId="14" fontId="38" fillId="0" borderId="0" xfId="0" applyNumberFormat="1" applyFont="1" applyAlignment="1">
      <alignment horizontal="center"/>
    </xf>
    <xf numFmtId="165" fontId="38" fillId="0" borderId="0" xfId="0" applyNumberFormat="1" applyFont="1"/>
    <xf numFmtId="49" fontId="38" fillId="0" borderId="0" xfId="0" applyNumberFormat="1" applyFont="1" applyAlignment="1">
      <alignment horizontal="right"/>
    </xf>
    <xf numFmtId="0" fontId="39" fillId="0" borderId="0" xfId="0" applyFont="1"/>
    <xf numFmtId="0" fontId="40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right"/>
    </xf>
    <xf numFmtId="0" fontId="41" fillId="12" borderId="0" xfId="0" applyFont="1" applyFill="1" applyBorder="1" applyAlignment="1">
      <alignment horizontal="left" vertical="center" wrapText="1"/>
    </xf>
    <xf numFmtId="0" fontId="41" fillId="0" borderId="0" xfId="0" applyFont="1"/>
    <xf numFmtId="0" fontId="15" fillId="0" borderId="0" xfId="0" applyFont="1" applyBorder="1"/>
    <xf numFmtId="0" fontId="0" fillId="0" borderId="0" xfId="0" applyAlignment="1">
      <alignment horizontal="center"/>
    </xf>
    <xf numFmtId="0" fontId="3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4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/>
    <xf numFmtId="49" fontId="0" fillId="0" borderId="0" xfId="0" applyNumberFormat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0" fillId="0" borderId="0" xfId="0" applyNumberFormat="1" applyFill="1"/>
    <xf numFmtId="165" fontId="14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ont="1" applyFill="1" applyBorder="1"/>
    <xf numFmtId="17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4" fillId="4" borderId="0" xfId="0" applyFont="1" applyFill="1" applyAlignment="1">
      <alignment horizontal="left"/>
    </xf>
    <xf numFmtId="17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9" fontId="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0" xfId="0" applyFont="1" applyBorder="1"/>
    <xf numFmtId="0" fontId="26" fillId="0" borderId="0" xfId="0" applyFont="1" applyBorder="1"/>
    <xf numFmtId="49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14" fillId="0" borderId="0" xfId="0" applyNumberFormat="1" applyFont="1" applyBorder="1" applyAlignment="1">
      <alignment horizontal="left"/>
    </xf>
    <xf numFmtId="2" fontId="26" fillId="0" borderId="0" xfId="0" applyNumberFormat="1" applyFont="1" applyBorder="1" applyAlignment="1">
      <alignment horizontal="left"/>
    </xf>
    <xf numFmtId="14" fontId="26" fillId="0" borderId="0" xfId="0" applyNumberFormat="1" applyFont="1" applyBorder="1" applyAlignment="1">
      <alignment horizontal="center"/>
    </xf>
    <xf numFmtId="2" fontId="14" fillId="4" borderId="0" xfId="0" applyNumberFormat="1" applyFont="1" applyFill="1" applyBorder="1" applyAlignment="1">
      <alignment horizontal="left"/>
    </xf>
    <xf numFmtId="2" fontId="26" fillId="4" borderId="0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2" fontId="14" fillId="0" borderId="0" xfId="0" applyNumberFormat="1" applyFont="1" applyBorder="1"/>
    <xf numFmtId="2" fontId="26" fillId="0" borderId="0" xfId="0" applyNumberFormat="1" applyFont="1" applyBorder="1"/>
    <xf numFmtId="2" fontId="15" fillId="0" borderId="0" xfId="0" applyNumberFormat="1" applyFont="1" applyBorder="1" applyAlignment="1">
      <alignment horizontal="left"/>
    </xf>
    <xf numFmtId="14" fontId="26" fillId="0" borderId="0" xfId="0" applyNumberFormat="1" applyFont="1" applyBorder="1"/>
    <xf numFmtId="0" fontId="17" fillId="0" borderId="0" xfId="0" applyFont="1" applyBorder="1" applyAlignment="1">
      <alignment horizontal="center"/>
    </xf>
    <xf numFmtId="49" fontId="26" fillId="0" borderId="0" xfId="0" applyNumberFormat="1" applyFont="1" applyBorder="1" applyAlignment="1">
      <alignment horizontal="center"/>
    </xf>
    <xf numFmtId="0" fontId="4" fillId="13" borderId="0" xfId="0" applyFont="1" applyFill="1" applyBorder="1" applyAlignment="1">
      <alignment horizontal="center"/>
    </xf>
    <xf numFmtId="14" fontId="0" fillId="0" borderId="0" xfId="0" applyNumberFormat="1" applyBorder="1"/>
    <xf numFmtId="0" fontId="0" fillId="0" borderId="0" xfId="0" applyFill="1" applyBorder="1" applyAlignment="1">
      <alignment horizontal="center"/>
    </xf>
    <xf numFmtId="0" fontId="14" fillId="0" borderId="0" xfId="0" applyFont="1" applyFill="1" applyBorder="1"/>
    <xf numFmtId="49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color rgb="FFC00000"/>
      </font>
      <fill>
        <patternFill>
          <bgColor theme="9" tint="-0.24994659260841701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FFFF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b/>
        <i val="0"/>
        <color rgb="FFC0000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mita.piya@gmail.com" TargetMode="External"/><Relationship Id="rId3" Type="http://schemas.openxmlformats.org/officeDocument/2006/relationships/printerSettings" Target="../printerSettings/printerSettings18.bin"/><Relationship Id="rId7" Type="http://schemas.openxmlformats.org/officeDocument/2006/relationships/hyperlink" Target="mailto:coolhemantsingh@gmail.com" TargetMode="External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hyperlink" Target="mailto:shubham14p3@gmail.com" TargetMode="External"/><Relationship Id="rId5" Type="http://schemas.openxmlformats.org/officeDocument/2006/relationships/hyperlink" Target="mailto:tradeorkagarwal@gmail.com" TargetMode="External"/><Relationship Id="rId10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Relationship Id="rId9" Type="http://schemas.openxmlformats.org/officeDocument/2006/relationships/hyperlink" Target="mailto:shambhukumar2014singh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31"/>
  <sheetViews>
    <sheetView zoomScale="115" zoomScaleNormal="115" workbookViewId="0">
      <pane ySplit="3" topLeftCell="A1827" activePane="bottomLeft" state="frozen"/>
      <selection pane="bottomLeft" activeCell="G2" sqref="G2"/>
    </sheetView>
  </sheetViews>
  <sheetFormatPr defaultRowHeight="15" x14ac:dyDescent="0.25"/>
  <cols>
    <col min="1" max="1" width="12.42578125" style="4" customWidth="1"/>
    <col min="2" max="2" width="27.28515625" style="59" customWidth="1"/>
    <col min="3" max="3" width="8.42578125" style="50" customWidth="1"/>
    <col min="4" max="4" width="7.42578125" style="54" customWidth="1"/>
    <col min="5" max="5" width="10.28515625" customWidth="1"/>
  </cols>
  <sheetData>
    <row r="1" spans="1:8" x14ac:dyDescent="0.25">
      <c r="D1" s="54">
        <v>9000</v>
      </c>
      <c r="E1">
        <f ca="1">9000+OFFSET(E1,COUNT(E4:E3157)+2,0)</f>
        <v>10404.020000000004</v>
      </c>
      <c r="G1">
        <f>COUNT(E4:E1115)+2</f>
        <v>1114</v>
      </c>
    </row>
    <row r="3" spans="1:8" x14ac:dyDescent="0.25">
      <c r="A3" s="4" t="s">
        <v>5</v>
      </c>
      <c r="B3" s="59" t="s">
        <v>2</v>
      </c>
      <c r="C3" s="50" t="s">
        <v>849</v>
      </c>
      <c r="D3" s="54" t="s">
        <v>194</v>
      </c>
      <c r="E3" t="s">
        <v>6</v>
      </c>
    </row>
    <row r="4" spans="1:8" x14ac:dyDescent="0.25">
      <c r="A4" s="5">
        <v>43066</v>
      </c>
      <c r="B4" s="59" t="s">
        <v>7</v>
      </c>
      <c r="C4" s="50">
        <v>50</v>
      </c>
      <c r="E4">
        <f>D4-C4</f>
        <v>-50</v>
      </c>
      <c r="G4">
        <f ca="1">COUNT(E1:E91)</f>
        <v>89</v>
      </c>
    </row>
    <row r="5" spans="1:8" x14ac:dyDescent="0.25">
      <c r="A5" s="5">
        <v>43068</v>
      </c>
      <c r="B5" s="59" t="s">
        <v>8</v>
      </c>
      <c r="C5" s="50">
        <v>200</v>
      </c>
      <c r="E5">
        <f t="shared" ref="E5:E44" si="0">E4+D5-C5</f>
        <v>-250</v>
      </c>
    </row>
    <row r="6" spans="1:8" x14ac:dyDescent="0.25">
      <c r="A6" s="5">
        <v>43068</v>
      </c>
      <c r="B6" s="59" t="s">
        <v>9</v>
      </c>
      <c r="D6" s="54">
        <v>200</v>
      </c>
      <c r="E6">
        <f t="shared" si="0"/>
        <v>-50</v>
      </c>
    </row>
    <row r="7" spans="1:8" x14ac:dyDescent="0.25">
      <c r="A7" s="5">
        <v>43068</v>
      </c>
      <c r="B7" s="59" t="s">
        <v>8</v>
      </c>
      <c r="D7" s="54">
        <v>100</v>
      </c>
      <c r="E7">
        <f t="shared" si="0"/>
        <v>50</v>
      </c>
    </row>
    <row r="8" spans="1:8" x14ac:dyDescent="0.25">
      <c r="A8" s="5">
        <v>43069</v>
      </c>
      <c r="B8" s="59" t="s">
        <v>13</v>
      </c>
      <c r="D8" s="54">
        <v>50</v>
      </c>
      <c r="E8">
        <f t="shared" si="0"/>
        <v>100</v>
      </c>
    </row>
    <row r="9" spans="1:8" x14ac:dyDescent="0.25">
      <c r="A9" s="5">
        <v>43069</v>
      </c>
      <c r="C9" s="50">
        <v>500</v>
      </c>
      <c r="E9">
        <f t="shared" si="0"/>
        <v>-400</v>
      </c>
    </row>
    <row r="10" spans="1:8" x14ac:dyDescent="0.25">
      <c r="A10" s="5">
        <v>43070</v>
      </c>
      <c r="B10" s="59" t="s">
        <v>13</v>
      </c>
      <c r="D10" s="54">
        <v>500</v>
      </c>
      <c r="E10">
        <f t="shared" si="0"/>
        <v>100</v>
      </c>
    </row>
    <row r="11" spans="1:8" x14ac:dyDescent="0.25">
      <c r="A11" s="5">
        <v>43077</v>
      </c>
      <c r="D11" s="54">
        <v>150</v>
      </c>
      <c r="E11">
        <f t="shared" si="0"/>
        <v>250</v>
      </c>
    </row>
    <row r="12" spans="1:8" x14ac:dyDescent="0.25">
      <c r="A12" s="5">
        <v>43101</v>
      </c>
      <c r="B12" s="59" t="s">
        <v>14</v>
      </c>
      <c r="D12" s="54">
        <v>22.04</v>
      </c>
      <c r="E12">
        <f t="shared" si="0"/>
        <v>272.04000000000002</v>
      </c>
    </row>
    <row r="13" spans="1:8" x14ac:dyDescent="0.25">
      <c r="A13" s="5">
        <v>43104</v>
      </c>
      <c r="B13" s="59" t="s">
        <v>21</v>
      </c>
      <c r="C13" s="50">
        <v>500</v>
      </c>
      <c r="E13">
        <f t="shared" si="0"/>
        <v>-227.95999999999998</v>
      </c>
      <c r="H13">
        <f>577.95-327.96</f>
        <v>249.99000000000007</v>
      </c>
    </row>
    <row r="14" spans="1:8" x14ac:dyDescent="0.25">
      <c r="A14" s="5">
        <v>43105</v>
      </c>
      <c r="B14" s="59" t="s">
        <v>22</v>
      </c>
      <c r="C14" s="50">
        <v>100</v>
      </c>
      <c r="E14">
        <f t="shared" si="0"/>
        <v>-327.96</v>
      </c>
    </row>
    <row r="15" spans="1:8" x14ac:dyDescent="0.25">
      <c r="A15" s="5">
        <v>43106</v>
      </c>
      <c r="B15" s="59" t="s">
        <v>10</v>
      </c>
      <c r="C15" s="50">
        <v>100</v>
      </c>
      <c r="E15">
        <f t="shared" si="0"/>
        <v>-427.96</v>
      </c>
    </row>
    <row r="16" spans="1:8" x14ac:dyDescent="0.25">
      <c r="A16" s="5">
        <v>43108</v>
      </c>
      <c r="B16" s="59" t="s">
        <v>22</v>
      </c>
      <c r="C16" s="50">
        <v>400</v>
      </c>
      <c r="E16">
        <f t="shared" si="0"/>
        <v>-827.96</v>
      </c>
    </row>
    <row r="17" spans="1:5" x14ac:dyDescent="0.25">
      <c r="A17" s="5">
        <v>43108</v>
      </c>
      <c r="C17" s="50">
        <v>10</v>
      </c>
      <c r="E17">
        <f t="shared" si="0"/>
        <v>-837.96</v>
      </c>
    </row>
    <row r="18" spans="1:5" x14ac:dyDescent="0.25">
      <c r="A18" s="5">
        <v>43108</v>
      </c>
      <c r="D18" s="54">
        <v>500</v>
      </c>
      <c r="E18">
        <f t="shared" si="0"/>
        <v>-337.96000000000004</v>
      </c>
    </row>
    <row r="19" spans="1:5" x14ac:dyDescent="0.25">
      <c r="A19" s="5">
        <v>43108</v>
      </c>
      <c r="B19" s="59" t="s">
        <v>11</v>
      </c>
      <c r="C19" s="50">
        <v>200</v>
      </c>
      <c r="E19">
        <f t="shared" si="0"/>
        <v>-537.96</v>
      </c>
    </row>
    <row r="20" spans="1:5" x14ac:dyDescent="0.25">
      <c r="A20" s="5">
        <v>43108</v>
      </c>
      <c r="C20" s="50">
        <v>100</v>
      </c>
      <c r="E20">
        <f t="shared" si="0"/>
        <v>-637.96</v>
      </c>
    </row>
    <row r="21" spans="1:5" x14ac:dyDescent="0.25">
      <c r="A21" s="5">
        <v>43110</v>
      </c>
      <c r="C21" s="50">
        <v>200</v>
      </c>
      <c r="E21">
        <f t="shared" si="0"/>
        <v>-837.96</v>
      </c>
    </row>
    <row r="22" spans="1:5" x14ac:dyDescent="0.25">
      <c r="A22" s="5">
        <v>43116</v>
      </c>
      <c r="C22" s="50">
        <v>200</v>
      </c>
      <c r="E22">
        <f t="shared" si="0"/>
        <v>-1037.96</v>
      </c>
    </row>
    <row r="23" spans="1:5" x14ac:dyDescent="0.25">
      <c r="A23" s="5">
        <v>43116</v>
      </c>
      <c r="C23" s="50">
        <v>400</v>
      </c>
      <c r="E23">
        <f t="shared" si="0"/>
        <v>-1437.96</v>
      </c>
    </row>
    <row r="24" spans="1:5" x14ac:dyDescent="0.25">
      <c r="A24" s="5">
        <v>43116</v>
      </c>
      <c r="B24" s="59" t="s">
        <v>12</v>
      </c>
      <c r="C24" s="50">
        <v>7000</v>
      </c>
      <c r="E24">
        <f t="shared" si="0"/>
        <v>-8437.9599999999991</v>
      </c>
    </row>
    <row r="25" spans="1:5" x14ac:dyDescent="0.25">
      <c r="A25" s="5">
        <v>43117</v>
      </c>
      <c r="B25" s="59" t="s">
        <v>15</v>
      </c>
      <c r="C25" s="50">
        <v>300</v>
      </c>
      <c r="E25">
        <f t="shared" si="0"/>
        <v>-8737.9599999999991</v>
      </c>
    </row>
    <row r="26" spans="1:5" x14ac:dyDescent="0.25">
      <c r="A26" s="5">
        <v>43129</v>
      </c>
      <c r="B26" s="59" t="s">
        <v>13</v>
      </c>
      <c r="D26" s="54">
        <v>1600</v>
      </c>
      <c r="E26">
        <f t="shared" si="0"/>
        <v>-7137.9599999999991</v>
      </c>
    </row>
    <row r="27" spans="1:5" x14ac:dyDescent="0.25">
      <c r="A27" s="5">
        <v>43129</v>
      </c>
      <c r="B27" s="59" t="s">
        <v>16</v>
      </c>
      <c r="D27" s="54">
        <v>0.76</v>
      </c>
      <c r="E27">
        <f t="shared" si="0"/>
        <v>-7137.1999999999989</v>
      </c>
    </row>
    <row r="28" spans="1:5" x14ac:dyDescent="0.25">
      <c r="A28" s="5">
        <v>43129</v>
      </c>
      <c r="B28" s="59" t="s">
        <v>15</v>
      </c>
      <c r="C28" s="50">
        <v>600</v>
      </c>
      <c r="E28">
        <f t="shared" si="0"/>
        <v>-7737.1999999999989</v>
      </c>
    </row>
    <row r="29" spans="1:5" x14ac:dyDescent="0.25">
      <c r="A29" s="5">
        <v>43131</v>
      </c>
      <c r="B29" s="59" t="s">
        <v>4</v>
      </c>
      <c r="C29" s="50">
        <v>30</v>
      </c>
      <c r="E29">
        <f t="shared" si="0"/>
        <v>-7767.1999999999989</v>
      </c>
    </row>
    <row r="30" spans="1:5" x14ac:dyDescent="0.25">
      <c r="A30" s="5">
        <v>43136</v>
      </c>
      <c r="B30" s="59" t="s">
        <v>20</v>
      </c>
      <c r="C30" s="50">
        <v>500</v>
      </c>
      <c r="E30">
        <f t="shared" si="0"/>
        <v>-8267.1999999999989</v>
      </c>
    </row>
    <row r="31" spans="1:5" x14ac:dyDescent="0.25">
      <c r="A31" s="5">
        <v>43144</v>
      </c>
      <c r="B31" s="59" t="s">
        <v>17</v>
      </c>
      <c r="C31" s="50">
        <v>500</v>
      </c>
      <c r="E31">
        <f t="shared" si="0"/>
        <v>-8767.1999999999989</v>
      </c>
    </row>
    <row r="32" spans="1:5" x14ac:dyDescent="0.25">
      <c r="A32" s="5">
        <v>43145</v>
      </c>
      <c r="B32" s="59" t="s">
        <v>18</v>
      </c>
      <c r="C32" s="50">
        <v>100</v>
      </c>
      <c r="E32">
        <f t="shared" si="0"/>
        <v>-8867.1999999999989</v>
      </c>
    </row>
    <row r="33" spans="1:5" x14ac:dyDescent="0.25">
      <c r="A33" s="5">
        <v>43146</v>
      </c>
      <c r="B33" s="59" t="s">
        <v>19</v>
      </c>
      <c r="D33" s="54">
        <v>600</v>
      </c>
      <c r="E33">
        <f t="shared" si="0"/>
        <v>-8267.1999999999989</v>
      </c>
    </row>
    <row r="34" spans="1:5" x14ac:dyDescent="0.25">
      <c r="A34" s="5">
        <v>43150</v>
      </c>
      <c r="B34" s="59" t="s">
        <v>19</v>
      </c>
      <c r="D34" s="54">
        <v>7300</v>
      </c>
      <c r="E34">
        <f t="shared" si="0"/>
        <v>-967.19999999999891</v>
      </c>
    </row>
    <row r="35" spans="1:5" x14ac:dyDescent="0.25">
      <c r="A35" s="5">
        <v>43151</v>
      </c>
      <c r="B35" s="59" t="s">
        <v>23</v>
      </c>
      <c r="C35" s="50">
        <v>2080</v>
      </c>
      <c r="E35">
        <f t="shared" si="0"/>
        <v>-3047.1999999999989</v>
      </c>
    </row>
    <row r="36" spans="1:5" x14ac:dyDescent="0.25">
      <c r="A36" s="5">
        <v>43151</v>
      </c>
      <c r="B36" s="59" t="s">
        <v>24</v>
      </c>
      <c r="C36" s="50">
        <v>3000</v>
      </c>
      <c r="E36">
        <f t="shared" si="0"/>
        <v>-6047.1999999999989</v>
      </c>
    </row>
    <row r="37" spans="1:5" x14ac:dyDescent="0.25">
      <c r="A37" s="5">
        <v>43151</v>
      </c>
      <c r="B37" s="59" t="s">
        <v>8</v>
      </c>
      <c r="C37" s="50">
        <v>1700</v>
      </c>
      <c r="E37">
        <f t="shared" si="0"/>
        <v>-7747.1999999999989</v>
      </c>
    </row>
    <row r="38" spans="1:5" x14ac:dyDescent="0.25">
      <c r="A38" s="5">
        <v>43153</v>
      </c>
      <c r="C38" s="50">
        <v>100</v>
      </c>
      <c r="E38">
        <f t="shared" si="0"/>
        <v>-7847.1999999999989</v>
      </c>
    </row>
    <row r="39" spans="1:5" x14ac:dyDescent="0.25">
      <c r="A39" s="5">
        <v>43158</v>
      </c>
      <c r="B39" s="59" t="s">
        <v>13</v>
      </c>
      <c r="D39" s="54">
        <v>300</v>
      </c>
      <c r="E39">
        <f t="shared" si="0"/>
        <v>-7547.1999999999989</v>
      </c>
    </row>
    <row r="40" spans="1:5" x14ac:dyDescent="0.25">
      <c r="A40" s="5">
        <v>43158</v>
      </c>
      <c r="B40" s="59" t="s">
        <v>23</v>
      </c>
      <c r="C40" s="50">
        <v>300</v>
      </c>
      <c r="E40">
        <f t="shared" si="0"/>
        <v>-7847.1999999999989</v>
      </c>
    </row>
    <row r="41" spans="1:5" x14ac:dyDescent="0.25">
      <c r="A41" s="5">
        <v>43159</v>
      </c>
      <c r="B41" s="59" t="s">
        <v>26</v>
      </c>
      <c r="C41" s="50">
        <v>1000</v>
      </c>
      <c r="E41">
        <f t="shared" si="0"/>
        <v>-8847.1999999999989</v>
      </c>
    </row>
    <row r="42" spans="1:5" x14ac:dyDescent="0.25">
      <c r="A42" s="5">
        <v>43160</v>
      </c>
      <c r="B42" s="59" t="s">
        <v>23</v>
      </c>
      <c r="C42" s="50">
        <v>200</v>
      </c>
      <c r="E42">
        <f t="shared" si="0"/>
        <v>-9047.1999999999989</v>
      </c>
    </row>
    <row r="43" spans="1:5" x14ac:dyDescent="0.25">
      <c r="A43" s="5">
        <v>43162</v>
      </c>
      <c r="B43" s="59" t="s">
        <v>23</v>
      </c>
      <c r="D43" s="54">
        <v>1500</v>
      </c>
      <c r="E43">
        <f t="shared" si="0"/>
        <v>-7547.1999999999989</v>
      </c>
    </row>
    <row r="44" spans="1:5" x14ac:dyDescent="0.25">
      <c r="A44" s="5">
        <v>43162</v>
      </c>
      <c r="B44" s="59" t="s">
        <v>25</v>
      </c>
      <c r="C44" s="50">
        <v>1400</v>
      </c>
      <c r="E44">
        <f t="shared" si="0"/>
        <v>-8947.1999999999989</v>
      </c>
    </row>
    <row r="45" spans="1:5" x14ac:dyDescent="0.25">
      <c r="A45" s="5"/>
      <c r="E45">
        <v>8944.98</v>
      </c>
    </row>
    <row r="46" spans="1:5" x14ac:dyDescent="0.25">
      <c r="A46" s="5">
        <v>43321</v>
      </c>
      <c r="D46" s="54">
        <v>50</v>
      </c>
      <c r="E46">
        <f t="shared" ref="E46:E56" si="1">E45+D46-C46</f>
        <v>8994.98</v>
      </c>
    </row>
    <row r="47" spans="1:5" x14ac:dyDescent="0.25">
      <c r="A47" s="5"/>
      <c r="C47" s="50">
        <v>3600</v>
      </c>
      <c r="E47">
        <f t="shared" si="1"/>
        <v>5394.98</v>
      </c>
    </row>
    <row r="48" spans="1:5" x14ac:dyDescent="0.25">
      <c r="A48" s="5"/>
      <c r="D48" s="54">
        <v>3000</v>
      </c>
      <c r="E48">
        <f t="shared" si="1"/>
        <v>8394.98</v>
      </c>
    </row>
    <row r="49" spans="1:5" x14ac:dyDescent="0.25">
      <c r="A49" s="5"/>
      <c r="D49" s="54">
        <v>600</v>
      </c>
      <c r="E49">
        <f t="shared" si="1"/>
        <v>8994.98</v>
      </c>
    </row>
    <row r="50" spans="1:5" x14ac:dyDescent="0.25">
      <c r="A50" s="5"/>
      <c r="D50" s="54">
        <v>58</v>
      </c>
      <c r="E50">
        <f t="shared" si="1"/>
        <v>9052.98</v>
      </c>
    </row>
    <row r="51" spans="1:5" x14ac:dyDescent="0.25">
      <c r="C51" s="50">
        <v>42.56</v>
      </c>
      <c r="E51">
        <f t="shared" si="1"/>
        <v>9010.42</v>
      </c>
    </row>
    <row r="52" spans="1:5" x14ac:dyDescent="0.25">
      <c r="C52" s="50">
        <v>1000</v>
      </c>
      <c r="E52">
        <f t="shared" si="1"/>
        <v>8010.42</v>
      </c>
    </row>
    <row r="53" spans="1:5" x14ac:dyDescent="0.25">
      <c r="D53" s="54">
        <v>500</v>
      </c>
      <c r="E53">
        <f t="shared" si="1"/>
        <v>8510.42</v>
      </c>
    </row>
    <row r="54" spans="1:5" x14ac:dyDescent="0.25">
      <c r="B54" s="59" t="s">
        <v>46</v>
      </c>
      <c r="C54" s="50">
        <v>53.5</v>
      </c>
      <c r="E54">
        <f t="shared" si="1"/>
        <v>8456.92</v>
      </c>
    </row>
    <row r="55" spans="1:5" x14ac:dyDescent="0.25">
      <c r="E55">
        <f t="shared" si="1"/>
        <v>8456.92</v>
      </c>
    </row>
    <row r="56" spans="1:5" x14ac:dyDescent="0.25">
      <c r="E56">
        <f t="shared" si="1"/>
        <v>8456.92</v>
      </c>
    </row>
    <row r="57" spans="1:5" x14ac:dyDescent="0.25">
      <c r="E57">
        <v>0</v>
      </c>
    </row>
    <row r="58" spans="1:5" x14ac:dyDescent="0.25">
      <c r="E58">
        <v>195.23</v>
      </c>
    </row>
    <row r="59" spans="1:5" x14ac:dyDescent="0.25">
      <c r="A59" s="6">
        <v>43398</v>
      </c>
      <c r="B59" s="59" t="s">
        <v>47</v>
      </c>
      <c r="D59" s="54">
        <v>1000</v>
      </c>
      <c r="E59">
        <f>E58+D59-C59</f>
        <v>1195.23</v>
      </c>
    </row>
    <row r="60" spans="1:5" x14ac:dyDescent="0.25">
      <c r="E60">
        <f>E59+D60-C60</f>
        <v>1195.23</v>
      </c>
    </row>
    <row r="61" spans="1:5" x14ac:dyDescent="0.25">
      <c r="E61">
        <f>E60+D61-C61</f>
        <v>1195.23</v>
      </c>
    </row>
    <row r="62" spans="1:5" x14ac:dyDescent="0.25">
      <c r="E62">
        <v>-304.77</v>
      </c>
    </row>
    <row r="63" spans="1:5" x14ac:dyDescent="0.25">
      <c r="A63" s="6">
        <v>43410</v>
      </c>
      <c r="D63" s="54">
        <v>3000</v>
      </c>
      <c r="E63">
        <f t="shared" ref="E63:E126" si="2">E62-D63+C63</f>
        <v>-3304.77</v>
      </c>
    </row>
    <row r="64" spans="1:5" x14ac:dyDescent="0.25">
      <c r="A64" s="6">
        <v>43423</v>
      </c>
      <c r="C64" s="50">
        <v>1500</v>
      </c>
      <c r="E64">
        <f t="shared" si="2"/>
        <v>-1804.77</v>
      </c>
    </row>
    <row r="65" spans="1:5" x14ac:dyDescent="0.25">
      <c r="A65" s="6">
        <v>43435</v>
      </c>
      <c r="B65" s="59" t="s">
        <v>59</v>
      </c>
      <c r="C65" s="50">
        <v>10.64</v>
      </c>
      <c r="E65">
        <f t="shared" si="2"/>
        <v>-1794.1299999999999</v>
      </c>
    </row>
    <row r="66" spans="1:5" x14ac:dyDescent="0.25">
      <c r="A66" s="6">
        <v>43437</v>
      </c>
      <c r="B66" s="59" t="s">
        <v>60</v>
      </c>
      <c r="D66" s="54">
        <v>29.5</v>
      </c>
      <c r="E66">
        <f t="shared" si="2"/>
        <v>-1823.6299999999999</v>
      </c>
    </row>
    <row r="67" spans="1:5" x14ac:dyDescent="0.25">
      <c r="A67" s="6">
        <v>43439</v>
      </c>
      <c r="B67" s="59" t="s">
        <v>61</v>
      </c>
      <c r="C67" s="50">
        <v>500</v>
      </c>
      <c r="E67">
        <f t="shared" si="2"/>
        <v>-1323.6299999999999</v>
      </c>
    </row>
    <row r="68" spans="1:5" x14ac:dyDescent="0.25">
      <c r="A68" s="6">
        <v>43449</v>
      </c>
      <c r="B68" s="59" t="s">
        <v>61</v>
      </c>
      <c r="C68" s="50">
        <v>1000</v>
      </c>
      <c r="E68">
        <f t="shared" si="2"/>
        <v>-323.62999999999988</v>
      </c>
    </row>
    <row r="69" spans="1:5" x14ac:dyDescent="0.25">
      <c r="A69" s="6">
        <v>43454</v>
      </c>
      <c r="B69" s="59" t="s">
        <v>61</v>
      </c>
      <c r="C69" s="50">
        <v>500</v>
      </c>
      <c r="E69">
        <f t="shared" si="2"/>
        <v>176.37000000000012</v>
      </c>
    </row>
    <row r="70" spans="1:5" x14ac:dyDescent="0.25">
      <c r="A70" s="6">
        <v>43455</v>
      </c>
      <c r="B70" s="59" t="s">
        <v>69</v>
      </c>
      <c r="C70" s="50">
        <v>13.68</v>
      </c>
      <c r="E70">
        <f t="shared" si="2"/>
        <v>190.05000000000013</v>
      </c>
    </row>
    <row r="71" spans="1:5" x14ac:dyDescent="0.25">
      <c r="A71" s="6">
        <v>43458</v>
      </c>
      <c r="B71" s="59" t="s">
        <v>70</v>
      </c>
      <c r="C71" s="50">
        <v>1000</v>
      </c>
      <c r="E71">
        <f t="shared" si="2"/>
        <v>1190.0500000000002</v>
      </c>
    </row>
    <row r="72" spans="1:5" x14ac:dyDescent="0.25">
      <c r="A72" s="6">
        <v>43462</v>
      </c>
      <c r="B72" s="59" t="s">
        <v>62</v>
      </c>
      <c r="D72" s="54">
        <v>500</v>
      </c>
      <c r="E72">
        <f t="shared" si="2"/>
        <v>690.05000000000018</v>
      </c>
    </row>
    <row r="73" spans="1:5" x14ac:dyDescent="0.25">
      <c r="A73" s="6">
        <v>43462</v>
      </c>
      <c r="B73" s="59" t="s">
        <v>71</v>
      </c>
      <c r="D73" s="54">
        <v>8000</v>
      </c>
      <c r="E73">
        <f t="shared" si="2"/>
        <v>-7309.95</v>
      </c>
    </row>
    <row r="74" spans="1:5" x14ac:dyDescent="0.25">
      <c r="A74" s="6">
        <v>43464</v>
      </c>
      <c r="B74" s="59" t="s">
        <v>62</v>
      </c>
      <c r="D74" s="54">
        <v>100</v>
      </c>
      <c r="E74">
        <f t="shared" si="2"/>
        <v>-7409.95</v>
      </c>
    </row>
    <row r="75" spans="1:5" x14ac:dyDescent="0.25">
      <c r="A75" s="6">
        <v>43467</v>
      </c>
      <c r="B75" s="59" t="s">
        <v>56</v>
      </c>
      <c r="C75" s="50">
        <v>500</v>
      </c>
      <c r="E75">
        <f t="shared" si="2"/>
        <v>-6909.95</v>
      </c>
    </row>
    <row r="76" spans="1:5" x14ac:dyDescent="0.25">
      <c r="A76" s="6">
        <v>43468</v>
      </c>
      <c r="B76" s="59" t="s">
        <v>62</v>
      </c>
      <c r="D76" s="55">
        <v>400</v>
      </c>
      <c r="E76">
        <f t="shared" si="2"/>
        <v>-7309.95</v>
      </c>
    </row>
    <row r="77" spans="1:5" x14ac:dyDescent="0.25">
      <c r="A77" s="6">
        <v>43473</v>
      </c>
      <c r="B77" s="59" t="s">
        <v>64</v>
      </c>
      <c r="C77" s="50">
        <v>2000</v>
      </c>
      <c r="D77" s="55"/>
      <c r="E77">
        <f t="shared" si="2"/>
        <v>-5309.95</v>
      </c>
    </row>
    <row r="78" spans="1:5" x14ac:dyDescent="0.25">
      <c r="A78" s="6">
        <v>43473</v>
      </c>
      <c r="B78" s="59" t="s">
        <v>64</v>
      </c>
      <c r="C78" s="50">
        <v>2000</v>
      </c>
      <c r="D78" s="55"/>
      <c r="E78">
        <f t="shared" si="2"/>
        <v>-3309.95</v>
      </c>
    </row>
    <row r="79" spans="1:5" x14ac:dyDescent="0.25">
      <c r="A79" s="6">
        <v>43473</v>
      </c>
      <c r="B79" s="59" t="s">
        <v>63</v>
      </c>
      <c r="D79" s="55">
        <v>2000</v>
      </c>
      <c r="E79">
        <f t="shared" si="2"/>
        <v>-5309.95</v>
      </c>
    </row>
    <row r="80" spans="1:5" x14ac:dyDescent="0.25">
      <c r="A80" s="6">
        <v>43475</v>
      </c>
      <c r="B80" s="59" t="s">
        <v>64</v>
      </c>
      <c r="D80" s="55">
        <v>1000</v>
      </c>
      <c r="E80">
        <f t="shared" si="2"/>
        <v>-6309.95</v>
      </c>
    </row>
    <row r="81" spans="1:5" x14ac:dyDescent="0.25">
      <c r="A81" s="6">
        <v>43476</v>
      </c>
      <c r="B81" s="59" t="s">
        <v>62</v>
      </c>
      <c r="D81" s="55">
        <v>1000</v>
      </c>
      <c r="E81">
        <f t="shared" si="2"/>
        <v>-7309.95</v>
      </c>
    </row>
    <row r="82" spans="1:5" x14ac:dyDescent="0.25">
      <c r="A82" s="6">
        <v>43476</v>
      </c>
      <c r="C82" s="50">
        <v>2000</v>
      </c>
      <c r="E82">
        <f t="shared" si="2"/>
        <v>-5309.95</v>
      </c>
    </row>
    <row r="83" spans="1:5" x14ac:dyDescent="0.25">
      <c r="A83" s="6">
        <v>43479</v>
      </c>
      <c r="B83" s="59" t="s">
        <v>62</v>
      </c>
      <c r="D83" s="55">
        <v>500</v>
      </c>
      <c r="E83">
        <f t="shared" si="2"/>
        <v>-5809.95</v>
      </c>
    </row>
    <row r="84" spans="1:5" x14ac:dyDescent="0.25">
      <c r="A84" s="6">
        <v>43479</v>
      </c>
      <c r="B84" s="59" t="s">
        <v>19</v>
      </c>
      <c r="C84" s="50">
        <v>6800</v>
      </c>
      <c r="E84">
        <f t="shared" si="2"/>
        <v>990.05000000000018</v>
      </c>
    </row>
    <row r="85" spans="1:5" x14ac:dyDescent="0.25">
      <c r="A85" s="6">
        <v>43479</v>
      </c>
      <c r="B85" s="59" t="s">
        <v>77</v>
      </c>
      <c r="D85" s="55">
        <v>350</v>
      </c>
      <c r="E85">
        <f t="shared" si="2"/>
        <v>640.05000000000018</v>
      </c>
    </row>
    <row r="86" spans="1:5" x14ac:dyDescent="0.25">
      <c r="A86" s="6">
        <v>43479</v>
      </c>
      <c r="B86" s="59" t="s">
        <v>78</v>
      </c>
      <c r="D86" s="54">
        <v>2000</v>
      </c>
      <c r="E86">
        <f t="shared" si="2"/>
        <v>-1359.9499999999998</v>
      </c>
    </row>
    <row r="87" spans="1:5" x14ac:dyDescent="0.25">
      <c r="A87" s="6">
        <v>43479</v>
      </c>
      <c r="B87" s="59" t="s">
        <v>79</v>
      </c>
      <c r="D87" s="55">
        <v>3000</v>
      </c>
      <c r="E87">
        <f t="shared" si="2"/>
        <v>-4359.95</v>
      </c>
    </row>
    <row r="88" spans="1:5" x14ac:dyDescent="0.25">
      <c r="A88" s="6">
        <v>43481</v>
      </c>
      <c r="B88" s="59" t="s">
        <v>80</v>
      </c>
      <c r="D88" s="54">
        <v>300</v>
      </c>
      <c r="E88">
        <f t="shared" si="2"/>
        <v>-4659.95</v>
      </c>
    </row>
    <row r="89" spans="1:5" x14ac:dyDescent="0.25">
      <c r="A89" s="6">
        <v>43482</v>
      </c>
      <c r="B89" s="59" t="s">
        <v>80</v>
      </c>
      <c r="D89" s="55">
        <v>2000</v>
      </c>
      <c r="E89">
        <f t="shared" si="2"/>
        <v>-6659.95</v>
      </c>
    </row>
    <row r="90" spans="1:5" x14ac:dyDescent="0.25">
      <c r="A90" s="6">
        <v>43484</v>
      </c>
      <c r="B90" s="59" t="s">
        <v>81</v>
      </c>
      <c r="C90" s="50">
        <v>200</v>
      </c>
      <c r="E90">
        <f t="shared" si="2"/>
        <v>-6459.95</v>
      </c>
    </row>
    <row r="91" spans="1:5" x14ac:dyDescent="0.25">
      <c r="A91" s="6">
        <v>43486</v>
      </c>
      <c r="B91" s="59" t="s">
        <v>75</v>
      </c>
      <c r="D91" s="55">
        <v>100</v>
      </c>
      <c r="E91">
        <f t="shared" si="2"/>
        <v>-6559.95</v>
      </c>
    </row>
    <row r="92" spans="1:5" x14ac:dyDescent="0.25">
      <c r="A92" s="6">
        <v>43486</v>
      </c>
      <c r="B92" s="59" t="s">
        <v>76</v>
      </c>
      <c r="D92" s="54">
        <v>100</v>
      </c>
      <c r="E92">
        <f t="shared" si="2"/>
        <v>-6659.95</v>
      </c>
    </row>
    <row r="93" spans="1:5" x14ac:dyDescent="0.25">
      <c r="A93" s="6">
        <v>43487</v>
      </c>
      <c r="B93" s="59" t="s">
        <v>82</v>
      </c>
      <c r="D93" s="55">
        <v>500</v>
      </c>
      <c r="E93">
        <f t="shared" si="2"/>
        <v>-7159.95</v>
      </c>
    </row>
    <row r="94" spans="1:5" x14ac:dyDescent="0.25">
      <c r="A94" s="6">
        <v>43487</v>
      </c>
      <c r="B94" s="59" t="s">
        <v>83</v>
      </c>
      <c r="D94" s="54">
        <v>1500</v>
      </c>
      <c r="E94">
        <f t="shared" si="2"/>
        <v>-8659.9500000000007</v>
      </c>
    </row>
    <row r="95" spans="1:5" x14ac:dyDescent="0.25">
      <c r="A95" s="6">
        <v>43488</v>
      </c>
      <c r="B95" s="59" t="s">
        <v>13</v>
      </c>
      <c r="C95" s="50">
        <v>2800</v>
      </c>
      <c r="E95">
        <f t="shared" si="2"/>
        <v>-5859.9500000000007</v>
      </c>
    </row>
    <row r="96" spans="1:5" x14ac:dyDescent="0.25">
      <c r="A96" s="6">
        <v>43488</v>
      </c>
      <c r="B96" s="59" t="s">
        <v>84</v>
      </c>
      <c r="D96" s="54">
        <v>1000</v>
      </c>
      <c r="E96">
        <f t="shared" si="2"/>
        <v>-6859.9500000000007</v>
      </c>
    </row>
    <row r="97" spans="1:8" x14ac:dyDescent="0.25">
      <c r="A97" s="6">
        <v>43488</v>
      </c>
      <c r="B97" s="59" t="s">
        <v>85</v>
      </c>
      <c r="D97" s="54">
        <v>1800</v>
      </c>
      <c r="E97">
        <f t="shared" si="2"/>
        <v>-8659.9500000000007</v>
      </c>
    </row>
    <row r="98" spans="1:8" x14ac:dyDescent="0.25">
      <c r="A98" s="6">
        <v>43489</v>
      </c>
      <c r="B98" s="59" t="s">
        <v>86</v>
      </c>
      <c r="C98" s="50">
        <v>1700</v>
      </c>
      <c r="E98">
        <f t="shared" si="2"/>
        <v>-6959.9500000000007</v>
      </c>
    </row>
    <row r="99" spans="1:8" x14ac:dyDescent="0.25">
      <c r="A99" s="6">
        <v>43489</v>
      </c>
      <c r="B99" s="59" t="s">
        <v>87</v>
      </c>
      <c r="D99" s="54">
        <v>1000</v>
      </c>
      <c r="E99">
        <f t="shared" si="2"/>
        <v>-7959.9500000000007</v>
      </c>
    </row>
    <row r="100" spans="1:8" x14ac:dyDescent="0.25">
      <c r="A100" s="6">
        <v>43490</v>
      </c>
      <c r="B100" s="59" t="s">
        <v>13</v>
      </c>
      <c r="C100" s="50">
        <v>8000</v>
      </c>
      <c r="E100">
        <f t="shared" si="2"/>
        <v>40.049999999999272</v>
      </c>
      <c r="G100">
        <f>3690.05+1609.95</f>
        <v>5300</v>
      </c>
    </row>
    <row r="101" spans="1:8" x14ac:dyDescent="0.25">
      <c r="A101" s="6">
        <v>43490</v>
      </c>
      <c r="B101" s="59" t="s">
        <v>88</v>
      </c>
      <c r="D101" s="54">
        <v>2850</v>
      </c>
      <c r="E101">
        <f t="shared" si="2"/>
        <v>-2809.9500000000007</v>
      </c>
    </row>
    <row r="102" spans="1:8" x14ac:dyDescent="0.25">
      <c r="A102" s="6">
        <v>43493</v>
      </c>
      <c r="B102" s="59" t="s">
        <v>93</v>
      </c>
      <c r="D102" s="54">
        <v>2800</v>
      </c>
      <c r="E102">
        <f t="shared" si="2"/>
        <v>-5609.9500000000007</v>
      </c>
      <c r="H102">
        <v>-1609.95</v>
      </c>
    </row>
    <row r="103" spans="1:8" x14ac:dyDescent="0.25">
      <c r="A103" s="6">
        <v>43493</v>
      </c>
      <c r="B103" s="59">
        <v>504</v>
      </c>
      <c r="D103" s="54">
        <v>2500</v>
      </c>
      <c r="E103">
        <f t="shared" si="2"/>
        <v>-8109.9500000000007</v>
      </c>
    </row>
    <row r="104" spans="1:8" x14ac:dyDescent="0.25">
      <c r="A104" s="6">
        <v>43493</v>
      </c>
      <c r="B104" s="59" t="s">
        <v>13</v>
      </c>
      <c r="C104" s="50">
        <v>6500</v>
      </c>
      <c r="E104">
        <f t="shared" si="2"/>
        <v>-1609.9500000000007</v>
      </c>
    </row>
    <row r="105" spans="1:8" x14ac:dyDescent="0.25">
      <c r="A105" s="6">
        <v>43494</v>
      </c>
      <c r="B105" s="59" t="s">
        <v>94</v>
      </c>
      <c r="D105" s="54">
        <v>1550</v>
      </c>
      <c r="E105">
        <f t="shared" si="2"/>
        <v>-3159.9500000000007</v>
      </c>
    </row>
    <row r="106" spans="1:8" x14ac:dyDescent="0.25">
      <c r="A106" s="6">
        <v>43495</v>
      </c>
      <c r="B106" s="59">
        <v>503</v>
      </c>
      <c r="D106" s="54">
        <v>300</v>
      </c>
      <c r="E106">
        <f t="shared" si="2"/>
        <v>-3459.9500000000007</v>
      </c>
    </row>
    <row r="107" spans="1:8" x14ac:dyDescent="0.25">
      <c r="A107" s="6">
        <v>43496</v>
      </c>
      <c r="B107" s="59" t="s">
        <v>89</v>
      </c>
      <c r="D107" s="54">
        <v>500</v>
      </c>
      <c r="E107">
        <f t="shared" si="2"/>
        <v>-3959.9500000000007</v>
      </c>
    </row>
    <row r="108" spans="1:8" x14ac:dyDescent="0.25">
      <c r="A108" s="6">
        <v>43496</v>
      </c>
      <c r="B108" s="59" t="s">
        <v>90</v>
      </c>
      <c r="C108" s="50">
        <v>500</v>
      </c>
      <c r="E108">
        <f t="shared" si="2"/>
        <v>-3459.9500000000007</v>
      </c>
    </row>
    <row r="109" spans="1:8" x14ac:dyDescent="0.25">
      <c r="A109" s="6">
        <v>43496</v>
      </c>
      <c r="B109" s="59" t="s">
        <v>91</v>
      </c>
      <c r="C109" s="50">
        <v>500</v>
      </c>
      <c r="E109">
        <f t="shared" si="2"/>
        <v>-2959.9500000000007</v>
      </c>
    </row>
    <row r="110" spans="1:8" x14ac:dyDescent="0.25">
      <c r="A110" s="6">
        <v>43496</v>
      </c>
      <c r="B110" s="59" t="s">
        <v>92</v>
      </c>
      <c r="D110" s="54">
        <v>750</v>
      </c>
      <c r="E110">
        <f t="shared" si="2"/>
        <v>-3709.9500000000007</v>
      </c>
    </row>
    <row r="111" spans="1:8" x14ac:dyDescent="0.25">
      <c r="A111" s="6">
        <v>43496</v>
      </c>
      <c r="B111" s="59" t="s">
        <v>13</v>
      </c>
      <c r="C111" s="50">
        <v>2400</v>
      </c>
      <c r="E111">
        <f t="shared" si="2"/>
        <v>-1309.9500000000007</v>
      </c>
    </row>
    <row r="112" spans="1:8" x14ac:dyDescent="0.25">
      <c r="A112" s="6">
        <v>43497</v>
      </c>
      <c r="B112" s="59" t="s">
        <v>71</v>
      </c>
      <c r="D112" s="54">
        <v>3000</v>
      </c>
      <c r="E112">
        <f t="shared" si="2"/>
        <v>-4309.9500000000007</v>
      </c>
    </row>
    <row r="113" spans="1:5" x14ac:dyDescent="0.25">
      <c r="A113" s="6">
        <v>43498</v>
      </c>
      <c r="B113" s="59" t="s">
        <v>13</v>
      </c>
      <c r="C113" s="50">
        <v>7000</v>
      </c>
      <c r="E113">
        <f t="shared" si="2"/>
        <v>2690.0499999999993</v>
      </c>
    </row>
    <row r="114" spans="1:5" x14ac:dyDescent="0.25">
      <c r="A114" s="6">
        <v>43499</v>
      </c>
      <c r="B114" s="59" t="s">
        <v>84</v>
      </c>
      <c r="D114" s="54">
        <v>1000</v>
      </c>
      <c r="E114">
        <f t="shared" si="2"/>
        <v>1690.0499999999993</v>
      </c>
    </row>
    <row r="115" spans="1:5" x14ac:dyDescent="0.25">
      <c r="A115" s="6">
        <v>43499</v>
      </c>
      <c r="B115" s="59" t="s">
        <v>92</v>
      </c>
      <c r="D115" s="54">
        <v>2000</v>
      </c>
      <c r="E115">
        <f t="shared" si="2"/>
        <v>-309.95000000000073</v>
      </c>
    </row>
    <row r="116" spans="1:5" x14ac:dyDescent="0.25">
      <c r="A116" s="6">
        <v>43501</v>
      </c>
      <c r="B116" s="59" t="s">
        <v>96</v>
      </c>
      <c r="C116" s="50">
        <v>49.4</v>
      </c>
      <c r="E116">
        <f t="shared" si="2"/>
        <v>-260.55000000000075</v>
      </c>
    </row>
    <row r="117" spans="1:5" x14ac:dyDescent="0.25">
      <c r="A117" s="6">
        <v>43501</v>
      </c>
      <c r="B117" s="59" t="s">
        <v>95</v>
      </c>
      <c r="C117" s="50">
        <v>2000</v>
      </c>
      <c r="E117">
        <f t="shared" si="2"/>
        <v>1739.4499999999994</v>
      </c>
    </row>
    <row r="118" spans="1:5" x14ac:dyDescent="0.25">
      <c r="A118" s="6">
        <v>43502</v>
      </c>
      <c r="B118" s="59" t="s">
        <v>97</v>
      </c>
      <c r="C118" s="50">
        <v>1000</v>
      </c>
      <c r="E118">
        <f t="shared" si="2"/>
        <v>2739.4499999999994</v>
      </c>
    </row>
    <row r="119" spans="1:5" x14ac:dyDescent="0.25">
      <c r="A119" s="6">
        <v>43502</v>
      </c>
      <c r="B119" s="59" t="s">
        <v>98</v>
      </c>
      <c r="D119" s="54">
        <v>600</v>
      </c>
      <c r="E119">
        <f t="shared" si="2"/>
        <v>2139.4499999999994</v>
      </c>
    </row>
    <row r="120" spans="1:5" x14ac:dyDescent="0.25">
      <c r="A120" s="6">
        <v>43504</v>
      </c>
      <c r="B120" s="59" t="s">
        <v>72</v>
      </c>
      <c r="C120" s="50">
        <v>2500</v>
      </c>
      <c r="E120">
        <f t="shared" si="2"/>
        <v>4639.4499999999989</v>
      </c>
    </row>
    <row r="121" spans="1:5" x14ac:dyDescent="0.25">
      <c r="A121" s="6">
        <v>43505</v>
      </c>
      <c r="B121" s="59" t="s">
        <v>102</v>
      </c>
      <c r="D121" s="54">
        <v>2000</v>
      </c>
      <c r="E121">
        <f t="shared" si="2"/>
        <v>2639.4499999999989</v>
      </c>
    </row>
    <row r="122" spans="1:5" x14ac:dyDescent="0.25">
      <c r="A122" s="6">
        <v>43505</v>
      </c>
      <c r="B122" s="59" t="s">
        <v>103</v>
      </c>
      <c r="D122" s="54">
        <v>3000</v>
      </c>
      <c r="E122">
        <f t="shared" si="2"/>
        <v>-360.55000000000109</v>
      </c>
    </row>
    <row r="123" spans="1:5" x14ac:dyDescent="0.25">
      <c r="A123" s="6">
        <v>43508</v>
      </c>
      <c r="B123" s="59" t="s">
        <v>105</v>
      </c>
      <c r="D123" s="54">
        <v>100</v>
      </c>
      <c r="E123">
        <f t="shared" si="2"/>
        <v>-460.55000000000109</v>
      </c>
    </row>
    <row r="124" spans="1:5" x14ac:dyDescent="0.25">
      <c r="A124" s="6">
        <v>43510</v>
      </c>
      <c r="B124" s="59" t="s">
        <v>106</v>
      </c>
      <c r="C124" s="50">
        <v>3000</v>
      </c>
      <c r="E124">
        <f t="shared" si="2"/>
        <v>2539.4499999999989</v>
      </c>
    </row>
    <row r="125" spans="1:5" x14ac:dyDescent="0.25">
      <c r="A125" s="6">
        <v>43511</v>
      </c>
      <c r="B125" s="59" t="s">
        <v>106</v>
      </c>
      <c r="C125" s="50">
        <v>2100</v>
      </c>
      <c r="E125">
        <f t="shared" si="2"/>
        <v>4639.4499999999989</v>
      </c>
    </row>
    <row r="126" spans="1:5" x14ac:dyDescent="0.25">
      <c r="A126" s="6">
        <v>43512</v>
      </c>
      <c r="B126" s="59" t="s">
        <v>106</v>
      </c>
      <c r="C126" s="50">
        <v>1000</v>
      </c>
      <c r="E126">
        <f t="shared" si="2"/>
        <v>5639.4499999999989</v>
      </c>
    </row>
    <row r="127" spans="1:5" x14ac:dyDescent="0.25">
      <c r="A127" s="6">
        <v>43512</v>
      </c>
      <c r="B127" s="59" t="s">
        <v>106</v>
      </c>
      <c r="D127" s="54">
        <v>3000</v>
      </c>
      <c r="E127">
        <f t="shared" ref="E127:E190" si="3">E126-D127+C127</f>
        <v>2639.4499999999989</v>
      </c>
    </row>
    <row r="128" spans="1:5" x14ac:dyDescent="0.25">
      <c r="A128" s="6">
        <v>43514</v>
      </c>
      <c r="B128" s="59" t="s">
        <v>106</v>
      </c>
      <c r="D128" s="54">
        <v>1000</v>
      </c>
      <c r="E128">
        <f t="shared" si="3"/>
        <v>1639.4499999999989</v>
      </c>
    </row>
    <row r="129" spans="1:5" x14ac:dyDescent="0.25">
      <c r="A129" s="6">
        <v>43514</v>
      </c>
      <c r="B129" s="59" t="s">
        <v>106</v>
      </c>
      <c r="D129" s="54">
        <v>2000</v>
      </c>
      <c r="E129">
        <f t="shared" si="3"/>
        <v>-360.55000000000109</v>
      </c>
    </row>
    <row r="130" spans="1:5" x14ac:dyDescent="0.25">
      <c r="A130" s="6">
        <v>43515</v>
      </c>
      <c r="D130" s="54">
        <v>100</v>
      </c>
      <c r="E130">
        <f t="shared" si="3"/>
        <v>-460.55000000000109</v>
      </c>
    </row>
    <row r="131" spans="1:5" x14ac:dyDescent="0.25">
      <c r="A131" s="6">
        <v>43516</v>
      </c>
      <c r="B131" s="59" t="s">
        <v>60</v>
      </c>
      <c r="D131" s="54">
        <v>29.5</v>
      </c>
      <c r="E131">
        <f t="shared" si="3"/>
        <v>-490.05000000000109</v>
      </c>
    </row>
    <row r="132" spans="1:5" x14ac:dyDescent="0.25">
      <c r="A132" s="6">
        <v>43516</v>
      </c>
      <c r="C132" s="50">
        <v>10000</v>
      </c>
      <c r="E132">
        <f t="shared" si="3"/>
        <v>9509.9499999999989</v>
      </c>
    </row>
    <row r="133" spans="1:5" x14ac:dyDescent="0.25">
      <c r="A133" s="6">
        <v>43516</v>
      </c>
      <c r="B133" s="59" t="s">
        <v>58</v>
      </c>
      <c r="D133" s="54">
        <v>10000</v>
      </c>
      <c r="E133">
        <f t="shared" si="3"/>
        <v>-490.05000000000109</v>
      </c>
    </row>
    <row r="134" spans="1:5" x14ac:dyDescent="0.25">
      <c r="A134" s="6">
        <v>43516</v>
      </c>
      <c r="C134" s="50">
        <v>4000</v>
      </c>
      <c r="E134">
        <f t="shared" si="3"/>
        <v>3509.9499999999989</v>
      </c>
    </row>
    <row r="135" spans="1:5" x14ac:dyDescent="0.25">
      <c r="A135" s="6">
        <v>43517</v>
      </c>
      <c r="B135" s="59" t="s">
        <v>140</v>
      </c>
      <c r="E135">
        <f t="shared" si="3"/>
        <v>3509.9499999999989</v>
      </c>
    </row>
    <row r="136" spans="1:5" x14ac:dyDescent="0.25">
      <c r="A136" s="6">
        <v>43517</v>
      </c>
      <c r="B136" s="59" t="s">
        <v>112</v>
      </c>
      <c r="D136" s="56">
        <v>300</v>
      </c>
      <c r="E136">
        <f t="shared" si="3"/>
        <v>3209.9499999999989</v>
      </c>
    </row>
    <row r="137" spans="1:5" x14ac:dyDescent="0.25">
      <c r="A137" s="6">
        <v>43520</v>
      </c>
      <c r="B137" s="59" t="s">
        <v>116</v>
      </c>
      <c r="D137" s="54">
        <v>7000</v>
      </c>
      <c r="E137">
        <f t="shared" si="3"/>
        <v>-3790.0500000000011</v>
      </c>
    </row>
    <row r="138" spans="1:5" x14ac:dyDescent="0.25">
      <c r="A138" s="6">
        <v>43520</v>
      </c>
      <c r="B138" s="59" t="s">
        <v>116</v>
      </c>
      <c r="D138" s="54">
        <v>3000</v>
      </c>
      <c r="E138">
        <f t="shared" si="3"/>
        <v>-6790.0500000000011</v>
      </c>
    </row>
    <row r="139" spans="1:5" x14ac:dyDescent="0.25">
      <c r="A139" s="6">
        <v>43521</v>
      </c>
      <c r="B139" s="59" t="s">
        <v>13</v>
      </c>
      <c r="C139" s="50">
        <v>3000</v>
      </c>
      <c r="E139">
        <f t="shared" si="3"/>
        <v>-3790.0500000000011</v>
      </c>
    </row>
    <row r="140" spans="1:5" x14ac:dyDescent="0.25">
      <c r="A140" s="6">
        <v>43521</v>
      </c>
      <c r="B140" s="59" t="s">
        <v>119</v>
      </c>
      <c r="D140" s="54">
        <v>3000</v>
      </c>
      <c r="E140">
        <f t="shared" si="3"/>
        <v>-6790.0500000000011</v>
      </c>
    </row>
    <row r="141" spans="1:5" x14ac:dyDescent="0.25">
      <c r="A141" s="6">
        <v>43522</v>
      </c>
      <c r="B141" s="59" t="s">
        <v>13</v>
      </c>
      <c r="C141" s="50">
        <v>5000</v>
      </c>
      <c r="E141">
        <f t="shared" si="3"/>
        <v>-1790.0500000000011</v>
      </c>
    </row>
    <row r="142" spans="1:5" x14ac:dyDescent="0.25">
      <c r="A142" s="6">
        <v>43523</v>
      </c>
      <c r="B142" s="59" t="s">
        <v>74</v>
      </c>
      <c r="D142" s="54">
        <v>100</v>
      </c>
      <c r="E142">
        <f t="shared" si="3"/>
        <v>-1890.0500000000011</v>
      </c>
    </row>
    <row r="143" spans="1:5" x14ac:dyDescent="0.25">
      <c r="A143" s="6">
        <v>43523</v>
      </c>
      <c r="B143" s="59" t="s">
        <v>120</v>
      </c>
      <c r="D143" s="54">
        <v>5000</v>
      </c>
      <c r="E143">
        <f t="shared" si="3"/>
        <v>-6890.0500000000011</v>
      </c>
    </row>
    <row r="144" spans="1:5" x14ac:dyDescent="0.25">
      <c r="A144" s="6">
        <v>43523</v>
      </c>
      <c r="C144" s="50">
        <v>1000</v>
      </c>
      <c r="E144">
        <f t="shared" si="3"/>
        <v>-5890.0500000000011</v>
      </c>
    </row>
    <row r="145" spans="1:5" x14ac:dyDescent="0.25">
      <c r="A145" s="6">
        <v>43523</v>
      </c>
      <c r="D145" s="54">
        <v>3000</v>
      </c>
      <c r="E145">
        <f t="shared" si="3"/>
        <v>-8890.0500000000011</v>
      </c>
    </row>
    <row r="146" spans="1:5" x14ac:dyDescent="0.25">
      <c r="A146" s="6">
        <v>43524</v>
      </c>
      <c r="B146" s="59" t="s">
        <v>124</v>
      </c>
      <c r="C146" s="50">
        <v>5500</v>
      </c>
      <c r="E146">
        <f t="shared" si="3"/>
        <v>-3390.0500000000011</v>
      </c>
    </row>
    <row r="147" spans="1:5" x14ac:dyDescent="0.25">
      <c r="A147" s="6">
        <v>43524</v>
      </c>
      <c r="B147" s="59" t="s">
        <v>123</v>
      </c>
      <c r="D147" s="54">
        <v>500</v>
      </c>
      <c r="E147">
        <f t="shared" si="3"/>
        <v>-3890.0500000000011</v>
      </c>
    </row>
    <row r="148" spans="1:5" x14ac:dyDescent="0.25">
      <c r="A148" s="6">
        <v>43524</v>
      </c>
      <c r="B148" s="59">
        <v>503</v>
      </c>
      <c r="D148" s="54">
        <v>1000</v>
      </c>
      <c r="E148">
        <f t="shared" si="3"/>
        <v>-4890.0500000000011</v>
      </c>
    </row>
    <row r="149" spans="1:5" x14ac:dyDescent="0.25">
      <c r="A149" s="6">
        <v>43524</v>
      </c>
      <c r="B149" s="59" t="s">
        <v>13</v>
      </c>
      <c r="C149" s="50">
        <v>6000</v>
      </c>
      <c r="E149">
        <f t="shared" si="3"/>
        <v>1109.9499999999989</v>
      </c>
    </row>
    <row r="150" spans="1:5" x14ac:dyDescent="0.25">
      <c r="A150" s="6">
        <v>43524</v>
      </c>
      <c r="B150" s="59" t="s">
        <v>131</v>
      </c>
      <c r="D150" s="54">
        <v>7200</v>
      </c>
      <c r="E150">
        <f t="shared" si="3"/>
        <v>-6090.0500000000011</v>
      </c>
    </row>
    <row r="151" spans="1:5" x14ac:dyDescent="0.25">
      <c r="A151" s="6">
        <v>43526</v>
      </c>
      <c r="B151" s="59" t="s">
        <v>46</v>
      </c>
      <c r="C151" s="50">
        <v>253.23</v>
      </c>
      <c r="E151">
        <f t="shared" si="3"/>
        <v>-5836.8200000000015</v>
      </c>
    </row>
    <row r="152" spans="1:5" x14ac:dyDescent="0.25">
      <c r="A152" s="6">
        <v>43526</v>
      </c>
      <c r="B152" s="59" t="s">
        <v>130</v>
      </c>
      <c r="D152" s="54">
        <v>1500</v>
      </c>
      <c r="E152">
        <f t="shared" si="3"/>
        <v>-7336.8200000000015</v>
      </c>
    </row>
    <row r="153" spans="1:5" x14ac:dyDescent="0.25">
      <c r="A153" s="6">
        <v>43526</v>
      </c>
      <c r="B153" s="59" t="s">
        <v>134</v>
      </c>
      <c r="D153" s="54">
        <v>500</v>
      </c>
      <c r="E153">
        <f t="shared" si="3"/>
        <v>-7836.8200000000015</v>
      </c>
    </row>
    <row r="154" spans="1:5" x14ac:dyDescent="0.25">
      <c r="A154" s="6">
        <v>43526</v>
      </c>
      <c r="B154" s="59" t="s">
        <v>13</v>
      </c>
      <c r="C154" s="50">
        <v>2000</v>
      </c>
      <c r="E154">
        <f t="shared" si="3"/>
        <v>-5836.8200000000015</v>
      </c>
    </row>
    <row r="155" spans="1:5" x14ac:dyDescent="0.25">
      <c r="A155" s="6">
        <v>43526</v>
      </c>
      <c r="B155" s="59" t="s">
        <v>95</v>
      </c>
      <c r="C155" s="50">
        <v>2000</v>
      </c>
      <c r="E155">
        <f t="shared" si="3"/>
        <v>-3836.8200000000015</v>
      </c>
    </row>
    <row r="156" spans="1:5" x14ac:dyDescent="0.25">
      <c r="A156" s="6">
        <v>43527</v>
      </c>
      <c r="B156" s="59" t="s">
        <v>137</v>
      </c>
      <c r="D156" s="54">
        <v>3500</v>
      </c>
      <c r="E156">
        <f t="shared" si="3"/>
        <v>-7336.8200000000015</v>
      </c>
    </row>
    <row r="157" spans="1:5" x14ac:dyDescent="0.25">
      <c r="A157" s="6">
        <v>43527</v>
      </c>
      <c r="B157" s="59" t="s">
        <v>138</v>
      </c>
      <c r="D157" s="54">
        <v>200</v>
      </c>
      <c r="E157">
        <f t="shared" si="3"/>
        <v>-7536.8200000000015</v>
      </c>
    </row>
    <row r="158" spans="1:5" x14ac:dyDescent="0.25">
      <c r="A158" s="6">
        <v>43527</v>
      </c>
      <c r="B158" s="59" t="s">
        <v>139</v>
      </c>
      <c r="D158" s="54">
        <v>1400</v>
      </c>
      <c r="E158">
        <f t="shared" si="3"/>
        <v>-8936.8200000000015</v>
      </c>
    </row>
    <row r="159" spans="1:5" x14ac:dyDescent="0.25">
      <c r="A159" s="6">
        <v>43529</v>
      </c>
      <c r="B159" s="59" t="s">
        <v>143</v>
      </c>
      <c r="E159">
        <f t="shared" si="3"/>
        <v>-8936.8200000000015</v>
      </c>
    </row>
    <row r="160" spans="1:5" x14ac:dyDescent="0.25">
      <c r="A160" s="6">
        <v>43529</v>
      </c>
      <c r="B160" s="59" t="s">
        <v>95</v>
      </c>
      <c r="C160" s="50">
        <v>6000</v>
      </c>
      <c r="E160">
        <f t="shared" si="3"/>
        <v>-2936.8200000000015</v>
      </c>
    </row>
    <row r="161" spans="1:5" x14ac:dyDescent="0.25">
      <c r="A161" s="6">
        <v>43529</v>
      </c>
      <c r="B161" s="59" t="s">
        <v>144</v>
      </c>
      <c r="D161" s="54">
        <v>2000</v>
      </c>
      <c r="E161">
        <f t="shared" si="3"/>
        <v>-4936.8200000000015</v>
      </c>
    </row>
    <row r="162" spans="1:5" x14ac:dyDescent="0.25">
      <c r="A162" s="6">
        <v>43529</v>
      </c>
      <c r="B162" s="59" t="s">
        <v>147</v>
      </c>
      <c r="D162" s="54">
        <v>1600</v>
      </c>
      <c r="E162">
        <f t="shared" si="3"/>
        <v>-6536.8200000000015</v>
      </c>
    </row>
    <row r="163" spans="1:5" x14ac:dyDescent="0.25">
      <c r="A163" s="6">
        <v>43529</v>
      </c>
      <c r="B163" s="59" t="s">
        <v>146</v>
      </c>
      <c r="D163" s="54">
        <v>1500</v>
      </c>
      <c r="E163">
        <f t="shared" si="3"/>
        <v>-8036.8200000000015</v>
      </c>
    </row>
    <row r="164" spans="1:5" x14ac:dyDescent="0.25">
      <c r="A164" s="6">
        <v>43529</v>
      </c>
      <c r="B164" s="59" t="s">
        <v>121</v>
      </c>
      <c r="C164" s="50">
        <v>2000</v>
      </c>
      <c r="E164">
        <f t="shared" si="3"/>
        <v>-6036.8200000000015</v>
      </c>
    </row>
    <row r="165" spans="1:5" x14ac:dyDescent="0.25">
      <c r="A165" s="6">
        <v>43529</v>
      </c>
      <c r="B165" s="59" t="s">
        <v>148</v>
      </c>
      <c r="D165" s="54">
        <v>2000</v>
      </c>
      <c r="E165">
        <f t="shared" si="3"/>
        <v>-8036.8200000000015</v>
      </c>
    </row>
    <row r="166" spans="1:5" x14ac:dyDescent="0.25">
      <c r="A166" s="6">
        <v>43529</v>
      </c>
      <c r="B166" s="59" t="s">
        <v>13</v>
      </c>
      <c r="C166" s="50">
        <v>10500</v>
      </c>
      <c r="E166">
        <f t="shared" si="3"/>
        <v>2463.1799999999985</v>
      </c>
    </row>
    <row r="167" spans="1:5" x14ac:dyDescent="0.25">
      <c r="A167" s="6">
        <v>43530</v>
      </c>
      <c r="B167" s="59" t="s">
        <v>151</v>
      </c>
      <c r="D167" s="54">
        <v>5000</v>
      </c>
      <c r="E167">
        <f t="shared" si="3"/>
        <v>-2536.8200000000015</v>
      </c>
    </row>
    <row r="168" spans="1:5" x14ac:dyDescent="0.25">
      <c r="A168" s="6">
        <v>43531</v>
      </c>
      <c r="C168" s="50">
        <v>1500</v>
      </c>
      <c r="E168">
        <f t="shared" si="3"/>
        <v>-1036.8200000000015</v>
      </c>
    </row>
    <row r="169" spans="1:5" x14ac:dyDescent="0.25">
      <c r="A169" s="6">
        <v>43531</v>
      </c>
      <c r="B169" s="59">
        <v>630</v>
      </c>
      <c r="D169" s="54">
        <v>2000</v>
      </c>
      <c r="E169">
        <f t="shared" si="3"/>
        <v>-3036.8200000000015</v>
      </c>
    </row>
    <row r="170" spans="1:5" x14ac:dyDescent="0.25">
      <c r="A170" s="6">
        <v>43531</v>
      </c>
      <c r="B170" s="59">
        <v>631</v>
      </c>
      <c r="D170" s="54">
        <v>500</v>
      </c>
      <c r="E170">
        <f t="shared" si="3"/>
        <v>-3536.8200000000015</v>
      </c>
    </row>
    <row r="171" spans="1:5" x14ac:dyDescent="0.25">
      <c r="A171" s="6">
        <v>43532</v>
      </c>
      <c r="B171" s="59">
        <v>630</v>
      </c>
      <c r="C171" s="50">
        <v>1000</v>
      </c>
      <c r="E171">
        <f t="shared" si="3"/>
        <v>-2536.8200000000015</v>
      </c>
    </row>
    <row r="172" spans="1:5" x14ac:dyDescent="0.25">
      <c r="A172" s="6">
        <v>43532</v>
      </c>
      <c r="B172" s="59" t="s">
        <v>57</v>
      </c>
      <c r="D172" s="54">
        <v>2000</v>
      </c>
      <c r="E172">
        <f t="shared" si="3"/>
        <v>-4536.8200000000015</v>
      </c>
    </row>
    <row r="173" spans="1:5" x14ac:dyDescent="0.25">
      <c r="A173" s="6">
        <v>43532</v>
      </c>
      <c r="B173" s="59" t="s">
        <v>152</v>
      </c>
      <c r="D173" s="54">
        <v>1800</v>
      </c>
      <c r="E173">
        <f t="shared" si="3"/>
        <v>-6336.8200000000015</v>
      </c>
    </row>
    <row r="174" spans="1:5" x14ac:dyDescent="0.25">
      <c r="A174" s="6">
        <v>43532</v>
      </c>
      <c r="B174" s="59" t="s">
        <v>153</v>
      </c>
      <c r="D174" s="54">
        <v>1500</v>
      </c>
      <c r="E174">
        <f t="shared" si="3"/>
        <v>-7836.8200000000015</v>
      </c>
    </row>
    <row r="175" spans="1:5" x14ac:dyDescent="0.25">
      <c r="A175" s="6">
        <v>43532</v>
      </c>
      <c r="B175" s="59" t="s">
        <v>64</v>
      </c>
      <c r="C175" s="50">
        <v>1000</v>
      </c>
      <c r="E175">
        <f t="shared" si="3"/>
        <v>-6836.8200000000015</v>
      </c>
    </row>
    <row r="176" spans="1:5" x14ac:dyDescent="0.25">
      <c r="A176" s="6">
        <v>43533</v>
      </c>
      <c r="B176" s="59" t="s">
        <v>156</v>
      </c>
      <c r="C176" s="50">
        <v>3000</v>
      </c>
      <c r="E176">
        <f t="shared" si="3"/>
        <v>-3836.8200000000015</v>
      </c>
    </row>
    <row r="177" spans="1:5" x14ac:dyDescent="0.25">
      <c r="A177" s="6">
        <v>43535</v>
      </c>
      <c r="B177" s="59" t="s">
        <v>140</v>
      </c>
      <c r="C177" s="50">
        <v>500</v>
      </c>
      <c r="E177">
        <f t="shared" si="3"/>
        <v>-3336.8200000000015</v>
      </c>
    </row>
    <row r="178" spans="1:5" x14ac:dyDescent="0.25">
      <c r="A178" s="6">
        <v>43535</v>
      </c>
      <c r="B178" s="59" t="s">
        <v>158</v>
      </c>
      <c r="D178" s="54">
        <v>1000</v>
      </c>
      <c r="E178">
        <f t="shared" si="3"/>
        <v>-4336.8200000000015</v>
      </c>
    </row>
    <row r="179" spans="1:5" x14ac:dyDescent="0.25">
      <c r="A179" s="6">
        <v>43535</v>
      </c>
      <c r="B179" s="59" t="s">
        <v>159</v>
      </c>
      <c r="D179" s="54">
        <v>1000</v>
      </c>
      <c r="E179">
        <f t="shared" si="3"/>
        <v>-5336.8200000000015</v>
      </c>
    </row>
    <row r="180" spans="1:5" x14ac:dyDescent="0.25">
      <c r="A180" s="6">
        <v>43535</v>
      </c>
      <c r="B180" s="59" t="s">
        <v>160</v>
      </c>
      <c r="D180" s="54">
        <v>500</v>
      </c>
      <c r="E180">
        <f t="shared" si="3"/>
        <v>-5836.8200000000015</v>
      </c>
    </row>
    <row r="181" spans="1:5" x14ac:dyDescent="0.25">
      <c r="A181" s="6">
        <v>43536</v>
      </c>
      <c r="B181" s="59" t="s">
        <v>13</v>
      </c>
      <c r="C181" s="50">
        <v>6000</v>
      </c>
      <c r="E181">
        <f t="shared" si="3"/>
        <v>163.17999999999847</v>
      </c>
    </row>
    <row r="182" spans="1:5" x14ac:dyDescent="0.25">
      <c r="A182" s="6">
        <v>43537</v>
      </c>
      <c r="D182" s="54">
        <v>2000</v>
      </c>
      <c r="E182">
        <f t="shared" si="3"/>
        <v>-1836.8200000000015</v>
      </c>
    </row>
    <row r="183" spans="1:5" x14ac:dyDescent="0.25">
      <c r="A183" s="6">
        <v>43537</v>
      </c>
      <c r="B183" s="59" t="s">
        <v>161</v>
      </c>
      <c r="D183" s="54">
        <v>4700</v>
      </c>
      <c r="E183">
        <f t="shared" si="3"/>
        <v>-6536.8200000000015</v>
      </c>
    </row>
    <row r="184" spans="1:5" x14ac:dyDescent="0.25">
      <c r="A184" s="6">
        <v>43538</v>
      </c>
      <c r="B184" s="59" t="s">
        <v>62</v>
      </c>
      <c r="D184" s="54">
        <v>100</v>
      </c>
      <c r="E184">
        <f t="shared" si="3"/>
        <v>-6636.8200000000015</v>
      </c>
    </row>
    <row r="185" spans="1:5" x14ac:dyDescent="0.25">
      <c r="A185" s="6">
        <v>43538</v>
      </c>
      <c r="B185" s="59" t="s">
        <v>13</v>
      </c>
      <c r="C185" s="50">
        <v>19000</v>
      </c>
      <c r="E185">
        <f t="shared" si="3"/>
        <v>12363.179999999998</v>
      </c>
    </row>
    <row r="186" spans="1:5" x14ac:dyDescent="0.25">
      <c r="A186" s="6">
        <v>43538</v>
      </c>
      <c r="B186" s="59" t="s">
        <v>165</v>
      </c>
      <c r="D186" s="54">
        <v>5000</v>
      </c>
      <c r="E186">
        <f t="shared" si="3"/>
        <v>7363.1799999999985</v>
      </c>
    </row>
    <row r="187" spans="1:5" x14ac:dyDescent="0.25">
      <c r="A187" s="6">
        <v>43538</v>
      </c>
      <c r="B187" s="59" t="s">
        <v>166</v>
      </c>
      <c r="D187" s="54">
        <v>8000</v>
      </c>
      <c r="E187">
        <f t="shared" si="3"/>
        <v>-636.82000000000153</v>
      </c>
    </row>
    <row r="188" spans="1:5" x14ac:dyDescent="0.25">
      <c r="A188" s="6">
        <v>43538</v>
      </c>
      <c r="B188" s="59" t="s">
        <v>168</v>
      </c>
      <c r="D188" s="54">
        <v>8000</v>
      </c>
      <c r="E188">
        <f t="shared" si="3"/>
        <v>-8636.8200000000015</v>
      </c>
    </row>
    <row r="189" spans="1:5" x14ac:dyDescent="0.25">
      <c r="A189" s="6">
        <v>43538</v>
      </c>
      <c r="B189" s="59" t="s">
        <v>95</v>
      </c>
      <c r="C189" s="50">
        <v>2000</v>
      </c>
      <c r="E189">
        <f t="shared" si="3"/>
        <v>-6636.8200000000015</v>
      </c>
    </row>
    <row r="190" spans="1:5" x14ac:dyDescent="0.25">
      <c r="A190" s="6">
        <v>43540</v>
      </c>
      <c r="B190" s="59" t="s">
        <v>169</v>
      </c>
      <c r="D190" s="54">
        <v>400</v>
      </c>
      <c r="E190">
        <f t="shared" si="3"/>
        <v>-7036.8200000000015</v>
      </c>
    </row>
    <row r="191" spans="1:5" x14ac:dyDescent="0.25">
      <c r="A191" s="6">
        <v>43542</v>
      </c>
      <c r="B191" s="59" t="s">
        <v>95</v>
      </c>
      <c r="C191" s="50">
        <v>3000</v>
      </c>
      <c r="E191">
        <f t="shared" ref="E191:E254" si="4">E190-D191+C191</f>
        <v>-4036.8200000000015</v>
      </c>
    </row>
    <row r="192" spans="1:5" x14ac:dyDescent="0.25">
      <c r="A192" s="6">
        <v>43542</v>
      </c>
      <c r="B192" s="59" t="s">
        <v>170</v>
      </c>
      <c r="D192" s="54">
        <v>3000</v>
      </c>
      <c r="E192">
        <f t="shared" si="4"/>
        <v>-7036.8200000000015</v>
      </c>
    </row>
    <row r="193" spans="1:5" x14ac:dyDescent="0.25">
      <c r="A193" s="6">
        <v>43544</v>
      </c>
      <c r="B193" s="59" t="s">
        <v>171</v>
      </c>
      <c r="D193" s="54">
        <v>1100</v>
      </c>
      <c r="E193">
        <f t="shared" si="4"/>
        <v>-8136.8200000000015</v>
      </c>
    </row>
    <row r="194" spans="1:5" x14ac:dyDescent="0.25">
      <c r="A194" s="6">
        <v>43547</v>
      </c>
      <c r="B194" s="59" t="s">
        <v>176</v>
      </c>
      <c r="C194" s="50">
        <v>500</v>
      </c>
      <c r="E194">
        <f t="shared" si="4"/>
        <v>-7636.8200000000015</v>
      </c>
    </row>
    <row r="195" spans="1:5" x14ac:dyDescent="0.25">
      <c r="A195" s="6">
        <v>43548</v>
      </c>
      <c r="B195" s="59">
        <v>630</v>
      </c>
      <c r="D195" s="54">
        <v>1000</v>
      </c>
      <c r="E195">
        <f t="shared" si="4"/>
        <v>-8636.8200000000015</v>
      </c>
    </row>
    <row r="196" spans="1:5" x14ac:dyDescent="0.25">
      <c r="A196" s="6">
        <v>43550</v>
      </c>
      <c r="B196" s="59">
        <v>636</v>
      </c>
      <c r="D196" s="54">
        <v>200</v>
      </c>
      <c r="E196">
        <f t="shared" si="4"/>
        <v>-8836.8200000000015</v>
      </c>
    </row>
    <row r="197" spans="1:5" x14ac:dyDescent="0.25">
      <c r="A197" s="6">
        <v>43551</v>
      </c>
      <c r="B197" s="59" t="s">
        <v>13</v>
      </c>
      <c r="C197" s="50">
        <v>29000</v>
      </c>
      <c r="E197">
        <f t="shared" si="4"/>
        <v>20163.18</v>
      </c>
    </row>
    <row r="198" spans="1:5" x14ac:dyDescent="0.25">
      <c r="A198" s="6">
        <v>43551</v>
      </c>
      <c r="B198" s="59" t="s">
        <v>177</v>
      </c>
      <c r="D198" s="54">
        <v>10000</v>
      </c>
      <c r="E198">
        <f t="shared" si="4"/>
        <v>10163.18</v>
      </c>
    </row>
    <row r="199" spans="1:5" x14ac:dyDescent="0.25">
      <c r="A199" s="6">
        <v>43551</v>
      </c>
      <c r="B199" s="59" t="s">
        <v>178</v>
      </c>
      <c r="D199" s="54">
        <v>3000</v>
      </c>
      <c r="E199">
        <f t="shared" si="4"/>
        <v>7163.18</v>
      </c>
    </row>
    <row r="200" spans="1:5" x14ac:dyDescent="0.25">
      <c r="A200" s="6">
        <v>43551</v>
      </c>
      <c r="B200" s="59" t="s">
        <v>179</v>
      </c>
      <c r="D200" s="54">
        <v>1150</v>
      </c>
      <c r="E200">
        <f t="shared" si="4"/>
        <v>6013.18</v>
      </c>
    </row>
    <row r="201" spans="1:5" x14ac:dyDescent="0.25">
      <c r="A201" s="6">
        <v>43551</v>
      </c>
      <c r="B201" s="59" t="s">
        <v>160</v>
      </c>
      <c r="D201" s="54">
        <v>500</v>
      </c>
      <c r="E201">
        <f t="shared" si="4"/>
        <v>5513.18</v>
      </c>
    </row>
    <row r="202" spans="1:5" x14ac:dyDescent="0.25">
      <c r="A202" s="6">
        <v>43552</v>
      </c>
      <c r="B202" s="59" t="s">
        <v>160</v>
      </c>
      <c r="D202" s="54">
        <v>1000</v>
      </c>
      <c r="E202">
        <f t="shared" si="4"/>
        <v>4513.18</v>
      </c>
    </row>
    <row r="203" spans="1:5" x14ac:dyDescent="0.25">
      <c r="A203" s="6">
        <v>43552</v>
      </c>
      <c r="D203" s="54">
        <v>10000</v>
      </c>
      <c r="E203">
        <f t="shared" si="4"/>
        <v>-5486.82</v>
      </c>
    </row>
    <row r="204" spans="1:5" x14ac:dyDescent="0.25">
      <c r="A204" s="6">
        <v>43554</v>
      </c>
      <c r="B204" s="59" t="s">
        <v>13</v>
      </c>
      <c r="D204" s="54">
        <v>2000</v>
      </c>
      <c r="E204">
        <f t="shared" si="4"/>
        <v>-7486.82</v>
      </c>
    </row>
    <row r="205" spans="1:5" x14ac:dyDescent="0.25">
      <c r="A205" s="6">
        <v>43559</v>
      </c>
      <c r="B205" s="59" t="s">
        <v>160</v>
      </c>
      <c r="D205" s="54">
        <v>1000</v>
      </c>
      <c r="E205">
        <f t="shared" si="4"/>
        <v>-8486.82</v>
      </c>
    </row>
    <row r="206" spans="1:5" x14ac:dyDescent="0.25">
      <c r="A206" s="6">
        <v>43559</v>
      </c>
      <c r="B206" s="59" t="s">
        <v>160</v>
      </c>
      <c r="D206" s="54">
        <v>500</v>
      </c>
      <c r="E206">
        <f t="shared" si="4"/>
        <v>-8986.82</v>
      </c>
    </row>
    <row r="207" spans="1:5" x14ac:dyDescent="0.25">
      <c r="A207" s="6">
        <v>43559</v>
      </c>
      <c r="B207" s="59" t="s">
        <v>3</v>
      </c>
      <c r="C207" s="50">
        <v>4600</v>
      </c>
      <c r="E207">
        <f t="shared" si="4"/>
        <v>-4386.82</v>
      </c>
    </row>
    <row r="208" spans="1:5" x14ac:dyDescent="0.25">
      <c r="A208" s="6">
        <v>43561</v>
      </c>
      <c r="B208" s="59" t="s">
        <v>97</v>
      </c>
      <c r="C208" s="50">
        <v>8500</v>
      </c>
      <c r="E208">
        <f t="shared" si="4"/>
        <v>4113.18</v>
      </c>
    </row>
    <row r="209" spans="1:6" x14ac:dyDescent="0.25">
      <c r="A209" s="6">
        <v>43565</v>
      </c>
      <c r="B209" s="59" t="s">
        <v>182</v>
      </c>
      <c r="D209" s="57">
        <v>5000</v>
      </c>
      <c r="E209">
        <f t="shared" si="4"/>
        <v>-886.81999999999971</v>
      </c>
      <c r="F209" s="1">
        <v>5000</v>
      </c>
    </row>
    <row r="210" spans="1:6" x14ac:dyDescent="0.25">
      <c r="A210" s="6">
        <v>43565</v>
      </c>
      <c r="B210" s="59" t="s">
        <v>183</v>
      </c>
      <c r="D210" s="54">
        <v>2300</v>
      </c>
      <c r="E210">
        <f t="shared" si="4"/>
        <v>-3186.8199999999997</v>
      </c>
    </row>
    <row r="211" spans="1:6" x14ac:dyDescent="0.25">
      <c r="A211" s="6">
        <v>43565</v>
      </c>
      <c r="B211" s="59" t="s">
        <v>184</v>
      </c>
      <c r="D211" s="54">
        <v>2000</v>
      </c>
      <c r="E211">
        <f t="shared" si="4"/>
        <v>-5186.82</v>
      </c>
    </row>
    <row r="212" spans="1:6" x14ac:dyDescent="0.25">
      <c r="A212" s="6">
        <v>43565</v>
      </c>
      <c r="B212" s="59" t="s">
        <v>185</v>
      </c>
      <c r="D212" s="54">
        <v>1500</v>
      </c>
      <c r="E212">
        <f t="shared" si="4"/>
        <v>-6686.82</v>
      </c>
    </row>
    <row r="213" spans="1:6" x14ac:dyDescent="0.25">
      <c r="A213" s="6">
        <v>43565</v>
      </c>
      <c r="B213" s="59" t="s">
        <v>186</v>
      </c>
      <c r="D213" s="54">
        <v>1000</v>
      </c>
      <c r="E213">
        <f t="shared" si="4"/>
        <v>-7686.82</v>
      </c>
    </row>
    <row r="214" spans="1:6" x14ac:dyDescent="0.25">
      <c r="A214" s="6">
        <v>43566</v>
      </c>
      <c r="B214" s="59" t="s">
        <v>190</v>
      </c>
      <c r="D214" s="54">
        <v>300</v>
      </c>
      <c r="E214">
        <f t="shared" si="4"/>
        <v>-7986.82</v>
      </c>
    </row>
    <row r="215" spans="1:6" x14ac:dyDescent="0.25">
      <c r="A215" s="6">
        <v>43567</v>
      </c>
      <c r="B215" s="59" t="s">
        <v>13</v>
      </c>
      <c r="C215" s="50">
        <v>2000</v>
      </c>
      <c r="E215">
        <f t="shared" si="4"/>
        <v>-5986.82</v>
      </c>
    </row>
    <row r="216" spans="1:6" x14ac:dyDescent="0.25">
      <c r="A216" s="6">
        <v>43567</v>
      </c>
      <c r="B216" s="59" t="s">
        <v>192</v>
      </c>
      <c r="D216" s="54">
        <v>1500</v>
      </c>
      <c r="E216">
        <f t="shared" si="4"/>
        <v>-7486.82</v>
      </c>
    </row>
    <row r="217" spans="1:6" x14ac:dyDescent="0.25">
      <c r="A217" s="6">
        <v>43567</v>
      </c>
      <c r="B217" s="59" t="s">
        <v>196</v>
      </c>
      <c r="C217" s="50">
        <v>944</v>
      </c>
      <c r="E217">
        <f t="shared" si="4"/>
        <v>-6542.82</v>
      </c>
    </row>
    <row r="218" spans="1:6" x14ac:dyDescent="0.25">
      <c r="A218" s="6">
        <v>43570</v>
      </c>
      <c r="B218" s="59" t="s">
        <v>13</v>
      </c>
      <c r="C218" s="50">
        <v>14000</v>
      </c>
      <c r="E218">
        <f t="shared" si="4"/>
        <v>7457.18</v>
      </c>
    </row>
    <row r="219" spans="1:6" x14ac:dyDescent="0.25">
      <c r="A219" s="6">
        <v>43570</v>
      </c>
      <c r="B219" s="59" t="s">
        <v>198</v>
      </c>
      <c r="D219" s="54">
        <v>7000</v>
      </c>
      <c r="E219">
        <f t="shared" si="4"/>
        <v>457.18000000000029</v>
      </c>
    </row>
    <row r="220" spans="1:6" x14ac:dyDescent="0.25">
      <c r="A220" s="6">
        <v>43570</v>
      </c>
      <c r="B220" s="59" t="s">
        <v>199</v>
      </c>
      <c r="D220" s="54">
        <v>7000</v>
      </c>
      <c r="E220">
        <f t="shared" si="4"/>
        <v>-6542.82</v>
      </c>
    </row>
    <row r="221" spans="1:6" x14ac:dyDescent="0.25">
      <c r="A221" s="6">
        <v>43570</v>
      </c>
      <c r="B221" s="59" t="s">
        <v>201</v>
      </c>
      <c r="C221" s="50">
        <v>320</v>
      </c>
      <c r="E221">
        <f t="shared" si="4"/>
        <v>-6222.82</v>
      </c>
    </row>
    <row r="222" spans="1:6" s="22" customFormat="1" x14ac:dyDescent="0.25">
      <c r="A222" s="6">
        <v>43571</v>
      </c>
      <c r="B222" s="59" t="s">
        <v>74</v>
      </c>
      <c r="C222" s="50"/>
      <c r="D222" s="54">
        <v>100</v>
      </c>
      <c r="E222" s="22">
        <f t="shared" si="4"/>
        <v>-6322.82</v>
      </c>
    </row>
    <row r="223" spans="1:6" x14ac:dyDescent="0.25">
      <c r="A223" s="6">
        <v>43573</v>
      </c>
      <c r="B223" s="59" t="s">
        <v>129</v>
      </c>
      <c r="D223" s="54">
        <v>2200</v>
      </c>
      <c r="E223" s="22">
        <f t="shared" si="4"/>
        <v>-8522.82</v>
      </c>
    </row>
    <row r="224" spans="1:6" x14ac:dyDescent="0.25">
      <c r="A224" s="6">
        <v>43573</v>
      </c>
      <c r="B224" s="59" t="s">
        <v>200</v>
      </c>
      <c r="C224" s="50">
        <v>2200</v>
      </c>
      <c r="E224" s="22">
        <f t="shared" si="4"/>
        <v>-6322.82</v>
      </c>
    </row>
    <row r="225" spans="1:5" x14ac:dyDescent="0.25">
      <c r="A225" s="6">
        <v>43574</v>
      </c>
      <c r="C225" s="50">
        <v>3000</v>
      </c>
      <c r="E225" s="22">
        <f t="shared" si="4"/>
        <v>-3322.8199999999997</v>
      </c>
    </row>
    <row r="226" spans="1:5" x14ac:dyDescent="0.25">
      <c r="A226" s="6">
        <v>43575</v>
      </c>
      <c r="B226" s="59" t="s">
        <v>74</v>
      </c>
      <c r="D226" s="54">
        <v>100</v>
      </c>
      <c r="E226" s="22">
        <f t="shared" si="4"/>
        <v>-3422.8199999999997</v>
      </c>
    </row>
    <row r="227" spans="1:5" x14ac:dyDescent="0.25">
      <c r="A227" s="6">
        <v>43577</v>
      </c>
      <c r="B227" s="59" t="s">
        <v>3</v>
      </c>
      <c r="D227" s="54">
        <v>2500</v>
      </c>
      <c r="E227" s="22">
        <f t="shared" si="4"/>
        <v>-5922.82</v>
      </c>
    </row>
    <row r="228" spans="1:5" x14ac:dyDescent="0.25">
      <c r="A228" s="6">
        <v>43578</v>
      </c>
      <c r="B228" s="59" t="s">
        <v>74</v>
      </c>
      <c r="D228" s="54">
        <v>100</v>
      </c>
      <c r="E228" s="22">
        <f t="shared" si="4"/>
        <v>-6022.82</v>
      </c>
    </row>
    <row r="229" spans="1:5" x14ac:dyDescent="0.25">
      <c r="A229" s="6">
        <v>43578</v>
      </c>
      <c r="D229" s="54">
        <v>1200</v>
      </c>
      <c r="E229" s="22">
        <f t="shared" si="4"/>
        <v>-7222.82</v>
      </c>
    </row>
    <row r="230" spans="1:5" x14ac:dyDescent="0.25">
      <c r="A230" s="6">
        <v>43580</v>
      </c>
      <c r="B230" s="59" t="s">
        <v>160</v>
      </c>
      <c r="D230" s="54">
        <v>100</v>
      </c>
      <c r="E230" s="22">
        <f t="shared" si="4"/>
        <v>-7322.82</v>
      </c>
    </row>
    <row r="231" spans="1:5" x14ac:dyDescent="0.25">
      <c r="A231" s="6">
        <v>43580</v>
      </c>
      <c r="B231" s="59" t="s">
        <v>160</v>
      </c>
      <c r="D231" s="54">
        <v>100</v>
      </c>
      <c r="E231" s="22">
        <f t="shared" si="4"/>
        <v>-7422.82</v>
      </c>
    </row>
    <row r="232" spans="1:5" x14ac:dyDescent="0.25">
      <c r="A232" s="6">
        <v>43585</v>
      </c>
      <c r="B232" s="59" t="s">
        <v>207</v>
      </c>
      <c r="D232" s="54">
        <v>200</v>
      </c>
      <c r="E232" s="22">
        <f t="shared" si="4"/>
        <v>-7622.82</v>
      </c>
    </row>
    <row r="233" spans="1:5" x14ac:dyDescent="0.25">
      <c r="A233" s="6">
        <v>43587</v>
      </c>
      <c r="B233" s="59" t="s">
        <v>210</v>
      </c>
      <c r="D233" s="54">
        <v>100</v>
      </c>
      <c r="E233" s="22">
        <f t="shared" si="4"/>
        <v>-7722.82</v>
      </c>
    </row>
    <row r="234" spans="1:5" x14ac:dyDescent="0.25">
      <c r="A234" s="6">
        <v>43587</v>
      </c>
      <c r="B234" s="59" t="s">
        <v>212</v>
      </c>
      <c r="D234" s="54">
        <v>100</v>
      </c>
      <c r="E234" s="22">
        <f t="shared" si="4"/>
        <v>-7822.82</v>
      </c>
    </row>
    <row r="235" spans="1:5" x14ac:dyDescent="0.25">
      <c r="A235" s="6">
        <v>43587</v>
      </c>
      <c r="B235" s="59" t="s">
        <v>214</v>
      </c>
      <c r="C235" s="50">
        <v>10000</v>
      </c>
      <c r="E235" s="22">
        <f t="shared" si="4"/>
        <v>2177.1800000000003</v>
      </c>
    </row>
    <row r="236" spans="1:5" x14ac:dyDescent="0.25">
      <c r="A236" s="6">
        <v>43587</v>
      </c>
      <c r="B236" s="59" t="s">
        <v>213</v>
      </c>
      <c r="D236" s="54">
        <v>5000</v>
      </c>
      <c r="E236" s="22">
        <f t="shared" si="4"/>
        <v>-2822.8199999999997</v>
      </c>
    </row>
    <row r="237" spans="1:5" x14ac:dyDescent="0.25">
      <c r="A237" s="6">
        <v>43587</v>
      </c>
      <c r="B237" s="59" t="s">
        <v>3</v>
      </c>
      <c r="D237" s="54">
        <v>5000</v>
      </c>
      <c r="E237" s="22">
        <f t="shared" si="4"/>
        <v>-7822.82</v>
      </c>
    </row>
    <row r="238" spans="1:5" x14ac:dyDescent="0.25">
      <c r="A238" s="4" t="s">
        <v>211</v>
      </c>
      <c r="B238" s="59" t="s">
        <v>13</v>
      </c>
      <c r="C238" s="50">
        <v>15000</v>
      </c>
      <c r="E238" s="22">
        <f t="shared" si="4"/>
        <v>7177.18</v>
      </c>
    </row>
    <row r="239" spans="1:5" x14ac:dyDescent="0.25">
      <c r="A239" s="4" t="s">
        <v>211</v>
      </c>
      <c r="B239" s="59" t="s">
        <v>215</v>
      </c>
      <c r="D239" s="54">
        <v>29.5</v>
      </c>
      <c r="E239" s="22">
        <f t="shared" si="4"/>
        <v>7147.68</v>
      </c>
    </row>
    <row r="240" spans="1:5" x14ac:dyDescent="0.25">
      <c r="A240" s="4" t="s">
        <v>211</v>
      </c>
      <c r="B240" s="59" t="s">
        <v>216</v>
      </c>
      <c r="D240" s="54">
        <v>100</v>
      </c>
      <c r="E240" s="22">
        <f t="shared" si="4"/>
        <v>7047.68</v>
      </c>
    </row>
    <row r="241" spans="1:5" x14ac:dyDescent="0.25">
      <c r="A241" s="4" t="s">
        <v>211</v>
      </c>
      <c r="B241" s="59" t="s">
        <v>217</v>
      </c>
      <c r="D241" s="54">
        <v>500</v>
      </c>
      <c r="E241" s="22">
        <f t="shared" si="4"/>
        <v>6547.68</v>
      </c>
    </row>
    <row r="242" spans="1:5" x14ac:dyDescent="0.25">
      <c r="A242" s="4" t="s">
        <v>211</v>
      </c>
      <c r="B242" s="59" t="s">
        <v>219</v>
      </c>
      <c r="D242" s="54">
        <v>500</v>
      </c>
      <c r="E242" s="22">
        <f t="shared" si="4"/>
        <v>6047.68</v>
      </c>
    </row>
    <row r="243" spans="1:5" x14ac:dyDescent="0.25">
      <c r="A243" s="4" t="s">
        <v>211</v>
      </c>
      <c r="B243" s="59" t="s">
        <v>220</v>
      </c>
      <c r="D243" s="54">
        <v>500</v>
      </c>
      <c r="E243" s="22">
        <f t="shared" si="4"/>
        <v>5547.68</v>
      </c>
    </row>
    <row r="244" spans="1:5" x14ac:dyDescent="0.25">
      <c r="A244" s="4" t="s">
        <v>211</v>
      </c>
      <c r="B244" s="59" t="s">
        <v>221</v>
      </c>
      <c r="D244" s="54">
        <v>100</v>
      </c>
      <c r="E244" s="22">
        <f t="shared" si="4"/>
        <v>5447.68</v>
      </c>
    </row>
    <row r="245" spans="1:5" x14ac:dyDescent="0.25">
      <c r="A245" s="4" t="s">
        <v>211</v>
      </c>
      <c r="B245" s="59" t="s">
        <v>222</v>
      </c>
      <c r="D245" s="54">
        <v>5000</v>
      </c>
      <c r="E245" s="22">
        <f t="shared" si="4"/>
        <v>447.68000000000029</v>
      </c>
    </row>
    <row r="246" spans="1:5" x14ac:dyDescent="0.25">
      <c r="A246" s="6">
        <v>43589</v>
      </c>
      <c r="B246" s="59" t="s">
        <v>13</v>
      </c>
      <c r="C246" s="50">
        <v>1500</v>
      </c>
      <c r="E246" s="22">
        <f t="shared" si="4"/>
        <v>1947.6800000000003</v>
      </c>
    </row>
    <row r="247" spans="1:5" x14ac:dyDescent="0.25">
      <c r="A247" s="6">
        <v>43591</v>
      </c>
      <c r="B247" s="59" t="s">
        <v>223</v>
      </c>
      <c r="D247" s="54">
        <v>10000</v>
      </c>
      <c r="E247" s="22">
        <f t="shared" si="4"/>
        <v>-8052.32</v>
      </c>
    </row>
    <row r="248" spans="1:5" x14ac:dyDescent="0.25">
      <c r="A248" s="6">
        <v>43591</v>
      </c>
      <c r="B248" s="59" t="s">
        <v>13</v>
      </c>
      <c r="C248" s="50">
        <v>3000</v>
      </c>
      <c r="E248" s="22">
        <f t="shared" si="4"/>
        <v>-5052.32</v>
      </c>
    </row>
    <row r="249" spans="1:5" x14ac:dyDescent="0.25">
      <c r="A249" s="6">
        <v>43591</v>
      </c>
      <c r="B249" s="59" t="s">
        <v>224</v>
      </c>
      <c r="D249" s="54">
        <v>1000</v>
      </c>
      <c r="E249" s="22">
        <f t="shared" si="4"/>
        <v>-6052.32</v>
      </c>
    </row>
    <row r="250" spans="1:5" x14ac:dyDescent="0.25">
      <c r="A250" s="6">
        <v>43592</v>
      </c>
      <c r="B250" s="59" t="s">
        <v>225</v>
      </c>
      <c r="D250" s="54">
        <v>2000</v>
      </c>
      <c r="E250" s="22">
        <f t="shared" si="4"/>
        <v>-8052.32</v>
      </c>
    </row>
    <row r="251" spans="1:5" x14ac:dyDescent="0.25">
      <c r="A251" s="6">
        <v>43592</v>
      </c>
      <c r="B251" s="59" t="s">
        <v>13</v>
      </c>
      <c r="C251" s="50">
        <v>1500</v>
      </c>
      <c r="E251" s="22">
        <f t="shared" si="4"/>
        <v>-6552.32</v>
      </c>
    </row>
    <row r="252" spans="1:5" x14ac:dyDescent="0.25">
      <c r="A252" s="6">
        <v>43592</v>
      </c>
      <c r="B252" s="59" t="s">
        <v>226</v>
      </c>
      <c r="D252" s="54">
        <v>1500</v>
      </c>
      <c r="E252" s="22">
        <f t="shared" si="4"/>
        <v>-8052.32</v>
      </c>
    </row>
    <row r="253" spans="1:5" x14ac:dyDescent="0.25">
      <c r="A253" s="6">
        <v>43592</v>
      </c>
      <c r="B253" s="59" t="s">
        <v>71</v>
      </c>
      <c r="C253" s="50">
        <v>1000</v>
      </c>
      <c r="E253" s="22">
        <f t="shared" si="4"/>
        <v>-7052.32</v>
      </c>
    </row>
    <row r="254" spans="1:5" x14ac:dyDescent="0.25">
      <c r="A254" s="6">
        <v>43592</v>
      </c>
      <c r="B254" s="59" t="s">
        <v>137</v>
      </c>
      <c r="D254" s="54">
        <v>1500</v>
      </c>
      <c r="E254" s="22">
        <f t="shared" si="4"/>
        <v>-8552.32</v>
      </c>
    </row>
    <row r="255" spans="1:5" x14ac:dyDescent="0.25">
      <c r="A255" s="6">
        <v>43593</v>
      </c>
      <c r="B255" s="59" t="s">
        <v>71</v>
      </c>
      <c r="C255" s="50">
        <v>4500</v>
      </c>
      <c r="E255" s="22">
        <f t="shared" ref="E255:E318" si="5">E254-D255+C255</f>
        <v>-4052.3199999999997</v>
      </c>
    </row>
    <row r="256" spans="1:5" x14ac:dyDescent="0.25">
      <c r="A256" s="6">
        <v>43593</v>
      </c>
      <c r="B256" s="59" t="s">
        <v>227</v>
      </c>
      <c r="D256" s="54">
        <v>1000</v>
      </c>
      <c r="E256" s="22">
        <f t="shared" si="5"/>
        <v>-5052.32</v>
      </c>
    </row>
    <row r="257" spans="1:5" x14ac:dyDescent="0.25">
      <c r="A257" s="6">
        <v>43596</v>
      </c>
      <c r="B257" s="59" t="s">
        <v>137</v>
      </c>
      <c r="D257" s="54">
        <v>2000</v>
      </c>
      <c r="E257" s="22">
        <f t="shared" si="5"/>
        <v>-7052.32</v>
      </c>
    </row>
    <row r="258" spans="1:5" s="22" customFormat="1" x14ac:dyDescent="0.25">
      <c r="A258" s="6">
        <v>43598</v>
      </c>
      <c r="B258" s="59" t="s">
        <v>230</v>
      </c>
      <c r="C258" s="50"/>
      <c r="D258" s="54">
        <v>1500</v>
      </c>
      <c r="E258" s="22">
        <f t="shared" si="5"/>
        <v>-8552.32</v>
      </c>
    </row>
    <row r="259" spans="1:5" x14ac:dyDescent="0.25">
      <c r="A259" s="6">
        <v>43598</v>
      </c>
      <c r="B259" s="59" t="s">
        <v>232</v>
      </c>
      <c r="C259" s="50">
        <v>465</v>
      </c>
      <c r="E259" s="22">
        <f t="shared" si="5"/>
        <v>-8087.32</v>
      </c>
    </row>
    <row r="260" spans="1:5" x14ac:dyDescent="0.25">
      <c r="A260" s="6">
        <v>43599</v>
      </c>
      <c r="B260" s="59" t="s">
        <v>13</v>
      </c>
      <c r="C260" s="50">
        <v>6000</v>
      </c>
      <c r="E260" s="22">
        <f t="shared" si="5"/>
        <v>-2087.3199999999997</v>
      </c>
    </row>
    <row r="261" spans="1:5" x14ac:dyDescent="0.25">
      <c r="A261" s="6">
        <v>43599</v>
      </c>
      <c r="B261" s="59">
        <v>504</v>
      </c>
      <c r="D261" s="54">
        <v>3200</v>
      </c>
      <c r="E261" s="22">
        <f t="shared" si="5"/>
        <v>-5287.32</v>
      </c>
    </row>
    <row r="262" spans="1:5" x14ac:dyDescent="0.25">
      <c r="A262" s="6">
        <v>43599</v>
      </c>
      <c r="B262" s="59" t="s">
        <v>228</v>
      </c>
      <c r="D262" s="54">
        <v>2300</v>
      </c>
      <c r="E262" s="22">
        <f t="shared" si="5"/>
        <v>-7587.32</v>
      </c>
    </row>
    <row r="263" spans="1:5" x14ac:dyDescent="0.25">
      <c r="A263" s="6">
        <v>43599</v>
      </c>
      <c r="B263" s="59" t="s">
        <v>229</v>
      </c>
      <c r="D263" s="54">
        <v>500</v>
      </c>
      <c r="E263" s="22">
        <f t="shared" si="5"/>
        <v>-8087.32</v>
      </c>
    </row>
    <row r="264" spans="1:5" x14ac:dyDescent="0.25">
      <c r="A264" s="6">
        <v>43600</v>
      </c>
      <c r="B264" s="59" t="s">
        <v>95</v>
      </c>
      <c r="C264" s="50">
        <v>1000</v>
      </c>
      <c r="E264" s="22">
        <f t="shared" si="5"/>
        <v>-7087.32</v>
      </c>
    </row>
    <row r="265" spans="1:5" x14ac:dyDescent="0.25">
      <c r="A265" s="6">
        <v>43623</v>
      </c>
      <c r="B265" s="59" t="s">
        <v>95</v>
      </c>
      <c r="C265" s="50">
        <v>1500</v>
      </c>
      <c r="E265" s="22">
        <f t="shared" si="5"/>
        <v>-5587.32</v>
      </c>
    </row>
    <row r="266" spans="1:5" x14ac:dyDescent="0.25">
      <c r="A266" s="6">
        <v>43625</v>
      </c>
      <c r="B266" s="59" t="s">
        <v>235</v>
      </c>
      <c r="C266" s="50">
        <v>245.45</v>
      </c>
      <c r="E266" s="22">
        <f t="shared" si="5"/>
        <v>-5341.87</v>
      </c>
    </row>
    <row r="267" spans="1:5" x14ac:dyDescent="0.25">
      <c r="A267" s="6">
        <v>43625</v>
      </c>
      <c r="B267" s="59" t="s">
        <v>234</v>
      </c>
      <c r="D267" s="54">
        <v>3500</v>
      </c>
      <c r="E267" s="22">
        <f t="shared" si="5"/>
        <v>-8841.869999999999</v>
      </c>
    </row>
    <row r="268" spans="1:5" x14ac:dyDescent="0.25">
      <c r="A268" s="6">
        <v>43626</v>
      </c>
      <c r="B268" s="59" t="s">
        <v>13</v>
      </c>
      <c r="C268" s="50">
        <v>3500</v>
      </c>
      <c r="E268" s="22">
        <f t="shared" si="5"/>
        <v>-5341.869999999999</v>
      </c>
    </row>
    <row r="269" spans="1:5" x14ac:dyDescent="0.25">
      <c r="A269" s="6">
        <v>43628</v>
      </c>
      <c r="C269" s="50">
        <v>720</v>
      </c>
      <c r="E269" s="22">
        <f t="shared" si="5"/>
        <v>-4621.869999999999</v>
      </c>
    </row>
    <row r="270" spans="1:5" x14ac:dyDescent="0.25">
      <c r="A270" s="6">
        <v>43628</v>
      </c>
      <c r="E270" s="22">
        <f t="shared" si="5"/>
        <v>-4621.869999999999</v>
      </c>
    </row>
    <row r="271" spans="1:5" x14ac:dyDescent="0.25">
      <c r="A271" s="6">
        <v>43634</v>
      </c>
      <c r="B271" s="59" t="s">
        <v>158</v>
      </c>
      <c r="D271" s="54">
        <v>1500</v>
      </c>
      <c r="E271" s="22">
        <f t="shared" si="5"/>
        <v>-6121.869999999999</v>
      </c>
    </row>
    <row r="272" spans="1:5" x14ac:dyDescent="0.25">
      <c r="A272" s="6">
        <v>43634</v>
      </c>
      <c r="B272" s="59" t="s">
        <v>58</v>
      </c>
      <c r="D272" s="54">
        <v>2300</v>
      </c>
      <c r="E272" s="22">
        <f t="shared" si="5"/>
        <v>-8421.869999999999</v>
      </c>
    </row>
    <row r="273" spans="1:6" x14ac:dyDescent="0.25">
      <c r="A273" s="6">
        <v>43635</v>
      </c>
      <c r="B273" s="59" t="s">
        <v>72</v>
      </c>
      <c r="C273" s="50">
        <v>2000</v>
      </c>
      <c r="D273" s="58">
        <v>2.48</v>
      </c>
      <c r="E273" s="22">
        <f t="shared" si="5"/>
        <v>-6424.3499999999985</v>
      </c>
    </row>
    <row r="274" spans="1:6" x14ac:dyDescent="0.25">
      <c r="A274" s="6">
        <v>43636</v>
      </c>
      <c r="B274" s="59" t="s">
        <v>73</v>
      </c>
      <c r="D274" s="54">
        <v>1200</v>
      </c>
      <c r="E274" s="22">
        <f t="shared" si="5"/>
        <v>-7624.3499999999985</v>
      </c>
    </row>
    <row r="275" spans="1:6" x14ac:dyDescent="0.25">
      <c r="A275" s="6">
        <v>43643</v>
      </c>
      <c r="B275" s="59" t="s">
        <v>190</v>
      </c>
      <c r="D275" s="54">
        <v>100</v>
      </c>
      <c r="E275" s="22">
        <f t="shared" si="5"/>
        <v>-7724.3499999999985</v>
      </c>
    </row>
    <row r="276" spans="1:6" x14ac:dyDescent="0.25">
      <c r="A276" s="6">
        <v>43651</v>
      </c>
      <c r="B276" s="59" t="s">
        <v>240</v>
      </c>
      <c r="C276" s="50">
        <v>1000</v>
      </c>
      <c r="E276" s="22">
        <f t="shared" si="5"/>
        <v>-6724.3499999999985</v>
      </c>
    </row>
    <row r="277" spans="1:6" x14ac:dyDescent="0.25">
      <c r="A277" s="6">
        <v>43652</v>
      </c>
      <c r="B277" s="59" t="s">
        <v>13</v>
      </c>
      <c r="C277" s="50">
        <v>12000</v>
      </c>
      <c r="E277" s="22">
        <f t="shared" si="5"/>
        <v>5275.6500000000015</v>
      </c>
    </row>
    <row r="278" spans="1:6" x14ac:dyDescent="0.25">
      <c r="A278" s="6">
        <v>43654</v>
      </c>
      <c r="B278" s="59" t="s">
        <v>243</v>
      </c>
      <c r="C278" s="50">
        <v>3000</v>
      </c>
      <c r="E278" s="22">
        <f t="shared" si="5"/>
        <v>8275.6500000000015</v>
      </c>
    </row>
    <row r="279" spans="1:6" s="22" customFormat="1" x14ac:dyDescent="0.25">
      <c r="A279" s="6">
        <v>43654</v>
      </c>
      <c r="B279" s="59" t="s">
        <v>249</v>
      </c>
      <c r="C279" s="50"/>
      <c r="D279" s="54">
        <v>5000</v>
      </c>
      <c r="E279" s="22">
        <f t="shared" si="5"/>
        <v>3275.6500000000015</v>
      </c>
    </row>
    <row r="280" spans="1:6" x14ac:dyDescent="0.25">
      <c r="A280" s="6">
        <v>43655</v>
      </c>
      <c r="B280" s="59" t="s">
        <v>249</v>
      </c>
      <c r="D280" s="54">
        <v>7000</v>
      </c>
      <c r="E280" s="22">
        <f t="shared" si="5"/>
        <v>-3724.3499999999985</v>
      </c>
    </row>
    <row r="281" spans="1:6" x14ac:dyDescent="0.25">
      <c r="A281" s="6">
        <v>43655</v>
      </c>
      <c r="B281" s="59" t="s">
        <v>250</v>
      </c>
      <c r="D281" s="54">
        <v>1000</v>
      </c>
      <c r="E281" s="22">
        <f t="shared" si="5"/>
        <v>-4724.3499999999985</v>
      </c>
    </row>
    <row r="282" spans="1:6" x14ac:dyDescent="0.25">
      <c r="A282" s="6">
        <v>43655</v>
      </c>
      <c r="B282" s="59" t="s">
        <v>251</v>
      </c>
      <c r="D282" s="54">
        <v>1000</v>
      </c>
      <c r="E282" s="22">
        <f t="shared" si="5"/>
        <v>-5724.3499999999985</v>
      </c>
    </row>
    <row r="283" spans="1:6" x14ac:dyDescent="0.25">
      <c r="A283" s="6">
        <v>43655</v>
      </c>
      <c r="B283" s="59" t="s">
        <v>252</v>
      </c>
      <c r="D283" s="54">
        <v>500</v>
      </c>
      <c r="E283" s="22">
        <f t="shared" si="5"/>
        <v>-6224.3499999999985</v>
      </c>
    </row>
    <row r="284" spans="1:6" x14ac:dyDescent="0.25">
      <c r="A284" s="6">
        <v>43656</v>
      </c>
      <c r="B284" s="59" t="s">
        <v>257</v>
      </c>
      <c r="D284" s="54">
        <v>2000</v>
      </c>
      <c r="E284" s="22">
        <f t="shared" si="5"/>
        <v>-8224.3499999999985</v>
      </c>
    </row>
    <row r="285" spans="1:6" x14ac:dyDescent="0.25">
      <c r="A285" s="6">
        <v>43656</v>
      </c>
      <c r="B285" s="59" t="s">
        <v>259</v>
      </c>
      <c r="D285" s="54">
        <v>500</v>
      </c>
      <c r="E285" s="22">
        <f t="shared" si="5"/>
        <v>-8724.3499999999985</v>
      </c>
    </row>
    <row r="286" spans="1:6" x14ac:dyDescent="0.25">
      <c r="A286" s="6">
        <v>43656</v>
      </c>
      <c r="B286" s="59" t="s">
        <v>3</v>
      </c>
      <c r="C286" s="50">
        <v>10000</v>
      </c>
      <c r="E286" s="22">
        <f t="shared" si="5"/>
        <v>1275.6500000000015</v>
      </c>
    </row>
    <row r="287" spans="1:6" x14ac:dyDescent="0.25">
      <c r="A287" s="6">
        <v>43657</v>
      </c>
      <c r="B287" s="59" t="s">
        <v>261</v>
      </c>
      <c r="D287" s="54">
        <v>200</v>
      </c>
      <c r="E287" s="22">
        <f t="shared" si="5"/>
        <v>1075.6500000000015</v>
      </c>
    </row>
    <row r="288" spans="1:6" x14ac:dyDescent="0.25">
      <c r="A288" s="6">
        <v>43657</v>
      </c>
      <c r="B288" s="59" t="s">
        <v>262</v>
      </c>
      <c r="D288" s="54">
        <v>1000</v>
      </c>
      <c r="E288" s="22">
        <f t="shared" si="5"/>
        <v>75.650000000001455</v>
      </c>
      <c r="F288">
        <v>1000</v>
      </c>
    </row>
    <row r="289" spans="1:7" x14ac:dyDescent="0.25">
      <c r="A289" s="6">
        <v>43657</v>
      </c>
      <c r="B289" s="59" t="s">
        <v>263</v>
      </c>
      <c r="D289" s="54">
        <v>8000</v>
      </c>
      <c r="E289" s="22">
        <f t="shared" si="5"/>
        <v>-7924.3499999999985</v>
      </c>
      <c r="F289">
        <v>8000</v>
      </c>
    </row>
    <row r="290" spans="1:7" x14ac:dyDescent="0.25">
      <c r="A290" s="6">
        <v>43657</v>
      </c>
      <c r="B290" s="59" t="s">
        <v>266</v>
      </c>
      <c r="D290" s="54">
        <v>750</v>
      </c>
      <c r="E290" s="22">
        <f t="shared" si="5"/>
        <v>-8674.3499999999985</v>
      </c>
      <c r="F290">
        <v>750</v>
      </c>
    </row>
    <row r="291" spans="1:7" x14ac:dyDescent="0.25">
      <c r="A291" s="6">
        <v>43662</v>
      </c>
      <c r="B291" s="59" t="s">
        <v>270</v>
      </c>
      <c r="C291" s="50">
        <v>3000</v>
      </c>
      <c r="E291" s="22">
        <f t="shared" si="5"/>
        <v>-5674.3499999999985</v>
      </c>
    </row>
    <row r="292" spans="1:7" x14ac:dyDescent="0.25">
      <c r="A292" s="6">
        <v>43662</v>
      </c>
      <c r="B292" s="59" t="s">
        <v>271</v>
      </c>
      <c r="D292" s="54">
        <v>900</v>
      </c>
      <c r="E292" s="22">
        <f t="shared" si="5"/>
        <v>-6574.3499999999985</v>
      </c>
    </row>
    <row r="293" spans="1:7" x14ac:dyDescent="0.25">
      <c r="A293" s="6">
        <v>43662</v>
      </c>
      <c r="B293" s="59" t="s">
        <v>272</v>
      </c>
      <c r="D293" s="54">
        <v>1000</v>
      </c>
      <c r="E293" s="22">
        <f t="shared" si="5"/>
        <v>-7574.3499999999985</v>
      </c>
      <c r="G293">
        <f>100000*0.04/100</f>
        <v>40</v>
      </c>
    </row>
    <row r="294" spans="1:7" x14ac:dyDescent="0.25">
      <c r="A294" s="6">
        <v>43662</v>
      </c>
      <c r="B294" s="59" t="s">
        <v>273</v>
      </c>
      <c r="D294" s="54">
        <v>850</v>
      </c>
      <c r="E294" s="22">
        <f t="shared" si="5"/>
        <v>-8424.3499999999985</v>
      </c>
    </row>
    <row r="295" spans="1:7" x14ac:dyDescent="0.25">
      <c r="A295" s="6">
        <v>43662</v>
      </c>
      <c r="B295" s="59" t="s">
        <v>277</v>
      </c>
      <c r="D295" s="54">
        <v>100</v>
      </c>
      <c r="E295" s="22">
        <f t="shared" si="5"/>
        <v>-8524.3499999999985</v>
      </c>
    </row>
    <row r="296" spans="1:7" x14ac:dyDescent="0.25">
      <c r="A296" s="6">
        <v>43662</v>
      </c>
      <c r="B296" s="59" t="s">
        <v>278</v>
      </c>
      <c r="D296" s="54">
        <v>100</v>
      </c>
      <c r="E296" s="22">
        <f t="shared" si="5"/>
        <v>-8624.3499999999985</v>
      </c>
    </row>
    <row r="297" spans="1:7" x14ac:dyDescent="0.25">
      <c r="A297" s="6">
        <v>43663</v>
      </c>
      <c r="B297" s="59" t="s">
        <v>97</v>
      </c>
      <c r="C297" s="50">
        <v>6500</v>
      </c>
      <c r="E297" s="22">
        <f t="shared" si="5"/>
        <v>-2124.3499999999985</v>
      </c>
    </row>
    <row r="298" spans="1:7" x14ac:dyDescent="0.25">
      <c r="A298" s="6">
        <v>43663</v>
      </c>
      <c r="B298" s="59" t="s">
        <v>280</v>
      </c>
      <c r="D298" s="54">
        <v>1000</v>
      </c>
      <c r="E298" s="22">
        <f t="shared" si="5"/>
        <v>-3124.3499999999985</v>
      </c>
    </row>
    <row r="299" spans="1:7" x14ac:dyDescent="0.25">
      <c r="A299" s="6">
        <v>43663</v>
      </c>
      <c r="B299" s="59" t="s">
        <v>281</v>
      </c>
      <c r="D299" s="54">
        <v>5000</v>
      </c>
      <c r="E299" s="22">
        <f t="shared" si="5"/>
        <v>-8124.3499999999985</v>
      </c>
    </row>
    <row r="300" spans="1:7" x14ac:dyDescent="0.25">
      <c r="A300" s="6">
        <v>43663</v>
      </c>
      <c r="B300" s="59" t="s">
        <v>283</v>
      </c>
      <c r="D300" s="54">
        <v>500</v>
      </c>
      <c r="E300" s="22">
        <f t="shared" si="5"/>
        <v>-8624.3499999999985</v>
      </c>
    </row>
    <row r="301" spans="1:7" x14ac:dyDescent="0.25">
      <c r="A301" s="6">
        <v>43664</v>
      </c>
      <c r="B301" s="59" t="s">
        <v>284</v>
      </c>
      <c r="E301" s="22">
        <f t="shared" si="5"/>
        <v>-8624.3499999999985</v>
      </c>
    </row>
    <row r="302" spans="1:7" x14ac:dyDescent="0.25">
      <c r="A302" s="6">
        <v>43664</v>
      </c>
      <c r="B302" s="59" t="s">
        <v>285</v>
      </c>
      <c r="E302" s="22">
        <f t="shared" si="5"/>
        <v>-8624.3499999999985</v>
      </c>
    </row>
    <row r="303" spans="1:7" x14ac:dyDescent="0.25">
      <c r="A303" s="6">
        <v>43666</v>
      </c>
      <c r="B303" s="59" t="s">
        <v>288</v>
      </c>
      <c r="D303" s="54">
        <v>200</v>
      </c>
      <c r="E303" s="22">
        <f t="shared" si="5"/>
        <v>-8824.3499999999985</v>
      </c>
    </row>
    <row r="304" spans="1:7" x14ac:dyDescent="0.25">
      <c r="A304" s="6">
        <v>43666</v>
      </c>
      <c r="B304" s="59" t="s">
        <v>0</v>
      </c>
      <c r="C304" s="50">
        <v>2500</v>
      </c>
      <c r="E304" s="22">
        <f t="shared" si="5"/>
        <v>-6324.3499999999985</v>
      </c>
    </row>
    <row r="305" spans="1:5" x14ac:dyDescent="0.25">
      <c r="A305" s="6">
        <v>43668</v>
      </c>
      <c r="B305" s="59" t="s">
        <v>289</v>
      </c>
      <c r="D305" s="54">
        <v>400</v>
      </c>
      <c r="E305" s="22">
        <f t="shared" si="5"/>
        <v>-6724.3499999999985</v>
      </c>
    </row>
    <row r="306" spans="1:5" x14ac:dyDescent="0.25">
      <c r="A306" s="6">
        <v>43669</v>
      </c>
      <c r="B306" s="59" t="s">
        <v>270</v>
      </c>
      <c r="C306" s="50">
        <v>2000</v>
      </c>
      <c r="E306" s="22">
        <f t="shared" si="5"/>
        <v>-4724.3499999999985</v>
      </c>
    </row>
    <row r="307" spans="1:5" x14ac:dyDescent="0.25">
      <c r="A307" s="6">
        <v>43669</v>
      </c>
      <c r="B307" s="59" t="s">
        <v>266</v>
      </c>
      <c r="D307" s="54">
        <v>1950</v>
      </c>
      <c r="E307" s="22">
        <f t="shared" si="5"/>
        <v>-6674.3499999999985</v>
      </c>
    </row>
    <row r="308" spans="1:5" x14ac:dyDescent="0.25">
      <c r="A308" s="6">
        <v>43669</v>
      </c>
      <c r="B308" s="59" t="s">
        <v>231</v>
      </c>
      <c r="D308" s="54">
        <v>1000</v>
      </c>
      <c r="E308" s="22">
        <f t="shared" si="5"/>
        <v>-7674.3499999999985</v>
      </c>
    </row>
    <row r="309" spans="1:5" x14ac:dyDescent="0.25">
      <c r="A309" s="6">
        <v>43670</v>
      </c>
      <c r="B309" s="59" t="s">
        <v>295</v>
      </c>
      <c r="D309" s="54">
        <v>200</v>
      </c>
      <c r="E309" s="22">
        <f t="shared" si="5"/>
        <v>-7874.3499999999985</v>
      </c>
    </row>
    <row r="310" spans="1:5" x14ac:dyDescent="0.25">
      <c r="A310" s="6">
        <v>43671</v>
      </c>
      <c r="B310" s="59" t="s">
        <v>270</v>
      </c>
      <c r="C310" s="50">
        <v>3000</v>
      </c>
      <c r="D310" s="58"/>
      <c r="E310" s="22">
        <f t="shared" si="5"/>
        <v>-4874.3499999999985</v>
      </c>
    </row>
    <row r="311" spans="1:5" s="22" customFormat="1" x14ac:dyDescent="0.25">
      <c r="A311" s="6">
        <v>43671</v>
      </c>
      <c r="B311" s="59" t="s">
        <v>3</v>
      </c>
      <c r="C311" s="51">
        <v>176.99</v>
      </c>
      <c r="D311" s="58"/>
      <c r="E311" s="22">
        <f t="shared" si="5"/>
        <v>-4697.3599999999988</v>
      </c>
    </row>
    <row r="312" spans="1:5" x14ac:dyDescent="0.25">
      <c r="A312" s="6">
        <v>43671</v>
      </c>
      <c r="B312" s="59" t="s">
        <v>180</v>
      </c>
      <c r="D312" s="54">
        <v>3000</v>
      </c>
      <c r="E312" s="22">
        <f t="shared" si="5"/>
        <v>-7697.3599999999988</v>
      </c>
    </row>
    <row r="313" spans="1:5" x14ac:dyDescent="0.25">
      <c r="A313" s="6">
        <v>43671</v>
      </c>
      <c r="B313" s="59" t="s">
        <v>58</v>
      </c>
      <c r="D313" s="54">
        <v>300</v>
      </c>
      <c r="E313" s="22">
        <f t="shared" si="5"/>
        <v>-7997.3599999999988</v>
      </c>
    </row>
    <row r="314" spans="1:5" x14ac:dyDescent="0.25">
      <c r="A314" s="6">
        <v>43678</v>
      </c>
      <c r="B314" s="59" t="s">
        <v>71</v>
      </c>
      <c r="C314" s="50">
        <v>800</v>
      </c>
      <c r="E314" s="22">
        <f t="shared" si="5"/>
        <v>-7197.3599999999988</v>
      </c>
    </row>
    <row r="315" spans="1:5" x14ac:dyDescent="0.25">
      <c r="A315" s="6">
        <v>43678</v>
      </c>
      <c r="B315" s="59" t="s">
        <v>71</v>
      </c>
      <c r="C315" s="50">
        <v>200</v>
      </c>
      <c r="E315" s="22">
        <f t="shared" si="5"/>
        <v>-6997.3599999999988</v>
      </c>
    </row>
    <row r="316" spans="1:5" x14ac:dyDescent="0.25">
      <c r="A316" s="6">
        <v>43679</v>
      </c>
      <c r="B316" s="59" t="s">
        <v>3</v>
      </c>
      <c r="D316" s="54">
        <v>200</v>
      </c>
      <c r="E316" s="22">
        <f t="shared" si="5"/>
        <v>-7197.3599999999988</v>
      </c>
    </row>
    <row r="317" spans="1:5" x14ac:dyDescent="0.25">
      <c r="A317" s="6">
        <v>43682</v>
      </c>
      <c r="B317" s="59" t="s">
        <v>71</v>
      </c>
      <c r="C317" s="50">
        <v>1600</v>
      </c>
      <c r="E317" s="22">
        <f t="shared" si="5"/>
        <v>-5597.3599999999988</v>
      </c>
    </row>
    <row r="318" spans="1:5" x14ac:dyDescent="0.25">
      <c r="A318" s="6">
        <v>43682</v>
      </c>
      <c r="B318" s="59" t="s">
        <v>298</v>
      </c>
      <c r="D318" s="54">
        <v>1500</v>
      </c>
      <c r="E318" s="22">
        <f t="shared" si="5"/>
        <v>-7097.3599999999988</v>
      </c>
    </row>
    <row r="319" spans="1:5" x14ac:dyDescent="0.25">
      <c r="A319" s="6">
        <v>43682</v>
      </c>
      <c r="B319" s="59" t="s">
        <v>299</v>
      </c>
      <c r="D319" s="54">
        <v>100</v>
      </c>
      <c r="E319" s="22">
        <f t="shared" ref="E319:E382" si="6">E318-D319+C319</f>
        <v>-7197.3599999999988</v>
      </c>
    </row>
    <row r="320" spans="1:5" x14ac:dyDescent="0.25">
      <c r="A320" s="6">
        <v>43684</v>
      </c>
      <c r="B320" s="59" t="s">
        <v>301</v>
      </c>
      <c r="C320" s="50">
        <v>8000</v>
      </c>
      <c r="E320" s="22">
        <f t="shared" si="6"/>
        <v>802.64000000000124</v>
      </c>
    </row>
    <row r="321" spans="1:5" x14ac:dyDescent="0.25">
      <c r="A321" s="6">
        <v>43684</v>
      </c>
      <c r="B321" s="59" t="s">
        <v>302</v>
      </c>
      <c r="D321" s="54">
        <v>7500</v>
      </c>
      <c r="E321" s="22">
        <f t="shared" si="6"/>
        <v>-6697.3599999999988</v>
      </c>
    </row>
    <row r="322" spans="1:5" x14ac:dyDescent="0.25">
      <c r="A322" s="6">
        <v>43684</v>
      </c>
      <c r="B322" s="59" t="s">
        <v>303</v>
      </c>
      <c r="D322" s="54">
        <v>2000</v>
      </c>
      <c r="E322" s="22">
        <f t="shared" si="6"/>
        <v>-8697.3599999999988</v>
      </c>
    </row>
    <row r="323" spans="1:5" x14ac:dyDescent="0.25">
      <c r="A323" s="6">
        <v>43685</v>
      </c>
      <c r="B323" s="59" t="s">
        <v>270</v>
      </c>
      <c r="C323" s="50">
        <v>5500</v>
      </c>
      <c r="E323" s="22">
        <f t="shared" si="6"/>
        <v>-3197.3599999999988</v>
      </c>
    </row>
    <row r="324" spans="1:5" x14ac:dyDescent="0.25">
      <c r="A324" s="6">
        <v>43685</v>
      </c>
      <c r="B324" s="59" t="s">
        <v>243</v>
      </c>
      <c r="C324" s="50">
        <v>6000</v>
      </c>
      <c r="E324" s="22">
        <f t="shared" si="6"/>
        <v>2802.6400000000012</v>
      </c>
    </row>
    <row r="325" spans="1:5" x14ac:dyDescent="0.25">
      <c r="A325" s="6">
        <v>43685</v>
      </c>
      <c r="B325" s="59" t="s">
        <v>114</v>
      </c>
      <c r="D325" s="54">
        <v>4000</v>
      </c>
      <c r="E325" s="22">
        <f t="shared" si="6"/>
        <v>-1197.3599999999988</v>
      </c>
    </row>
    <row r="326" spans="1:5" x14ac:dyDescent="0.25">
      <c r="A326" s="6">
        <v>43685</v>
      </c>
      <c r="B326" s="59" t="s">
        <v>292</v>
      </c>
      <c r="D326" s="54">
        <v>1650</v>
      </c>
      <c r="E326" s="22">
        <f t="shared" si="6"/>
        <v>-2847.3599999999988</v>
      </c>
    </row>
    <row r="327" spans="1:5" x14ac:dyDescent="0.25">
      <c r="A327" s="6">
        <v>43686</v>
      </c>
      <c r="B327" s="59" t="s">
        <v>106</v>
      </c>
      <c r="C327" s="50">
        <v>3000</v>
      </c>
      <c r="E327" s="22">
        <f t="shared" si="6"/>
        <v>152.64000000000124</v>
      </c>
    </row>
    <row r="328" spans="1:5" x14ac:dyDescent="0.25">
      <c r="A328" s="6">
        <v>43686</v>
      </c>
      <c r="B328" s="59" t="s">
        <v>72</v>
      </c>
      <c r="C328" s="50">
        <v>4000</v>
      </c>
      <c r="E328" s="22">
        <f t="shared" si="6"/>
        <v>4152.6400000000012</v>
      </c>
    </row>
    <row r="329" spans="1:5" x14ac:dyDescent="0.25">
      <c r="A329" s="6">
        <v>43686</v>
      </c>
      <c r="B329" s="59" t="s">
        <v>88</v>
      </c>
      <c r="D329" s="54">
        <v>3500</v>
      </c>
      <c r="E329" s="22">
        <f t="shared" si="6"/>
        <v>652.64000000000124</v>
      </c>
    </row>
    <row r="330" spans="1:5" x14ac:dyDescent="0.25">
      <c r="A330" s="6">
        <v>43687</v>
      </c>
      <c r="B330" s="59" t="s">
        <v>306</v>
      </c>
      <c r="D330" s="54">
        <v>1000</v>
      </c>
      <c r="E330" s="22">
        <f t="shared" si="6"/>
        <v>-347.35999999999876</v>
      </c>
    </row>
    <row r="331" spans="1:5" x14ac:dyDescent="0.25">
      <c r="A331" s="6">
        <v>43689</v>
      </c>
      <c r="B331" s="59" t="s">
        <v>114</v>
      </c>
      <c r="D331" s="54">
        <v>2400</v>
      </c>
      <c r="E331" s="22">
        <f t="shared" si="6"/>
        <v>-2747.3599999999988</v>
      </c>
    </row>
    <row r="332" spans="1:5" x14ac:dyDescent="0.25">
      <c r="A332" s="6">
        <v>43689</v>
      </c>
      <c r="B332" s="59" t="s">
        <v>307</v>
      </c>
      <c r="D332" s="54">
        <v>1300</v>
      </c>
      <c r="E332" s="22">
        <f t="shared" si="6"/>
        <v>-4047.3599999999988</v>
      </c>
    </row>
    <row r="333" spans="1:5" x14ac:dyDescent="0.25">
      <c r="A333" s="6">
        <v>43689</v>
      </c>
      <c r="B333" s="59" t="s">
        <v>308</v>
      </c>
      <c r="D333" s="54">
        <v>2000</v>
      </c>
      <c r="E333" s="22">
        <f t="shared" si="6"/>
        <v>-6047.3599999999988</v>
      </c>
    </row>
    <row r="334" spans="1:5" x14ac:dyDescent="0.25">
      <c r="A334" s="6">
        <v>43689</v>
      </c>
      <c r="B334" s="59" t="s">
        <v>71</v>
      </c>
      <c r="C334" s="50">
        <v>50</v>
      </c>
      <c r="E334" s="22">
        <f t="shared" si="6"/>
        <v>-5997.3599999999988</v>
      </c>
    </row>
    <row r="335" spans="1:5" x14ac:dyDescent="0.25">
      <c r="A335" s="6">
        <v>43693</v>
      </c>
      <c r="B335" s="59" t="s">
        <v>310</v>
      </c>
      <c r="D335" s="54">
        <v>100</v>
      </c>
      <c r="E335" s="22">
        <f t="shared" si="6"/>
        <v>-6097.3599999999988</v>
      </c>
    </row>
    <row r="336" spans="1:5" x14ac:dyDescent="0.25">
      <c r="A336" s="6">
        <v>43696</v>
      </c>
      <c r="D336" s="54">
        <v>200</v>
      </c>
      <c r="E336" s="22">
        <f t="shared" si="6"/>
        <v>-6297.3599999999988</v>
      </c>
    </row>
    <row r="337" spans="1:5" x14ac:dyDescent="0.25">
      <c r="A337" s="6">
        <v>43696</v>
      </c>
      <c r="B337" s="59" t="s">
        <v>316</v>
      </c>
      <c r="D337" s="54">
        <v>29.5</v>
      </c>
      <c r="E337" s="22">
        <f t="shared" si="6"/>
        <v>-6326.8599999999988</v>
      </c>
    </row>
    <row r="338" spans="1:5" x14ac:dyDescent="0.25">
      <c r="A338" s="6">
        <v>43696</v>
      </c>
      <c r="B338" s="59">
        <v>43694</v>
      </c>
      <c r="D338" s="54">
        <v>100</v>
      </c>
      <c r="E338" s="22">
        <f t="shared" si="6"/>
        <v>-6426.8599999999988</v>
      </c>
    </row>
    <row r="339" spans="1:5" x14ac:dyDescent="0.25">
      <c r="A339" s="6">
        <v>43698</v>
      </c>
      <c r="B339" s="59" t="s">
        <v>314</v>
      </c>
      <c r="D339" s="54">
        <v>1000</v>
      </c>
      <c r="E339" s="22">
        <f t="shared" si="6"/>
        <v>-7426.8599999999988</v>
      </c>
    </row>
    <row r="340" spans="1:5" x14ac:dyDescent="0.25">
      <c r="A340" s="6">
        <v>43698</v>
      </c>
      <c r="C340" s="50">
        <v>500</v>
      </c>
      <c r="E340" s="22">
        <f t="shared" si="6"/>
        <v>-6926.8599999999988</v>
      </c>
    </row>
    <row r="341" spans="1:5" x14ac:dyDescent="0.25">
      <c r="A341" s="6">
        <v>43703</v>
      </c>
      <c r="B341" s="59" t="s">
        <v>270</v>
      </c>
      <c r="C341" s="50">
        <v>6000</v>
      </c>
      <c r="E341" s="22">
        <f t="shared" si="6"/>
        <v>-926.85999999999876</v>
      </c>
    </row>
    <row r="342" spans="1:5" x14ac:dyDescent="0.25">
      <c r="A342" s="6">
        <v>43703</v>
      </c>
      <c r="B342" s="59" t="s">
        <v>161</v>
      </c>
      <c r="D342" s="54">
        <v>2200</v>
      </c>
      <c r="E342" s="22">
        <f t="shared" si="6"/>
        <v>-3126.8599999999988</v>
      </c>
    </row>
    <row r="343" spans="1:5" x14ac:dyDescent="0.25">
      <c r="A343" s="6">
        <v>43703</v>
      </c>
      <c r="B343" s="59" t="s">
        <v>314</v>
      </c>
      <c r="D343" s="54">
        <v>4000</v>
      </c>
      <c r="E343" s="22">
        <f t="shared" si="6"/>
        <v>-7126.8599999999988</v>
      </c>
    </row>
    <row r="344" spans="1:5" x14ac:dyDescent="0.25">
      <c r="A344" s="6">
        <v>43703</v>
      </c>
      <c r="B344" s="59" t="s">
        <v>315</v>
      </c>
      <c r="D344" s="54">
        <v>500</v>
      </c>
      <c r="E344" s="22">
        <f t="shared" si="6"/>
        <v>-7626.8599999999988</v>
      </c>
    </row>
    <row r="345" spans="1:5" x14ac:dyDescent="0.25">
      <c r="A345" s="6">
        <v>43703</v>
      </c>
      <c r="D345" s="54">
        <v>500</v>
      </c>
      <c r="E345" s="22">
        <f t="shared" si="6"/>
        <v>-8126.8599999999988</v>
      </c>
    </row>
    <row r="346" spans="1:5" x14ac:dyDescent="0.25">
      <c r="A346" s="6">
        <v>43706</v>
      </c>
      <c r="B346" s="59" t="s">
        <v>95</v>
      </c>
      <c r="C346" s="50">
        <v>500</v>
      </c>
      <c r="E346" s="22">
        <f t="shared" si="6"/>
        <v>-7626.8599999999988</v>
      </c>
    </row>
    <row r="347" spans="1:5" x14ac:dyDescent="0.25">
      <c r="E347" s="22">
        <f t="shared" si="6"/>
        <v>-7626.8599999999988</v>
      </c>
    </row>
    <row r="348" spans="1:5" x14ac:dyDescent="0.25">
      <c r="E348" s="22">
        <f t="shared" si="6"/>
        <v>-7626.8599999999988</v>
      </c>
    </row>
    <row r="349" spans="1:5" x14ac:dyDescent="0.25">
      <c r="E349" s="22">
        <f t="shared" si="6"/>
        <v>-7626.8599999999988</v>
      </c>
    </row>
    <row r="350" spans="1:5" x14ac:dyDescent="0.25">
      <c r="A350" s="6">
        <v>43711</v>
      </c>
      <c r="B350" s="59" t="s">
        <v>71</v>
      </c>
      <c r="C350" s="50">
        <v>300</v>
      </c>
      <c r="E350" s="22">
        <f t="shared" si="6"/>
        <v>-7326.8599999999988</v>
      </c>
    </row>
    <row r="351" spans="1:5" x14ac:dyDescent="0.25">
      <c r="A351" s="6">
        <v>43712</v>
      </c>
      <c r="B351" s="59" t="s">
        <v>270</v>
      </c>
      <c r="C351" s="50">
        <v>7000</v>
      </c>
      <c r="E351" s="22">
        <f t="shared" si="6"/>
        <v>-326.85999999999876</v>
      </c>
    </row>
    <row r="352" spans="1:5" x14ac:dyDescent="0.25">
      <c r="A352" s="6">
        <v>43712</v>
      </c>
      <c r="B352" s="59" t="s">
        <v>161</v>
      </c>
      <c r="D352" s="54">
        <v>7000</v>
      </c>
      <c r="E352" s="22">
        <f t="shared" si="6"/>
        <v>-7326.8599999999988</v>
      </c>
    </row>
    <row r="353" spans="1:5" x14ac:dyDescent="0.25">
      <c r="A353" s="6">
        <v>43712</v>
      </c>
      <c r="B353" s="59" t="s">
        <v>161</v>
      </c>
      <c r="D353" s="54">
        <v>200</v>
      </c>
      <c r="E353" s="22">
        <f t="shared" si="6"/>
        <v>-7526.8599999999988</v>
      </c>
    </row>
    <row r="354" spans="1:5" x14ac:dyDescent="0.25">
      <c r="A354" s="6">
        <v>43713</v>
      </c>
      <c r="B354" s="59" t="s">
        <v>161</v>
      </c>
      <c r="D354" s="54">
        <v>400</v>
      </c>
      <c r="E354" s="22">
        <f t="shared" si="6"/>
        <v>-7926.8599999999988</v>
      </c>
    </row>
    <row r="355" spans="1:5" x14ac:dyDescent="0.25">
      <c r="A355" s="6">
        <v>43713</v>
      </c>
      <c r="B355" s="59" t="s">
        <v>161</v>
      </c>
      <c r="D355" s="54">
        <v>100</v>
      </c>
      <c r="E355" s="22">
        <f t="shared" si="6"/>
        <v>-8026.8599999999988</v>
      </c>
    </row>
    <row r="356" spans="1:5" x14ac:dyDescent="0.25">
      <c r="A356" s="6">
        <v>43714</v>
      </c>
      <c r="B356" s="59" t="s">
        <v>95</v>
      </c>
      <c r="C356" s="50">
        <v>1000</v>
      </c>
      <c r="E356" s="22">
        <f t="shared" si="6"/>
        <v>-7026.8599999999988</v>
      </c>
    </row>
    <row r="357" spans="1:5" x14ac:dyDescent="0.25">
      <c r="A357" s="6">
        <v>43714</v>
      </c>
      <c r="B357" s="59" t="s">
        <v>95</v>
      </c>
      <c r="C357" s="50">
        <v>500</v>
      </c>
      <c r="E357" s="22">
        <f t="shared" si="6"/>
        <v>-6526.8599999999988</v>
      </c>
    </row>
    <row r="358" spans="1:5" x14ac:dyDescent="0.25">
      <c r="A358" s="6">
        <v>43714</v>
      </c>
      <c r="B358" s="59" t="s">
        <v>161</v>
      </c>
      <c r="D358" s="54">
        <v>2000</v>
      </c>
      <c r="E358" s="22">
        <f t="shared" si="6"/>
        <v>-8526.8599999999988</v>
      </c>
    </row>
    <row r="359" spans="1:5" x14ac:dyDescent="0.25">
      <c r="A359" s="6">
        <v>43718</v>
      </c>
      <c r="B359" s="59" t="s">
        <v>161</v>
      </c>
      <c r="D359" s="54">
        <v>300</v>
      </c>
      <c r="E359" s="22">
        <f t="shared" si="6"/>
        <v>-8826.8599999999988</v>
      </c>
    </row>
    <row r="360" spans="1:5" x14ac:dyDescent="0.25">
      <c r="A360" s="6">
        <v>43720</v>
      </c>
      <c r="B360" s="59" t="s">
        <v>270</v>
      </c>
      <c r="C360" s="50">
        <v>6000</v>
      </c>
      <c r="E360" s="22">
        <f t="shared" si="6"/>
        <v>-2826.8599999999988</v>
      </c>
    </row>
    <row r="361" spans="1:5" x14ac:dyDescent="0.25">
      <c r="A361" s="6">
        <v>43721</v>
      </c>
      <c r="B361" s="59" t="s">
        <v>317</v>
      </c>
      <c r="D361" s="54">
        <v>2010</v>
      </c>
      <c r="E361" s="22">
        <f t="shared" si="6"/>
        <v>-4836.8599999999988</v>
      </c>
    </row>
    <row r="362" spans="1:5" x14ac:dyDescent="0.25">
      <c r="A362" s="6">
        <v>43721</v>
      </c>
      <c r="B362" s="59" t="s">
        <v>307</v>
      </c>
      <c r="D362" s="54">
        <v>1500</v>
      </c>
      <c r="E362" s="22">
        <f t="shared" si="6"/>
        <v>-6336.8599999999988</v>
      </c>
    </row>
    <row r="363" spans="1:5" x14ac:dyDescent="0.25">
      <c r="A363" s="6">
        <v>43724</v>
      </c>
      <c r="B363" s="60" t="s">
        <v>318</v>
      </c>
      <c r="C363" s="52">
        <v>600</v>
      </c>
      <c r="E363" s="22">
        <f t="shared" si="6"/>
        <v>-5736.8599999999988</v>
      </c>
    </row>
    <row r="364" spans="1:5" x14ac:dyDescent="0.25">
      <c r="A364" s="6">
        <v>43724</v>
      </c>
      <c r="B364" s="59" t="s">
        <v>48</v>
      </c>
      <c r="D364" s="54">
        <v>200</v>
      </c>
      <c r="E364" s="22">
        <f t="shared" si="6"/>
        <v>-5936.8599999999988</v>
      </c>
    </row>
    <row r="365" spans="1:5" x14ac:dyDescent="0.25">
      <c r="A365" s="6">
        <v>43726</v>
      </c>
      <c r="B365" s="59" t="s">
        <v>74</v>
      </c>
      <c r="D365" s="54">
        <v>500</v>
      </c>
      <c r="E365" s="22">
        <f t="shared" si="6"/>
        <v>-6436.8599999999988</v>
      </c>
    </row>
    <row r="366" spans="1:5" x14ac:dyDescent="0.25">
      <c r="A366" s="6">
        <v>43728</v>
      </c>
      <c r="B366" s="59" t="s">
        <v>270</v>
      </c>
      <c r="C366" s="50">
        <v>7000</v>
      </c>
      <c r="E366" s="22">
        <f t="shared" si="6"/>
        <v>563.14000000000124</v>
      </c>
    </row>
    <row r="367" spans="1:5" x14ac:dyDescent="0.25">
      <c r="A367" s="6">
        <v>43728</v>
      </c>
      <c r="B367" s="59" t="s">
        <v>319</v>
      </c>
      <c r="D367" s="54">
        <v>5000</v>
      </c>
      <c r="E367" s="22">
        <f t="shared" si="6"/>
        <v>-4436.8599999999988</v>
      </c>
    </row>
    <row r="368" spans="1:5" x14ac:dyDescent="0.25">
      <c r="A368" s="6">
        <v>43728</v>
      </c>
      <c r="B368" s="59" t="s">
        <v>319</v>
      </c>
      <c r="D368" s="54">
        <v>2000</v>
      </c>
      <c r="E368" s="22">
        <f t="shared" si="6"/>
        <v>-6436.8599999999988</v>
      </c>
    </row>
    <row r="369" spans="1:5" x14ac:dyDescent="0.25">
      <c r="A369" s="6">
        <v>43731</v>
      </c>
      <c r="B369" s="59" t="s">
        <v>74</v>
      </c>
      <c r="D369" s="54">
        <v>200</v>
      </c>
      <c r="E369" s="22">
        <f t="shared" si="6"/>
        <v>-6636.8599999999988</v>
      </c>
    </row>
    <row r="370" spans="1:5" x14ac:dyDescent="0.25">
      <c r="A370" s="6">
        <v>43731</v>
      </c>
      <c r="B370" s="59" t="s">
        <v>74</v>
      </c>
      <c r="D370" s="54">
        <v>200</v>
      </c>
      <c r="E370" s="22">
        <f t="shared" si="6"/>
        <v>-6836.8599999999988</v>
      </c>
    </row>
    <row r="371" spans="1:5" s="22" customFormat="1" x14ac:dyDescent="0.25">
      <c r="A371" s="6">
        <v>43732</v>
      </c>
      <c r="B371" s="59" t="s">
        <v>323</v>
      </c>
      <c r="C371" s="50"/>
      <c r="D371" s="54">
        <v>2080</v>
      </c>
      <c r="E371" s="22">
        <f t="shared" si="6"/>
        <v>-8916.8599999999988</v>
      </c>
    </row>
    <row r="372" spans="1:5" x14ac:dyDescent="0.25">
      <c r="A372" s="6">
        <v>43738</v>
      </c>
      <c r="B372" s="59" t="s">
        <v>321</v>
      </c>
      <c r="C372" s="50">
        <v>2000</v>
      </c>
      <c r="E372" s="22">
        <f t="shared" si="6"/>
        <v>-6916.8599999999988</v>
      </c>
    </row>
    <row r="373" spans="1:5" x14ac:dyDescent="0.25">
      <c r="A373" s="6">
        <v>43738</v>
      </c>
      <c r="B373" s="59" t="s">
        <v>322</v>
      </c>
      <c r="D373" s="54">
        <v>2000</v>
      </c>
      <c r="E373" s="22">
        <f t="shared" si="6"/>
        <v>-8916.8599999999988</v>
      </c>
    </row>
    <row r="374" spans="1:5" x14ac:dyDescent="0.25">
      <c r="A374" s="6">
        <v>43739</v>
      </c>
      <c r="B374" s="59" t="s">
        <v>97</v>
      </c>
      <c r="C374" s="50">
        <v>2500</v>
      </c>
      <c r="E374" s="22">
        <f t="shared" si="6"/>
        <v>-6416.8599999999988</v>
      </c>
    </row>
    <row r="375" spans="1:5" x14ac:dyDescent="0.25">
      <c r="A375" s="6">
        <v>43739</v>
      </c>
      <c r="B375" s="59" t="s">
        <v>97</v>
      </c>
      <c r="D375" s="54">
        <v>2300</v>
      </c>
      <c r="E375" s="22">
        <f t="shared" si="6"/>
        <v>-8716.8599999999988</v>
      </c>
    </row>
    <row r="376" spans="1:5" x14ac:dyDescent="0.25">
      <c r="A376" s="6">
        <v>43741</v>
      </c>
      <c r="B376" s="59" t="s">
        <v>270</v>
      </c>
      <c r="C376" s="50">
        <v>1500</v>
      </c>
      <c r="E376" s="22">
        <f t="shared" si="6"/>
        <v>-7216.8599999999988</v>
      </c>
    </row>
    <row r="377" spans="1:5" x14ac:dyDescent="0.25">
      <c r="A377" s="6">
        <v>43741</v>
      </c>
      <c r="B377" s="59" t="s">
        <v>156</v>
      </c>
      <c r="D377" s="54">
        <v>1500</v>
      </c>
      <c r="E377" s="22">
        <f t="shared" si="6"/>
        <v>-8716.8599999999988</v>
      </c>
    </row>
    <row r="378" spans="1:5" x14ac:dyDescent="0.25">
      <c r="A378" s="6">
        <v>43741</v>
      </c>
      <c r="B378" s="59" t="s">
        <v>324</v>
      </c>
      <c r="C378" s="50">
        <v>495.98</v>
      </c>
      <c r="E378" s="22">
        <f t="shared" si="6"/>
        <v>-8220.8799999999992</v>
      </c>
    </row>
    <row r="379" spans="1:5" x14ac:dyDescent="0.25">
      <c r="A379" s="6">
        <v>43741</v>
      </c>
      <c r="B379" s="59" t="s">
        <v>325</v>
      </c>
      <c r="C379" s="50">
        <v>261.29000000000002</v>
      </c>
      <c r="E379" s="22">
        <f t="shared" si="6"/>
        <v>-7959.5899999999992</v>
      </c>
    </row>
    <row r="380" spans="1:5" x14ac:dyDescent="0.25">
      <c r="A380" s="6">
        <v>43741</v>
      </c>
      <c r="B380" s="59" t="s">
        <v>74</v>
      </c>
      <c r="D380" s="54">
        <v>500</v>
      </c>
      <c r="E380" s="22">
        <f t="shared" si="6"/>
        <v>-8459.59</v>
      </c>
    </row>
    <row r="381" spans="1:5" x14ac:dyDescent="0.25">
      <c r="A381" s="6">
        <v>43742</v>
      </c>
      <c r="B381" s="59" t="s">
        <v>270</v>
      </c>
      <c r="C381" s="50">
        <v>4000</v>
      </c>
      <c r="E381" s="22">
        <f t="shared" si="6"/>
        <v>-4459.59</v>
      </c>
    </row>
    <row r="382" spans="1:5" x14ac:dyDescent="0.25">
      <c r="A382" s="6">
        <v>43742</v>
      </c>
      <c r="B382" s="59" t="s">
        <v>326</v>
      </c>
      <c r="D382" s="54">
        <v>1000</v>
      </c>
      <c r="E382" s="22">
        <f t="shared" si="6"/>
        <v>-5459.59</v>
      </c>
    </row>
    <row r="383" spans="1:5" x14ac:dyDescent="0.25">
      <c r="A383" s="6">
        <v>43742</v>
      </c>
      <c r="B383" s="59" t="s">
        <v>156</v>
      </c>
      <c r="D383" s="54">
        <v>3000</v>
      </c>
      <c r="E383" s="22">
        <f t="shared" ref="E383:E426" si="7">E382-D383+C383</f>
        <v>-8459.59</v>
      </c>
    </row>
    <row r="384" spans="1:5" x14ac:dyDescent="0.25">
      <c r="A384" s="6">
        <v>43743</v>
      </c>
      <c r="B384" s="59" t="s">
        <v>327</v>
      </c>
      <c r="C384" s="50">
        <v>2500</v>
      </c>
      <c r="E384" s="22">
        <f t="shared" si="7"/>
        <v>-5959.59</v>
      </c>
    </row>
    <row r="385" spans="1:5" x14ac:dyDescent="0.25">
      <c r="A385" s="6">
        <v>43743</v>
      </c>
      <c r="B385" s="59" t="s">
        <v>161</v>
      </c>
      <c r="D385" s="54">
        <v>2000</v>
      </c>
      <c r="E385" s="22">
        <f t="shared" si="7"/>
        <v>-7959.59</v>
      </c>
    </row>
    <row r="386" spans="1:5" x14ac:dyDescent="0.25">
      <c r="A386" s="6">
        <v>43743</v>
      </c>
      <c r="B386" s="59" t="s">
        <v>161</v>
      </c>
      <c r="D386" s="54">
        <v>500</v>
      </c>
      <c r="E386" s="22">
        <f t="shared" si="7"/>
        <v>-8459.59</v>
      </c>
    </row>
    <row r="387" spans="1:5" x14ac:dyDescent="0.25">
      <c r="A387" s="6">
        <v>43749</v>
      </c>
      <c r="B387" s="59" t="s">
        <v>95</v>
      </c>
      <c r="C387" s="50">
        <v>4000</v>
      </c>
      <c r="E387" s="22">
        <f t="shared" si="7"/>
        <v>-4459.59</v>
      </c>
    </row>
    <row r="388" spans="1:5" x14ac:dyDescent="0.25">
      <c r="A388" s="6">
        <v>43751</v>
      </c>
      <c r="B388" s="59" t="s">
        <v>95</v>
      </c>
      <c r="C388" s="50">
        <v>5000</v>
      </c>
      <c r="E388" s="22">
        <f t="shared" si="7"/>
        <v>540.40999999999985</v>
      </c>
    </row>
    <row r="389" spans="1:5" x14ac:dyDescent="0.25">
      <c r="A389" s="6">
        <v>43753</v>
      </c>
      <c r="B389" s="59" t="s">
        <v>326</v>
      </c>
      <c r="D389" s="54">
        <v>100</v>
      </c>
      <c r="E389" s="22">
        <f t="shared" si="7"/>
        <v>440.40999999999985</v>
      </c>
    </row>
    <row r="390" spans="1:5" x14ac:dyDescent="0.25">
      <c r="A390" s="6">
        <v>43753</v>
      </c>
      <c r="B390" s="59" t="s">
        <v>326</v>
      </c>
      <c r="D390" s="54">
        <v>100</v>
      </c>
      <c r="E390" s="22">
        <f t="shared" si="7"/>
        <v>340.40999999999985</v>
      </c>
    </row>
    <row r="391" spans="1:5" x14ac:dyDescent="0.25">
      <c r="A391" s="6">
        <v>43749</v>
      </c>
      <c r="B391" s="59" t="s">
        <v>317</v>
      </c>
      <c r="D391" s="54">
        <v>4500</v>
      </c>
      <c r="E391" s="22">
        <f t="shared" si="7"/>
        <v>-4159.59</v>
      </c>
    </row>
    <row r="392" spans="1:5" x14ac:dyDescent="0.25">
      <c r="A392" s="6">
        <v>43755</v>
      </c>
      <c r="B392" s="59" t="s">
        <v>326</v>
      </c>
      <c r="D392" s="54">
        <v>100</v>
      </c>
      <c r="E392" s="22">
        <f t="shared" si="7"/>
        <v>-4259.59</v>
      </c>
    </row>
    <row r="393" spans="1:5" x14ac:dyDescent="0.25">
      <c r="A393" s="6">
        <v>43756</v>
      </c>
      <c r="B393" s="59" t="s">
        <v>326</v>
      </c>
      <c r="D393" s="54">
        <v>100</v>
      </c>
      <c r="E393" s="22">
        <f t="shared" si="7"/>
        <v>-4359.59</v>
      </c>
    </row>
    <row r="394" spans="1:5" x14ac:dyDescent="0.25">
      <c r="A394" s="6">
        <v>43759</v>
      </c>
      <c r="B394" s="59" t="s">
        <v>326</v>
      </c>
      <c r="D394" s="54">
        <v>200</v>
      </c>
      <c r="E394" s="22">
        <f t="shared" si="7"/>
        <v>-4559.59</v>
      </c>
    </row>
    <row r="395" spans="1:5" x14ac:dyDescent="0.25">
      <c r="A395" s="6">
        <v>43759</v>
      </c>
      <c r="B395" s="59" t="s">
        <v>326</v>
      </c>
      <c r="D395" s="54">
        <v>100</v>
      </c>
      <c r="E395" s="22">
        <f t="shared" si="7"/>
        <v>-4659.59</v>
      </c>
    </row>
    <row r="396" spans="1:5" x14ac:dyDescent="0.25">
      <c r="A396" s="6">
        <v>43759</v>
      </c>
      <c r="B396" s="59" t="s">
        <v>326</v>
      </c>
      <c r="D396" s="54">
        <v>100</v>
      </c>
      <c r="E396" s="22">
        <f t="shared" si="7"/>
        <v>-4759.59</v>
      </c>
    </row>
    <row r="397" spans="1:5" x14ac:dyDescent="0.25">
      <c r="A397" s="6">
        <v>43767</v>
      </c>
      <c r="B397" s="61" t="s">
        <v>334</v>
      </c>
      <c r="D397" s="58">
        <v>1480</v>
      </c>
      <c r="E397" s="22">
        <f t="shared" si="7"/>
        <v>-6239.59</v>
      </c>
    </row>
    <row r="398" spans="1:5" x14ac:dyDescent="0.25">
      <c r="A398" s="6">
        <v>43767</v>
      </c>
      <c r="B398" s="59" t="s">
        <v>326</v>
      </c>
      <c r="D398" s="54">
        <v>1000</v>
      </c>
      <c r="E398" s="22">
        <f t="shared" si="7"/>
        <v>-7239.59</v>
      </c>
    </row>
    <row r="399" spans="1:5" x14ac:dyDescent="0.25">
      <c r="A399" s="6">
        <v>43767</v>
      </c>
      <c r="B399" s="59" t="s">
        <v>95</v>
      </c>
      <c r="C399" s="50">
        <v>1000</v>
      </c>
      <c r="E399" s="22">
        <f t="shared" si="7"/>
        <v>-6239.59</v>
      </c>
    </row>
    <row r="400" spans="1:5" x14ac:dyDescent="0.25">
      <c r="A400" s="6">
        <v>43768</v>
      </c>
      <c r="B400" s="59" t="s">
        <v>0</v>
      </c>
      <c r="D400" s="54">
        <v>1100</v>
      </c>
      <c r="E400" s="22">
        <f t="shared" si="7"/>
        <v>-7339.59</v>
      </c>
    </row>
    <row r="401" spans="1:5" x14ac:dyDescent="0.25">
      <c r="A401" s="6">
        <v>43768</v>
      </c>
      <c r="B401" s="59" t="s">
        <v>335</v>
      </c>
      <c r="C401" s="50">
        <v>155.61999999999989</v>
      </c>
      <c r="E401" s="22">
        <f t="shared" si="7"/>
        <v>-7183.97</v>
      </c>
    </row>
    <row r="402" spans="1:5" x14ac:dyDescent="0.25">
      <c r="A402" s="6">
        <v>43768</v>
      </c>
      <c r="B402" s="59" t="s">
        <v>336</v>
      </c>
      <c r="D402" s="54">
        <v>100</v>
      </c>
      <c r="E402" s="22">
        <f t="shared" si="7"/>
        <v>-7283.97</v>
      </c>
    </row>
    <row r="403" spans="1:5" x14ac:dyDescent="0.25">
      <c r="A403" s="6">
        <v>43778</v>
      </c>
      <c r="B403" s="59" t="s">
        <v>337</v>
      </c>
      <c r="D403" s="54">
        <v>470</v>
      </c>
      <c r="E403" s="22">
        <f t="shared" si="7"/>
        <v>-7753.97</v>
      </c>
    </row>
    <row r="404" spans="1:5" x14ac:dyDescent="0.25">
      <c r="A404" s="6">
        <v>43780</v>
      </c>
      <c r="B404" s="59" t="s">
        <v>95</v>
      </c>
      <c r="C404" s="50">
        <v>200</v>
      </c>
      <c r="E404" s="22">
        <f t="shared" si="7"/>
        <v>-7553.97</v>
      </c>
    </row>
    <row r="405" spans="1:5" x14ac:dyDescent="0.25">
      <c r="A405" s="6">
        <v>43780</v>
      </c>
      <c r="B405" s="59" t="s">
        <v>338</v>
      </c>
      <c r="D405" s="54">
        <v>1000</v>
      </c>
      <c r="E405" s="22">
        <f t="shared" si="7"/>
        <v>-8553.9700000000012</v>
      </c>
    </row>
    <row r="406" spans="1:5" x14ac:dyDescent="0.25">
      <c r="A406" s="6">
        <v>43789</v>
      </c>
      <c r="B406" s="59" t="s">
        <v>270</v>
      </c>
      <c r="C406" s="50">
        <v>2700</v>
      </c>
      <c r="E406" s="22">
        <f t="shared" si="7"/>
        <v>-5853.9700000000012</v>
      </c>
    </row>
    <row r="407" spans="1:5" x14ac:dyDescent="0.25">
      <c r="A407" s="6">
        <v>43790</v>
      </c>
      <c r="B407" s="59" t="s">
        <v>170</v>
      </c>
      <c r="D407" s="54">
        <v>1500</v>
      </c>
      <c r="E407" s="22">
        <f t="shared" si="7"/>
        <v>-7353.9700000000012</v>
      </c>
    </row>
    <row r="408" spans="1:5" x14ac:dyDescent="0.25">
      <c r="A408" s="6">
        <v>43791</v>
      </c>
      <c r="B408" s="59" t="s">
        <v>339</v>
      </c>
      <c r="C408" s="50">
        <v>98.59</v>
      </c>
      <c r="E408" s="22">
        <f t="shared" si="7"/>
        <v>-7255.380000000001</v>
      </c>
    </row>
    <row r="409" spans="1:5" x14ac:dyDescent="0.25">
      <c r="A409" s="6">
        <v>43795</v>
      </c>
      <c r="B409" s="59" t="s">
        <v>121</v>
      </c>
      <c r="C409" s="50">
        <v>1000</v>
      </c>
      <c r="E409" s="22">
        <f t="shared" si="7"/>
        <v>-6255.380000000001</v>
      </c>
    </row>
    <row r="410" spans="1:5" s="22" customFormat="1" x14ac:dyDescent="0.25">
      <c r="A410" s="6">
        <v>43808</v>
      </c>
      <c r="B410" s="59" t="s">
        <v>3</v>
      </c>
      <c r="C410" s="50"/>
      <c r="D410" s="54">
        <v>2000</v>
      </c>
      <c r="E410" s="22">
        <f t="shared" si="7"/>
        <v>-8255.380000000001</v>
      </c>
    </row>
    <row r="411" spans="1:5" s="22" customFormat="1" x14ac:dyDescent="0.25">
      <c r="A411" s="6">
        <v>43808</v>
      </c>
      <c r="B411" s="59" t="s">
        <v>121</v>
      </c>
      <c r="C411" s="50">
        <v>2000</v>
      </c>
      <c r="D411" s="54"/>
      <c r="E411" s="22">
        <f t="shared" si="7"/>
        <v>-6255.380000000001</v>
      </c>
    </row>
    <row r="412" spans="1:5" s="22" customFormat="1" x14ac:dyDescent="0.25">
      <c r="A412" s="6">
        <v>43808</v>
      </c>
      <c r="B412" s="59" t="s">
        <v>347</v>
      </c>
      <c r="C412" s="50"/>
      <c r="D412" s="54">
        <v>2500</v>
      </c>
      <c r="E412" s="22">
        <f t="shared" si="7"/>
        <v>-8755.380000000001</v>
      </c>
    </row>
    <row r="413" spans="1:5" s="22" customFormat="1" x14ac:dyDescent="0.25">
      <c r="A413" s="6" t="s">
        <v>348</v>
      </c>
      <c r="B413" s="59" t="s">
        <v>270</v>
      </c>
      <c r="C413" s="50">
        <v>2000</v>
      </c>
      <c r="D413" s="54"/>
      <c r="E413" s="22">
        <f t="shared" si="7"/>
        <v>-6755.380000000001</v>
      </c>
    </row>
    <row r="414" spans="1:5" s="22" customFormat="1" x14ac:dyDescent="0.25">
      <c r="A414" s="6" t="s">
        <v>348</v>
      </c>
      <c r="B414" s="59"/>
      <c r="C414" s="50"/>
      <c r="D414" s="54">
        <v>2000</v>
      </c>
      <c r="E414" s="22">
        <f t="shared" si="7"/>
        <v>-8755.380000000001</v>
      </c>
    </row>
    <row r="415" spans="1:5" s="22" customFormat="1" x14ac:dyDescent="0.25">
      <c r="A415" s="6">
        <v>43817</v>
      </c>
      <c r="B415" s="59" t="s">
        <v>71</v>
      </c>
      <c r="C415" s="50">
        <v>1000</v>
      </c>
      <c r="D415" s="54"/>
      <c r="E415" s="22">
        <f t="shared" si="7"/>
        <v>-7755.380000000001</v>
      </c>
    </row>
    <row r="416" spans="1:5" s="22" customFormat="1" x14ac:dyDescent="0.25">
      <c r="A416" s="6">
        <v>43823</v>
      </c>
      <c r="B416" s="59" t="s">
        <v>349</v>
      </c>
      <c r="C416" s="50">
        <v>51.59</v>
      </c>
      <c r="D416" s="54"/>
      <c r="E416" s="22">
        <f t="shared" si="7"/>
        <v>-7703.7900000000009</v>
      </c>
    </row>
    <row r="417" spans="1:5" s="22" customFormat="1" x14ac:dyDescent="0.25">
      <c r="A417" s="6">
        <v>43826</v>
      </c>
      <c r="B417" s="59"/>
      <c r="C417" s="50">
        <v>1500</v>
      </c>
      <c r="D417" s="54"/>
      <c r="E417" s="22">
        <f t="shared" si="7"/>
        <v>-6203.7900000000009</v>
      </c>
    </row>
    <row r="418" spans="1:5" s="22" customFormat="1" x14ac:dyDescent="0.25">
      <c r="A418" s="6">
        <v>43830</v>
      </c>
      <c r="B418" s="59"/>
      <c r="C418" s="50">
        <v>500</v>
      </c>
      <c r="D418" s="54"/>
      <c r="E418" s="22">
        <f t="shared" si="7"/>
        <v>-5703.7900000000009</v>
      </c>
    </row>
    <row r="419" spans="1:5" x14ac:dyDescent="0.25">
      <c r="A419" s="6">
        <v>43831</v>
      </c>
      <c r="B419" s="59" t="s">
        <v>340</v>
      </c>
      <c r="D419" s="54">
        <v>1500</v>
      </c>
      <c r="E419" s="22">
        <f t="shared" si="7"/>
        <v>-7203.7900000000009</v>
      </c>
    </row>
    <row r="420" spans="1:5" x14ac:dyDescent="0.25">
      <c r="A420" s="6">
        <v>43832</v>
      </c>
      <c r="B420" s="59" t="s">
        <v>341</v>
      </c>
      <c r="C420" s="50">
        <v>2000</v>
      </c>
      <c r="E420" s="22">
        <f t="shared" si="7"/>
        <v>-5203.7900000000009</v>
      </c>
    </row>
    <row r="421" spans="1:5" x14ac:dyDescent="0.25">
      <c r="A421" s="6">
        <v>43836</v>
      </c>
      <c r="B421" s="59" t="s">
        <v>341</v>
      </c>
      <c r="C421" s="50">
        <v>3000</v>
      </c>
      <c r="E421" s="22">
        <f t="shared" si="7"/>
        <v>-2203.7900000000009</v>
      </c>
    </row>
    <row r="422" spans="1:5" x14ac:dyDescent="0.25">
      <c r="A422" s="6">
        <v>43839</v>
      </c>
      <c r="B422" s="59" t="s">
        <v>342</v>
      </c>
      <c r="D422" s="54">
        <v>500</v>
      </c>
      <c r="E422" s="22">
        <f t="shared" si="7"/>
        <v>-2703.7900000000009</v>
      </c>
    </row>
    <row r="423" spans="1:5" x14ac:dyDescent="0.25">
      <c r="A423" s="6">
        <v>43839</v>
      </c>
      <c r="B423" s="59" t="s">
        <v>344</v>
      </c>
      <c r="D423" s="54">
        <v>6000</v>
      </c>
      <c r="E423" s="22">
        <f t="shared" si="7"/>
        <v>-8703.7900000000009</v>
      </c>
    </row>
    <row r="424" spans="1:5" x14ac:dyDescent="0.25">
      <c r="A424" s="6">
        <v>43841</v>
      </c>
      <c r="B424" s="59" t="s">
        <v>95</v>
      </c>
      <c r="C424" s="50">
        <v>1000</v>
      </c>
      <c r="E424" s="22">
        <f t="shared" si="7"/>
        <v>-7703.7900000000009</v>
      </c>
    </row>
    <row r="425" spans="1:5" x14ac:dyDescent="0.25">
      <c r="A425" s="6">
        <v>43843</v>
      </c>
      <c r="B425" s="59" t="s">
        <v>345</v>
      </c>
      <c r="D425" s="54">
        <v>500</v>
      </c>
      <c r="E425" s="22">
        <f t="shared" si="7"/>
        <v>-8203.7900000000009</v>
      </c>
    </row>
    <row r="426" spans="1:5" x14ac:dyDescent="0.25">
      <c r="A426" s="6">
        <v>43844</v>
      </c>
      <c r="B426" s="59" t="s">
        <v>350</v>
      </c>
      <c r="D426" s="54">
        <v>100</v>
      </c>
      <c r="E426" s="22">
        <f t="shared" si="7"/>
        <v>-8303.7900000000009</v>
      </c>
    </row>
    <row r="427" spans="1:5" x14ac:dyDescent="0.25">
      <c r="A427" s="6">
        <v>43852</v>
      </c>
      <c r="B427" s="59" t="s">
        <v>358</v>
      </c>
      <c r="C427" s="50">
        <v>27.36</v>
      </c>
      <c r="E427" s="22">
        <f t="shared" ref="E427:E495" si="8">E426-D427+C427</f>
        <v>-8276.43</v>
      </c>
    </row>
    <row r="428" spans="1:5" x14ac:dyDescent="0.25">
      <c r="A428" s="6">
        <v>43854</v>
      </c>
      <c r="C428" s="50">
        <v>500</v>
      </c>
      <c r="E428" s="22">
        <f t="shared" si="8"/>
        <v>-7776.43</v>
      </c>
    </row>
    <row r="429" spans="1:5" x14ac:dyDescent="0.25">
      <c r="A429" s="6">
        <v>43863</v>
      </c>
      <c r="C429" s="50">
        <v>3000</v>
      </c>
      <c r="E429" s="22">
        <f t="shared" si="8"/>
        <v>-4776.43</v>
      </c>
    </row>
    <row r="430" spans="1:5" x14ac:dyDescent="0.25">
      <c r="A430" s="6">
        <v>43864</v>
      </c>
      <c r="D430" s="54">
        <v>3000</v>
      </c>
      <c r="E430" s="22">
        <f t="shared" si="8"/>
        <v>-7776.43</v>
      </c>
    </row>
    <row r="431" spans="1:5" x14ac:dyDescent="0.25">
      <c r="A431" s="6">
        <v>43866</v>
      </c>
      <c r="C431" s="50">
        <v>4000</v>
      </c>
      <c r="E431" s="22">
        <f t="shared" si="8"/>
        <v>-3776.4300000000003</v>
      </c>
    </row>
    <row r="432" spans="1:5" x14ac:dyDescent="0.25">
      <c r="A432" s="6">
        <v>43868</v>
      </c>
      <c r="D432" s="54">
        <v>4000</v>
      </c>
      <c r="E432" s="22">
        <f t="shared" si="8"/>
        <v>-7776.43</v>
      </c>
    </row>
    <row r="433" spans="1:5" x14ac:dyDescent="0.25">
      <c r="A433" s="6">
        <v>43868</v>
      </c>
      <c r="D433" s="54">
        <v>500</v>
      </c>
      <c r="E433" s="22">
        <f t="shared" si="8"/>
        <v>-8276.43</v>
      </c>
    </row>
    <row r="434" spans="1:5" x14ac:dyDescent="0.25">
      <c r="A434" s="6">
        <v>43871</v>
      </c>
      <c r="D434" s="54">
        <v>500</v>
      </c>
      <c r="E434" s="22">
        <f t="shared" si="8"/>
        <v>-8776.43</v>
      </c>
    </row>
    <row r="435" spans="1:5" x14ac:dyDescent="0.25">
      <c r="A435" s="6">
        <v>43874</v>
      </c>
      <c r="C435" s="50">
        <v>500</v>
      </c>
      <c r="E435" s="22">
        <f t="shared" si="8"/>
        <v>-8276.43</v>
      </c>
    </row>
    <row r="436" spans="1:5" x14ac:dyDescent="0.25">
      <c r="A436" s="6">
        <v>43874</v>
      </c>
      <c r="D436" s="54">
        <v>500</v>
      </c>
      <c r="E436" s="22">
        <f t="shared" si="8"/>
        <v>-8776.43</v>
      </c>
    </row>
    <row r="437" spans="1:5" x14ac:dyDescent="0.25">
      <c r="A437" s="6">
        <v>43874</v>
      </c>
      <c r="C437" s="50">
        <v>8000</v>
      </c>
      <c r="E437" s="22">
        <f t="shared" si="8"/>
        <v>-776.43000000000029</v>
      </c>
    </row>
    <row r="438" spans="1:5" x14ac:dyDescent="0.25">
      <c r="A438" s="6">
        <v>43874</v>
      </c>
      <c r="D438" s="54">
        <v>7500</v>
      </c>
      <c r="E438" s="22">
        <f t="shared" si="8"/>
        <v>-8276.43</v>
      </c>
    </row>
    <row r="439" spans="1:5" x14ac:dyDescent="0.25">
      <c r="A439" s="6">
        <v>43874</v>
      </c>
      <c r="D439" s="54">
        <v>200</v>
      </c>
      <c r="E439" s="22">
        <f t="shared" si="8"/>
        <v>-8476.43</v>
      </c>
    </row>
    <row r="440" spans="1:5" x14ac:dyDescent="0.25">
      <c r="A440" s="6">
        <v>43876</v>
      </c>
      <c r="D440" s="54">
        <v>200</v>
      </c>
      <c r="E440" s="22">
        <f t="shared" si="8"/>
        <v>-8676.43</v>
      </c>
    </row>
    <row r="441" spans="1:5" x14ac:dyDescent="0.25">
      <c r="A441" s="6">
        <v>43879</v>
      </c>
      <c r="C441" s="50">
        <v>100.32</v>
      </c>
      <c r="E441" s="22">
        <f t="shared" si="8"/>
        <v>-8576.11</v>
      </c>
    </row>
    <row r="442" spans="1:5" x14ac:dyDescent="0.25">
      <c r="A442" s="6">
        <v>43879</v>
      </c>
      <c r="D442" s="54">
        <v>400</v>
      </c>
      <c r="E442" s="22">
        <f t="shared" si="8"/>
        <v>-8976.11</v>
      </c>
    </row>
    <row r="443" spans="1:5" x14ac:dyDescent="0.25">
      <c r="A443" s="6">
        <v>43879</v>
      </c>
      <c r="C443" s="50">
        <v>1000</v>
      </c>
      <c r="E443" s="22">
        <f t="shared" si="8"/>
        <v>-7976.1100000000006</v>
      </c>
    </row>
    <row r="444" spans="1:5" x14ac:dyDescent="0.25">
      <c r="A444" s="6">
        <v>43881</v>
      </c>
      <c r="D444" s="54">
        <v>500</v>
      </c>
      <c r="E444" s="22">
        <f t="shared" si="8"/>
        <v>-8476.11</v>
      </c>
    </row>
    <row r="445" spans="1:5" x14ac:dyDescent="0.25">
      <c r="A445" s="6">
        <v>43881</v>
      </c>
      <c r="D445" s="54">
        <v>500</v>
      </c>
      <c r="E445" s="22">
        <f t="shared" si="8"/>
        <v>-8976.11</v>
      </c>
    </row>
    <row r="446" spans="1:5" x14ac:dyDescent="0.25">
      <c r="A446" s="6">
        <v>43885</v>
      </c>
      <c r="C446" s="50">
        <v>4000</v>
      </c>
      <c r="E446" s="22">
        <f t="shared" si="8"/>
        <v>-4976.1100000000006</v>
      </c>
    </row>
    <row r="447" spans="1:5" x14ac:dyDescent="0.25">
      <c r="A447" s="6">
        <v>43885</v>
      </c>
      <c r="D447" s="54">
        <v>2000</v>
      </c>
      <c r="E447" s="22">
        <f t="shared" si="8"/>
        <v>-6976.1100000000006</v>
      </c>
    </row>
    <row r="448" spans="1:5" x14ac:dyDescent="0.25">
      <c r="A448" s="6">
        <v>43885</v>
      </c>
      <c r="D448" s="54">
        <v>100</v>
      </c>
      <c r="E448" s="22">
        <f t="shared" si="8"/>
        <v>-7076.1100000000006</v>
      </c>
    </row>
    <row r="449" spans="1:5" x14ac:dyDescent="0.25">
      <c r="A449" s="6">
        <v>43885</v>
      </c>
      <c r="D449" s="54">
        <v>1000</v>
      </c>
      <c r="E449" s="22">
        <f t="shared" si="8"/>
        <v>-8076.1100000000006</v>
      </c>
    </row>
    <row r="450" spans="1:5" x14ac:dyDescent="0.25">
      <c r="A450" s="6">
        <v>43886</v>
      </c>
      <c r="C450" s="50">
        <v>9500</v>
      </c>
      <c r="E450" s="22">
        <f t="shared" si="8"/>
        <v>1423.8899999999994</v>
      </c>
    </row>
    <row r="451" spans="1:5" x14ac:dyDescent="0.25">
      <c r="A451" s="6">
        <v>43886</v>
      </c>
      <c r="D451" s="54">
        <v>2000</v>
      </c>
      <c r="E451" s="22">
        <f t="shared" si="8"/>
        <v>-576.11000000000058</v>
      </c>
    </row>
    <row r="452" spans="1:5" x14ac:dyDescent="0.25">
      <c r="A452" s="6">
        <v>43886</v>
      </c>
      <c r="D452" s="54">
        <v>300</v>
      </c>
      <c r="E452" s="22">
        <f t="shared" si="8"/>
        <v>-876.11000000000058</v>
      </c>
    </row>
    <row r="453" spans="1:5" x14ac:dyDescent="0.25">
      <c r="A453" s="6">
        <v>43886</v>
      </c>
      <c r="D453" s="54">
        <v>1000</v>
      </c>
      <c r="E453" s="22">
        <f t="shared" si="8"/>
        <v>-1876.1100000000006</v>
      </c>
    </row>
    <row r="454" spans="1:5" x14ac:dyDescent="0.25">
      <c r="A454" s="6">
        <v>43886</v>
      </c>
      <c r="D454" s="54">
        <v>800</v>
      </c>
      <c r="E454" s="22">
        <f t="shared" si="8"/>
        <v>-2676.1100000000006</v>
      </c>
    </row>
    <row r="455" spans="1:5" x14ac:dyDescent="0.25">
      <c r="A455" s="6">
        <v>43888</v>
      </c>
      <c r="D455" s="54">
        <v>100</v>
      </c>
      <c r="E455" s="22">
        <f t="shared" si="8"/>
        <v>-2776.1100000000006</v>
      </c>
    </row>
    <row r="456" spans="1:5" x14ac:dyDescent="0.25">
      <c r="A456" s="6">
        <v>43888</v>
      </c>
      <c r="D456" s="54">
        <v>100</v>
      </c>
      <c r="E456" s="22">
        <f t="shared" si="8"/>
        <v>-2876.1100000000006</v>
      </c>
    </row>
    <row r="457" spans="1:5" x14ac:dyDescent="0.25">
      <c r="A457" s="6">
        <v>43888</v>
      </c>
      <c r="D457" s="54">
        <v>2900</v>
      </c>
      <c r="E457" s="22">
        <f t="shared" si="8"/>
        <v>-5776.1100000000006</v>
      </c>
    </row>
    <row r="458" spans="1:5" x14ac:dyDescent="0.25">
      <c r="A458" s="6">
        <v>43892</v>
      </c>
      <c r="D458" s="54">
        <v>200</v>
      </c>
      <c r="E458" s="22">
        <f t="shared" si="8"/>
        <v>-5976.1100000000006</v>
      </c>
    </row>
    <row r="459" spans="1:5" x14ac:dyDescent="0.25">
      <c r="A459" s="6">
        <v>43892</v>
      </c>
      <c r="D459" s="54">
        <v>500</v>
      </c>
      <c r="E459" s="22">
        <f t="shared" si="8"/>
        <v>-6476.1100000000006</v>
      </c>
    </row>
    <row r="460" spans="1:5" x14ac:dyDescent="0.25">
      <c r="A460" s="6">
        <v>43892</v>
      </c>
      <c r="B460" s="59" t="s">
        <v>270</v>
      </c>
      <c r="C460" s="50">
        <v>1500</v>
      </c>
      <c r="E460" s="22">
        <f t="shared" si="8"/>
        <v>-4976.1100000000006</v>
      </c>
    </row>
    <row r="461" spans="1:5" x14ac:dyDescent="0.25">
      <c r="A461" s="6">
        <v>43893</v>
      </c>
      <c r="B461" s="59" t="s">
        <v>156</v>
      </c>
      <c r="C461" s="50">
        <v>2000</v>
      </c>
      <c r="E461" s="22">
        <f t="shared" si="8"/>
        <v>-2976.1100000000006</v>
      </c>
    </row>
    <row r="462" spans="1:5" x14ac:dyDescent="0.25">
      <c r="A462" s="6">
        <v>43896</v>
      </c>
      <c r="B462" s="59" t="s">
        <v>156</v>
      </c>
      <c r="D462" s="54">
        <v>500</v>
      </c>
      <c r="E462" s="22">
        <f t="shared" si="8"/>
        <v>-3476.1100000000006</v>
      </c>
    </row>
    <row r="463" spans="1:5" x14ac:dyDescent="0.25">
      <c r="A463" s="6">
        <v>43902</v>
      </c>
      <c r="B463" s="59" t="s">
        <v>307</v>
      </c>
      <c r="D463" s="54">
        <v>4700</v>
      </c>
      <c r="E463" s="22">
        <f t="shared" si="8"/>
        <v>-8176.1100000000006</v>
      </c>
    </row>
    <row r="464" spans="1:5" x14ac:dyDescent="0.25">
      <c r="A464" s="6">
        <v>43905</v>
      </c>
      <c r="B464" s="59" t="s">
        <v>156</v>
      </c>
      <c r="C464" s="50">
        <v>2900</v>
      </c>
      <c r="E464" s="22">
        <f t="shared" si="8"/>
        <v>-5276.1100000000006</v>
      </c>
    </row>
    <row r="465" spans="1:5" x14ac:dyDescent="0.25">
      <c r="A465" s="6">
        <v>43906</v>
      </c>
      <c r="B465" s="59" t="s">
        <v>359</v>
      </c>
      <c r="D465" s="54">
        <v>2100</v>
      </c>
      <c r="E465" s="22">
        <f t="shared" si="8"/>
        <v>-7376.1100000000006</v>
      </c>
    </row>
    <row r="466" spans="1:5" x14ac:dyDescent="0.25">
      <c r="A466" s="6">
        <v>43907</v>
      </c>
      <c r="B466" s="59">
        <v>1071</v>
      </c>
      <c r="D466" s="54">
        <v>1500</v>
      </c>
      <c r="E466" s="22">
        <f t="shared" si="8"/>
        <v>-8876.11</v>
      </c>
    </row>
    <row r="467" spans="1:5" x14ac:dyDescent="0.25">
      <c r="A467" s="6">
        <v>43907</v>
      </c>
      <c r="D467" s="54">
        <v>29.5</v>
      </c>
      <c r="E467" s="22">
        <f t="shared" si="8"/>
        <v>-8905.61</v>
      </c>
    </row>
    <row r="468" spans="1:5" x14ac:dyDescent="0.25">
      <c r="A468" s="6">
        <v>43907</v>
      </c>
      <c r="B468" s="59" t="s">
        <v>71</v>
      </c>
      <c r="C468" s="50">
        <v>5000</v>
      </c>
      <c r="E468" s="22">
        <f t="shared" si="8"/>
        <v>-3905.6100000000006</v>
      </c>
    </row>
    <row r="469" spans="1:5" x14ac:dyDescent="0.25">
      <c r="A469" s="6">
        <v>43907</v>
      </c>
      <c r="B469" s="59" t="s">
        <v>360</v>
      </c>
      <c r="D469" s="54">
        <v>2000</v>
      </c>
      <c r="E469" s="22">
        <f t="shared" si="8"/>
        <v>-5905.6100000000006</v>
      </c>
    </row>
    <row r="470" spans="1:5" x14ac:dyDescent="0.25">
      <c r="A470" s="6">
        <v>43907</v>
      </c>
      <c r="B470" s="59" t="s">
        <v>361</v>
      </c>
      <c r="D470" s="54">
        <v>1000</v>
      </c>
      <c r="E470" s="22">
        <f t="shared" si="8"/>
        <v>-6905.6100000000006</v>
      </c>
    </row>
    <row r="471" spans="1:5" x14ac:dyDescent="0.25">
      <c r="A471" s="6">
        <v>43908</v>
      </c>
      <c r="B471" s="59" t="s">
        <v>363</v>
      </c>
      <c r="D471" s="54">
        <v>2000</v>
      </c>
      <c r="E471" s="22">
        <f t="shared" si="8"/>
        <v>-8905.61</v>
      </c>
    </row>
    <row r="472" spans="1:5" x14ac:dyDescent="0.25">
      <c r="A472" s="6">
        <v>43909</v>
      </c>
      <c r="B472" s="59" t="s">
        <v>364</v>
      </c>
      <c r="C472" s="50">
        <v>440.5</v>
      </c>
      <c r="E472" s="22">
        <f t="shared" si="8"/>
        <v>-8465.11</v>
      </c>
    </row>
    <row r="473" spans="1:5" x14ac:dyDescent="0.25">
      <c r="A473" s="6">
        <v>43909</v>
      </c>
      <c r="B473" s="59" t="s">
        <v>365</v>
      </c>
      <c r="C473" s="50">
        <v>1500</v>
      </c>
      <c r="E473" s="22">
        <f t="shared" si="8"/>
        <v>-6965.1100000000006</v>
      </c>
    </row>
    <row r="474" spans="1:5" x14ac:dyDescent="0.25">
      <c r="A474" s="6">
        <v>43911</v>
      </c>
      <c r="B474" s="59" t="s">
        <v>365</v>
      </c>
      <c r="C474" s="50">
        <v>600</v>
      </c>
      <c r="E474" s="22">
        <f t="shared" si="8"/>
        <v>-6365.1100000000006</v>
      </c>
    </row>
    <row r="475" spans="1:5" x14ac:dyDescent="0.25">
      <c r="A475" s="6">
        <v>43911</v>
      </c>
      <c r="B475" s="59" t="s">
        <v>74</v>
      </c>
      <c r="D475" s="54">
        <v>300</v>
      </c>
      <c r="E475" s="22">
        <f t="shared" si="8"/>
        <v>-6665.1100000000006</v>
      </c>
    </row>
    <row r="476" spans="1:5" x14ac:dyDescent="0.25">
      <c r="A476" s="6">
        <v>43911</v>
      </c>
      <c r="B476" s="59" t="s">
        <v>74</v>
      </c>
      <c r="D476" s="54">
        <v>300</v>
      </c>
      <c r="E476" s="22">
        <f t="shared" si="8"/>
        <v>-6965.1100000000006</v>
      </c>
    </row>
    <row r="477" spans="1:5" x14ac:dyDescent="0.25">
      <c r="A477" s="6">
        <v>43916</v>
      </c>
      <c r="B477" s="59" t="s">
        <v>366</v>
      </c>
      <c r="C477" s="50">
        <v>1000</v>
      </c>
      <c r="E477" s="22">
        <f t="shared" si="8"/>
        <v>-5965.1100000000006</v>
      </c>
    </row>
    <row r="478" spans="1:5" x14ac:dyDescent="0.25">
      <c r="A478" s="6">
        <v>43916</v>
      </c>
      <c r="B478" s="59" t="s">
        <v>366</v>
      </c>
      <c r="C478" s="50">
        <v>1000</v>
      </c>
      <c r="E478" s="22">
        <f t="shared" si="8"/>
        <v>-4965.1100000000006</v>
      </c>
    </row>
    <row r="479" spans="1:5" x14ac:dyDescent="0.25">
      <c r="A479" s="6">
        <v>43925</v>
      </c>
      <c r="B479" s="59" t="s">
        <v>369</v>
      </c>
      <c r="D479" s="54">
        <v>100</v>
      </c>
      <c r="E479" s="22">
        <f t="shared" si="8"/>
        <v>-5065.1100000000006</v>
      </c>
    </row>
    <row r="480" spans="1:5" x14ac:dyDescent="0.25">
      <c r="A480" s="6">
        <v>43925</v>
      </c>
      <c r="B480" s="59" t="s">
        <v>161</v>
      </c>
      <c r="D480" s="54">
        <v>1700</v>
      </c>
      <c r="E480" s="22">
        <f t="shared" si="8"/>
        <v>-6765.1100000000006</v>
      </c>
    </row>
    <row r="481" spans="1:5" x14ac:dyDescent="0.25">
      <c r="A481" s="6">
        <v>43925</v>
      </c>
      <c r="B481" s="59" t="s">
        <v>161</v>
      </c>
      <c r="D481" s="54">
        <v>300</v>
      </c>
      <c r="E481" s="22">
        <f t="shared" si="8"/>
        <v>-7065.1100000000006</v>
      </c>
    </row>
    <row r="482" spans="1:5" x14ac:dyDescent="0.25">
      <c r="A482" s="6">
        <v>43927</v>
      </c>
      <c r="B482" s="59" t="s">
        <v>368</v>
      </c>
      <c r="D482" s="54">
        <v>200</v>
      </c>
      <c r="E482" s="22">
        <f t="shared" si="8"/>
        <v>-7265.1100000000006</v>
      </c>
    </row>
    <row r="483" spans="1:5" x14ac:dyDescent="0.25">
      <c r="A483" s="6">
        <v>43928</v>
      </c>
      <c r="B483" s="59" t="s">
        <v>95</v>
      </c>
      <c r="C483" s="50">
        <v>1500</v>
      </c>
      <c r="E483" s="22">
        <f t="shared" si="8"/>
        <v>-5765.1100000000006</v>
      </c>
    </row>
    <row r="484" spans="1:5" x14ac:dyDescent="0.25">
      <c r="A484" s="6">
        <v>43928</v>
      </c>
      <c r="B484" s="59" t="s">
        <v>95</v>
      </c>
      <c r="C484" s="50">
        <v>500</v>
      </c>
      <c r="E484" s="22">
        <f t="shared" si="8"/>
        <v>-5265.1100000000006</v>
      </c>
    </row>
    <row r="485" spans="1:5" x14ac:dyDescent="0.25">
      <c r="A485" s="6">
        <v>43928</v>
      </c>
      <c r="B485" s="59" t="s">
        <v>367</v>
      </c>
      <c r="D485" s="54">
        <v>100</v>
      </c>
      <c r="E485" s="22">
        <f t="shared" si="8"/>
        <v>-5365.1100000000006</v>
      </c>
    </row>
    <row r="486" spans="1:5" x14ac:dyDescent="0.25">
      <c r="A486" s="6">
        <v>43929</v>
      </c>
      <c r="B486" s="59" t="s">
        <v>371</v>
      </c>
      <c r="C486" s="50">
        <v>6500</v>
      </c>
      <c r="E486" s="22">
        <f t="shared" si="8"/>
        <v>1134.8899999999994</v>
      </c>
    </row>
    <row r="487" spans="1:5" x14ac:dyDescent="0.25">
      <c r="A487" s="6">
        <v>43929</v>
      </c>
      <c r="B487" s="59" t="s">
        <v>372</v>
      </c>
      <c r="D487" s="54">
        <v>6500</v>
      </c>
      <c r="E487" s="22">
        <f t="shared" si="8"/>
        <v>-5365.1100000000006</v>
      </c>
    </row>
    <row r="488" spans="1:5" x14ac:dyDescent="0.25">
      <c r="A488" s="6">
        <v>43930</v>
      </c>
      <c r="B488" s="59" t="s">
        <v>71</v>
      </c>
      <c r="C488" s="50">
        <v>500</v>
      </c>
      <c r="E488" s="22">
        <f t="shared" si="8"/>
        <v>-4865.1100000000006</v>
      </c>
    </row>
    <row r="489" spans="1:5" x14ac:dyDescent="0.25">
      <c r="A489" s="6">
        <v>43930</v>
      </c>
      <c r="B489" s="59" t="s">
        <v>373</v>
      </c>
      <c r="D489" s="54">
        <v>100</v>
      </c>
      <c r="E489" s="22">
        <f t="shared" si="8"/>
        <v>-4965.1100000000006</v>
      </c>
    </row>
    <row r="490" spans="1:5" x14ac:dyDescent="0.25">
      <c r="A490" s="6">
        <v>43930</v>
      </c>
      <c r="B490" s="59" t="s">
        <v>374</v>
      </c>
      <c r="D490" s="54">
        <v>100</v>
      </c>
      <c r="E490" s="22">
        <f t="shared" si="8"/>
        <v>-5065.1100000000006</v>
      </c>
    </row>
    <row r="491" spans="1:5" x14ac:dyDescent="0.25">
      <c r="A491" s="6">
        <v>43930</v>
      </c>
      <c r="B491" s="59" t="s">
        <v>375</v>
      </c>
      <c r="D491" s="54">
        <v>100</v>
      </c>
      <c r="E491" s="22">
        <f t="shared" si="8"/>
        <v>-5165.1100000000006</v>
      </c>
    </row>
    <row r="492" spans="1:5" x14ac:dyDescent="0.25">
      <c r="A492" s="6">
        <v>43930</v>
      </c>
      <c r="B492" s="59" t="s">
        <v>376</v>
      </c>
      <c r="D492" s="54">
        <v>100</v>
      </c>
      <c r="E492" s="22">
        <f t="shared" si="8"/>
        <v>-5265.1100000000006</v>
      </c>
    </row>
    <row r="493" spans="1:5" x14ac:dyDescent="0.25">
      <c r="A493" s="6">
        <v>43930</v>
      </c>
      <c r="B493" s="59" t="s">
        <v>372</v>
      </c>
      <c r="D493" s="54">
        <v>2000</v>
      </c>
      <c r="E493" s="22">
        <f t="shared" si="8"/>
        <v>-7265.1100000000006</v>
      </c>
    </row>
    <row r="494" spans="1:5" x14ac:dyDescent="0.25">
      <c r="A494" s="6">
        <v>43930</v>
      </c>
      <c r="B494" s="59" t="s">
        <v>270</v>
      </c>
      <c r="C494" s="50">
        <v>2500</v>
      </c>
      <c r="E494" s="22">
        <f t="shared" si="8"/>
        <v>-4765.1100000000006</v>
      </c>
    </row>
    <row r="495" spans="1:5" x14ac:dyDescent="0.25">
      <c r="A495" s="6">
        <v>43934</v>
      </c>
      <c r="B495" s="59" t="s">
        <v>377</v>
      </c>
      <c r="D495" s="54">
        <v>100</v>
      </c>
      <c r="E495" s="22">
        <f t="shared" si="8"/>
        <v>-4865.1100000000006</v>
      </c>
    </row>
    <row r="496" spans="1:5" x14ac:dyDescent="0.25">
      <c r="A496" s="6">
        <v>43934</v>
      </c>
      <c r="B496" s="59" t="s">
        <v>391</v>
      </c>
      <c r="D496" s="54">
        <v>1500</v>
      </c>
      <c r="E496" s="22">
        <f t="shared" ref="E496:E559" si="9">E495-D496+C496</f>
        <v>-6365.1100000000006</v>
      </c>
    </row>
    <row r="497" spans="1:5" x14ac:dyDescent="0.25">
      <c r="A497" s="6">
        <v>43935</v>
      </c>
      <c r="B497" s="59" t="s">
        <v>95</v>
      </c>
      <c r="C497" s="50">
        <v>5700</v>
      </c>
      <c r="E497" s="22">
        <f t="shared" si="9"/>
        <v>-665.11000000000058</v>
      </c>
    </row>
    <row r="498" spans="1:5" s="22" customFormat="1" x14ac:dyDescent="0.25">
      <c r="A498" s="6">
        <v>43935</v>
      </c>
      <c r="B498" s="59" t="s">
        <v>392</v>
      </c>
      <c r="C498" s="50"/>
      <c r="D498" s="54">
        <v>100</v>
      </c>
      <c r="E498" s="22">
        <f t="shared" si="9"/>
        <v>-765.11000000000058</v>
      </c>
    </row>
    <row r="499" spans="1:5" x14ac:dyDescent="0.25">
      <c r="A499" s="6">
        <v>43935</v>
      </c>
      <c r="B499" s="59" t="s">
        <v>95</v>
      </c>
      <c r="C499" s="50">
        <v>500</v>
      </c>
      <c r="E499" s="22">
        <f t="shared" si="9"/>
        <v>-265.11000000000058</v>
      </c>
    </row>
    <row r="500" spans="1:5" x14ac:dyDescent="0.25">
      <c r="A500" s="6">
        <v>43935</v>
      </c>
      <c r="B500" s="59" t="s">
        <v>95</v>
      </c>
      <c r="C500" s="50">
        <v>500</v>
      </c>
      <c r="E500" s="22">
        <f t="shared" si="9"/>
        <v>234.88999999999942</v>
      </c>
    </row>
    <row r="501" spans="1:5" x14ac:dyDescent="0.25">
      <c r="A501" s="6">
        <v>43935</v>
      </c>
      <c r="B501" s="59" t="s">
        <v>95</v>
      </c>
      <c r="C501" s="50">
        <v>500</v>
      </c>
      <c r="E501" s="22">
        <f t="shared" si="9"/>
        <v>734.88999999999942</v>
      </c>
    </row>
    <row r="502" spans="1:5" x14ac:dyDescent="0.25">
      <c r="A502" s="6">
        <v>43935</v>
      </c>
      <c r="B502" s="59" t="s">
        <v>3</v>
      </c>
      <c r="D502" s="54">
        <v>5700</v>
      </c>
      <c r="E502" s="22">
        <f t="shared" si="9"/>
        <v>-4965.1100000000006</v>
      </c>
    </row>
    <row r="503" spans="1:5" x14ac:dyDescent="0.25">
      <c r="A503" s="6">
        <v>43935</v>
      </c>
      <c r="B503" s="59" t="s">
        <v>380</v>
      </c>
      <c r="D503" s="54">
        <v>500</v>
      </c>
      <c r="E503" s="22">
        <f t="shared" si="9"/>
        <v>-5465.1100000000006</v>
      </c>
    </row>
    <row r="504" spans="1:5" x14ac:dyDescent="0.25">
      <c r="A504" s="6">
        <v>43935</v>
      </c>
      <c r="B504" s="59" t="s">
        <v>74</v>
      </c>
      <c r="D504" s="54">
        <v>100</v>
      </c>
      <c r="E504" s="22">
        <f t="shared" si="9"/>
        <v>-5565.1100000000006</v>
      </c>
    </row>
    <row r="505" spans="1:5" x14ac:dyDescent="0.25">
      <c r="A505" s="6">
        <v>43935</v>
      </c>
      <c r="B505" s="59" t="s">
        <v>74</v>
      </c>
      <c r="D505" s="54">
        <v>100</v>
      </c>
      <c r="E505" s="22">
        <f t="shared" si="9"/>
        <v>-5665.1100000000006</v>
      </c>
    </row>
    <row r="506" spans="1:5" x14ac:dyDescent="0.25">
      <c r="A506" s="6">
        <v>43935</v>
      </c>
      <c r="B506" s="59" t="s">
        <v>74</v>
      </c>
      <c r="D506" s="54">
        <v>100</v>
      </c>
      <c r="E506" s="22">
        <f t="shared" si="9"/>
        <v>-5765.1100000000006</v>
      </c>
    </row>
    <row r="507" spans="1:5" x14ac:dyDescent="0.25">
      <c r="A507" s="6">
        <v>43935</v>
      </c>
      <c r="B507" s="59" t="s">
        <v>74</v>
      </c>
      <c r="D507" s="54">
        <v>100</v>
      </c>
      <c r="E507" s="22">
        <f t="shared" si="9"/>
        <v>-5865.1100000000006</v>
      </c>
    </row>
    <row r="508" spans="1:5" x14ac:dyDescent="0.25">
      <c r="A508" s="6">
        <v>43936</v>
      </c>
      <c r="B508" s="59" t="s">
        <v>393</v>
      </c>
      <c r="D508" s="54">
        <v>3000</v>
      </c>
      <c r="E508" s="22">
        <f t="shared" si="9"/>
        <v>-8865.11</v>
      </c>
    </row>
    <row r="509" spans="1:5" s="22" customFormat="1" x14ac:dyDescent="0.25">
      <c r="A509" s="26">
        <v>43936</v>
      </c>
      <c r="B509" s="61" t="s">
        <v>335</v>
      </c>
      <c r="C509" s="51">
        <v>189.09</v>
      </c>
      <c r="D509" s="54"/>
      <c r="E509" s="22">
        <f t="shared" si="9"/>
        <v>-8676.02</v>
      </c>
    </row>
    <row r="510" spans="1:5" s="22" customFormat="1" x14ac:dyDescent="0.25">
      <c r="A510" s="6">
        <v>43936</v>
      </c>
      <c r="B510" s="59" t="s">
        <v>74</v>
      </c>
      <c r="C510" s="53"/>
      <c r="D510" s="54">
        <v>100</v>
      </c>
      <c r="E510" s="22">
        <f t="shared" si="9"/>
        <v>-8776.02</v>
      </c>
    </row>
    <row r="511" spans="1:5" s="22" customFormat="1" x14ac:dyDescent="0.25">
      <c r="A511" s="6">
        <v>43936</v>
      </c>
      <c r="B511" s="59" t="s">
        <v>74</v>
      </c>
      <c r="C511" s="51"/>
      <c r="D511" s="54">
        <v>100</v>
      </c>
      <c r="E511" s="22">
        <f t="shared" si="9"/>
        <v>-8876.02</v>
      </c>
    </row>
    <row r="512" spans="1:5" s="22" customFormat="1" x14ac:dyDescent="0.25">
      <c r="A512" s="6">
        <v>43936</v>
      </c>
      <c r="B512" s="59" t="s">
        <v>74</v>
      </c>
      <c r="C512" s="51"/>
      <c r="D512" s="54">
        <v>100</v>
      </c>
      <c r="E512" s="22">
        <f t="shared" si="9"/>
        <v>-8976.02</v>
      </c>
    </row>
    <row r="513" spans="1:6" x14ac:dyDescent="0.25">
      <c r="A513" s="6">
        <v>43937</v>
      </c>
      <c r="B513" s="59" t="s">
        <v>270</v>
      </c>
      <c r="C513" s="50">
        <v>6000</v>
      </c>
      <c r="E513" s="22">
        <f t="shared" si="9"/>
        <v>-2976.0200000000004</v>
      </c>
    </row>
    <row r="514" spans="1:6" x14ac:dyDescent="0.25">
      <c r="A514" s="6">
        <v>43937</v>
      </c>
      <c r="B514" s="59" t="s">
        <v>381</v>
      </c>
      <c r="D514" s="54">
        <v>2900</v>
      </c>
      <c r="E514" s="22">
        <f t="shared" si="9"/>
        <v>-5876.02</v>
      </c>
    </row>
    <row r="515" spans="1:6" x14ac:dyDescent="0.25">
      <c r="A515" s="6">
        <v>43937</v>
      </c>
      <c r="B515" s="59" t="s">
        <v>388</v>
      </c>
      <c r="D515" s="54">
        <v>100</v>
      </c>
      <c r="E515" s="22">
        <f t="shared" si="9"/>
        <v>-5976.02</v>
      </c>
      <c r="F515">
        <v>1</v>
      </c>
    </row>
    <row r="516" spans="1:6" x14ac:dyDescent="0.25">
      <c r="A516" s="6">
        <v>43937</v>
      </c>
      <c r="B516" s="59" t="s">
        <v>389</v>
      </c>
      <c r="D516" s="54">
        <v>100</v>
      </c>
      <c r="E516" s="22">
        <f t="shared" si="9"/>
        <v>-6076.02</v>
      </c>
      <c r="F516">
        <v>1</v>
      </c>
    </row>
    <row r="517" spans="1:6" s="22" customFormat="1" x14ac:dyDescent="0.25">
      <c r="A517" s="6">
        <v>43937</v>
      </c>
      <c r="B517" s="59" t="s">
        <v>390</v>
      </c>
      <c r="C517" s="50"/>
      <c r="D517" s="54">
        <v>100</v>
      </c>
      <c r="E517" s="22">
        <f t="shared" si="9"/>
        <v>-6176.02</v>
      </c>
      <c r="F517" s="22">
        <v>1</v>
      </c>
    </row>
    <row r="518" spans="1:6" x14ac:dyDescent="0.25">
      <c r="A518" s="6">
        <v>43937</v>
      </c>
      <c r="B518" s="59" t="s">
        <v>382</v>
      </c>
      <c r="D518" s="54">
        <v>200</v>
      </c>
      <c r="E518" s="22">
        <f t="shared" si="9"/>
        <v>-6376.02</v>
      </c>
    </row>
    <row r="519" spans="1:6" x14ac:dyDescent="0.25">
      <c r="A519" s="6">
        <v>43937</v>
      </c>
      <c r="B519" s="59" t="s">
        <v>383</v>
      </c>
      <c r="D519" s="54">
        <v>100</v>
      </c>
      <c r="E519" s="22">
        <f t="shared" si="9"/>
        <v>-6476.02</v>
      </c>
      <c r="F519">
        <v>1</v>
      </c>
    </row>
    <row r="520" spans="1:6" x14ac:dyDescent="0.25">
      <c r="A520" s="6">
        <v>43937</v>
      </c>
      <c r="B520" s="59" t="s">
        <v>387</v>
      </c>
      <c r="D520" s="54">
        <v>100</v>
      </c>
      <c r="E520" s="22">
        <f t="shared" si="9"/>
        <v>-6576.02</v>
      </c>
      <c r="F520">
        <v>1</v>
      </c>
    </row>
    <row r="521" spans="1:6" x14ac:dyDescent="0.25">
      <c r="A521" s="6">
        <v>43937</v>
      </c>
      <c r="B521" s="59" t="s">
        <v>386</v>
      </c>
      <c r="D521" s="54">
        <v>100</v>
      </c>
      <c r="E521" s="22">
        <f t="shared" si="9"/>
        <v>-6676.02</v>
      </c>
      <c r="F521">
        <v>1</v>
      </c>
    </row>
    <row r="522" spans="1:6" x14ac:dyDescent="0.25">
      <c r="A522" s="6">
        <v>43937</v>
      </c>
      <c r="B522" s="59" t="s">
        <v>385</v>
      </c>
      <c r="D522" s="54">
        <v>500</v>
      </c>
      <c r="E522" s="22">
        <f t="shared" si="9"/>
        <v>-7176.02</v>
      </c>
    </row>
    <row r="523" spans="1:6" x14ac:dyDescent="0.25">
      <c r="A523" s="6">
        <v>43937</v>
      </c>
      <c r="B523" s="59" t="s">
        <v>384</v>
      </c>
      <c r="D523" s="54">
        <v>1400</v>
      </c>
      <c r="E523" s="22">
        <f t="shared" si="9"/>
        <v>-8576.02</v>
      </c>
    </row>
    <row r="524" spans="1:6" x14ac:dyDescent="0.25">
      <c r="A524" s="6">
        <v>43938</v>
      </c>
      <c r="B524" s="59" t="s">
        <v>321</v>
      </c>
      <c r="C524" s="50">
        <v>4000</v>
      </c>
      <c r="E524" s="22">
        <f t="shared" si="9"/>
        <v>-4576.0200000000004</v>
      </c>
    </row>
    <row r="525" spans="1:6" x14ac:dyDescent="0.25">
      <c r="A525" s="6">
        <v>43938</v>
      </c>
      <c r="B525" s="59" t="s">
        <v>300</v>
      </c>
      <c r="D525" s="54">
        <v>100</v>
      </c>
      <c r="E525" s="22">
        <f t="shared" si="9"/>
        <v>-4676.0200000000004</v>
      </c>
    </row>
    <row r="526" spans="1:6" x14ac:dyDescent="0.25">
      <c r="A526" s="6">
        <v>43938</v>
      </c>
      <c r="B526" s="59" t="s">
        <v>300</v>
      </c>
      <c r="D526" s="54">
        <v>100</v>
      </c>
      <c r="E526" s="22">
        <f t="shared" si="9"/>
        <v>-4776.0200000000004</v>
      </c>
    </row>
    <row r="527" spans="1:6" x14ac:dyDescent="0.25">
      <c r="A527" s="6">
        <v>43938</v>
      </c>
      <c r="B527" s="59" t="s">
        <v>300</v>
      </c>
      <c r="D527" s="54">
        <v>100</v>
      </c>
      <c r="E527" s="22">
        <f t="shared" si="9"/>
        <v>-4876.0200000000004</v>
      </c>
    </row>
    <row r="528" spans="1:6" x14ac:dyDescent="0.25">
      <c r="A528" s="6">
        <v>43938</v>
      </c>
      <c r="B528" s="59" t="s">
        <v>300</v>
      </c>
      <c r="D528" s="54">
        <v>100</v>
      </c>
      <c r="E528" s="22">
        <f t="shared" si="9"/>
        <v>-4976.0200000000004</v>
      </c>
    </row>
    <row r="529" spans="1:5" x14ac:dyDescent="0.25">
      <c r="A529" s="6">
        <v>43938</v>
      </c>
      <c r="B529" s="59" t="s">
        <v>300</v>
      </c>
      <c r="D529" s="54">
        <v>100</v>
      </c>
      <c r="E529" s="22">
        <f t="shared" si="9"/>
        <v>-5076.0200000000004</v>
      </c>
    </row>
    <row r="530" spans="1:5" x14ac:dyDescent="0.25">
      <c r="A530" s="6">
        <v>43938</v>
      </c>
      <c r="B530" s="59" t="s">
        <v>300</v>
      </c>
      <c r="D530" s="54">
        <v>200</v>
      </c>
      <c r="E530" s="22">
        <f t="shared" si="9"/>
        <v>-5276.02</v>
      </c>
    </row>
    <row r="531" spans="1:5" x14ac:dyDescent="0.25">
      <c r="A531" s="6">
        <v>43938</v>
      </c>
      <c r="B531" s="59" t="s">
        <v>300</v>
      </c>
      <c r="D531" s="54">
        <v>100</v>
      </c>
      <c r="E531" s="22">
        <f t="shared" si="9"/>
        <v>-5376.02</v>
      </c>
    </row>
    <row r="532" spans="1:5" x14ac:dyDescent="0.25">
      <c r="A532" s="6">
        <v>43938</v>
      </c>
      <c r="B532" s="59" t="s">
        <v>300</v>
      </c>
      <c r="D532" s="54">
        <v>100</v>
      </c>
      <c r="E532" s="22">
        <f t="shared" si="9"/>
        <v>-5476.02</v>
      </c>
    </row>
    <row r="533" spans="1:5" x14ac:dyDescent="0.25">
      <c r="A533" s="6">
        <v>43938</v>
      </c>
      <c r="B533" s="59" t="s">
        <v>300</v>
      </c>
      <c r="D533" s="54">
        <v>100</v>
      </c>
      <c r="E533" s="22">
        <f t="shared" si="9"/>
        <v>-5576.02</v>
      </c>
    </row>
    <row r="534" spans="1:5" x14ac:dyDescent="0.25">
      <c r="A534" s="6">
        <v>43938</v>
      </c>
      <c r="B534" s="59" t="s">
        <v>300</v>
      </c>
      <c r="D534" s="54">
        <v>100</v>
      </c>
      <c r="E534" s="22">
        <f t="shared" si="9"/>
        <v>-5676.02</v>
      </c>
    </row>
    <row r="535" spans="1:5" x14ac:dyDescent="0.25">
      <c r="A535" s="6">
        <v>43938</v>
      </c>
      <c r="B535" s="59" t="s">
        <v>71</v>
      </c>
      <c r="C535" s="50">
        <v>500</v>
      </c>
      <c r="E535" s="22">
        <f t="shared" si="9"/>
        <v>-5176.0200000000004</v>
      </c>
    </row>
    <row r="536" spans="1:5" x14ac:dyDescent="0.25">
      <c r="A536" s="6">
        <v>43938</v>
      </c>
      <c r="B536" s="59" t="s">
        <v>300</v>
      </c>
      <c r="D536" s="54">
        <v>200</v>
      </c>
      <c r="E536" s="22">
        <f t="shared" si="9"/>
        <v>-5376.02</v>
      </c>
    </row>
    <row r="537" spans="1:5" x14ac:dyDescent="0.25">
      <c r="A537" s="6">
        <v>43938</v>
      </c>
      <c r="B537" s="59" t="s">
        <v>3</v>
      </c>
      <c r="D537" s="54">
        <v>2000</v>
      </c>
      <c r="E537" s="22">
        <f t="shared" si="9"/>
        <v>-7376.02</v>
      </c>
    </row>
    <row r="538" spans="1:5" x14ac:dyDescent="0.25">
      <c r="A538" s="6">
        <v>43939</v>
      </c>
      <c r="B538" s="59" t="s">
        <v>270</v>
      </c>
      <c r="C538" s="50">
        <v>2000</v>
      </c>
      <c r="E538" s="22">
        <f t="shared" si="9"/>
        <v>-5376.02</v>
      </c>
    </row>
    <row r="539" spans="1:5" x14ac:dyDescent="0.25">
      <c r="A539" s="6">
        <v>43939</v>
      </c>
      <c r="B539" s="59" t="s">
        <v>394</v>
      </c>
      <c r="D539" s="54">
        <v>100</v>
      </c>
      <c r="E539" s="22">
        <f t="shared" si="9"/>
        <v>-5476.02</v>
      </c>
    </row>
    <row r="540" spans="1:5" x14ac:dyDescent="0.25">
      <c r="A540" s="6">
        <v>43939</v>
      </c>
      <c r="B540" s="59" t="s">
        <v>71</v>
      </c>
      <c r="C540" s="50">
        <v>9000</v>
      </c>
      <c r="E540" s="22">
        <f t="shared" si="9"/>
        <v>3523.9799999999996</v>
      </c>
    </row>
    <row r="541" spans="1:5" x14ac:dyDescent="0.25">
      <c r="A541" s="6">
        <v>43939</v>
      </c>
      <c r="B541" s="59" t="s">
        <v>395</v>
      </c>
      <c r="D541" s="54">
        <v>4000</v>
      </c>
      <c r="E541" s="22">
        <f t="shared" si="9"/>
        <v>-476.02000000000044</v>
      </c>
    </row>
    <row r="542" spans="1:5" x14ac:dyDescent="0.25">
      <c r="A542" s="6">
        <v>43939</v>
      </c>
      <c r="B542" s="59" t="s">
        <v>396</v>
      </c>
      <c r="D542" s="54">
        <v>200</v>
      </c>
      <c r="E542" s="22">
        <f t="shared" si="9"/>
        <v>-676.02000000000044</v>
      </c>
    </row>
    <row r="543" spans="1:5" x14ac:dyDescent="0.25">
      <c r="A543" s="6">
        <v>43939</v>
      </c>
      <c r="B543" s="59">
        <v>1311</v>
      </c>
      <c r="D543" s="54">
        <v>150</v>
      </c>
      <c r="E543" s="22">
        <f t="shared" si="9"/>
        <v>-826.02000000000044</v>
      </c>
    </row>
    <row r="544" spans="1:5" x14ac:dyDescent="0.25">
      <c r="A544" s="6">
        <v>43939</v>
      </c>
      <c r="B544" s="59">
        <v>1312</v>
      </c>
      <c r="D544" s="54">
        <v>500</v>
      </c>
      <c r="E544" s="22">
        <f t="shared" si="9"/>
        <v>-1326.0200000000004</v>
      </c>
    </row>
    <row r="545" spans="1:5" x14ac:dyDescent="0.25">
      <c r="A545" s="6">
        <v>43939</v>
      </c>
      <c r="B545" s="59">
        <v>1313</v>
      </c>
      <c r="D545" s="54">
        <v>300</v>
      </c>
      <c r="E545" s="22">
        <f t="shared" si="9"/>
        <v>-1626.0200000000004</v>
      </c>
    </row>
    <row r="546" spans="1:5" x14ac:dyDescent="0.25">
      <c r="A546" s="6">
        <v>43939</v>
      </c>
      <c r="B546" s="59" t="s">
        <v>397</v>
      </c>
      <c r="D546" s="54">
        <v>500</v>
      </c>
      <c r="E546" s="22">
        <f t="shared" si="9"/>
        <v>-2126.0200000000004</v>
      </c>
    </row>
    <row r="547" spans="1:5" x14ac:dyDescent="0.25">
      <c r="A547" s="6">
        <v>43939</v>
      </c>
      <c r="B547" s="59" t="s">
        <v>398</v>
      </c>
      <c r="D547" s="54">
        <v>500</v>
      </c>
      <c r="E547" s="22">
        <f t="shared" si="9"/>
        <v>-2626.0200000000004</v>
      </c>
    </row>
    <row r="548" spans="1:5" x14ac:dyDescent="0.25">
      <c r="A548" s="6">
        <v>43939</v>
      </c>
      <c r="B548" s="59" t="s">
        <v>399</v>
      </c>
      <c r="D548" s="54">
        <v>300</v>
      </c>
      <c r="E548" s="22">
        <f t="shared" si="9"/>
        <v>-2926.0200000000004</v>
      </c>
    </row>
    <row r="549" spans="1:5" x14ac:dyDescent="0.25">
      <c r="A549" s="6">
        <v>43939</v>
      </c>
      <c r="B549" s="59" t="s">
        <v>400</v>
      </c>
      <c r="D549" s="54">
        <v>300</v>
      </c>
      <c r="E549" s="22">
        <f t="shared" si="9"/>
        <v>-3226.0200000000004</v>
      </c>
    </row>
    <row r="550" spans="1:5" x14ac:dyDescent="0.25">
      <c r="A550" s="6">
        <v>43939</v>
      </c>
      <c r="B550" s="59" t="s">
        <v>401</v>
      </c>
      <c r="D550" s="54">
        <v>300</v>
      </c>
      <c r="E550" s="22">
        <f t="shared" si="9"/>
        <v>-3526.0200000000004</v>
      </c>
    </row>
    <row r="551" spans="1:5" x14ac:dyDescent="0.25">
      <c r="A551" s="6">
        <v>43939</v>
      </c>
      <c r="B551" s="59" t="s">
        <v>402</v>
      </c>
      <c r="D551" s="54">
        <v>100</v>
      </c>
      <c r="E551" s="22">
        <f t="shared" si="9"/>
        <v>-3626.0200000000004</v>
      </c>
    </row>
    <row r="552" spans="1:5" x14ac:dyDescent="0.25">
      <c r="A552" s="6">
        <v>43939</v>
      </c>
      <c r="B552" s="59" t="s">
        <v>403</v>
      </c>
      <c r="D552" s="54">
        <v>300</v>
      </c>
      <c r="E552" s="22">
        <f t="shared" si="9"/>
        <v>-3926.0200000000004</v>
      </c>
    </row>
    <row r="553" spans="1:5" x14ac:dyDescent="0.25">
      <c r="A553" s="6">
        <v>43939</v>
      </c>
      <c r="B553" s="59" t="s">
        <v>404</v>
      </c>
      <c r="D553" s="54">
        <v>100</v>
      </c>
      <c r="E553" s="22">
        <f t="shared" si="9"/>
        <v>-4026.0200000000004</v>
      </c>
    </row>
    <row r="554" spans="1:5" x14ac:dyDescent="0.25">
      <c r="A554" s="6">
        <v>43939</v>
      </c>
      <c r="B554" s="59" t="s">
        <v>405</v>
      </c>
      <c r="D554" s="54">
        <v>300</v>
      </c>
      <c r="E554" s="22">
        <f t="shared" si="9"/>
        <v>-4326.0200000000004</v>
      </c>
    </row>
    <row r="555" spans="1:5" x14ac:dyDescent="0.25">
      <c r="A555" s="6">
        <v>43939</v>
      </c>
      <c r="B555" s="59" t="s">
        <v>406</v>
      </c>
      <c r="D555" s="54">
        <v>100</v>
      </c>
      <c r="E555" s="22">
        <f t="shared" si="9"/>
        <v>-4426.0200000000004</v>
      </c>
    </row>
    <row r="556" spans="1:5" x14ac:dyDescent="0.25">
      <c r="A556" s="6">
        <v>43939</v>
      </c>
      <c r="B556" s="59" t="s">
        <v>407</v>
      </c>
      <c r="D556" s="54">
        <v>200</v>
      </c>
      <c r="E556" s="22">
        <f t="shared" si="9"/>
        <v>-4626.0200000000004</v>
      </c>
    </row>
    <row r="557" spans="1:5" x14ac:dyDescent="0.25">
      <c r="A557" s="6">
        <v>43939</v>
      </c>
      <c r="B557" s="59" t="s">
        <v>408</v>
      </c>
      <c r="D557" s="54">
        <v>300</v>
      </c>
      <c r="E557" s="22">
        <f t="shared" si="9"/>
        <v>-4926.0200000000004</v>
      </c>
    </row>
    <row r="558" spans="1:5" x14ac:dyDescent="0.25">
      <c r="A558" s="6">
        <v>43939</v>
      </c>
      <c r="B558" s="59" t="s">
        <v>409</v>
      </c>
      <c r="D558" s="54">
        <v>100</v>
      </c>
      <c r="E558" s="22">
        <f t="shared" si="9"/>
        <v>-5026.0200000000004</v>
      </c>
    </row>
    <row r="559" spans="1:5" x14ac:dyDescent="0.25">
      <c r="A559" s="6">
        <v>43939</v>
      </c>
      <c r="B559" s="59" t="s">
        <v>410</v>
      </c>
      <c r="D559" s="54">
        <v>100</v>
      </c>
      <c r="E559" s="22">
        <f t="shared" si="9"/>
        <v>-5126.0200000000004</v>
      </c>
    </row>
    <row r="560" spans="1:5" x14ac:dyDescent="0.25">
      <c r="A560" s="6">
        <v>43939</v>
      </c>
      <c r="B560" s="59" t="s">
        <v>411</v>
      </c>
      <c r="D560" s="54">
        <v>290</v>
      </c>
      <c r="E560" s="22">
        <f t="shared" ref="E560:E623" si="10">E559-D560+C560</f>
        <v>-5416.02</v>
      </c>
    </row>
    <row r="561" spans="1:5" x14ac:dyDescent="0.25">
      <c r="A561" s="6">
        <v>43939</v>
      </c>
      <c r="B561" s="59" t="s">
        <v>412</v>
      </c>
      <c r="D561" s="54">
        <v>150</v>
      </c>
      <c r="E561" s="22">
        <f t="shared" si="10"/>
        <v>-5566.02</v>
      </c>
    </row>
    <row r="562" spans="1:5" x14ac:dyDescent="0.25">
      <c r="A562" s="6">
        <v>43939</v>
      </c>
      <c r="B562" s="59" t="s">
        <v>413</v>
      </c>
      <c r="D562" s="54">
        <v>200</v>
      </c>
      <c r="E562" s="22">
        <f t="shared" si="10"/>
        <v>-5766.02</v>
      </c>
    </row>
    <row r="563" spans="1:5" x14ac:dyDescent="0.25">
      <c r="A563" s="6">
        <v>43939</v>
      </c>
      <c r="B563" s="59" t="s">
        <v>414</v>
      </c>
      <c r="D563" s="54">
        <v>200</v>
      </c>
      <c r="E563" s="22">
        <f t="shared" si="10"/>
        <v>-5966.02</v>
      </c>
    </row>
    <row r="564" spans="1:5" x14ac:dyDescent="0.25">
      <c r="A564" s="6">
        <v>43939</v>
      </c>
      <c r="B564" s="59" t="s">
        <v>415</v>
      </c>
      <c r="D564" s="54">
        <v>100</v>
      </c>
      <c r="E564" s="22">
        <f t="shared" si="10"/>
        <v>-6066.02</v>
      </c>
    </row>
    <row r="565" spans="1:5" x14ac:dyDescent="0.25">
      <c r="A565" s="6">
        <v>43939</v>
      </c>
      <c r="B565" s="59" t="s">
        <v>416</v>
      </c>
      <c r="D565" s="54">
        <v>100</v>
      </c>
      <c r="E565" s="22">
        <f t="shared" si="10"/>
        <v>-6166.02</v>
      </c>
    </row>
    <row r="566" spans="1:5" x14ac:dyDescent="0.25">
      <c r="A566" s="6">
        <v>43939</v>
      </c>
      <c r="B566" s="59" t="s">
        <v>417</v>
      </c>
      <c r="D566" s="54">
        <v>300</v>
      </c>
      <c r="E566" s="22">
        <f t="shared" si="10"/>
        <v>-6466.02</v>
      </c>
    </row>
    <row r="567" spans="1:5" x14ac:dyDescent="0.25">
      <c r="A567" s="6">
        <v>43939</v>
      </c>
      <c r="B567" s="59" t="s">
        <v>418</v>
      </c>
      <c r="D567" s="54">
        <v>100</v>
      </c>
      <c r="E567" s="22">
        <f t="shared" si="10"/>
        <v>-6566.02</v>
      </c>
    </row>
    <row r="568" spans="1:5" x14ac:dyDescent="0.25">
      <c r="A568" s="6">
        <v>43939</v>
      </c>
      <c r="B568" s="59" t="s">
        <v>419</v>
      </c>
      <c r="D568" s="54">
        <v>100</v>
      </c>
      <c r="E568" s="22">
        <f t="shared" si="10"/>
        <v>-6666.02</v>
      </c>
    </row>
    <row r="569" spans="1:5" x14ac:dyDescent="0.25">
      <c r="A569" s="6">
        <v>43939</v>
      </c>
      <c r="B569" s="59" t="s">
        <v>420</v>
      </c>
      <c r="D569" s="54">
        <v>100</v>
      </c>
      <c r="E569" s="22">
        <f t="shared" si="10"/>
        <v>-6766.02</v>
      </c>
    </row>
    <row r="570" spans="1:5" x14ac:dyDescent="0.25">
      <c r="A570" s="6">
        <v>43939</v>
      </c>
      <c r="B570" s="59" t="s">
        <v>421</v>
      </c>
      <c r="D570" s="54">
        <v>100</v>
      </c>
      <c r="E570" s="22">
        <f t="shared" si="10"/>
        <v>-6866.02</v>
      </c>
    </row>
    <row r="571" spans="1:5" x14ac:dyDescent="0.25">
      <c r="A571" s="6">
        <v>43939</v>
      </c>
      <c r="B571" s="59" t="s">
        <v>422</v>
      </c>
      <c r="D571" s="54">
        <v>100</v>
      </c>
      <c r="E571" s="22">
        <f t="shared" si="10"/>
        <v>-6966.02</v>
      </c>
    </row>
    <row r="572" spans="1:5" x14ac:dyDescent="0.25">
      <c r="A572" s="6">
        <v>43939</v>
      </c>
      <c r="B572" s="59" t="s">
        <v>423</v>
      </c>
      <c r="D572" s="54">
        <v>100</v>
      </c>
      <c r="E572" s="22">
        <f t="shared" si="10"/>
        <v>-7066.02</v>
      </c>
    </row>
    <row r="573" spans="1:5" x14ac:dyDescent="0.25">
      <c r="A573" s="6">
        <v>43939</v>
      </c>
      <c r="B573" s="59" t="s">
        <v>424</v>
      </c>
      <c r="D573" s="54">
        <v>100</v>
      </c>
      <c r="E573" s="22">
        <f t="shared" si="10"/>
        <v>-7166.02</v>
      </c>
    </row>
    <row r="574" spans="1:5" x14ac:dyDescent="0.25">
      <c r="A574" s="6">
        <v>43939</v>
      </c>
      <c r="B574" s="59" t="s">
        <v>425</v>
      </c>
      <c r="D574" s="54">
        <v>200</v>
      </c>
      <c r="E574" s="22">
        <f t="shared" si="10"/>
        <v>-7366.02</v>
      </c>
    </row>
    <row r="575" spans="1:5" x14ac:dyDescent="0.25">
      <c r="A575" s="6">
        <v>43939</v>
      </c>
      <c r="B575" s="59" t="s">
        <v>426</v>
      </c>
      <c r="D575" s="54">
        <v>100</v>
      </c>
      <c r="E575" s="22">
        <f t="shared" si="10"/>
        <v>-7466.02</v>
      </c>
    </row>
    <row r="576" spans="1:5" x14ac:dyDescent="0.25">
      <c r="A576" s="6">
        <v>43939</v>
      </c>
      <c r="B576" s="59" t="s">
        <v>427</v>
      </c>
      <c r="D576" s="54">
        <v>100</v>
      </c>
      <c r="E576" s="22">
        <f t="shared" si="10"/>
        <v>-7566.02</v>
      </c>
    </row>
    <row r="577" spans="1:5" x14ac:dyDescent="0.25">
      <c r="A577" s="6">
        <v>43939</v>
      </c>
      <c r="B577" s="59" t="s">
        <v>428</v>
      </c>
      <c r="D577" s="54">
        <v>100</v>
      </c>
      <c r="E577" s="22">
        <f t="shared" si="10"/>
        <v>-7666.02</v>
      </c>
    </row>
    <row r="578" spans="1:5" x14ac:dyDescent="0.25">
      <c r="A578" s="6">
        <v>43941</v>
      </c>
      <c r="B578" s="59" t="s">
        <v>321</v>
      </c>
      <c r="C578" s="50">
        <v>12000</v>
      </c>
      <c r="E578" s="22">
        <f t="shared" si="10"/>
        <v>4333.9799999999996</v>
      </c>
    </row>
    <row r="579" spans="1:5" x14ac:dyDescent="0.25">
      <c r="A579" s="6">
        <v>43941</v>
      </c>
      <c r="B579" s="59" t="s">
        <v>138</v>
      </c>
      <c r="D579" s="54">
        <v>500</v>
      </c>
      <c r="E579" s="22">
        <f t="shared" si="10"/>
        <v>3833.9799999999996</v>
      </c>
    </row>
    <row r="580" spans="1:5" x14ac:dyDescent="0.25">
      <c r="A580" s="6">
        <v>43941</v>
      </c>
      <c r="B580" s="59" t="s">
        <v>429</v>
      </c>
      <c r="D580" s="54">
        <v>3000</v>
      </c>
      <c r="E580" s="22">
        <f t="shared" si="10"/>
        <v>833.97999999999956</v>
      </c>
    </row>
    <row r="581" spans="1:5" x14ac:dyDescent="0.25">
      <c r="A581" s="6">
        <v>43941</v>
      </c>
      <c r="B581" s="59">
        <v>1306</v>
      </c>
      <c r="D581" s="54">
        <v>200</v>
      </c>
      <c r="E581" s="22">
        <f t="shared" si="10"/>
        <v>633.97999999999956</v>
      </c>
    </row>
    <row r="582" spans="1:5" x14ac:dyDescent="0.25">
      <c r="A582" s="6">
        <v>43941</v>
      </c>
      <c r="B582" s="59" t="s">
        <v>430</v>
      </c>
      <c r="D582" s="54">
        <v>200</v>
      </c>
      <c r="E582" s="22">
        <f t="shared" si="10"/>
        <v>433.97999999999956</v>
      </c>
    </row>
    <row r="583" spans="1:5" x14ac:dyDescent="0.25">
      <c r="A583" s="6">
        <v>43941</v>
      </c>
      <c r="B583" s="59" t="s">
        <v>431</v>
      </c>
      <c r="D583" s="54">
        <v>200</v>
      </c>
      <c r="E583" s="22">
        <f t="shared" si="10"/>
        <v>233.97999999999956</v>
      </c>
    </row>
    <row r="584" spans="1:5" x14ac:dyDescent="0.25">
      <c r="A584" s="6">
        <v>43941</v>
      </c>
      <c r="B584" s="59" t="s">
        <v>432</v>
      </c>
      <c r="D584" s="54">
        <v>200</v>
      </c>
      <c r="E584" s="22">
        <f t="shared" si="10"/>
        <v>33.979999999999563</v>
      </c>
    </row>
    <row r="585" spans="1:5" x14ac:dyDescent="0.25">
      <c r="A585" s="6">
        <v>43941</v>
      </c>
      <c r="B585" s="59" t="s">
        <v>433</v>
      </c>
      <c r="D585" s="54">
        <v>200</v>
      </c>
      <c r="E585" s="22">
        <f t="shared" si="10"/>
        <v>-166.02000000000044</v>
      </c>
    </row>
    <row r="586" spans="1:5" x14ac:dyDescent="0.25">
      <c r="A586" s="6">
        <v>43941</v>
      </c>
      <c r="B586" s="59" t="s">
        <v>434</v>
      </c>
      <c r="D586" s="54">
        <v>100</v>
      </c>
      <c r="E586" s="22">
        <f t="shared" si="10"/>
        <v>-266.02000000000044</v>
      </c>
    </row>
    <row r="587" spans="1:5" x14ac:dyDescent="0.25">
      <c r="A587" s="6">
        <v>43941</v>
      </c>
      <c r="B587" s="59" t="s">
        <v>435</v>
      </c>
      <c r="D587" s="54">
        <v>100</v>
      </c>
      <c r="E587" s="22">
        <f t="shared" si="10"/>
        <v>-366.02000000000044</v>
      </c>
    </row>
    <row r="588" spans="1:5" x14ac:dyDescent="0.25">
      <c r="A588" s="6">
        <v>43941</v>
      </c>
      <c r="B588" s="59" t="s">
        <v>436</v>
      </c>
      <c r="D588" s="54">
        <v>100</v>
      </c>
      <c r="E588" s="22">
        <f t="shared" si="10"/>
        <v>-466.02000000000044</v>
      </c>
    </row>
    <row r="589" spans="1:5" x14ac:dyDescent="0.25">
      <c r="A589" s="6">
        <v>43941</v>
      </c>
      <c r="B589" s="59" t="s">
        <v>437</v>
      </c>
      <c r="D589" s="54">
        <v>100</v>
      </c>
      <c r="E589" s="22">
        <f t="shared" si="10"/>
        <v>-566.02000000000044</v>
      </c>
    </row>
    <row r="590" spans="1:5" x14ac:dyDescent="0.25">
      <c r="A590" s="6">
        <v>43941</v>
      </c>
      <c r="B590" s="59" t="s">
        <v>438</v>
      </c>
      <c r="D590" s="54">
        <v>100</v>
      </c>
      <c r="E590" s="22">
        <f t="shared" si="10"/>
        <v>-666.02000000000044</v>
      </c>
    </row>
    <row r="591" spans="1:5" x14ac:dyDescent="0.25">
      <c r="A591" s="6">
        <v>43941</v>
      </c>
      <c r="B591" s="59" t="s">
        <v>439</v>
      </c>
      <c r="D591" s="54">
        <v>100</v>
      </c>
      <c r="E591" s="22">
        <f t="shared" si="10"/>
        <v>-766.02000000000044</v>
      </c>
    </row>
    <row r="592" spans="1:5" x14ac:dyDescent="0.25">
      <c r="A592" s="6">
        <v>43941</v>
      </c>
      <c r="B592" s="59" t="s">
        <v>440</v>
      </c>
      <c r="D592" s="54">
        <v>100</v>
      </c>
      <c r="E592" s="22">
        <f t="shared" si="10"/>
        <v>-866.02000000000044</v>
      </c>
    </row>
    <row r="593" spans="1:5" x14ac:dyDescent="0.25">
      <c r="A593" s="6">
        <v>43941</v>
      </c>
      <c r="B593" s="59" t="s">
        <v>441</v>
      </c>
      <c r="D593" s="54">
        <v>200</v>
      </c>
      <c r="E593" s="22">
        <f t="shared" si="10"/>
        <v>-1066.0200000000004</v>
      </c>
    </row>
    <row r="594" spans="1:5" x14ac:dyDescent="0.25">
      <c r="A594" s="6">
        <v>43941</v>
      </c>
      <c r="B594" s="59" t="s">
        <v>442</v>
      </c>
      <c r="D594" s="54">
        <v>100</v>
      </c>
      <c r="E594" s="22">
        <f t="shared" si="10"/>
        <v>-1166.0200000000004</v>
      </c>
    </row>
    <row r="595" spans="1:5" x14ac:dyDescent="0.25">
      <c r="A595" s="6">
        <v>43941</v>
      </c>
      <c r="B595" s="59" t="s">
        <v>443</v>
      </c>
      <c r="D595" s="54">
        <v>100</v>
      </c>
      <c r="E595" s="22">
        <f t="shared" si="10"/>
        <v>-1266.0200000000004</v>
      </c>
    </row>
    <row r="596" spans="1:5" x14ac:dyDescent="0.25">
      <c r="A596" s="6">
        <v>43941</v>
      </c>
      <c r="B596" s="59" t="s">
        <v>444</v>
      </c>
      <c r="D596" s="54">
        <v>200</v>
      </c>
      <c r="E596" s="22">
        <f t="shared" si="10"/>
        <v>-1466.0200000000004</v>
      </c>
    </row>
    <row r="597" spans="1:5" x14ac:dyDescent="0.25">
      <c r="A597" s="6">
        <v>43941</v>
      </c>
      <c r="B597" s="59" t="s">
        <v>445</v>
      </c>
      <c r="D597" s="54">
        <v>200</v>
      </c>
      <c r="E597" s="22">
        <f t="shared" si="10"/>
        <v>-1666.0200000000004</v>
      </c>
    </row>
    <row r="598" spans="1:5" x14ac:dyDescent="0.25">
      <c r="A598" s="6">
        <v>43941</v>
      </c>
      <c r="B598" s="59" t="s">
        <v>446</v>
      </c>
      <c r="D598" s="54">
        <v>1000</v>
      </c>
      <c r="E598" s="22">
        <f t="shared" si="10"/>
        <v>-2666.0200000000004</v>
      </c>
    </row>
    <row r="599" spans="1:5" x14ac:dyDescent="0.25">
      <c r="A599" s="6">
        <v>43941</v>
      </c>
      <c r="B599" s="59" t="s">
        <v>447</v>
      </c>
      <c r="D599" s="54">
        <v>200</v>
      </c>
      <c r="E599" s="22">
        <f t="shared" si="10"/>
        <v>-2866.0200000000004</v>
      </c>
    </row>
    <row r="600" spans="1:5" x14ac:dyDescent="0.25">
      <c r="A600" s="6">
        <v>43941</v>
      </c>
      <c r="B600" s="59" t="s">
        <v>448</v>
      </c>
      <c r="D600" s="54">
        <v>200</v>
      </c>
      <c r="E600" s="22">
        <f t="shared" si="10"/>
        <v>-3066.0200000000004</v>
      </c>
    </row>
    <row r="601" spans="1:5" x14ac:dyDescent="0.25">
      <c r="A601" s="6">
        <v>43941</v>
      </c>
      <c r="B601" s="59" t="s">
        <v>449</v>
      </c>
      <c r="D601" s="54">
        <v>100</v>
      </c>
      <c r="E601" s="22">
        <f t="shared" si="10"/>
        <v>-3166.0200000000004</v>
      </c>
    </row>
    <row r="602" spans="1:5" x14ac:dyDescent="0.25">
      <c r="A602" s="6">
        <v>43941</v>
      </c>
      <c r="B602" s="59" t="s">
        <v>450</v>
      </c>
      <c r="D602" s="54">
        <v>200</v>
      </c>
      <c r="E602" s="22">
        <f t="shared" si="10"/>
        <v>-3366.0200000000004</v>
      </c>
    </row>
    <row r="603" spans="1:5" x14ac:dyDescent="0.25">
      <c r="A603" s="6">
        <v>43941</v>
      </c>
      <c r="B603" s="59" t="s">
        <v>451</v>
      </c>
      <c r="D603" s="54">
        <v>100</v>
      </c>
      <c r="E603" s="22">
        <f t="shared" si="10"/>
        <v>-3466.0200000000004</v>
      </c>
    </row>
    <row r="604" spans="1:5" x14ac:dyDescent="0.25">
      <c r="A604" s="6">
        <v>43941</v>
      </c>
      <c r="B604" s="59" t="s">
        <v>452</v>
      </c>
      <c r="D604" s="54">
        <v>100</v>
      </c>
      <c r="E604" s="22">
        <f t="shared" si="10"/>
        <v>-3566.0200000000004</v>
      </c>
    </row>
    <row r="605" spans="1:5" x14ac:dyDescent="0.25">
      <c r="A605" s="6">
        <v>43941</v>
      </c>
      <c r="B605" s="59" t="s">
        <v>453</v>
      </c>
      <c r="D605" s="54">
        <v>200</v>
      </c>
      <c r="E605" s="22">
        <f t="shared" si="10"/>
        <v>-3766.0200000000004</v>
      </c>
    </row>
    <row r="606" spans="1:5" x14ac:dyDescent="0.25">
      <c r="A606" s="6">
        <v>43941</v>
      </c>
      <c r="B606" s="59" t="s">
        <v>454</v>
      </c>
      <c r="D606" s="54">
        <v>100</v>
      </c>
      <c r="E606" s="22">
        <f t="shared" si="10"/>
        <v>-3866.0200000000004</v>
      </c>
    </row>
    <row r="607" spans="1:5" x14ac:dyDescent="0.25">
      <c r="A607" s="6">
        <v>43941</v>
      </c>
      <c r="B607" s="59" t="s">
        <v>455</v>
      </c>
      <c r="D607" s="54">
        <v>100</v>
      </c>
      <c r="E607" s="22">
        <f t="shared" si="10"/>
        <v>-3966.0200000000004</v>
      </c>
    </row>
    <row r="608" spans="1:5" x14ac:dyDescent="0.25">
      <c r="A608" s="6">
        <v>43941</v>
      </c>
      <c r="B608" s="59" t="s">
        <v>456</v>
      </c>
      <c r="D608" s="54">
        <v>100</v>
      </c>
      <c r="E608" s="22">
        <f t="shared" si="10"/>
        <v>-4066.0200000000004</v>
      </c>
    </row>
    <row r="609" spans="1:5" x14ac:dyDescent="0.25">
      <c r="A609" s="6">
        <v>43941</v>
      </c>
      <c r="B609" s="59" t="s">
        <v>457</v>
      </c>
      <c r="D609" s="54">
        <v>200</v>
      </c>
      <c r="E609" s="22">
        <f t="shared" si="10"/>
        <v>-4266.0200000000004</v>
      </c>
    </row>
    <row r="610" spans="1:5" x14ac:dyDescent="0.25">
      <c r="A610" s="6">
        <v>43941</v>
      </c>
      <c r="B610" s="59" t="s">
        <v>458</v>
      </c>
      <c r="D610" s="54">
        <v>200</v>
      </c>
      <c r="E610" s="22">
        <f t="shared" si="10"/>
        <v>-4466.0200000000004</v>
      </c>
    </row>
    <row r="611" spans="1:5" x14ac:dyDescent="0.25">
      <c r="A611" s="6">
        <v>43941</v>
      </c>
      <c r="B611" s="59" t="s">
        <v>459</v>
      </c>
      <c r="D611" s="54">
        <v>100</v>
      </c>
      <c r="E611" s="22">
        <f t="shared" si="10"/>
        <v>-4566.0200000000004</v>
      </c>
    </row>
    <row r="612" spans="1:5" x14ac:dyDescent="0.25">
      <c r="A612" s="6">
        <v>43941</v>
      </c>
      <c r="B612" s="59" t="s">
        <v>460</v>
      </c>
      <c r="D612" s="54">
        <v>100</v>
      </c>
      <c r="E612" s="22">
        <f t="shared" si="10"/>
        <v>-4666.0200000000004</v>
      </c>
    </row>
    <row r="613" spans="1:5" x14ac:dyDescent="0.25">
      <c r="A613" s="6">
        <v>43941</v>
      </c>
      <c r="B613" s="59" t="s">
        <v>461</v>
      </c>
      <c r="D613" s="54">
        <v>200</v>
      </c>
      <c r="E613" s="22">
        <f t="shared" si="10"/>
        <v>-4866.0200000000004</v>
      </c>
    </row>
    <row r="614" spans="1:5" x14ac:dyDescent="0.25">
      <c r="A614" s="6">
        <v>43941</v>
      </c>
      <c r="B614" s="59" t="s">
        <v>462</v>
      </c>
      <c r="D614" s="54">
        <v>200</v>
      </c>
      <c r="E614" s="22">
        <f t="shared" si="10"/>
        <v>-5066.0200000000004</v>
      </c>
    </row>
    <row r="615" spans="1:5" x14ac:dyDescent="0.25">
      <c r="A615" s="6">
        <v>43941</v>
      </c>
      <c r="B615" s="59" t="s">
        <v>463</v>
      </c>
      <c r="D615" s="54">
        <v>500</v>
      </c>
      <c r="E615" s="22">
        <f t="shared" si="10"/>
        <v>-5566.02</v>
      </c>
    </row>
    <row r="616" spans="1:5" x14ac:dyDescent="0.25">
      <c r="A616" s="6">
        <v>43941</v>
      </c>
      <c r="B616" s="59" t="s">
        <v>464</v>
      </c>
      <c r="D616" s="54">
        <v>500</v>
      </c>
      <c r="E616" s="22">
        <f t="shared" si="10"/>
        <v>-6066.02</v>
      </c>
    </row>
    <row r="617" spans="1:5" x14ac:dyDescent="0.25">
      <c r="A617" s="6">
        <v>43942</v>
      </c>
      <c r="B617" s="59" t="s">
        <v>321</v>
      </c>
      <c r="C617" s="50">
        <v>10000</v>
      </c>
      <c r="E617" s="22">
        <f t="shared" si="10"/>
        <v>3933.9799999999996</v>
      </c>
    </row>
    <row r="618" spans="1:5" x14ac:dyDescent="0.25">
      <c r="A618" s="6">
        <v>43942</v>
      </c>
      <c r="B618" s="59">
        <v>1453</v>
      </c>
      <c r="D618" s="54">
        <v>200</v>
      </c>
      <c r="E618" s="22">
        <f t="shared" si="10"/>
        <v>3733.9799999999996</v>
      </c>
    </row>
    <row r="619" spans="1:5" x14ac:dyDescent="0.25">
      <c r="A619" s="6">
        <v>43942</v>
      </c>
      <c r="B619" s="59">
        <v>1456</v>
      </c>
      <c r="D619" s="54">
        <v>200</v>
      </c>
      <c r="E619" s="22">
        <f t="shared" si="10"/>
        <v>3533.9799999999996</v>
      </c>
    </row>
    <row r="620" spans="1:5" x14ac:dyDescent="0.25">
      <c r="A620" s="6">
        <v>43942</v>
      </c>
      <c r="B620" s="59">
        <v>1457</v>
      </c>
      <c r="D620" s="54">
        <v>200</v>
      </c>
      <c r="E620" s="22">
        <f t="shared" si="10"/>
        <v>3333.9799999999996</v>
      </c>
    </row>
    <row r="621" spans="1:5" x14ac:dyDescent="0.25">
      <c r="A621" s="6">
        <v>43942</v>
      </c>
      <c r="B621" s="59">
        <v>1459</v>
      </c>
      <c r="D621" s="54">
        <v>200</v>
      </c>
      <c r="E621" s="22">
        <f t="shared" si="10"/>
        <v>3133.9799999999996</v>
      </c>
    </row>
    <row r="622" spans="1:5" x14ac:dyDescent="0.25">
      <c r="A622" s="6">
        <v>43942</v>
      </c>
      <c r="B622" s="59">
        <v>1460</v>
      </c>
      <c r="D622" s="54">
        <v>200</v>
      </c>
      <c r="E622" s="22">
        <f t="shared" si="10"/>
        <v>2933.9799999999996</v>
      </c>
    </row>
    <row r="623" spans="1:5" x14ac:dyDescent="0.25">
      <c r="A623" s="6">
        <v>43942</v>
      </c>
      <c r="B623" s="59">
        <v>1461</v>
      </c>
      <c r="D623" s="54">
        <v>100</v>
      </c>
      <c r="E623" s="22">
        <f t="shared" si="10"/>
        <v>2833.9799999999996</v>
      </c>
    </row>
    <row r="624" spans="1:5" x14ac:dyDescent="0.25">
      <c r="A624" s="6">
        <v>43942</v>
      </c>
      <c r="B624" s="59">
        <v>1462</v>
      </c>
      <c r="D624" s="54">
        <v>100</v>
      </c>
      <c r="E624" s="22">
        <f t="shared" ref="E624:E728" si="11">E623-D624+C624</f>
        <v>2733.9799999999996</v>
      </c>
    </row>
    <row r="625" spans="1:5" x14ac:dyDescent="0.25">
      <c r="A625" s="6">
        <v>43942</v>
      </c>
      <c r="B625" s="59">
        <v>1464</v>
      </c>
      <c r="D625" s="54">
        <v>300</v>
      </c>
      <c r="E625" s="22">
        <f t="shared" si="11"/>
        <v>2433.9799999999996</v>
      </c>
    </row>
    <row r="626" spans="1:5" x14ac:dyDescent="0.25">
      <c r="A626" s="6">
        <v>43942</v>
      </c>
      <c r="B626" s="59">
        <v>1466</v>
      </c>
      <c r="D626" s="54">
        <v>100</v>
      </c>
      <c r="E626" s="22">
        <f t="shared" si="11"/>
        <v>2333.9799999999996</v>
      </c>
    </row>
    <row r="627" spans="1:5" x14ac:dyDescent="0.25">
      <c r="A627" s="6">
        <v>43942</v>
      </c>
      <c r="B627" s="59">
        <v>1468</v>
      </c>
      <c r="D627" s="54">
        <v>200</v>
      </c>
      <c r="E627" s="22">
        <f t="shared" si="11"/>
        <v>2133.9799999999996</v>
      </c>
    </row>
    <row r="628" spans="1:5" x14ac:dyDescent="0.25">
      <c r="A628" s="6">
        <v>43942</v>
      </c>
      <c r="B628" s="59">
        <v>1470</v>
      </c>
      <c r="D628" s="54">
        <v>100</v>
      </c>
      <c r="E628" s="22">
        <f t="shared" si="11"/>
        <v>2033.9799999999996</v>
      </c>
    </row>
    <row r="629" spans="1:5" x14ac:dyDescent="0.25">
      <c r="A629" s="6">
        <v>43942</v>
      </c>
      <c r="B629" s="59">
        <v>1471</v>
      </c>
      <c r="D629" s="54">
        <v>200</v>
      </c>
      <c r="E629" s="22">
        <f t="shared" si="11"/>
        <v>1833.9799999999996</v>
      </c>
    </row>
    <row r="630" spans="1:5" x14ac:dyDescent="0.25">
      <c r="A630" s="6">
        <v>43942</v>
      </c>
      <c r="B630" s="59">
        <v>1473</v>
      </c>
      <c r="D630" s="54">
        <v>500</v>
      </c>
      <c r="E630" s="22">
        <f t="shared" si="11"/>
        <v>1333.9799999999996</v>
      </c>
    </row>
    <row r="631" spans="1:5" x14ac:dyDescent="0.25">
      <c r="A631" s="6">
        <v>43942</v>
      </c>
      <c r="B631" s="59">
        <v>1475</v>
      </c>
      <c r="D631" s="54">
        <v>500</v>
      </c>
      <c r="E631" s="22">
        <f t="shared" si="11"/>
        <v>833.97999999999956</v>
      </c>
    </row>
    <row r="632" spans="1:5" x14ac:dyDescent="0.25">
      <c r="A632" s="6">
        <v>43942</v>
      </c>
      <c r="B632" s="59">
        <v>1477</v>
      </c>
      <c r="D632" s="54">
        <v>200</v>
      </c>
      <c r="E632" s="22">
        <f t="shared" si="11"/>
        <v>633.97999999999956</v>
      </c>
    </row>
    <row r="633" spans="1:5" x14ac:dyDescent="0.25">
      <c r="A633" s="6">
        <v>43942</v>
      </c>
      <c r="B633" s="59">
        <v>1479</v>
      </c>
      <c r="D633" s="54">
        <v>200</v>
      </c>
      <c r="E633" s="22">
        <f t="shared" si="11"/>
        <v>433.97999999999956</v>
      </c>
    </row>
    <row r="634" spans="1:5" x14ac:dyDescent="0.25">
      <c r="A634" s="6">
        <v>43942</v>
      </c>
      <c r="B634" s="59">
        <v>1482</v>
      </c>
      <c r="D634" s="54">
        <v>200</v>
      </c>
      <c r="E634" s="22">
        <f t="shared" si="11"/>
        <v>233.97999999999956</v>
      </c>
    </row>
    <row r="635" spans="1:5" x14ac:dyDescent="0.25">
      <c r="A635" s="6">
        <v>43942</v>
      </c>
      <c r="B635" s="59">
        <v>1484</v>
      </c>
      <c r="D635" s="54">
        <v>100</v>
      </c>
      <c r="E635" s="22">
        <f t="shared" si="11"/>
        <v>133.97999999999956</v>
      </c>
    </row>
    <row r="636" spans="1:5" x14ac:dyDescent="0.25">
      <c r="A636" s="6">
        <v>43942</v>
      </c>
      <c r="B636" s="59">
        <v>1486</v>
      </c>
      <c r="D636" s="54">
        <v>200</v>
      </c>
      <c r="E636" s="22">
        <f t="shared" si="11"/>
        <v>-66.020000000000437</v>
      </c>
    </row>
    <row r="637" spans="1:5" x14ac:dyDescent="0.25">
      <c r="A637" s="6">
        <v>43942</v>
      </c>
      <c r="B637" s="59">
        <v>1488</v>
      </c>
      <c r="D637" s="54">
        <v>100</v>
      </c>
      <c r="E637" s="22">
        <f t="shared" si="11"/>
        <v>-166.02000000000044</v>
      </c>
    </row>
    <row r="638" spans="1:5" x14ac:dyDescent="0.25">
      <c r="A638" s="6">
        <v>43942</v>
      </c>
      <c r="B638" s="59">
        <v>1890</v>
      </c>
      <c r="D638" s="54">
        <v>100</v>
      </c>
      <c r="E638" s="22">
        <f t="shared" si="11"/>
        <v>-266.02000000000044</v>
      </c>
    </row>
    <row r="639" spans="1:5" x14ac:dyDescent="0.25">
      <c r="A639" s="6">
        <v>43943</v>
      </c>
      <c r="B639" s="59" t="s">
        <v>466</v>
      </c>
      <c r="C639" s="50">
        <v>1000</v>
      </c>
      <c r="E639" s="22">
        <f t="shared" si="11"/>
        <v>733.97999999999956</v>
      </c>
    </row>
    <row r="640" spans="1:5" s="22" customFormat="1" x14ac:dyDescent="0.25">
      <c r="A640" s="6">
        <v>43943</v>
      </c>
      <c r="B640" s="59" t="s">
        <v>321</v>
      </c>
      <c r="C640" s="50">
        <v>10000</v>
      </c>
      <c r="D640" s="54"/>
      <c r="E640" s="22">
        <f t="shared" si="11"/>
        <v>10733.98</v>
      </c>
    </row>
    <row r="641" spans="1:5" s="22" customFormat="1" x14ac:dyDescent="0.25">
      <c r="A641" s="6">
        <v>43943</v>
      </c>
      <c r="B641" s="59">
        <v>1499</v>
      </c>
      <c r="C641" s="50"/>
      <c r="D641" s="54">
        <v>100</v>
      </c>
      <c r="E641" s="22">
        <f t="shared" si="11"/>
        <v>10633.98</v>
      </c>
    </row>
    <row r="642" spans="1:5" s="22" customFormat="1" x14ac:dyDescent="0.25">
      <c r="A642" s="6">
        <v>43943</v>
      </c>
      <c r="B642" s="59">
        <v>1501</v>
      </c>
      <c r="C642" s="50"/>
      <c r="D642" s="54">
        <v>100</v>
      </c>
      <c r="E642" s="22">
        <f t="shared" si="11"/>
        <v>10533.98</v>
      </c>
    </row>
    <row r="643" spans="1:5" s="22" customFormat="1" x14ac:dyDescent="0.25">
      <c r="A643" s="6">
        <v>43943</v>
      </c>
      <c r="B643" s="59">
        <v>1502</v>
      </c>
      <c r="C643" s="50"/>
      <c r="D643" s="54">
        <v>200</v>
      </c>
      <c r="E643" s="22">
        <f t="shared" si="11"/>
        <v>10333.98</v>
      </c>
    </row>
    <row r="644" spans="1:5" s="22" customFormat="1" x14ac:dyDescent="0.25">
      <c r="A644" s="6">
        <v>43943</v>
      </c>
      <c r="B644" s="59">
        <v>1503</v>
      </c>
      <c r="C644" s="50"/>
      <c r="D644" s="54">
        <v>200</v>
      </c>
      <c r="E644" s="22">
        <f t="shared" si="11"/>
        <v>10133.98</v>
      </c>
    </row>
    <row r="645" spans="1:5" s="22" customFormat="1" x14ac:dyDescent="0.25">
      <c r="A645" s="6">
        <v>43943</v>
      </c>
      <c r="B645" s="59">
        <v>1504</v>
      </c>
      <c r="C645" s="50"/>
      <c r="D645" s="54">
        <v>200</v>
      </c>
      <c r="E645" s="22">
        <f t="shared" si="11"/>
        <v>9933.98</v>
      </c>
    </row>
    <row r="646" spans="1:5" s="22" customFormat="1" x14ac:dyDescent="0.25">
      <c r="A646" s="6">
        <v>43943</v>
      </c>
      <c r="B646" s="59">
        <v>1505</v>
      </c>
      <c r="C646" s="50"/>
      <c r="D646" s="54">
        <v>200</v>
      </c>
      <c r="E646" s="22">
        <f t="shared" si="11"/>
        <v>9733.98</v>
      </c>
    </row>
    <row r="647" spans="1:5" s="22" customFormat="1" x14ac:dyDescent="0.25">
      <c r="A647" s="6">
        <v>43943</v>
      </c>
      <c r="B647" s="59">
        <v>1506</v>
      </c>
      <c r="C647" s="50"/>
      <c r="D647" s="54">
        <v>100</v>
      </c>
      <c r="E647" s="22">
        <f t="shared" si="11"/>
        <v>9633.98</v>
      </c>
    </row>
    <row r="648" spans="1:5" s="22" customFormat="1" x14ac:dyDescent="0.25">
      <c r="A648" s="6">
        <v>43943</v>
      </c>
      <c r="B648" s="59">
        <v>1508</v>
      </c>
      <c r="C648" s="50"/>
      <c r="D648" s="54">
        <v>100</v>
      </c>
      <c r="E648" s="22">
        <f t="shared" si="11"/>
        <v>9533.98</v>
      </c>
    </row>
    <row r="649" spans="1:5" s="22" customFormat="1" x14ac:dyDescent="0.25">
      <c r="A649" s="6">
        <v>43943</v>
      </c>
      <c r="B649" s="59">
        <v>1509</v>
      </c>
      <c r="C649" s="50"/>
      <c r="D649" s="54">
        <v>100</v>
      </c>
      <c r="E649" s="22">
        <f t="shared" si="11"/>
        <v>9433.98</v>
      </c>
    </row>
    <row r="650" spans="1:5" s="22" customFormat="1" x14ac:dyDescent="0.25">
      <c r="A650" s="6">
        <v>43943</v>
      </c>
      <c r="B650" s="59">
        <v>1510</v>
      </c>
      <c r="C650" s="50"/>
      <c r="D650" s="54">
        <v>100</v>
      </c>
      <c r="E650" s="22">
        <f t="shared" si="11"/>
        <v>9333.98</v>
      </c>
    </row>
    <row r="651" spans="1:5" s="22" customFormat="1" x14ac:dyDescent="0.25">
      <c r="A651" s="6">
        <v>43943</v>
      </c>
      <c r="B651" s="59">
        <v>1511</v>
      </c>
      <c r="C651" s="50"/>
      <c r="D651" s="54">
        <v>200</v>
      </c>
      <c r="E651" s="22">
        <f t="shared" si="11"/>
        <v>9133.98</v>
      </c>
    </row>
    <row r="652" spans="1:5" s="22" customFormat="1" x14ac:dyDescent="0.25">
      <c r="A652" s="6">
        <v>43943</v>
      </c>
      <c r="B652" s="59">
        <v>1513</v>
      </c>
      <c r="C652" s="50"/>
      <c r="D652" s="54">
        <v>200</v>
      </c>
      <c r="E652" s="22">
        <f t="shared" si="11"/>
        <v>8933.98</v>
      </c>
    </row>
    <row r="653" spans="1:5" s="22" customFormat="1" x14ac:dyDescent="0.25">
      <c r="A653" s="6">
        <v>43943</v>
      </c>
      <c r="B653" s="59">
        <v>1514</v>
      </c>
      <c r="C653" s="50"/>
      <c r="D653" s="54">
        <v>100</v>
      </c>
      <c r="E653" s="22">
        <f t="shared" si="11"/>
        <v>8833.98</v>
      </c>
    </row>
    <row r="654" spans="1:5" s="22" customFormat="1" x14ac:dyDescent="0.25">
      <c r="A654" s="6">
        <v>43943</v>
      </c>
      <c r="B654" s="59">
        <v>1516</v>
      </c>
      <c r="C654" s="50"/>
      <c r="D654" s="54">
        <v>200</v>
      </c>
      <c r="E654" s="22">
        <f t="shared" si="11"/>
        <v>8633.98</v>
      </c>
    </row>
    <row r="655" spans="1:5" s="22" customFormat="1" x14ac:dyDescent="0.25">
      <c r="A655" s="6">
        <v>43943</v>
      </c>
      <c r="B655" s="59">
        <v>1518</v>
      </c>
      <c r="C655" s="50"/>
      <c r="D655" s="54">
        <v>100</v>
      </c>
      <c r="E655" s="22">
        <f t="shared" si="11"/>
        <v>8533.98</v>
      </c>
    </row>
    <row r="656" spans="1:5" s="22" customFormat="1" x14ac:dyDescent="0.25">
      <c r="A656" s="6">
        <v>43943</v>
      </c>
      <c r="B656" s="59">
        <v>1523</v>
      </c>
      <c r="C656" s="50"/>
      <c r="D656" s="54">
        <v>200</v>
      </c>
      <c r="E656" s="22">
        <f t="shared" si="11"/>
        <v>8333.98</v>
      </c>
    </row>
    <row r="657" spans="1:5" s="22" customFormat="1" x14ac:dyDescent="0.25">
      <c r="A657" s="6">
        <v>43943</v>
      </c>
      <c r="B657" s="59">
        <v>1527</v>
      </c>
      <c r="C657" s="50"/>
      <c r="D657" s="54">
        <v>200</v>
      </c>
      <c r="E657" s="22">
        <f t="shared" si="11"/>
        <v>8133.98</v>
      </c>
    </row>
    <row r="658" spans="1:5" s="22" customFormat="1" x14ac:dyDescent="0.25">
      <c r="A658" s="6">
        <v>43943</v>
      </c>
      <c r="B658" s="59">
        <v>1528</v>
      </c>
      <c r="C658" s="50"/>
      <c r="D658" s="54">
        <v>200</v>
      </c>
      <c r="E658" s="22">
        <f t="shared" si="11"/>
        <v>7933.98</v>
      </c>
    </row>
    <row r="659" spans="1:5" s="22" customFormat="1" x14ac:dyDescent="0.25">
      <c r="A659" s="6">
        <v>43943</v>
      </c>
      <c r="B659" s="59">
        <v>1530</v>
      </c>
      <c r="C659" s="50"/>
      <c r="D659" s="54">
        <v>100</v>
      </c>
      <c r="E659" s="22">
        <f t="shared" si="11"/>
        <v>7833.98</v>
      </c>
    </row>
    <row r="660" spans="1:5" s="22" customFormat="1" x14ac:dyDescent="0.25">
      <c r="A660" s="6">
        <v>43943</v>
      </c>
      <c r="B660" s="59">
        <v>1531</v>
      </c>
      <c r="C660" s="50"/>
      <c r="D660" s="54">
        <v>100</v>
      </c>
      <c r="E660" s="22">
        <f t="shared" si="11"/>
        <v>7733.98</v>
      </c>
    </row>
    <row r="661" spans="1:5" s="22" customFormat="1" x14ac:dyDescent="0.25">
      <c r="A661" s="6">
        <v>43943</v>
      </c>
      <c r="B661" s="59">
        <v>1533</v>
      </c>
      <c r="C661" s="50"/>
      <c r="D661" s="54">
        <v>100</v>
      </c>
      <c r="E661" s="22">
        <f t="shared" si="11"/>
        <v>7633.98</v>
      </c>
    </row>
    <row r="662" spans="1:5" s="22" customFormat="1" x14ac:dyDescent="0.25">
      <c r="A662" s="6">
        <v>43943</v>
      </c>
      <c r="B662" s="59">
        <v>1535</v>
      </c>
      <c r="C662" s="50"/>
      <c r="D662" s="54">
        <v>100</v>
      </c>
      <c r="E662" s="22">
        <f t="shared" si="11"/>
        <v>7533.98</v>
      </c>
    </row>
    <row r="663" spans="1:5" s="22" customFormat="1" x14ac:dyDescent="0.25">
      <c r="A663" s="6">
        <v>43943</v>
      </c>
      <c r="B663" s="59">
        <v>1538</v>
      </c>
      <c r="C663" s="50"/>
      <c r="D663" s="54">
        <v>300</v>
      </c>
      <c r="E663" s="22">
        <f t="shared" si="11"/>
        <v>7233.98</v>
      </c>
    </row>
    <row r="664" spans="1:5" s="22" customFormat="1" x14ac:dyDescent="0.25">
      <c r="A664" s="6">
        <v>43943</v>
      </c>
      <c r="B664" s="59">
        <v>1539</v>
      </c>
      <c r="C664" s="50"/>
      <c r="D664" s="54">
        <v>100</v>
      </c>
      <c r="E664" s="22">
        <f t="shared" si="11"/>
        <v>7133.98</v>
      </c>
    </row>
    <row r="665" spans="1:5" s="22" customFormat="1" x14ac:dyDescent="0.25">
      <c r="A665" s="6">
        <v>43943</v>
      </c>
      <c r="B665" s="59">
        <v>1540</v>
      </c>
      <c r="C665" s="50"/>
      <c r="D665" s="54">
        <v>100</v>
      </c>
      <c r="E665" s="22">
        <f t="shared" si="11"/>
        <v>7033.98</v>
      </c>
    </row>
    <row r="666" spans="1:5" s="22" customFormat="1" x14ac:dyDescent="0.25">
      <c r="A666" s="6">
        <v>43943</v>
      </c>
      <c r="B666" s="59">
        <v>1543</v>
      </c>
      <c r="C666" s="50"/>
      <c r="D666" s="54">
        <v>100</v>
      </c>
      <c r="E666" s="22">
        <f t="shared" si="11"/>
        <v>6933.98</v>
      </c>
    </row>
    <row r="667" spans="1:5" s="22" customFormat="1" x14ac:dyDescent="0.25">
      <c r="A667" s="6">
        <v>43943</v>
      </c>
      <c r="B667" s="59">
        <v>1544</v>
      </c>
      <c r="C667" s="50"/>
      <c r="D667" s="54">
        <v>100</v>
      </c>
      <c r="E667" s="22">
        <f t="shared" si="11"/>
        <v>6833.98</v>
      </c>
    </row>
    <row r="668" spans="1:5" s="22" customFormat="1" x14ac:dyDescent="0.25">
      <c r="A668" s="6">
        <v>43943</v>
      </c>
      <c r="B668" s="59">
        <v>1549</v>
      </c>
      <c r="C668" s="50"/>
      <c r="D668" s="54">
        <v>100</v>
      </c>
      <c r="E668" s="22">
        <f t="shared" si="11"/>
        <v>6733.98</v>
      </c>
    </row>
    <row r="669" spans="1:5" s="22" customFormat="1" x14ac:dyDescent="0.25">
      <c r="A669" s="6">
        <v>43943</v>
      </c>
      <c r="B669" s="59">
        <v>1552</v>
      </c>
      <c r="C669" s="50"/>
      <c r="D669" s="54">
        <v>200</v>
      </c>
      <c r="E669" s="22">
        <f t="shared" si="11"/>
        <v>6533.98</v>
      </c>
    </row>
    <row r="670" spans="1:5" s="22" customFormat="1" x14ac:dyDescent="0.25">
      <c r="A670" s="6">
        <v>43943</v>
      </c>
      <c r="B670" s="59">
        <v>1555</v>
      </c>
      <c r="C670" s="50"/>
      <c r="D670" s="54">
        <v>200</v>
      </c>
      <c r="E670" s="22">
        <f t="shared" si="11"/>
        <v>6333.98</v>
      </c>
    </row>
    <row r="671" spans="1:5" s="22" customFormat="1" x14ac:dyDescent="0.25">
      <c r="A671" s="6">
        <v>43943</v>
      </c>
      <c r="B671" s="59">
        <v>1558</v>
      </c>
      <c r="C671" s="50"/>
      <c r="D671" s="54">
        <v>100</v>
      </c>
      <c r="E671" s="22">
        <f t="shared" si="11"/>
        <v>6233.98</v>
      </c>
    </row>
    <row r="672" spans="1:5" s="22" customFormat="1" x14ac:dyDescent="0.25">
      <c r="A672" s="6">
        <v>43943</v>
      </c>
      <c r="B672" s="59">
        <v>1559</v>
      </c>
      <c r="C672" s="50"/>
      <c r="D672" s="54">
        <v>100</v>
      </c>
      <c r="E672" s="22">
        <f t="shared" si="11"/>
        <v>6133.98</v>
      </c>
    </row>
    <row r="673" spans="1:5" s="22" customFormat="1" x14ac:dyDescent="0.25">
      <c r="A673" s="6">
        <v>43943</v>
      </c>
      <c r="B673" s="59">
        <v>1561</v>
      </c>
      <c r="C673" s="50"/>
      <c r="D673" s="54">
        <v>500</v>
      </c>
      <c r="E673" s="22">
        <f t="shared" si="11"/>
        <v>5633.98</v>
      </c>
    </row>
    <row r="674" spans="1:5" s="22" customFormat="1" x14ac:dyDescent="0.25">
      <c r="A674" s="6">
        <v>43943</v>
      </c>
      <c r="B674" s="59">
        <v>1563</v>
      </c>
      <c r="C674" s="50"/>
      <c r="D674" s="54">
        <v>100</v>
      </c>
      <c r="E674" s="22">
        <f t="shared" si="11"/>
        <v>5533.98</v>
      </c>
    </row>
    <row r="675" spans="1:5" s="22" customFormat="1" x14ac:dyDescent="0.25">
      <c r="A675" s="6">
        <v>43943</v>
      </c>
      <c r="B675" s="59">
        <v>1564</v>
      </c>
      <c r="C675" s="50"/>
      <c r="D675" s="54">
        <v>500</v>
      </c>
      <c r="E675" s="22">
        <f t="shared" si="11"/>
        <v>5033.9799999999996</v>
      </c>
    </row>
    <row r="676" spans="1:5" s="22" customFormat="1" x14ac:dyDescent="0.25">
      <c r="A676" s="6">
        <v>43944</v>
      </c>
      <c r="B676" s="59" t="s">
        <v>321</v>
      </c>
      <c r="C676" s="50">
        <v>7000</v>
      </c>
      <c r="D676" s="54"/>
      <c r="E676" s="22">
        <f t="shared" si="11"/>
        <v>12033.98</v>
      </c>
    </row>
    <row r="677" spans="1:5" x14ac:dyDescent="0.25">
      <c r="A677" s="6">
        <v>43944</v>
      </c>
      <c r="B677" s="59" t="s">
        <v>467</v>
      </c>
      <c r="C677" s="50">
        <v>1600</v>
      </c>
      <c r="E677" s="22">
        <f t="shared" si="11"/>
        <v>13633.98</v>
      </c>
    </row>
    <row r="678" spans="1:5" x14ac:dyDescent="0.25">
      <c r="A678" s="6">
        <v>43944</v>
      </c>
      <c r="B678" s="59" t="s">
        <v>469</v>
      </c>
      <c r="D678" s="54">
        <v>3200</v>
      </c>
      <c r="E678" s="22">
        <f t="shared" si="11"/>
        <v>10433.98</v>
      </c>
    </row>
    <row r="679" spans="1:5" x14ac:dyDescent="0.25">
      <c r="A679" s="6">
        <v>43944</v>
      </c>
      <c r="B679" s="61">
        <v>1501</v>
      </c>
      <c r="C679" s="51"/>
      <c r="D679" s="58">
        <v>600</v>
      </c>
      <c r="E679" s="22">
        <f t="shared" si="11"/>
        <v>9833.98</v>
      </c>
    </row>
    <row r="680" spans="1:5" s="23" customFormat="1" x14ac:dyDescent="0.25">
      <c r="A680" s="28">
        <v>43944</v>
      </c>
      <c r="B680" s="62" t="s">
        <v>472</v>
      </c>
      <c r="C680" s="48"/>
      <c r="D680" s="57">
        <v>500</v>
      </c>
      <c r="E680" s="22">
        <f t="shared" si="11"/>
        <v>9333.98</v>
      </c>
    </row>
    <row r="681" spans="1:5" x14ac:dyDescent="0.25">
      <c r="A681" s="6">
        <v>43944</v>
      </c>
      <c r="B681" s="59" t="s">
        <v>470</v>
      </c>
      <c r="D681" s="54">
        <v>100</v>
      </c>
      <c r="E681" s="22">
        <f t="shared" si="11"/>
        <v>9233.98</v>
      </c>
    </row>
    <row r="682" spans="1:5" x14ac:dyDescent="0.25">
      <c r="A682" s="6">
        <v>43944</v>
      </c>
      <c r="B682" s="59" t="s">
        <v>471</v>
      </c>
      <c r="D682" s="54">
        <v>200</v>
      </c>
      <c r="E682" s="22">
        <f t="shared" si="11"/>
        <v>9033.98</v>
      </c>
    </row>
    <row r="683" spans="1:5" s="22" customFormat="1" x14ac:dyDescent="0.25">
      <c r="A683" s="6">
        <v>43944</v>
      </c>
      <c r="B683" s="59">
        <v>1568</v>
      </c>
      <c r="C683" s="50"/>
      <c r="D683" s="55">
        <v>300</v>
      </c>
      <c r="E683" s="22">
        <f t="shared" si="11"/>
        <v>8733.98</v>
      </c>
    </row>
    <row r="684" spans="1:5" s="22" customFormat="1" x14ac:dyDescent="0.25">
      <c r="A684" s="6">
        <v>43944</v>
      </c>
      <c r="B684" s="59">
        <v>1569</v>
      </c>
      <c r="C684" s="50"/>
      <c r="D684" s="55">
        <v>100</v>
      </c>
      <c r="E684" s="22">
        <f t="shared" si="11"/>
        <v>8633.98</v>
      </c>
    </row>
    <row r="685" spans="1:5" s="22" customFormat="1" x14ac:dyDescent="0.25">
      <c r="A685" s="6">
        <v>43944</v>
      </c>
      <c r="B685" s="59">
        <v>1570</v>
      </c>
      <c r="C685" s="50"/>
      <c r="D685" s="55">
        <v>100</v>
      </c>
      <c r="E685" s="22">
        <f t="shared" si="11"/>
        <v>8533.98</v>
      </c>
    </row>
    <row r="686" spans="1:5" s="22" customFormat="1" x14ac:dyDescent="0.25">
      <c r="A686" s="6">
        <v>43944</v>
      </c>
      <c r="B686" s="59">
        <v>1572</v>
      </c>
      <c r="C686" s="50"/>
      <c r="D686" s="55">
        <v>100</v>
      </c>
      <c r="E686" s="22">
        <f t="shared" si="11"/>
        <v>8433.98</v>
      </c>
    </row>
    <row r="687" spans="1:5" s="22" customFormat="1" x14ac:dyDescent="0.25">
      <c r="A687" s="6">
        <v>43944</v>
      </c>
      <c r="B687" s="59">
        <v>1573</v>
      </c>
      <c r="C687" s="50"/>
      <c r="D687" s="55">
        <v>200</v>
      </c>
      <c r="E687" s="22">
        <f t="shared" si="11"/>
        <v>8233.98</v>
      </c>
    </row>
    <row r="688" spans="1:5" s="22" customFormat="1" x14ac:dyDescent="0.25">
      <c r="A688" s="6">
        <v>43944</v>
      </c>
      <c r="B688" s="59">
        <v>1575</v>
      </c>
      <c r="C688" s="50"/>
      <c r="D688" s="55">
        <v>200</v>
      </c>
      <c r="E688" s="22">
        <f t="shared" si="11"/>
        <v>8033.98</v>
      </c>
    </row>
    <row r="689" spans="1:5" s="22" customFormat="1" x14ac:dyDescent="0.25">
      <c r="A689" s="6">
        <v>43944</v>
      </c>
      <c r="B689" s="59">
        <v>1577</v>
      </c>
      <c r="C689" s="50"/>
      <c r="D689" s="55">
        <v>200</v>
      </c>
      <c r="E689" s="22">
        <f t="shared" si="11"/>
        <v>7833.98</v>
      </c>
    </row>
    <row r="690" spans="1:5" s="22" customFormat="1" x14ac:dyDescent="0.25">
      <c r="A690" s="6">
        <v>43944</v>
      </c>
      <c r="B690" s="59">
        <v>1578</v>
      </c>
      <c r="C690" s="50"/>
      <c r="D690" s="55">
        <v>100</v>
      </c>
      <c r="E690" s="22">
        <f t="shared" si="11"/>
        <v>7733.98</v>
      </c>
    </row>
    <row r="691" spans="1:5" s="22" customFormat="1" x14ac:dyDescent="0.25">
      <c r="A691" s="6">
        <v>43944</v>
      </c>
      <c r="B691" s="59">
        <v>1580</v>
      </c>
      <c r="C691" s="50"/>
      <c r="D691" s="55">
        <v>100</v>
      </c>
      <c r="E691" s="22">
        <f t="shared" si="11"/>
        <v>7633.98</v>
      </c>
    </row>
    <row r="692" spans="1:5" s="22" customFormat="1" x14ac:dyDescent="0.25">
      <c r="A692" s="6">
        <v>43944</v>
      </c>
      <c r="B692" s="59">
        <v>1582</v>
      </c>
      <c r="C692" s="50"/>
      <c r="D692" s="55">
        <v>100</v>
      </c>
      <c r="E692" s="22">
        <f t="shared" si="11"/>
        <v>7533.98</v>
      </c>
    </row>
    <row r="693" spans="1:5" s="22" customFormat="1" x14ac:dyDescent="0.25">
      <c r="A693" s="6">
        <v>43944</v>
      </c>
      <c r="B693" s="59">
        <v>1584</v>
      </c>
      <c r="C693" s="50"/>
      <c r="D693" s="55">
        <v>100</v>
      </c>
      <c r="E693" s="22">
        <f t="shared" si="11"/>
        <v>7433.98</v>
      </c>
    </row>
    <row r="694" spans="1:5" s="22" customFormat="1" x14ac:dyDescent="0.25">
      <c r="A694" s="6">
        <v>43944</v>
      </c>
      <c r="B694" s="59">
        <v>1584</v>
      </c>
      <c r="C694" s="50"/>
      <c r="D694" s="55">
        <v>200</v>
      </c>
      <c r="E694" s="22">
        <f t="shared" si="11"/>
        <v>7233.98</v>
      </c>
    </row>
    <row r="695" spans="1:5" s="22" customFormat="1" x14ac:dyDescent="0.25">
      <c r="A695" s="6">
        <v>43944</v>
      </c>
      <c r="B695" s="59">
        <v>1586</v>
      </c>
      <c r="C695" s="50"/>
      <c r="D695" s="55">
        <v>200</v>
      </c>
      <c r="E695" s="22">
        <f t="shared" si="11"/>
        <v>7033.98</v>
      </c>
    </row>
    <row r="696" spans="1:5" s="22" customFormat="1" x14ac:dyDescent="0.25">
      <c r="A696" s="6">
        <v>43944</v>
      </c>
      <c r="B696" s="59">
        <v>1587</v>
      </c>
      <c r="C696" s="50"/>
      <c r="D696" s="55">
        <v>200</v>
      </c>
      <c r="E696" s="22">
        <f t="shared" si="11"/>
        <v>6833.98</v>
      </c>
    </row>
    <row r="697" spans="1:5" s="22" customFormat="1" x14ac:dyDescent="0.25">
      <c r="A697" s="6">
        <v>43944</v>
      </c>
      <c r="B697" s="59">
        <v>1589</v>
      </c>
      <c r="C697" s="50"/>
      <c r="D697" s="55">
        <v>100</v>
      </c>
      <c r="E697" s="22">
        <f t="shared" si="11"/>
        <v>6733.98</v>
      </c>
    </row>
    <row r="698" spans="1:5" s="22" customFormat="1" x14ac:dyDescent="0.25">
      <c r="A698" s="6">
        <v>43944</v>
      </c>
      <c r="B698" s="59">
        <v>1591</v>
      </c>
      <c r="C698" s="50"/>
      <c r="D698" s="55">
        <v>100</v>
      </c>
      <c r="E698" s="22">
        <f t="shared" si="11"/>
        <v>6633.98</v>
      </c>
    </row>
    <row r="699" spans="1:5" s="22" customFormat="1" x14ac:dyDescent="0.25">
      <c r="A699" s="6">
        <v>43944</v>
      </c>
      <c r="B699" s="59">
        <v>1593</v>
      </c>
      <c r="C699" s="50"/>
      <c r="D699" s="55">
        <v>200</v>
      </c>
      <c r="E699" s="22">
        <f t="shared" si="11"/>
        <v>6433.98</v>
      </c>
    </row>
    <row r="700" spans="1:5" s="22" customFormat="1" x14ac:dyDescent="0.25">
      <c r="A700" s="6">
        <v>43944</v>
      </c>
      <c r="B700" s="59">
        <v>1595</v>
      </c>
      <c r="C700" s="50"/>
      <c r="D700" s="55">
        <v>100</v>
      </c>
      <c r="E700" s="22">
        <f t="shared" si="11"/>
        <v>6333.98</v>
      </c>
    </row>
    <row r="701" spans="1:5" s="22" customFormat="1" x14ac:dyDescent="0.25">
      <c r="A701" s="6">
        <v>43944</v>
      </c>
      <c r="B701" s="59">
        <v>1596</v>
      </c>
      <c r="C701" s="50"/>
      <c r="D701" s="55">
        <v>100</v>
      </c>
      <c r="E701" s="22">
        <f t="shared" si="11"/>
        <v>6233.98</v>
      </c>
    </row>
    <row r="702" spans="1:5" s="22" customFormat="1" x14ac:dyDescent="0.25">
      <c r="A702" s="6">
        <v>43944</v>
      </c>
      <c r="B702" s="59">
        <v>1597</v>
      </c>
      <c r="C702" s="50"/>
      <c r="D702" s="55">
        <v>100</v>
      </c>
      <c r="E702" s="22">
        <f t="shared" si="11"/>
        <v>6133.98</v>
      </c>
    </row>
    <row r="703" spans="1:5" s="22" customFormat="1" x14ac:dyDescent="0.25">
      <c r="A703" s="6">
        <v>43944</v>
      </c>
      <c r="B703" s="59">
        <v>1601</v>
      </c>
      <c r="C703" s="50"/>
      <c r="D703" s="55">
        <v>100</v>
      </c>
      <c r="E703" s="22">
        <f t="shared" si="11"/>
        <v>6033.98</v>
      </c>
    </row>
    <row r="704" spans="1:5" s="22" customFormat="1" x14ac:dyDescent="0.25">
      <c r="A704" s="6">
        <v>43944</v>
      </c>
      <c r="B704" s="59">
        <v>1604</v>
      </c>
      <c r="C704" s="50"/>
      <c r="D704" s="55">
        <v>100</v>
      </c>
      <c r="E704" s="22">
        <f t="shared" si="11"/>
        <v>5933.98</v>
      </c>
    </row>
    <row r="705" spans="1:5" s="22" customFormat="1" x14ac:dyDescent="0.25">
      <c r="A705" s="6">
        <v>43944</v>
      </c>
      <c r="B705" s="59">
        <v>1607</v>
      </c>
      <c r="C705" s="50"/>
      <c r="D705" s="55">
        <v>100</v>
      </c>
      <c r="E705" s="22">
        <f t="shared" si="11"/>
        <v>5833.98</v>
      </c>
    </row>
    <row r="706" spans="1:5" s="22" customFormat="1" x14ac:dyDescent="0.25">
      <c r="A706" s="6">
        <v>43944</v>
      </c>
      <c r="B706" s="59">
        <v>1611</v>
      </c>
      <c r="C706" s="50"/>
      <c r="D706" s="55">
        <v>100</v>
      </c>
      <c r="E706" s="22">
        <f t="shared" si="11"/>
        <v>5733.98</v>
      </c>
    </row>
    <row r="707" spans="1:5" s="22" customFormat="1" x14ac:dyDescent="0.25">
      <c r="A707" s="6">
        <v>43944</v>
      </c>
      <c r="B707" s="59">
        <v>1613</v>
      </c>
      <c r="C707" s="50"/>
      <c r="D707" s="55">
        <v>150</v>
      </c>
      <c r="E707" s="22">
        <f t="shared" si="11"/>
        <v>5583.98</v>
      </c>
    </row>
    <row r="708" spans="1:5" s="22" customFormat="1" x14ac:dyDescent="0.25">
      <c r="A708" s="6">
        <v>43944</v>
      </c>
      <c r="B708" s="59">
        <v>1614</v>
      </c>
      <c r="C708" s="50"/>
      <c r="D708" s="55">
        <v>100</v>
      </c>
      <c r="E708" s="22">
        <f t="shared" si="11"/>
        <v>5483.98</v>
      </c>
    </row>
    <row r="709" spans="1:5" s="22" customFormat="1" x14ac:dyDescent="0.25">
      <c r="A709" s="6">
        <v>43944</v>
      </c>
      <c r="B709" s="59">
        <v>1617</v>
      </c>
      <c r="C709" s="50"/>
      <c r="D709" s="55">
        <v>100</v>
      </c>
      <c r="E709" s="22">
        <f t="shared" si="11"/>
        <v>5383.98</v>
      </c>
    </row>
    <row r="710" spans="1:5" s="22" customFormat="1" x14ac:dyDescent="0.25">
      <c r="A710" s="6">
        <v>43944</v>
      </c>
      <c r="B710" s="59">
        <v>1618</v>
      </c>
      <c r="C710" s="50"/>
      <c r="D710" s="55">
        <v>100</v>
      </c>
      <c r="E710" s="22">
        <f t="shared" si="11"/>
        <v>5283.98</v>
      </c>
    </row>
    <row r="711" spans="1:5" s="22" customFormat="1" x14ac:dyDescent="0.25">
      <c r="A711" s="6">
        <v>43944</v>
      </c>
      <c r="B711" s="59">
        <v>1621</v>
      </c>
      <c r="C711" s="50"/>
      <c r="D711" s="55">
        <v>100</v>
      </c>
      <c r="E711" s="22">
        <f t="shared" si="11"/>
        <v>5183.9799999999996</v>
      </c>
    </row>
    <row r="712" spans="1:5" s="22" customFormat="1" x14ac:dyDescent="0.25">
      <c r="A712" s="6">
        <v>43944</v>
      </c>
      <c r="B712" s="59">
        <v>1623</v>
      </c>
      <c r="C712" s="50"/>
      <c r="D712" s="55">
        <v>100</v>
      </c>
      <c r="E712" s="22">
        <f t="shared" si="11"/>
        <v>5083.9799999999996</v>
      </c>
    </row>
    <row r="713" spans="1:5" s="22" customFormat="1" x14ac:dyDescent="0.25">
      <c r="A713" s="6">
        <v>43944</v>
      </c>
      <c r="B713" s="59">
        <v>1624</v>
      </c>
      <c r="C713" s="50"/>
      <c r="D713" s="55">
        <v>100</v>
      </c>
      <c r="E713" s="22">
        <f t="shared" si="11"/>
        <v>4983.9799999999996</v>
      </c>
    </row>
    <row r="714" spans="1:5" s="22" customFormat="1" x14ac:dyDescent="0.25">
      <c r="A714" s="6">
        <v>43944</v>
      </c>
      <c r="B714" s="59">
        <v>1627</v>
      </c>
      <c r="C714" s="50"/>
      <c r="D714" s="55">
        <v>100</v>
      </c>
      <c r="E714" s="22">
        <f t="shared" si="11"/>
        <v>4883.9799999999996</v>
      </c>
    </row>
    <row r="715" spans="1:5" s="22" customFormat="1" x14ac:dyDescent="0.25">
      <c r="A715" s="6">
        <v>43944</v>
      </c>
      <c r="B715" s="59">
        <v>1628</v>
      </c>
      <c r="C715" s="50"/>
      <c r="D715" s="55">
        <v>100</v>
      </c>
      <c r="E715" s="22">
        <f t="shared" si="11"/>
        <v>4783.9799999999996</v>
      </c>
    </row>
    <row r="716" spans="1:5" s="22" customFormat="1" x14ac:dyDescent="0.25">
      <c r="A716" s="6">
        <v>43944</v>
      </c>
      <c r="B716" s="59">
        <v>1630</v>
      </c>
      <c r="C716" s="50"/>
      <c r="D716" s="55">
        <v>100</v>
      </c>
      <c r="E716" s="22">
        <f t="shared" si="11"/>
        <v>4683.9799999999996</v>
      </c>
    </row>
    <row r="717" spans="1:5" s="22" customFormat="1" x14ac:dyDescent="0.25">
      <c r="A717" s="6">
        <v>43944</v>
      </c>
      <c r="B717" s="59">
        <v>1632</v>
      </c>
      <c r="C717" s="50"/>
      <c r="D717" s="55">
        <v>100</v>
      </c>
      <c r="E717" s="22">
        <f t="shared" si="11"/>
        <v>4583.9799999999996</v>
      </c>
    </row>
    <row r="718" spans="1:5" s="22" customFormat="1" x14ac:dyDescent="0.25">
      <c r="A718" s="6">
        <v>43944</v>
      </c>
      <c r="B718" s="59">
        <v>1634</v>
      </c>
      <c r="C718" s="50"/>
      <c r="D718" s="55">
        <v>100</v>
      </c>
      <c r="E718" s="22">
        <f t="shared" si="11"/>
        <v>4483.9799999999996</v>
      </c>
    </row>
    <row r="719" spans="1:5" s="22" customFormat="1" x14ac:dyDescent="0.25">
      <c r="A719" s="6">
        <v>43944</v>
      </c>
      <c r="B719" s="59">
        <v>1636</v>
      </c>
      <c r="C719" s="50"/>
      <c r="D719" s="55">
        <v>100</v>
      </c>
      <c r="E719" s="22">
        <f t="shared" si="11"/>
        <v>4383.9799999999996</v>
      </c>
    </row>
    <row r="720" spans="1:5" s="22" customFormat="1" x14ac:dyDescent="0.25">
      <c r="A720" s="6">
        <v>43944</v>
      </c>
      <c r="B720" s="59">
        <v>1637</v>
      </c>
      <c r="C720" s="50"/>
      <c r="D720" s="55">
        <v>200</v>
      </c>
      <c r="E720" s="22">
        <f t="shared" si="11"/>
        <v>4183.9799999999996</v>
      </c>
    </row>
    <row r="721" spans="1:8" s="22" customFormat="1" x14ac:dyDescent="0.25">
      <c r="A721" s="6">
        <v>43944</v>
      </c>
      <c r="B721" s="59">
        <v>1640</v>
      </c>
      <c r="C721" s="50"/>
      <c r="D721" s="55">
        <v>1700</v>
      </c>
      <c r="E721" s="22">
        <f t="shared" si="11"/>
        <v>2483.9799999999996</v>
      </c>
    </row>
    <row r="722" spans="1:8" s="22" customFormat="1" x14ac:dyDescent="0.25">
      <c r="A722" s="6">
        <v>43944</v>
      </c>
      <c r="B722" s="59">
        <v>1642</v>
      </c>
      <c r="C722" s="50"/>
      <c r="D722" s="55">
        <v>100</v>
      </c>
      <c r="E722" s="22">
        <f t="shared" si="11"/>
        <v>2383.9799999999996</v>
      </c>
    </row>
    <row r="723" spans="1:8" s="22" customFormat="1" x14ac:dyDescent="0.25">
      <c r="A723" s="6">
        <v>43944</v>
      </c>
      <c r="B723" s="59">
        <v>1643</v>
      </c>
      <c r="C723" s="50"/>
      <c r="D723" s="55">
        <v>100</v>
      </c>
      <c r="E723" s="22">
        <f t="shared" si="11"/>
        <v>2283.9799999999996</v>
      </c>
    </row>
    <row r="724" spans="1:8" s="22" customFormat="1" x14ac:dyDescent="0.25">
      <c r="A724" s="6">
        <v>43944</v>
      </c>
      <c r="B724" s="59">
        <v>1645</v>
      </c>
      <c r="C724" s="50"/>
      <c r="D724" s="55">
        <v>100</v>
      </c>
      <c r="E724" s="22">
        <f t="shared" si="11"/>
        <v>2183.9799999999996</v>
      </c>
    </row>
    <row r="725" spans="1:8" x14ac:dyDescent="0.25">
      <c r="A725" s="6">
        <v>43945</v>
      </c>
      <c r="B725" s="59" t="s">
        <v>467</v>
      </c>
      <c r="C725" s="50">
        <v>1000</v>
      </c>
      <c r="E725" s="22">
        <f t="shared" si="11"/>
        <v>3183.9799999999996</v>
      </c>
    </row>
    <row r="726" spans="1:8" x14ac:dyDescent="0.25">
      <c r="A726" s="6">
        <v>43945</v>
      </c>
      <c r="B726" s="59" t="s">
        <v>321</v>
      </c>
      <c r="C726" s="50">
        <v>7500</v>
      </c>
      <c r="E726" s="22">
        <f t="shared" si="11"/>
        <v>10683.98</v>
      </c>
    </row>
    <row r="727" spans="1:8" x14ac:dyDescent="0.25">
      <c r="A727" s="6">
        <v>43946</v>
      </c>
      <c r="B727" s="59" t="s">
        <v>468</v>
      </c>
      <c r="D727" s="54">
        <v>2500</v>
      </c>
      <c r="E727" s="22">
        <f t="shared" si="11"/>
        <v>8183.98</v>
      </c>
    </row>
    <row r="728" spans="1:8" x14ac:dyDescent="0.25">
      <c r="E728" s="22">
        <f t="shared" si="11"/>
        <v>8183.98</v>
      </c>
    </row>
    <row r="729" spans="1:8" x14ac:dyDescent="0.25">
      <c r="E729" s="22">
        <f t="shared" ref="E729:E819" si="12">E728-D729+C729</f>
        <v>8183.98</v>
      </c>
    </row>
    <row r="730" spans="1:8" x14ac:dyDescent="0.25">
      <c r="E730" s="22">
        <f t="shared" si="12"/>
        <v>8183.98</v>
      </c>
      <c r="H730">
        <f>E730-G735</f>
        <v>8183.98</v>
      </c>
    </row>
    <row r="731" spans="1:8" x14ac:dyDescent="0.25">
      <c r="E731" s="22">
        <f t="shared" si="12"/>
        <v>8183.98</v>
      </c>
    </row>
    <row r="732" spans="1:8" x14ac:dyDescent="0.25">
      <c r="E732" s="1">
        <v>3180.38</v>
      </c>
    </row>
    <row r="733" spans="1:8" x14ac:dyDescent="0.25">
      <c r="E733" s="22">
        <f t="shared" si="12"/>
        <v>3180.38</v>
      </c>
    </row>
    <row r="734" spans="1:8" x14ac:dyDescent="0.25">
      <c r="A734" s="6">
        <v>43977</v>
      </c>
      <c r="C734" s="50">
        <v>2000</v>
      </c>
      <c r="E734" s="22">
        <f t="shared" si="12"/>
        <v>5180.38</v>
      </c>
    </row>
    <row r="735" spans="1:8" x14ac:dyDescent="0.25">
      <c r="A735" s="6">
        <v>43977</v>
      </c>
      <c r="B735" s="59" t="s">
        <v>506</v>
      </c>
      <c r="D735" s="54">
        <v>500</v>
      </c>
      <c r="E735" s="22">
        <f t="shared" si="12"/>
        <v>4680.38</v>
      </c>
    </row>
    <row r="736" spans="1:8" x14ac:dyDescent="0.25">
      <c r="A736" s="6">
        <v>43977</v>
      </c>
      <c r="B736" s="59" t="s">
        <v>95</v>
      </c>
      <c r="C736" s="50">
        <v>5000</v>
      </c>
      <c r="E736" s="22">
        <f t="shared" si="12"/>
        <v>9680.380000000001</v>
      </c>
    </row>
    <row r="737" spans="1:5" x14ac:dyDescent="0.25">
      <c r="A737" s="6">
        <v>43977</v>
      </c>
      <c r="B737" s="59" t="s">
        <v>502</v>
      </c>
      <c r="D737" s="54">
        <v>500</v>
      </c>
      <c r="E737" s="22">
        <f t="shared" si="12"/>
        <v>9180.380000000001</v>
      </c>
    </row>
    <row r="738" spans="1:5" x14ac:dyDescent="0.25">
      <c r="A738" s="6">
        <v>43978</v>
      </c>
      <c r="B738" s="59" t="s">
        <v>503</v>
      </c>
      <c r="D738" s="54">
        <v>100</v>
      </c>
      <c r="E738" s="22">
        <f t="shared" si="12"/>
        <v>9080.380000000001</v>
      </c>
    </row>
    <row r="739" spans="1:5" x14ac:dyDescent="0.25">
      <c r="A739" s="6">
        <v>43978</v>
      </c>
      <c r="B739" s="59" t="s">
        <v>504</v>
      </c>
      <c r="D739" s="54">
        <v>1000</v>
      </c>
      <c r="E739" s="22">
        <f t="shared" si="12"/>
        <v>8080.380000000001</v>
      </c>
    </row>
    <row r="740" spans="1:5" x14ac:dyDescent="0.25">
      <c r="A740" s="6">
        <v>43978</v>
      </c>
      <c r="B740" s="59" t="s">
        <v>95</v>
      </c>
      <c r="C740" s="50">
        <v>2500</v>
      </c>
      <c r="E740" s="22">
        <f t="shared" si="12"/>
        <v>10580.380000000001</v>
      </c>
    </row>
    <row r="741" spans="1:5" x14ac:dyDescent="0.25">
      <c r="A741" s="6">
        <v>43978</v>
      </c>
      <c r="B741" s="59" t="s">
        <v>505</v>
      </c>
      <c r="D741" s="54">
        <v>7000</v>
      </c>
      <c r="E741" s="22">
        <f t="shared" si="12"/>
        <v>3580.380000000001</v>
      </c>
    </row>
    <row r="742" spans="1:5" x14ac:dyDescent="0.25">
      <c r="A742" s="6">
        <v>43979</v>
      </c>
      <c r="B742" s="59" t="s">
        <v>508</v>
      </c>
      <c r="C742" s="50">
        <v>600</v>
      </c>
      <c r="E742" s="22">
        <f t="shared" si="12"/>
        <v>4180.380000000001</v>
      </c>
    </row>
    <row r="743" spans="1:5" x14ac:dyDescent="0.25">
      <c r="A743" s="6">
        <v>43980</v>
      </c>
      <c r="B743" s="59" t="s">
        <v>71</v>
      </c>
      <c r="C743" s="50">
        <v>500</v>
      </c>
      <c r="E743" s="22">
        <f t="shared" si="12"/>
        <v>4680.380000000001</v>
      </c>
    </row>
    <row r="744" spans="1:5" x14ac:dyDescent="0.25">
      <c r="A744" s="6">
        <v>43980</v>
      </c>
      <c r="B744" s="59" t="s">
        <v>3</v>
      </c>
      <c r="D744" s="54">
        <v>300</v>
      </c>
      <c r="E744" s="22">
        <f t="shared" si="12"/>
        <v>4380.380000000001</v>
      </c>
    </row>
    <row r="745" spans="1:5" x14ac:dyDescent="0.25">
      <c r="A745" s="6">
        <v>43981</v>
      </c>
      <c r="B745" s="59" t="s">
        <v>71</v>
      </c>
      <c r="C745" s="50">
        <v>5000</v>
      </c>
      <c r="E745" s="22">
        <f t="shared" si="12"/>
        <v>9380.380000000001</v>
      </c>
    </row>
    <row r="746" spans="1:5" x14ac:dyDescent="0.25">
      <c r="A746" s="6">
        <v>43981</v>
      </c>
      <c r="B746" s="59" t="s">
        <v>509</v>
      </c>
      <c r="D746" s="54">
        <v>5000</v>
      </c>
      <c r="E746" s="22">
        <f t="shared" si="12"/>
        <v>4380.380000000001</v>
      </c>
    </row>
    <row r="747" spans="1:5" x14ac:dyDescent="0.25">
      <c r="A747" s="6">
        <v>43981</v>
      </c>
      <c r="B747" s="59" t="s">
        <v>513</v>
      </c>
      <c r="C747" s="50">
        <v>3500</v>
      </c>
      <c r="E747" s="22">
        <f t="shared" si="12"/>
        <v>7880.380000000001</v>
      </c>
    </row>
    <row r="748" spans="1:5" x14ac:dyDescent="0.25">
      <c r="A748" s="6">
        <v>43981</v>
      </c>
      <c r="B748" s="59" t="s">
        <v>510</v>
      </c>
      <c r="D748" s="54">
        <v>500</v>
      </c>
      <c r="E748" s="22">
        <f t="shared" si="12"/>
        <v>7380.380000000001</v>
      </c>
    </row>
    <row r="749" spans="1:5" x14ac:dyDescent="0.25">
      <c r="A749" s="6">
        <v>43981</v>
      </c>
      <c r="B749" s="59" t="s">
        <v>511</v>
      </c>
      <c r="D749" s="54">
        <v>500</v>
      </c>
      <c r="E749" s="22">
        <f t="shared" si="12"/>
        <v>6880.380000000001</v>
      </c>
    </row>
    <row r="750" spans="1:5" x14ac:dyDescent="0.25">
      <c r="E750" s="22">
        <f t="shared" si="12"/>
        <v>6880.380000000001</v>
      </c>
    </row>
    <row r="751" spans="1:5" x14ac:dyDescent="0.25">
      <c r="A751" s="6">
        <v>43983</v>
      </c>
      <c r="B751" s="59" t="s">
        <v>516</v>
      </c>
      <c r="D751" s="54">
        <v>200</v>
      </c>
      <c r="E751" s="22">
        <f t="shared" si="12"/>
        <v>6680.380000000001</v>
      </c>
    </row>
    <row r="752" spans="1:5" x14ac:dyDescent="0.25">
      <c r="A752" s="6">
        <v>43983</v>
      </c>
      <c r="B752" s="59" t="s">
        <v>515</v>
      </c>
      <c r="D752" s="54">
        <v>100</v>
      </c>
      <c r="E752" s="22">
        <f t="shared" si="12"/>
        <v>6580.380000000001</v>
      </c>
    </row>
    <row r="753" spans="1:5" x14ac:dyDescent="0.25">
      <c r="A753" s="6">
        <v>43983</v>
      </c>
      <c r="B753" s="59" t="s">
        <v>353</v>
      </c>
      <c r="C753" s="50">
        <v>3000</v>
      </c>
      <c r="E753" s="22">
        <f t="shared" si="12"/>
        <v>9580.380000000001</v>
      </c>
    </row>
    <row r="754" spans="1:5" x14ac:dyDescent="0.25">
      <c r="A754" s="6">
        <v>43983</v>
      </c>
      <c r="B754" s="59" t="s">
        <v>19</v>
      </c>
      <c r="D754" s="54">
        <v>3000</v>
      </c>
      <c r="E754" s="22">
        <f t="shared" si="12"/>
        <v>6580.380000000001</v>
      </c>
    </row>
    <row r="755" spans="1:5" x14ac:dyDescent="0.25">
      <c r="A755" s="6">
        <v>43983</v>
      </c>
      <c r="B755" s="59" t="s">
        <v>517</v>
      </c>
      <c r="D755" s="54">
        <v>1100</v>
      </c>
      <c r="E755" s="22">
        <f t="shared" si="12"/>
        <v>5480.380000000001</v>
      </c>
    </row>
    <row r="756" spans="1:5" x14ac:dyDescent="0.25">
      <c r="A756" s="6">
        <v>43983</v>
      </c>
      <c r="B756" s="59" t="s">
        <v>518</v>
      </c>
      <c r="D756" s="54">
        <v>1180</v>
      </c>
      <c r="E756" s="22">
        <f t="shared" si="12"/>
        <v>4300.380000000001</v>
      </c>
    </row>
    <row r="757" spans="1:5" x14ac:dyDescent="0.25">
      <c r="A757" s="6">
        <v>43984</v>
      </c>
      <c r="B757" s="59" t="s">
        <v>515</v>
      </c>
      <c r="D757" s="54">
        <v>100</v>
      </c>
      <c r="E757" s="22">
        <f t="shared" si="12"/>
        <v>4200.380000000001</v>
      </c>
    </row>
    <row r="758" spans="1:5" x14ac:dyDescent="0.25">
      <c r="A758" s="6">
        <v>43984</v>
      </c>
      <c r="B758" s="59" t="s">
        <v>520</v>
      </c>
      <c r="C758" s="50">
        <v>1000</v>
      </c>
      <c r="E758" s="22">
        <f t="shared" si="12"/>
        <v>5200.380000000001</v>
      </c>
    </row>
    <row r="759" spans="1:5" x14ac:dyDescent="0.25">
      <c r="A759" s="6">
        <v>43984</v>
      </c>
      <c r="B759" s="59" t="s">
        <v>848</v>
      </c>
      <c r="D759" s="54">
        <v>5000</v>
      </c>
      <c r="E759" s="22">
        <f t="shared" si="12"/>
        <v>200.38000000000102</v>
      </c>
    </row>
    <row r="760" spans="1:5" x14ac:dyDescent="0.25">
      <c r="A760" s="6">
        <v>43984</v>
      </c>
      <c r="B760" s="59" t="s">
        <v>71</v>
      </c>
      <c r="C760" s="50">
        <v>800</v>
      </c>
      <c r="E760" s="22">
        <f t="shared" si="12"/>
        <v>1000.380000000001</v>
      </c>
    </row>
    <row r="761" spans="1:5" s="22" customFormat="1" x14ac:dyDescent="0.25">
      <c r="A761" s="6">
        <v>43986</v>
      </c>
      <c r="B761" s="59" t="s">
        <v>1624</v>
      </c>
      <c r="C761" s="50"/>
      <c r="D761" s="54">
        <v>700</v>
      </c>
      <c r="E761" s="22">
        <f t="shared" si="12"/>
        <v>300.38000000000102</v>
      </c>
    </row>
    <row r="762" spans="1:5" x14ac:dyDescent="0.25">
      <c r="A762" s="6">
        <v>43987</v>
      </c>
      <c r="B762" s="59" t="s">
        <v>1608</v>
      </c>
      <c r="D762" s="54">
        <v>1000</v>
      </c>
      <c r="E762" s="22">
        <f t="shared" si="12"/>
        <v>-699.61999999999898</v>
      </c>
    </row>
    <row r="763" spans="1:5" x14ac:dyDescent="0.25">
      <c r="A763" s="6">
        <v>43987</v>
      </c>
      <c r="B763" s="59" t="s">
        <v>1609</v>
      </c>
      <c r="D763" s="54">
        <v>500</v>
      </c>
      <c r="E763" s="22">
        <f t="shared" si="12"/>
        <v>-1199.619999999999</v>
      </c>
    </row>
    <row r="764" spans="1:5" x14ac:dyDescent="0.25">
      <c r="A764" s="6">
        <v>43987</v>
      </c>
      <c r="B764" s="59" t="s">
        <v>1610</v>
      </c>
      <c r="D764" s="54">
        <v>500</v>
      </c>
      <c r="E764" s="22">
        <f t="shared" si="12"/>
        <v>-1699.619999999999</v>
      </c>
    </row>
    <row r="765" spans="1:5" x14ac:dyDescent="0.25">
      <c r="A765" s="6">
        <v>43987</v>
      </c>
      <c r="B765" s="59" t="s">
        <v>1618</v>
      </c>
      <c r="D765" s="54">
        <v>500</v>
      </c>
      <c r="E765" s="22">
        <f t="shared" si="12"/>
        <v>-2199.619999999999</v>
      </c>
    </row>
    <row r="766" spans="1:5" x14ac:dyDescent="0.25">
      <c r="A766" s="6">
        <v>43988</v>
      </c>
      <c r="B766" s="59" t="s">
        <v>1619</v>
      </c>
      <c r="C766" s="50">
        <v>1000</v>
      </c>
      <c r="E766" s="22">
        <f t="shared" si="12"/>
        <v>-1199.619999999999</v>
      </c>
    </row>
    <row r="767" spans="1:5" x14ac:dyDescent="0.25">
      <c r="A767" s="6">
        <v>43988</v>
      </c>
      <c r="B767" s="59" t="s">
        <v>1625</v>
      </c>
      <c r="D767" s="54">
        <v>500</v>
      </c>
      <c r="E767" s="22">
        <f t="shared" si="12"/>
        <v>-1699.619999999999</v>
      </c>
    </row>
    <row r="768" spans="1:5" x14ac:dyDescent="0.25">
      <c r="A768" s="6">
        <v>43988</v>
      </c>
      <c r="B768" s="59" t="s">
        <v>1622</v>
      </c>
      <c r="D768" s="54">
        <v>1000</v>
      </c>
      <c r="E768" s="22">
        <f t="shared" si="12"/>
        <v>-2699.619999999999</v>
      </c>
    </row>
    <row r="769" spans="1:5" x14ac:dyDescent="0.25">
      <c r="A769" s="6">
        <v>43988</v>
      </c>
      <c r="B769" s="59" t="s">
        <v>1623</v>
      </c>
      <c r="D769" s="54">
        <v>1400</v>
      </c>
      <c r="E769" s="22">
        <f t="shared" si="12"/>
        <v>-4099.619999999999</v>
      </c>
    </row>
    <row r="770" spans="1:5" x14ac:dyDescent="0.25">
      <c r="A770" s="6">
        <v>43988</v>
      </c>
      <c r="B770" s="59" t="s">
        <v>1624</v>
      </c>
      <c r="D770" s="54">
        <v>1200</v>
      </c>
      <c r="E770" s="22">
        <f t="shared" si="12"/>
        <v>-5299.619999999999</v>
      </c>
    </row>
    <row r="771" spans="1:5" x14ac:dyDescent="0.25">
      <c r="A771" s="6">
        <v>43988</v>
      </c>
      <c r="B771" s="59" t="s">
        <v>321</v>
      </c>
      <c r="C771" s="50">
        <v>15500</v>
      </c>
      <c r="E771" s="22">
        <f t="shared" si="12"/>
        <v>10200.380000000001</v>
      </c>
    </row>
    <row r="772" spans="1:5" x14ac:dyDescent="0.25">
      <c r="A772" s="6">
        <v>43989</v>
      </c>
      <c r="B772" s="59" t="s">
        <v>1624</v>
      </c>
      <c r="D772" s="54">
        <v>2000</v>
      </c>
      <c r="E772" s="22">
        <f t="shared" si="12"/>
        <v>8200.380000000001</v>
      </c>
    </row>
    <row r="773" spans="1:5" x14ac:dyDescent="0.25">
      <c r="A773" s="6">
        <v>43989</v>
      </c>
      <c r="B773" s="59" t="s">
        <v>1628</v>
      </c>
      <c r="D773" s="54">
        <v>5000</v>
      </c>
      <c r="E773" s="22">
        <f t="shared" si="12"/>
        <v>3200.380000000001</v>
      </c>
    </row>
    <row r="774" spans="1:5" x14ac:dyDescent="0.25">
      <c r="A774" s="6">
        <v>43989</v>
      </c>
      <c r="B774" s="59" t="s">
        <v>1622</v>
      </c>
      <c r="D774" s="54">
        <v>500</v>
      </c>
      <c r="E774" s="22">
        <f t="shared" si="12"/>
        <v>2700.380000000001</v>
      </c>
    </row>
    <row r="775" spans="1:5" x14ac:dyDescent="0.25">
      <c r="A775" s="6">
        <v>43991</v>
      </c>
      <c r="C775" s="50">
        <v>500</v>
      </c>
      <c r="E775" s="22">
        <f t="shared" si="12"/>
        <v>3200.380000000001</v>
      </c>
    </row>
    <row r="776" spans="1:5" x14ac:dyDescent="0.25">
      <c r="A776" s="6">
        <v>43991</v>
      </c>
      <c r="B776" s="59" t="s">
        <v>1629</v>
      </c>
      <c r="D776" s="54">
        <v>4500</v>
      </c>
      <c r="E776" s="22">
        <f t="shared" si="12"/>
        <v>-1299.619999999999</v>
      </c>
    </row>
    <row r="777" spans="1:5" x14ac:dyDescent="0.25">
      <c r="A777" s="6">
        <v>43991</v>
      </c>
      <c r="B777" s="59" t="s">
        <v>1630</v>
      </c>
      <c r="D777" s="54">
        <v>1600</v>
      </c>
      <c r="E777" s="22">
        <f t="shared" si="12"/>
        <v>-2899.619999999999</v>
      </c>
    </row>
    <row r="778" spans="1:5" x14ac:dyDescent="0.25">
      <c r="A778" s="6">
        <v>43992</v>
      </c>
      <c r="B778" s="59" t="s">
        <v>1631</v>
      </c>
      <c r="D778" s="54">
        <v>300</v>
      </c>
      <c r="E778" s="22">
        <f t="shared" si="12"/>
        <v>-3199.619999999999</v>
      </c>
    </row>
    <row r="779" spans="1:5" x14ac:dyDescent="0.25">
      <c r="A779" s="6">
        <v>43992</v>
      </c>
      <c r="B779" s="59" t="s">
        <v>1632</v>
      </c>
      <c r="D779" s="54">
        <v>200</v>
      </c>
      <c r="E779" s="22">
        <f t="shared" si="12"/>
        <v>-3399.619999999999</v>
      </c>
    </row>
    <row r="780" spans="1:5" x14ac:dyDescent="0.25">
      <c r="A780" s="6">
        <v>43992</v>
      </c>
      <c r="B780" s="59" t="s">
        <v>71</v>
      </c>
      <c r="C780" s="50">
        <v>500</v>
      </c>
      <c r="E780" s="22">
        <f t="shared" si="12"/>
        <v>-2899.619999999999</v>
      </c>
    </row>
    <row r="781" spans="1:5" x14ac:dyDescent="0.25">
      <c r="A781" s="6">
        <v>43992</v>
      </c>
      <c r="B781" s="59" t="s">
        <v>1624</v>
      </c>
      <c r="D781" s="54">
        <v>1000</v>
      </c>
      <c r="E781" s="22">
        <f t="shared" si="12"/>
        <v>-3899.619999999999</v>
      </c>
    </row>
    <row r="782" spans="1:5" x14ac:dyDescent="0.25">
      <c r="A782" s="6">
        <v>43992</v>
      </c>
      <c r="B782" s="59" t="s">
        <v>1634</v>
      </c>
      <c r="C782" s="50">
        <v>4000</v>
      </c>
      <c r="E782" s="22">
        <f t="shared" si="12"/>
        <v>100.38000000000102</v>
      </c>
    </row>
    <row r="783" spans="1:5" x14ac:dyDescent="0.25">
      <c r="A783" s="6">
        <v>43992</v>
      </c>
      <c r="B783" s="59" t="s">
        <v>1637</v>
      </c>
      <c r="D783" s="54">
        <v>1500</v>
      </c>
      <c r="E783" s="22">
        <f t="shared" si="12"/>
        <v>-1399.619999999999</v>
      </c>
    </row>
    <row r="784" spans="1:5" x14ac:dyDescent="0.25">
      <c r="A784" s="6">
        <v>43992</v>
      </c>
      <c r="B784" s="59" t="s">
        <v>1630</v>
      </c>
      <c r="D784" s="54">
        <v>1000</v>
      </c>
      <c r="E784" s="22">
        <f t="shared" si="12"/>
        <v>-2399.619999999999</v>
      </c>
    </row>
    <row r="785" spans="1:5" x14ac:dyDescent="0.25">
      <c r="A785" s="6">
        <v>43993</v>
      </c>
      <c r="B785" s="59" t="s">
        <v>1641</v>
      </c>
      <c r="D785" s="54">
        <v>200</v>
      </c>
      <c r="E785" s="22">
        <f t="shared" si="12"/>
        <v>-2599.619999999999</v>
      </c>
    </row>
    <row r="786" spans="1:5" x14ac:dyDescent="0.25">
      <c r="A786" s="6">
        <v>43993</v>
      </c>
      <c r="B786" s="59" t="s">
        <v>1619</v>
      </c>
      <c r="C786" s="50">
        <v>300</v>
      </c>
      <c r="E786" s="22">
        <f t="shared" si="12"/>
        <v>-2299.619999999999</v>
      </c>
    </row>
    <row r="787" spans="1:5" s="22" customFormat="1" x14ac:dyDescent="0.25">
      <c r="A787" s="6">
        <v>43993</v>
      </c>
      <c r="B787" s="61" t="s">
        <v>93</v>
      </c>
      <c r="C787" s="50"/>
      <c r="D787" s="54">
        <v>800</v>
      </c>
      <c r="E787" s="22">
        <f t="shared" si="12"/>
        <v>-3099.619999999999</v>
      </c>
    </row>
    <row r="788" spans="1:5" x14ac:dyDescent="0.25">
      <c r="A788" s="6">
        <v>43993</v>
      </c>
      <c r="B788" s="59" t="s">
        <v>1644</v>
      </c>
      <c r="D788" s="54">
        <v>4000</v>
      </c>
      <c r="E788" s="22">
        <f t="shared" si="12"/>
        <v>-7099.619999999999</v>
      </c>
    </row>
    <row r="789" spans="1:5" x14ac:dyDescent="0.25">
      <c r="A789" s="6">
        <v>43994</v>
      </c>
      <c r="B789" s="59" t="s">
        <v>1649</v>
      </c>
      <c r="C789" s="50">
        <v>1200</v>
      </c>
      <c r="E789" s="22">
        <f t="shared" si="12"/>
        <v>-5899.619999999999</v>
      </c>
    </row>
    <row r="790" spans="1:5" x14ac:dyDescent="0.25">
      <c r="A790" s="6">
        <v>43994</v>
      </c>
      <c r="B790" s="59" t="s">
        <v>1651</v>
      </c>
      <c r="C790" s="50">
        <v>600</v>
      </c>
      <c r="E790" s="22">
        <f t="shared" si="12"/>
        <v>-5299.619999999999</v>
      </c>
    </row>
    <row r="791" spans="1:5" x14ac:dyDescent="0.25">
      <c r="A791" s="6">
        <v>43994</v>
      </c>
      <c r="B791" s="59" t="s">
        <v>1624</v>
      </c>
      <c r="D791" s="54">
        <v>2500</v>
      </c>
      <c r="E791" s="22">
        <f t="shared" si="12"/>
        <v>-7799.619999999999</v>
      </c>
    </row>
    <row r="792" spans="1:5" x14ac:dyDescent="0.25">
      <c r="A792" s="6">
        <v>43994</v>
      </c>
      <c r="B792" s="59" t="s">
        <v>1634</v>
      </c>
      <c r="C792" s="50">
        <v>3000</v>
      </c>
      <c r="E792" s="22">
        <f t="shared" si="12"/>
        <v>-4799.619999999999</v>
      </c>
    </row>
    <row r="793" spans="1:5" x14ac:dyDescent="0.25">
      <c r="A793" s="6">
        <v>43994</v>
      </c>
      <c r="B793" s="59" t="s">
        <v>1641</v>
      </c>
      <c r="D793" s="54">
        <v>150</v>
      </c>
      <c r="E793" s="22">
        <f t="shared" si="12"/>
        <v>-4949.619999999999</v>
      </c>
    </row>
    <row r="794" spans="1:5" x14ac:dyDescent="0.25">
      <c r="A794" s="6">
        <v>43995</v>
      </c>
      <c r="B794" s="59" t="s">
        <v>1653</v>
      </c>
      <c r="D794" s="54">
        <v>200</v>
      </c>
      <c r="E794" s="22">
        <f t="shared" si="12"/>
        <v>-5149.619999999999</v>
      </c>
    </row>
    <row r="795" spans="1:5" x14ac:dyDescent="0.25">
      <c r="A795" s="6">
        <v>43995</v>
      </c>
      <c r="B795" s="59" t="s">
        <v>1654</v>
      </c>
      <c r="D795" s="54">
        <v>1000</v>
      </c>
      <c r="E795" s="22">
        <f t="shared" si="12"/>
        <v>-6149.619999999999</v>
      </c>
    </row>
    <row r="796" spans="1:5" x14ac:dyDescent="0.25">
      <c r="A796" s="6">
        <v>43995</v>
      </c>
      <c r="B796" s="59" t="s">
        <v>1655</v>
      </c>
      <c r="C796" s="50">
        <v>2000</v>
      </c>
      <c r="E796" s="22">
        <f t="shared" si="12"/>
        <v>-4149.619999999999</v>
      </c>
    </row>
    <row r="797" spans="1:5" x14ac:dyDescent="0.25">
      <c r="A797" s="6">
        <v>43995</v>
      </c>
      <c r="B797" s="59" t="s">
        <v>1656</v>
      </c>
      <c r="D797" s="54">
        <v>4000</v>
      </c>
      <c r="E797" s="22">
        <f t="shared" si="12"/>
        <v>-8149.619999999999</v>
      </c>
    </row>
    <row r="798" spans="1:5" x14ac:dyDescent="0.25">
      <c r="A798" s="6">
        <v>43997</v>
      </c>
      <c r="B798" s="59" t="s">
        <v>270</v>
      </c>
      <c r="C798" s="50">
        <v>9000</v>
      </c>
      <c r="E798" s="22">
        <f t="shared" si="12"/>
        <v>850.38000000000102</v>
      </c>
    </row>
    <row r="799" spans="1:5" x14ac:dyDescent="0.25">
      <c r="A799" s="6">
        <v>43997</v>
      </c>
      <c r="B799" s="59" t="s">
        <v>1624</v>
      </c>
      <c r="D799" s="54">
        <v>5000</v>
      </c>
      <c r="E799" s="22">
        <f t="shared" si="12"/>
        <v>-4149.619999999999</v>
      </c>
    </row>
    <row r="800" spans="1:5" x14ac:dyDescent="0.25">
      <c r="A800" s="6">
        <v>43997</v>
      </c>
      <c r="B800" s="59" t="s">
        <v>1657</v>
      </c>
      <c r="D800" s="54">
        <v>4000</v>
      </c>
      <c r="E800" s="22">
        <f t="shared" si="12"/>
        <v>-8149.619999999999</v>
      </c>
    </row>
    <row r="801" spans="1:6" x14ac:dyDescent="0.25">
      <c r="A801" s="6">
        <v>43997</v>
      </c>
      <c r="B801" s="59" t="s">
        <v>1630</v>
      </c>
      <c r="D801" s="54">
        <v>400</v>
      </c>
      <c r="E801" s="22">
        <f t="shared" si="12"/>
        <v>-8549.619999999999</v>
      </c>
    </row>
    <row r="802" spans="1:6" x14ac:dyDescent="0.25">
      <c r="A802" s="6">
        <v>43997</v>
      </c>
      <c r="B802" s="59" t="s">
        <v>1649</v>
      </c>
      <c r="C802" s="50">
        <v>3000</v>
      </c>
      <c r="E802" s="22">
        <f t="shared" si="12"/>
        <v>-5549.619999999999</v>
      </c>
    </row>
    <row r="803" spans="1:6" s="22" customFormat="1" x14ac:dyDescent="0.25">
      <c r="A803" s="6">
        <v>43997</v>
      </c>
      <c r="B803" s="59" t="s">
        <v>1690</v>
      </c>
      <c r="C803" s="50"/>
      <c r="D803" s="54">
        <v>100</v>
      </c>
      <c r="E803" s="22">
        <f t="shared" si="12"/>
        <v>-5649.619999999999</v>
      </c>
    </row>
    <row r="804" spans="1:6" x14ac:dyDescent="0.25">
      <c r="A804" s="6">
        <v>43997</v>
      </c>
      <c r="B804" s="59" t="s">
        <v>1658</v>
      </c>
      <c r="C804" s="50">
        <v>1000</v>
      </c>
      <c r="E804" s="22">
        <f t="shared" si="12"/>
        <v>-4649.619999999999</v>
      </c>
    </row>
    <row r="805" spans="1:6" x14ac:dyDescent="0.25">
      <c r="A805" s="6">
        <v>43997</v>
      </c>
      <c r="B805" s="59" t="s">
        <v>1634</v>
      </c>
      <c r="C805" s="50">
        <v>800</v>
      </c>
      <c r="E805" s="22">
        <f t="shared" si="12"/>
        <v>-3849.619999999999</v>
      </c>
    </row>
    <row r="806" spans="1:6" x14ac:dyDescent="0.25">
      <c r="A806" s="6">
        <v>43998</v>
      </c>
      <c r="B806" s="59" t="s">
        <v>1659</v>
      </c>
      <c r="C806" s="50">
        <v>1000</v>
      </c>
      <c r="E806" s="22">
        <f t="shared" si="12"/>
        <v>-2849.619999999999</v>
      </c>
    </row>
    <row r="807" spans="1:6" x14ac:dyDescent="0.25">
      <c r="A807" s="6">
        <v>43998</v>
      </c>
      <c r="B807" s="59" t="s">
        <v>1659</v>
      </c>
      <c r="C807" s="50">
        <v>1000</v>
      </c>
      <c r="E807" s="22">
        <f t="shared" si="12"/>
        <v>-1849.619999999999</v>
      </c>
    </row>
    <row r="808" spans="1:6" x14ac:dyDescent="0.25">
      <c r="A808" s="6">
        <v>43998</v>
      </c>
      <c r="B808" s="59" t="s">
        <v>1660</v>
      </c>
      <c r="C808" s="50">
        <v>1000</v>
      </c>
      <c r="E808" s="22">
        <f t="shared" si="12"/>
        <v>-849.61999999999898</v>
      </c>
    </row>
    <row r="809" spans="1:6" x14ac:dyDescent="0.25">
      <c r="A809" s="6">
        <v>43998</v>
      </c>
      <c r="B809" s="59" t="s">
        <v>505</v>
      </c>
      <c r="D809" s="54">
        <v>5000</v>
      </c>
      <c r="E809" s="22">
        <f t="shared" si="12"/>
        <v>-5849.619999999999</v>
      </c>
    </row>
    <row r="810" spans="1:6" x14ac:dyDescent="0.25">
      <c r="A810" s="6">
        <v>43998</v>
      </c>
      <c r="B810" s="59" t="s">
        <v>1641</v>
      </c>
      <c r="D810" s="54">
        <v>300</v>
      </c>
      <c r="E810" s="22">
        <f t="shared" si="12"/>
        <v>-6149.619999999999</v>
      </c>
    </row>
    <row r="811" spans="1:6" x14ac:dyDescent="0.25">
      <c r="A811" s="6">
        <v>43999</v>
      </c>
      <c r="B811" s="59" t="s">
        <v>1637</v>
      </c>
      <c r="D811" s="54">
        <v>1770</v>
      </c>
      <c r="E811" s="22">
        <f t="shared" si="12"/>
        <v>-7919.619999999999</v>
      </c>
    </row>
    <row r="812" spans="1:6" x14ac:dyDescent="0.25">
      <c r="A812" s="6">
        <v>43999</v>
      </c>
      <c r="B812" s="59" t="s">
        <v>1668</v>
      </c>
      <c r="D812" s="54">
        <v>300</v>
      </c>
      <c r="E812" s="22">
        <f t="shared" si="12"/>
        <v>-8219.619999999999</v>
      </c>
    </row>
    <row r="813" spans="1:6" x14ac:dyDescent="0.25">
      <c r="A813" s="6">
        <v>43999</v>
      </c>
      <c r="B813" s="59" t="s">
        <v>1669</v>
      </c>
      <c r="D813" s="54">
        <v>200</v>
      </c>
      <c r="E813" s="22">
        <f t="shared" si="12"/>
        <v>-8419.619999999999</v>
      </c>
    </row>
    <row r="814" spans="1:6" x14ac:dyDescent="0.25">
      <c r="A814" s="6">
        <v>44000</v>
      </c>
      <c r="B814" s="59" t="s">
        <v>1672</v>
      </c>
      <c r="C814" s="50">
        <v>1000</v>
      </c>
      <c r="E814" s="22">
        <f t="shared" si="12"/>
        <v>-7419.619999999999</v>
      </c>
    </row>
    <row r="815" spans="1:6" x14ac:dyDescent="0.25">
      <c r="A815" s="6">
        <v>44000</v>
      </c>
      <c r="B815" s="59" t="s">
        <v>1673</v>
      </c>
      <c r="D815" s="54">
        <v>200</v>
      </c>
      <c r="E815" s="22">
        <f t="shared" si="12"/>
        <v>-7619.619999999999</v>
      </c>
    </row>
    <row r="816" spans="1:6" s="22" customFormat="1" x14ac:dyDescent="0.25">
      <c r="A816" s="6">
        <v>44000</v>
      </c>
      <c r="B816" s="59" t="s">
        <v>126</v>
      </c>
      <c r="C816" s="50"/>
      <c r="D816" s="54">
        <v>800</v>
      </c>
      <c r="E816" s="22">
        <f t="shared" si="12"/>
        <v>-8419.619999999999</v>
      </c>
      <c r="F816" s="22">
        <v>1</v>
      </c>
    </row>
    <row r="817" spans="1:6" s="22" customFormat="1" x14ac:dyDescent="0.25">
      <c r="A817" s="6">
        <v>44001</v>
      </c>
      <c r="B817" s="59"/>
      <c r="C817" s="50">
        <v>700</v>
      </c>
      <c r="D817" s="54"/>
      <c r="E817" s="22">
        <f t="shared" si="12"/>
        <v>-7719.619999999999</v>
      </c>
    </row>
    <row r="818" spans="1:6" x14ac:dyDescent="0.25">
      <c r="A818" s="6">
        <v>44001</v>
      </c>
      <c r="B818" s="59" t="s">
        <v>1675</v>
      </c>
      <c r="D818" s="54">
        <v>100</v>
      </c>
      <c r="E818" s="22">
        <f t="shared" si="12"/>
        <v>-7819.619999999999</v>
      </c>
    </row>
    <row r="819" spans="1:6" x14ac:dyDescent="0.25">
      <c r="A819" s="6">
        <v>44001</v>
      </c>
      <c r="B819" s="59" t="s">
        <v>1676</v>
      </c>
      <c r="C819" s="50">
        <v>500</v>
      </c>
      <c r="E819" s="22">
        <f t="shared" si="12"/>
        <v>-7319.619999999999</v>
      </c>
    </row>
    <row r="820" spans="1:6" s="22" customFormat="1" x14ac:dyDescent="0.25">
      <c r="A820" s="6">
        <v>44001</v>
      </c>
      <c r="B820" s="59" t="s">
        <v>1682</v>
      </c>
      <c r="C820" s="50">
        <v>4000</v>
      </c>
      <c r="D820" s="54"/>
      <c r="E820" s="22">
        <f t="shared" ref="E820:E908" si="13">E819-D820+C820</f>
        <v>-3319.619999999999</v>
      </c>
    </row>
    <row r="821" spans="1:6" s="22" customFormat="1" x14ac:dyDescent="0.25">
      <c r="A821" s="6">
        <v>44001</v>
      </c>
      <c r="B821" s="59" t="s">
        <v>72</v>
      </c>
      <c r="C821" s="50">
        <v>300</v>
      </c>
      <c r="D821" s="54"/>
      <c r="E821" s="22">
        <f t="shared" si="13"/>
        <v>-3019.619999999999</v>
      </c>
    </row>
    <row r="822" spans="1:6" s="22" customFormat="1" x14ac:dyDescent="0.25">
      <c r="A822" s="6">
        <v>44002</v>
      </c>
      <c r="B822" s="59" t="s">
        <v>1691</v>
      </c>
      <c r="C822" s="50"/>
      <c r="D822" s="54">
        <v>100</v>
      </c>
      <c r="E822" s="22">
        <f t="shared" si="13"/>
        <v>-3119.619999999999</v>
      </c>
    </row>
    <row r="823" spans="1:6" s="22" customFormat="1" x14ac:dyDescent="0.25">
      <c r="A823" s="6">
        <v>44002</v>
      </c>
      <c r="B823" s="59" t="s">
        <v>1692</v>
      </c>
      <c r="C823" s="50"/>
      <c r="D823" s="54">
        <v>100</v>
      </c>
      <c r="E823" s="22">
        <f t="shared" si="13"/>
        <v>-3219.619999999999</v>
      </c>
    </row>
    <row r="824" spans="1:6" x14ac:dyDescent="0.25">
      <c r="A824" s="6">
        <v>44002</v>
      </c>
      <c r="B824" s="59" t="s">
        <v>1641</v>
      </c>
      <c r="D824" s="54">
        <v>200</v>
      </c>
      <c r="E824" s="22">
        <f t="shared" si="13"/>
        <v>-3419.619999999999</v>
      </c>
    </row>
    <row r="825" spans="1:6" s="22" customFormat="1" x14ac:dyDescent="0.25">
      <c r="A825" s="6">
        <v>44002</v>
      </c>
      <c r="B825" s="59" t="s">
        <v>1689</v>
      </c>
      <c r="C825" s="50">
        <v>19308.21</v>
      </c>
      <c r="D825" s="54"/>
      <c r="E825" s="22">
        <f t="shared" si="13"/>
        <v>15888.59</v>
      </c>
    </row>
    <row r="826" spans="1:6" x14ac:dyDescent="0.25">
      <c r="A826" s="6">
        <v>44004</v>
      </c>
      <c r="B826" s="59" t="s">
        <v>1624</v>
      </c>
      <c r="D826" s="54">
        <v>600</v>
      </c>
      <c r="E826" s="22">
        <f t="shared" si="13"/>
        <v>15288.59</v>
      </c>
    </row>
    <row r="827" spans="1:6" x14ac:dyDescent="0.25">
      <c r="A827" s="6">
        <v>44004</v>
      </c>
      <c r="B827" s="59" t="s">
        <v>1680</v>
      </c>
      <c r="D827" s="54">
        <v>550</v>
      </c>
      <c r="E827" s="22">
        <f t="shared" si="13"/>
        <v>14738.59</v>
      </c>
    </row>
    <row r="828" spans="1:6" x14ac:dyDescent="0.25">
      <c r="A828" s="6">
        <v>44004</v>
      </c>
      <c r="B828" s="59" t="s">
        <v>1678</v>
      </c>
      <c r="D828" s="54">
        <v>200</v>
      </c>
      <c r="E828" s="22">
        <f t="shared" si="13"/>
        <v>14538.59</v>
      </c>
    </row>
    <row r="829" spans="1:6" x14ac:dyDescent="0.25">
      <c r="A829" s="6">
        <v>44004</v>
      </c>
      <c r="B829" s="59" t="s">
        <v>1682</v>
      </c>
      <c r="C829" s="50">
        <v>5000</v>
      </c>
      <c r="E829" s="22">
        <f t="shared" si="13"/>
        <v>19538.59</v>
      </c>
    </row>
    <row r="830" spans="1:6" x14ac:dyDescent="0.25">
      <c r="A830" s="6">
        <v>44005</v>
      </c>
      <c r="B830" s="59" t="s">
        <v>505</v>
      </c>
      <c r="D830" s="54">
        <v>6000</v>
      </c>
      <c r="E830" s="22">
        <f t="shared" si="13"/>
        <v>13538.59</v>
      </c>
    </row>
    <row r="831" spans="1:6" s="22" customFormat="1" x14ac:dyDescent="0.25">
      <c r="A831" s="6">
        <v>44005</v>
      </c>
      <c r="B831" s="59" t="s">
        <v>1704</v>
      </c>
      <c r="C831" s="50"/>
      <c r="D831" s="54">
        <v>29.5</v>
      </c>
      <c r="E831" s="22">
        <f t="shared" si="13"/>
        <v>13509.09</v>
      </c>
      <c r="F831" s="22">
        <v>1</v>
      </c>
    </row>
    <row r="832" spans="1:6" x14ac:dyDescent="0.25">
      <c r="A832" s="6">
        <v>44005</v>
      </c>
      <c r="B832" s="59" t="s">
        <v>1693</v>
      </c>
      <c r="C832" s="50">
        <v>500</v>
      </c>
      <c r="E832" s="22">
        <f t="shared" si="13"/>
        <v>14009.09</v>
      </c>
    </row>
    <row r="833" spans="1:6" x14ac:dyDescent="0.25">
      <c r="A833" s="6">
        <v>44005</v>
      </c>
      <c r="B833" s="59" t="s">
        <v>1695</v>
      </c>
      <c r="D833" s="54">
        <v>100</v>
      </c>
      <c r="E833" s="22">
        <f t="shared" si="13"/>
        <v>13909.09</v>
      </c>
    </row>
    <row r="834" spans="1:6" x14ac:dyDescent="0.25">
      <c r="A834" s="6">
        <v>44005</v>
      </c>
      <c r="B834" s="59" t="s">
        <v>1694</v>
      </c>
      <c r="C834" s="50">
        <v>500</v>
      </c>
      <c r="E834" s="22">
        <f t="shared" si="13"/>
        <v>14409.09</v>
      </c>
    </row>
    <row r="835" spans="1:6" x14ac:dyDescent="0.25">
      <c r="A835" s="6">
        <v>44005</v>
      </c>
      <c r="B835" s="59" t="s">
        <v>292</v>
      </c>
      <c r="D835" s="54">
        <v>600</v>
      </c>
      <c r="E835" s="22">
        <f t="shared" si="13"/>
        <v>13809.09</v>
      </c>
    </row>
    <row r="836" spans="1:6" x14ac:dyDescent="0.25">
      <c r="A836" s="6">
        <v>44005</v>
      </c>
      <c r="B836" s="59" t="s">
        <v>1624</v>
      </c>
      <c r="D836" s="54">
        <v>2600</v>
      </c>
      <c r="E836" s="22">
        <f t="shared" si="13"/>
        <v>11209.09</v>
      </c>
    </row>
    <row r="837" spans="1:6" s="22" customFormat="1" x14ac:dyDescent="0.25">
      <c r="A837" s="6">
        <v>44006</v>
      </c>
      <c r="B837" s="59"/>
      <c r="C837" s="50"/>
      <c r="D837" s="54">
        <v>1600</v>
      </c>
      <c r="E837" s="22">
        <f t="shared" si="13"/>
        <v>9609.09</v>
      </c>
      <c r="F837" s="22">
        <v>1</v>
      </c>
    </row>
    <row r="838" spans="1:6" x14ac:dyDescent="0.25">
      <c r="A838" s="6">
        <v>44007</v>
      </c>
      <c r="B838" s="59" t="s">
        <v>1624</v>
      </c>
      <c r="D838" s="54">
        <v>3300</v>
      </c>
      <c r="E838" s="22">
        <f t="shared" si="13"/>
        <v>6309.09</v>
      </c>
    </row>
    <row r="839" spans="1:6" x14ac:dyDescent="0.25">
      <c r="A839" s="6">
        <v>44008</v>
      </c>
      <c r="B839" s="59" t="s">
        <v>1649</v>
      </c>
      <c r="C839" s="50">
        <v>2500</v>
      </c>
      <c r="E839" s="22">
        <f t="shared" si="13"/>
        <v>8809.09</v>
      </c>
    </row>
    <row r="840" spans="1:6" x14ac:dyDescent="0.25">
      <c r="A840" s="6">
        <v>44008</v>
      </c>
      <c r="B840" s="59" t="s">
        <v>292</v>
      </c>
      <c r="D840" s="54">
        <v>1000</v>
      </c>
      <c r="E840" s="22">
        <f t="shared" si="13"/>
        <v>7809.09</v>
      </c>
    </row>
    <row r="841" spans="1:6" x14ac:dyDescent="0.25">
      <c r="A841" s="6">
        <v>44008</v>
      </c>
      <c r="B841" s="59" t="s">
        <v>159</v>
      </c>
      <c r="D841" s="54">
        <v>300</v>
      </c>
      <c r="E841" s="22">
        <f t="shared" si="13"/>
        <v>7509.09</v>
      </c>
    </row>
    <row r="842" spans="1:6" x14ac:dyDescent="0.25">
      <c r="A842" s="6">
        <v>44008</v>
      </c>
      <c r="B842" s="59" t="s">
        <v>1698</v>
      </c>
      <c r="D842" s="54">
        <v>4000</v>
      </c>
      <c r="E842" s="22">
        <f t="shared" si="13"/>
        <v>3509.09</v>
      </c>
    </row>
    <row r="843" spans="1:6" x14ac:dyDescent="0.25">
      <c r="A843" s="6">
        <v>44008</v>
      </c>
      <c r="B843" s="59" t="s">
        <v>106</v>
      </c>
      <c r="C843" s="50">
        <v>200</v>
      </c>
      <c r="E843" s="22">
        <f t="shared" si="13"/>
        <v>3709.09</v>
      </c>
    </row>
    <row r="844" spans="1:6" s="22" customFormat="1" x14ac:dyDescent="0.25">
      <c r="A844" s="6">
        <v>44009</v>
      </c>
      <c r="B844" s="59" t="s">
        <v>1641</v>
      </c>
      <c r="C844" s="50"/>
      <c r="D844" s="54">
        <v>800</v>
      </c>
      <c r="E844" s="22">
        <f t="shared" si="13"/>
        <v>2909.09</v>
      </c>
    </row>
    <row r="845" spans="1:6" s="22" customFormat="1" x14ac:dyDescent="0.25">
      <c r="A845" s="6">
        <v>44009</v>
      </c>
      <c r="B845" s="59" t="s">
        <v>126</v>
      </c>
      <c r="C845" s="50"/>
      <c r="D845" s="54">
        <v>1200</v>
      </c>
      <c r="E845" s="22">
        <f t="shared" si="13"/>
        <v>1709.0900000000001</v>
      </c>
    </row>
    <row r="846" spans="1:6" x14ac:dyDescent="0.25">
      <c r="A846" s="6">
        <v>44011</v>
      </c>
      <c r="B846" s="59" t="s">
        <v>1700</v>
      </c>
      <c r="C846" s="50">
        <v>400</v>
      </c>
      <c r="E846" s="22">
        <f t="shared" si="13"/>
        <v>2109.09</v>
      </c>
    </row>
    <row r="847" spans="1:6" x14ac:dyDescent="0.25">
      <c r="A847" s="6">
        <v>44011</v>
      </c>
      <c r="B847" s="59" t="s">
        <v>1700</v>
      </c>
      <c r="C847" s="50">
        <v>300</v>
      </c>
      <c r="E847" s="22">
        <f t="shared" si="13"/>
        <v>2409.09</v>
      </c>
    </row>
    <row r="848" spans="1:6" s="22" customFormat="1" x14ac:dyDescent="0.25">
      <c r="A848" s="6">
        <v>44011</v>
      </c>
      <c r="B848" s="59" t="s">
        <v>1680</v>
      </c>
      <c r="C848" s="50"/>
      <c r="D848" s="54">
        <v>500</v>
      </c>
      <c r="E848" s="22">
        <f t="shared" si="13"/>
        <v>1909.0900000000001</v>
      </c>
    </row>
    <row r="849" spans="1:10" s="22" customFormat="1" x14ac:dyDescent="0.25">
      <c r="A849" s="6">
        <v>44011</v>
      </c>
      <c r="B849" s="59" t="s">
        <v>72</v>
      </c>
      <c r="C849" s="50">
        <v>700</v>
      </c>
      <c r="D849" s="54"/>
      <c r="E849" s="22">
        <f t="shared" si="13"/>
        <v>2609.09</v>
      </c>
    </row>
    <row r="850" spans="1:10" x14ac:dyDescent="0.25">
      <c r="A850" s="6">
        <v>44011</v>
      </c>
      <c r="B850" s="59" t="s">
        <v>1699</v>
      </c>
      <c r="D850" s="54">
        <v>500</v>
      </c>
      <c r="E850" s="22">
        <f t="shared" si="13"/>
        <v>2109.09</v>
      </c>
    </row>
    <row r="851" spans="1:10" x14ac:dyDescent="0.25">
      <c r="A851" s="6">
        <v>44012</v>
      </c>
      <c r="B851" s="59" t="s">
        <v>1692</v>
      </c>
      <c r="D851" s="54">
        <v>600</v>
      </c>
      <c r="E851" s="22">
        <f t="shared" si="13"/>
        <v>1509.0900000000001</v>
      </c>
    </row>
    <row r="852" spans="1:10" x14ac:dyDescent="0.25">
      <c r="A852" s="6">
        <v>44012</v>
      </c>
      <c r="B852" s="59" t="s">
        <v>1641</v>
      </c>
      <c r="D852" s="54">
        <v>200</v>
      </c>
      <c r="E852" s="22">
        <f t="shared" si="13"/>
        <v>1309.0900000000001</v>
      </c>
    </row>
    <row r="853" spans="1:10" x14ac:dyDescent="0.25">
      <c r="A853" s="6">
        <v>44012</v>
      </c>
      <c r="B853" s="59" t="s">
        <v>1637</v>
      </c>
      <c r="D853" s="54">
        <v>650</v>
      </c>
      <c r="E853" s="22">
        <f t="shared" si="13"/>
        <v>659.09000000000015</v>
      </c>
    </row>
    <row r="854" spans="1:10" x14ac:dyDescent="0.25">
      <c r="A854" s="6">
        <v>44012</v>
      </c>
      <c r="B854" s="59" t="s">
        <v>1649</v>
      </c>
      <c r="C854" s="50">
        <v>2000</v>
      </c>
      <c r="E854" s="22">
        <f t="shared" si="13"/>
        <v>2659.09</v>
      </c>
    </row>
    <row r="855" spans="1:10" x14ac:dyDescent="0.25">
      <c r="A855" s="6">
        <v>44013</v>
      </c>
      <c r="B855" s="59" t="s">
        <v>292</v>
      </c>
      <c r="D855" s="54">
        <v>1600</v>
      </c>
      <c r="E855" s="22">
        <f t="shared" si="13"/>
        <v>1059.0900000000001</v>
      </c>
    </row>
    <row r="856" spans="1:10" x14ac:dyDescent="0.25">
      <c r="A856" s="6">
        <v>44013</v>
      </c>
      <c r="B856" s="63" t="s">
        <v>1709</v>
      </c>
      <c r="D856" s="54">
        <v>500</v>
      </c>
      <c r="E856" s="22">
        <f t="shared" si="13"/>
        <v>559.09000000000015</v>
      </c>
    </row>
    <row r="857" spans="1:10" x14ac:dyDescent="0.25">
      <c r="A857" s="6">
        <v>44013</v>
      </c>
      <c r="B857" s="63" t="s">
        <v>1711</v>
      </c>
      <c r="D857" s="54">
        <v>550</v>
      </c>
      <c r="E857" s="22">
        <f t="shared" si="13"/>
        <v>9.0900000000001455</v>
      </c>
    </row>
    <row r="858" spans="1:10" x14ac:dyDescent="0.25">
      <c r="A858" s="6">
        <v>44013</v>
      </c>
      <c r="B858" s="59" t="s">
        <v>126</v>
      </c>
      <c r="D858" s="54">
        <v>1600</v>
      </c>
      <c r="E858" s="22">
        <f t="shared" si="13"/>
        <v>-1590.9099999999999</v>
      </c>
    </row>
    <row r="859" spans="1:10" x14ac:dyDescent="0.25">
      <c r="A859" s="6">
        <v>44013</v>
      </c>
      <c r="B859" s="59" t="s">
        <v>1624</v>
      </c>
      <c r="D859" s="54">
        <v>1900</v>
      </c>
      <c r="E859" s="22">
        <f t="shared" si="13"/>
        <v>-3490.91</v>
      </c>
    </row>
    <row r="860" spans="1:10" x14ac:dyDescent="0.25">
      <c r="A860" s="6">
        <v>44014</v>
      </c>
      <c r="B860" s="59" t="s">
        <v>321</v>
      </c>
      <c r="C860" s="50">
        <v>8000</v>
      </c>
      <c r="E860" s="22">
        <f t="shared" si="13"/>
        <v>4509.09</v>
      </c>
    </row>
    <row r="861" spans="1:10" x14ac:dyDescent="0.25">
      <c r="A861" s="6">
        <v>44014</v>
      </c>
      <c r="B861" s="59" t="s">
        <v>1713</v>
      </c>
      <c r="D861" s="54">
        <v>200</v>
      </c>
      <c r="E861" s="22">
        <f t="shared" si="13"/>
        <v>4309.09</v>
      </c>
    </row>
    <row r="862" spans="1:10" s="22" customFormat="1" x14ac:dyDescent="0.25">
      <c r="A862" s="6">
        <v>44014</v>
      </c>
      <c r="B862" s="59" t="s">
        <v>1692</v>
      </c>
      <c r="C862" s="50"/>
      <c r="D862" s="54">
        <v>500</v>
      </c>
      <c r="E862" s="22">
        <f t="shared" si="13"/>
        <v>3809.09</v>
      </c>
    </row>
    <row r="863" spans="1:10" x14ac:dyDescent="0.25">
      <c r="A863" s="6">
        <v>44014</v>
      </c>
      <c r="B863" s="59" t="s">
        <v>1714</v>
      </c>
      <c r="D863" s="54">
        <v>200</v>
      </c>
      <c r="E863" s="22">
        <f t="shared" si="13"/>
        <v>3609.09</v>
      </c>
    </row>
    <row r="864" spans="1:10" x14ac:dyDescent="0.25">
      <c r="A864" s="6"/>
      <c r="E864" s="22">
        <f t="shared" si="13"/>
        <v>3609.09</v>
      </c>
      <c r="G864" s="6">
        <v>44015</v>
      </c>
      <c r="H864" s="4" t="s">
        <v>1641</v>
      </c>
      <c r="I864" s="22"/>
      <c r="J864" s="22">
        <v>200</v>
      </c>
    </row>
    <row r="865" spans="1:5" x14ac:dyDescent="0.25">
      <c r="A865" s="6">
        <v>44015</v>
      </c>
      <c r="B865" s="59" t="s">
        <v>1630</v>
      </c>
      <c r="D865" s="54">
        <v>1200</v>
      </c>
      <c r="E865" s="22">
        <f t="shared" si="13"/>
        <v>2409.09</v>
      </c>
    </row>
    <row r="866" spans="1:5" s="22" customFormat="1" x14ac:dyDescent="0.25">
      <c r="A866" s="6">
        <v>44015</v>
      </c>
      <c r="B866" s="59" t="s">
        <v>1828</v>
      </c>
      <c r="C866" s="50"/>
      <c r="D866" s="54">
        <v>100</v>
      </c>
      <c r="E866" s="22">
        <f t="shared" si="13"/>
        <v>2309.09</v>
      </c>
    </row>
    <row r="867" spans="1:5" s="22" customFormat="1" x14ac:dyDescent="0.25">
      <c r="A867" s="6">
        <v>44015</v>
      </c>
      <c r="B867" s="59" t="s">
        <v>1730</v>
      </c>
      <c r="C867" s="50"/>
      <c r="D867" s="54">
        <v>300</v>
      </c>
      <c r="E867" s="22">
        <f t="shared" si="13"/>
        <v>2009.0900000000001</v>
      </c>
    </row>
    <row r="868" spans="1:5" s="22" customFormat="1" x14ac:dyDescent="0.25">
      <c r="A868" s="6">
        <v>44015</v>
      </c>
      <c r="B868" s="59" t="s">
        <v>1732</v>
      </c>
      <c r="C868" s="50"/>
      <c r="D868" s="54">
        <v>400</v>
      </c>
      <c r="E868" s="22">
        <f t="shared" si="13"/>
        <v>1609.0900000000001</v>
      </c>
    </row>
    <row r="869" spans="1:5" x14ac:dyDescent="0.25">
      <c r="A869" s="6">
        <v>44015</v>
      </c>
      <c r="B869" s="59" t="s">
        <v>1727</v>
      </c>
      <c r="D869" s="54">
        <v>200</v>
      </c>
      <c r="E869" s="22">
        <f t="shared" si="13"/>
        <v>1409.0900000000001</v>
      </c>
    </row>
    <row r="870" spans="1:5" x14ac:dyDescent="0.25">
      <c r="A870" s="6">
        <v>44015</v>
      </c>
      <c r="B870" s="59" t="s">
        <v>1728</v>
      </c>
      <c r="D870" s="54">
        <v>200</v>
      </c>
      <c r="E870" s="22">
        <f t="shared" si="13"/>
        <v>1209.0900000000001</v>
      </c>
    </row>
    <row r="871" spans="1:5" s="22" customFormat="1" x14ac:dyDescent="0.25">
      <c r="A871" s="6">
        <v>44015</v>
      </c>
      <c r="B871" s="59" t="s">
        <v>1728</v>
      </c>
      <c r="C871" s="50"/>
      <c r="D871" s="54">
        <v>160</v>
      </c>
      <c r="E871" s="22">
        <f t="shared" si="13"/>
        <v>1049.0900000000001</v>
      </c>
    </row>
    <row r="872" spans="1:5" x14ac:dyDescent="0.25">
      <c r="A872" s="6">
        <v>44015</v>
      </c>
      <c r="B872" s="59" t="s">
        <v>1729</v>
      </c>
      <c r="D872" s="54">
        <v>160</v>
      </c>
      <c r="E872" s="22">
        <f t="shared" si="13"/>
        <v>889.09000000000015</v>
      </c>
    </row>
    <row r="873" spans="1:5" x14ac:dyDescent="0.25">
      <c r="A873" s="6">
        <v>44016</v>
      </c>
      <c r="B873" s="59" t="s">
        <v>1740</v>
      </c>
      <c r="D873" s="54">
        <v>200</v>
      </c>
      <c r="E873" s="22">
        <f t="shared" si="13"/>
        <v>689.09000000000015</v>
      </c>
    </row>
    <row r="874" spans="1:5" s="22" customFormat="1" x14ac:dyDescent="0.25">
      <c r="A874" s="6">
        <v>44016</v>
      </c>
      <c r="B874" s="59" t="s">
        <v>1630</v>
      </c>
      <c r="C874" s="50"/>
      <c r="D874" s="54">
        <v>800</v>
      </c>
      <c r="E874" s="22">
        <f t="shared" si="13"/>
        <v>-110.90999999999985</v>
      </c>
    </row>
    <row r="875" spans="1:5" x14ac:dyDescent="0.25">
      <c r="A875" s="6">
        <v>44016</v>
      </c>
      <c r="B875" s="59" t="s">
        <v>1741</v>
      </c>
      <c r="D875" s="54">
        <v>200</v>
      </c>
      <c r="E875" s="22">
        <f t="shared" si="13"/>
        <v>-310.90999999999985</v>
      </c>
    </row>
    <row r="876" spans="1:5" x14ac:dyDescent="0.25">
      <c r="A876" s="6">
        <v>44016</v>
      </c>
      <c r="B876" s="59" t="s">
        <v>1743</v>
      </c>
      <c r="D876" s="54">
        <v>400</v>
      </c>
      <c r="E876" s="22">
        <f t="shared" si="13"/>
        <v>-710.90999999999985</v>
      </c>
    </row>
    <row r="877" spans="1:5" x14ac:dyDescent="0.25">
      <c r="A877" s="6">
        <v>44016</v>
      </c>
      <c r="B877" s="59" t="s">
        <v>1728</v>
      </c>
      <c r="D877" s="54">
        <v>200</v>
      </c>
      <c r="E877" s="22">
        <f t="shared" si="13"/>
        <v>-910.90999999999985</v>
      </c>
    </row>
    <row r="878" spans="1:5" s="22" customFormat="1" x14ac:dyDescent="0.25">
      <c r="A878" s="6">
        <v>44016</v>
      </c>
      <c r="B878" s="59" t="s">
        <v>1829</v>
      </c>
      <c r="C878" s="50"/>
      <c r="D878" s="54">
        <v>500</v>
      </c>
      <c r="E878" s="22">
        <f t="shared" si="13"/>
        <v>-1410.9099999999999</v>
      </c>
    </row>
    <row r="879" spans="1:5" x14ac:dyDescent="0.25">
      <c r="A879" s="6">
        <v>44016</v>
      </c>
      <c r="B879" s="59" t="s">
        <v>1830</v>
      </c>
      <c r="D879" s="54">
        <v>500</v>
      </c>
      <c r="E879" s="22">
        <f t="shared" si="13"/>
        <v>-1910.9099999999999</v>
      </c>
    </row>
    <row r="880" spans="1:5" x14ac:dyDescent="0.25">
      <c r="A880" s="6">
        <v>44016</v>
      </c>
      <c r="B880" s="59" t="s">
        <v>1745</v>
      </c>
      <c r="D880" s="54">
        <v>200</v>
      </c>
      <c r="E880" s="22">
        <f t="shared" si="13"/>
        <v>-2110.91</v>
      </c>
    </row>
    <row r="881" spans="1:6" x14ac:dyDescent="0.25">
      <c r="A881" s="6">
        <v>44017</v>
      </c>
      <c r="B881" s="59" t="s">
        <v>1774</v>
      </c>
      <c r="C881" s="50">
        <v>4000</v>
      </c>
      <c r="E881" s="22">
        <f t="shared" si="13"/>
        <v>1889.0900000000001</v>
      </c>
    </row>
    <row r="882" spans="1:6" x14ac:dyDescent="0.25">
      <c r="A882" s="6">
        <v>44018</v>
      </c>
      <c r="B882" s="59" t="s">
        <v>1637</v>
      </c>
      <c r="D882" s="54">
        <v>4000</v>
      </c>
      <c r="E882" s="22">
        <f t="shared" si="13"/>
        <v>-2110.91</v>
      </c>
      <c r="F882">
        <v>22</v>
      </c>
    </row>
    <row r="883" spans="1:6" x14ac:dyDescent="0.25">
      <c r="A883" s="6">
        <v>44018</v>
      </c>
      <c r="B883" s="59" t="s">
        <v>1630</v>
      </c>
      <c r="D883" s="54">
        <v>2300</v>
      </c>
      <c r="E883" s="22">
        <f t="shared" si="13"/>
        <v>-4410.91</v>
      </c>
    </row>
    <row r="884" spans="1:6" x14ac:dyDescent="0.25">
      <c r="A884" s="6">
        <v>44018</v>
      </c>
      <c r="B884" s="59" t="s">
        <v>1775</v>
      </c>
      <c r="D884" s="54">
        <v>500</v>
      </c>
      <c r="E884" s="22">
        <f t="shared" si="13"/>
        <v>-4910.91</v>
      </c>
    </row>
    <row r="885" spans="1:6" x14ac:dyDescent="0.25">
      <c r="A885" s="6">
        <v>44018</v>
      </c>
      <c r="B885" s="59" t="s">
        <v>1779</v>
      </c>
      <c r="D885" s="54">
        <v>500</v>
      </c>
      <c r="E885" s="22">
        <f t="shared" si="13"/>
        <v>-5410.91</v>
      </c>
    </row>
    <row r="886" spans="1:6" x14ac:dyDescent="0.25">
      <c r="A886" s="6">
        <v>44018</v>
      </c>
      <c r="B886" s="59" t="s">
        <v>270</v>
      </c>
      <c r="C886" s="50">
        <v>10000</v>
      </c>
      <c r="E886" s="22">
        <f t="shared" si="13"/>
        <v>4589.09</v>
      </c>
    </row>
    <row r="887" spans="1:6" x14ac:dyDescent="0.25">
      <c r="A887" s="6">
        <v>44018</v>
      </c>
      <c r="B887" s="59" t="s">
        <v>1628</v>
      </c>
      <c r="D887" s="54">
        <v>2000</v>
      </c>
      <c r="E887" s="22">
        <f t="shared" si="13"/>
        <v>2589.09</v>
      </c>
    </row>
    <row r="888" spans="1:6" x14ac:dyDescent="0.25">
      <c r="A888" s="6">
        <v>44018</v>
      </c>
      <c r="B888" s="59" t="s">
        <v>1780</v>
      </c>
      <c r="C888" s="50">
        <v>1000</v>
      </c>
      <c r="E888" s="22">
        <f t="shared" si="13"/>
        <v>3589.09</v>
      </c>
    </row>
    <row r="889" spans="1:6" x14ac:dyDescent="0.25">
      <c r="A889" s="6">
        <v>44018</v>
      </c>
      <c r="B889" s="59" t="s">
        <v>1782</v>
      </c>
      <c r="D889" s="54">
        <v>2500</v>
      </c>
      <c r="E889" s="22">
        <f t="shared" si="13"/>
        <v>1089.0900000000001</v>
      </c>
    </row>
    <row r="890" spans="1:6" s="22" customFormat="1" x14ac:dyDescent="0.25">
      <c r="A890" s="6">
        <v>44018</v>
      </c>
      <c r="B890" s="59" t="s">
        <v>1630</v>
      </c>
      <c r="C890" s="50"/>
      <c r="D890" s="54">
        <v>800</v>
      </c>
      <c r="E890" s="22">
        <f t="shared" si="13"/>
        <v>289.09000000000015</v>
      </c>
    </row>
    <row r="891" spans="1:6" x14ac:dyDescent="0.25">
      <c r="A891" s="6">
        <v>44019</v>
      </c>
      <c r="B891" s="59" t="s">
        <v>1680</v>
      </c>
      <c r="D891" s="54">
        <v>2800</v>
      </c>
      <c r="E891" s="22">
        <f t="shared" si="13"/>
        <v>-2510.91</v>
      </c>
    </row>
    <row r="892" spans="1:6" x14ac:dyDescent="0.25">
      <c r="A892" s="6">
        <v>44019</v>
      </c>
      <c r="B892" s="59" t="s">
        <v>1785</v>
      </c>
      <c r="D892" s="54">
        <v>500</v>
      </c>
      <c r="E892" s="22">
        <f t="shared" si="13"/>
        <v>-3010.91</v>
      </c>
    </row>
    <row r="893" spans="1:6" x14ac:dyDescent="0.25">
      <c r="A893" s="6">
        <v>44019</v>
      </c>
      <c r="B893" s="59" t="s">
        <v>1790</v>
      </c>
      <c r="D893" s="54">
        <v>1000</v>
      </c>
      <c r="E893" s="22">
        <f t="shared" si="13"/>
        <v>-4010.91</v>
      </c>
    </row>
    <row r="894" spans="1:6" x14ac:dyDescent="0.25">
      <c r="A894" s="6">
        <v>44019</v>
      </c>
      <c r="B894" s="59" t="s">
        <v>1791</v>
      </c>
      <c r="D894" s="54">
        <v>500</v>
      </c>
      <c r="E894" s="22">
        <f t="shared" si="13"/>
        <v>-4510.91</v>
      </c>
    </row>
    <row r="895" spans="1:6" s="22" customFormat="1" x14ac:dyDescent="0.25">
      <c r="A895" s="6">
        <v>44019</v>
      </c>
      <c r="B895" s="59"/>
      <c r="C895" s="50"/>
      <c r="D895" s="54">
        <v>400</v>
      </c>
      <c r="E895" s="22">
        <f t="shared" si="13"/>
        <v>-4910.91</v>
      </c>
    </row>
    <row r="896" spans="1:6" x14ac:dyDescent="0.25">
      <c r="A896" s="6">
        <v>44019</v>
      </c>
      <c r="B896" s="59" t="s">
        <v>1792</v>
      </c>
      <c r="D896" s="54">
        <v>500</v>
      </c>
      <c r="E896" s="22">
        <f t="shared" si="13"/>
        <v>-5410.91</v>
      </c>
    </row>
    <row r="897" spans="1:5" x14ac:dyDescent="0.25">
      <c r="A897" s="6">
        <v>44019</v>
      </c>
      <c r="B897" s="59" t="s">
        <v>1793</v>
      </c>
      <c r="D897" s="54">
        <v>500</v>
      </c>
      <c r="E897" s="22">
        <f t="shared" si="13"/>
        <v>-5910.91</v>
      </c>
    </row>
    <row r="898" spans="1:5" x14ac:dyDescent="0.25">
      <c r="A898" s="6">
        <v>44019</v>
      </c>
      <c r="B898" s="59" t="s">
        <v>1630</v>
      </c>
      <c r="D898" s="54">
        <v>800</v>
      </c>
      <c r="E898" s="22">
        <f t="shared" si="13"/>
        <v>-6710.91</v>
      </c>
    </row>
    <row r="899" spans="1:5" s="22" customFormat="1" x14ac:dyDescent="0.25">
      <c r="A899" s="6">
        <v>44020</v>
      </c>
      <c r="B899" s="59" t="s">
        <v>321</v>
      </c>
      <c r="C899" s="50">
        <v>16000</v>
      </c>
      <c r="D899" s="54"/>
      <c r="E899" s="22">
        <f t="shared" si="13"/>
        <v>9289.09</v>
      </c>
    </row>
    <row r="900" spans="1:5" x14ac:dyDescent="0.25">
      <c r="A900" s="6">
        <v>44020</v>
      </c>
      <c r="B900" s="59" t="s">
        <v>1680</v>
      </c>
      <c r="D900" s="54">
        <v>8000</v>
      </c>
      <c r="E900" s="22">
        <f t="shared" si="13"/>
        <v>1289.0900000000001</v>
      </c>
    </row>
    <row r="901" spans="1:5" x14ac:dyDescent="0.25">
      <c r="A901" s="6">
        <v>44020</v>
      </c>
      <c r="B901" s="59" t="s">
        <v>1806</v>
      </c>
      <c r="D901" s="54">
        <v>300</v>
      </c>
      <c r="E901" s="22">
        <f t="shared" si="13"/>
        <v>989.09000000000015</v>
      </c>
    </row>
    <row r="902" spans="1:5" x14ac:dyDescent="0.25">
      <c r="A902" s="6">
        <v>44020</v>
      </c>
      <c r="B902" s="59" t="s">
        <v>1788</v>
      </c>
      <c r="D902" s="54">
        <v>150</v>
      </c>
      <c r="E902" s="22">
        <f t="shared" si="13"/>
        <v>839.09000000000015</v>
      </c>
    </row>
    <row r="903" spans="1:5" x14ac:dyDescent="0.25">
      <c r="A903" s="6">
        <v>44020</v>
      </c>
      <c r="B903" s="59" t="s">
        <v>1807</v>
      </c>
      <c r="D903" s="54">
        <v>100</v>
      </c>
      <c r="E903" s="22">
        <f t="shared" si="13"/>
        <v>739.09000000000015</v>
      </c>
    </row>
    <row r="904" spans="1:5" x14ac:dyDescent="0.25">
      <c r="A904" s="6">
        <v>44020</v>
      </c>
      <c r="B904" s="59" t="s">
        <v>1740</v>
      </c>
      <c r="D904" s="54">
        <v>200</v>
      </c>
      <c r="E904" s="22">
        <f t="shared" si="13"/>
        <v>539.09000000000015</v>
      </c>
    </row>
    <row r="905" spans="1:5" x14ac:dyDescent="0.25">
      <c r="A905" s="6">
        <v>44020</v>
      </c>
      <c r="B905" s="59" t="s">
        <v>1809</v>
      </c>
      <c r="D905" s="54">
        <v>400</v>
      </c>
      <c r="E905" s="22">
        <f t="shared" si="13"/>
        <v>139.09000000000015</v>
      </c>
    </row>
    <row r="906" spans="1:5" x14ac:dyDescent="0.25">
      <c r="A906" s="6">
        <v>44020</v>
      </c>
      <c r="B906" s="59" t="s">
        <v>1811</v>
      </c>
      <c r="D906" s="54">
        <v>100</v>
      </c>
      <c r="E906" s="22">
        <f t="shared" si="13"/>
        <v>39.090000000000146</v>
      </c>
    </row>
    <row r="907" spans="1:5" x14ac:dyDescent="0.25">
      <c r="A907" s="6">
        <v>44020</v>
      </c>
      <c r="B907" s="59" t="s">
        <v>1813</v>
      </c>
      <c r="D907" s="54">
        <v>2500</v>
      </c>
      <c r="E907" s="22">
        <f t="shared" si="13"/>
        <v>-2460.91</v>
      </c>
    </row>
    <row r="908" spans="1:5" s="22" customFormat="1" x14ac:dyDescent="0.25">
      <c r="A908" s="6">
        <v>44021</v>
      </c>
      <c r="B908" s="59" t="s">
        <v>1824</v>
      </c>
      <c r="C908" s="50"/>
      <c r="D908" s="54">
        <v>500</v>
      </c>
      <c r="E908" s="22">
        <f t="shared" si="13"/>
        <v>-2960.91</v>
      </c>
    </row>
    <row r="909" spans="1:5" x14ac:dyDescent="0.25">
      <c r="A909" s="6">
        <v>44021</v>
      </c>
      <c r="B909" s="59" t="s">
        <v>1619</v>
      </c>
      <c r="C909" s="50">
        <v>3000</v>
      </c>
      <c r="E909" s="22">
        <f t="shared" ref="E909:E959" si="14">E908-D909+C909</f>
        <v>39.090000000000146</v>
      </c>
    </row>
    <row r="910" spans="1:5" x14ac:dyDescent="0.25">
      <c r="A910" s="6">
        <v>44021</v>
      </c>
      <c r="B910" s="59" t="s">
        <v>1692</v>
      </c>
      <c r="D910" s="54">
        <v>2500</v>
      </c>
      <c r="E910" s="22">
        <f t="shared" si="14"/>
        <v>-2460.91</v>
      </c>
    </row>
    <row r="911" spans="1:5" x14ac:dyDescent="0.25">
      <c r="A911" s="6">
        <v>44021</v>
      </c>
      <c r="B911" s="59" t="s">
        <v>1692</v>
      </c>
      <c r="D911" s="54">
        <v>100</v>
      </c>
      <c r="E911" s="22">
        <f t="shared" si="14"/>
        <v>-2560.91</v>
      </c>
    </row>
    <row r="912" spans="1:5" x14ac:dyDescent="0.25">
      <c r="A912" s="6">
        <v>44021</v>
      </c>
      <c r="B912" s="59" t="s">
        <v>270</v>
      </c>
      <c r="C912" s="50">
        <v>5000</v>
      </c>
      <c r="E912" s="22">
        <f t="shared" si="14"/>
        <v>2439.09</v>
      </c>
    </row>
    <row r="913" spans="1:9" x14ac:dyDescent="0.25">
      <c r="A913" s="6">
        <v>44021</v>
      </c>
      <c r="B913" s="59" t="s">
        <v>1641</v>
      </c>
      <c r="D913" s="54">
        <v>250</v>
      </c>
      <c r="E913" s="22">
        <f t="shared" si="14"/>
        <v>2189.09</v>
      </c>
    </row>
    <row r="914" spans="1:9" x14ac:dyDescent="0.25">
      <c r="A914" s="6">
        <v>44021</v>
      </c>
      <c r="B914" s="59" t="s">
        <v>1630</v>
      </c>
      <c r="D914" s="54">
        <v>2000</v>
      </c>
      <c r="E914" s="22">
        <f t="shared" si="14"/>
        <v>189.09000000000015</v>
      </c>
    </row>
    <row r="915" spans="1:9" x14ac:dyDescent="0.25">
      <c r="A915" s="6">
        <v>44022</v>
      </c>
      <c r="B915" s="59" t="s">
        <v>1831</v>
      </c>
      <c r="C915" s="50">
        <v>400</v>
      </c>
      <c r="E915" s="22">
        <f t="shared" si="14"/>
        <v>589.09000000000015</v>
      </c>
    </row>
    <row r="916" spans="1:9" x14ac:dyDescent="0.25">
      <c r="A916" s="6">
        <v>44022</v>
      </c>
      <c r="B916" s="59" t="s">
        <v>1692</v>
      </c>
      <c r="D916" s="54">
        <v>500</v>
      </c>
      <c r="E916" s="22">
        <f t="shared" si="14"/>
        <v>89.090000000000146</v>
      </c>
    </row>
    <row r="917" spans="1:9" x14ac:dyDescent="0.25">
      <c r="A917" s="6">
        <v>44023</v>
      </c>
      <c r="B917" s="59" t="s">
        <v>1692</v>
      </c>
      <c r="D917" s="54">
        <v>500</v>
      </c>
      <c r="E917" s="22">
        <f t="shared" si="14"/>
        <v>-410.90999999999985</v>
      </c>
    </row>
    <row r="918" spans="1:9" x14ac:dyDescent="0.25">
      <c r="A918" s="6">
        <v>44023</v>
      </c>
      <c r="B918" s="59" t="s">
        <v>1680</v>
      </c>
      <c r="D918" s="54">
        <v>700</v>
      </c>
      <c r="E918" s="22">
        <f t="shared" si="14"/>
        <v>-1110.9099999999999</v>
      </c>
    </row>
    <row r="919" spans="1:9" x14ac:dyDescent="0.25">
      <c r="A919" s="6">
        <v>44024</v>
      </c>
      <c r="B919" s="59" t="s">
        <v>1853</v>
      </c>
      <c r="D919" s="54">
        <v>500</v>
      </c>
      <c r="E919" s="22">
        <f t="shared" si="14"/>
        <v>-1610.9099999999999</v>
      </c>
    </row>
    <row r="920" spans="1:9" x14ac:dyDescent="0.25">
      <c r="A920" s="6">
        <v>44024</v>
      </c>
      <c r="B920" s="59" t="s">
        <v>1630</v>
      </c>
      <c r="D920" s="54">
        <v>600</v>
      </c>
      <c r="E920" s="22">
        <f t="shared" si="14"/>
        <v>-2210.91</v>
      </c>
    </row>
    <row r="921" spans="1:9" s="1" customFormat="1" x14ac:dyDescent="0.25">
      <c r="A921" s="6">
        <v>44026</v>
      </c>
      <c r="B921" s="59" t="s">
        <v>1680</v>
      </c>
      <c r="C921" s="50"/>
      <c r="D921" s="54">
        <v>400</v>
      </c>
      <c r="E921" s="22">
        <f t="shared" si="14"/>
        <v>-2610.91</v>
      </c>
      <c r="F921" s="26">
        <v>44024</v>
      </c>
      <c r="G921" s="15" t="s">
        <v>1855</v>
      </c>
      <c r="I921" s="46">
        <v>1000</v>
      </c>
    </row>
    <row r="922" spans="1:9" x14ac:dyDescent="0.25">
      <c r="A922" s="6">
        <v>44026</v>
      </c>
      <c r="B922" s="59" t="s">
        <v>1692</v>
      </c>
      <c r="D922" s="54">
        <v>500</v>
      </c>
      <c r="E922" s="22">
        <f t="shared" si="14"/>
        <v>-3110.91</v>
      </c>
    </row>
    <row r="923" spans="1:9" x14ac:dyDescent="0.25">
      <c r="A923" s="6">
        <v>44026</v>
      </c>
      <c r="B923" s="59" t="s">
        <v>1856</v>
      </c>
      <c r="D923" s="54">
        <v>500</v>
      </c>
      <c r="E923" s="22">
        <f t="shared" si="14"/>
        <v>-3610.91</v>
      </c>
    </row>
    <row r="924" spans="1:9" x14ac:dyDescent="0.25">
      <c r="A924" s="6">
        <v>44026</v>
      </c>
      <c r="B924" s="59" t="s">
        <v>1680</v>
      </c>
      <c r="D924" s="54">
        <v>1500</v>
      </c>
      <c r="E924" s="22">
        <f t="shared" si="14"/>
        <v>-5110.91</v>
      </c>
    </row>
    <row r="925" spans="1:9" x14ac:dyDescent="0.25">
      <c r="A925" s="6">
        <v>44026</v>
      </c>
      <c r="B925" s="59" t="s">
        <v>71</v>
      </c>
      <c r="C925" s="50">
        <v>1900</v>
      </c>
      <c r="E925" s="22">
        <f t="shared" si="14"/>
        <v>-3210.91</v>
      </c>
    </row>
    <row r="926" spans="1:9" x14ac:dyDescent="0.25">
      <c r="A926" s="6">
        <v>44026</v>
      </c>
      <c r="B926" s="59" t="s">
        <v>1692</v>
      </c>
      <c r="D926" s="54">
        <v>500</v>
      </c>
      <c r="E926" s="22">
        <f t="shared" si="14"/>
        <v>-3710.91</v>
      </c>
    </row>
    <row r="927" spans="1:9" x14ac:dyDescent="0.25">
      <c r="A927" s="6">
        <v>44027</v>
      </c>
      <c r="B927" s="59" t="s">
        <v>1630</v>
      </c>
      <c r="D927" s="54">
        <v>1400</v>
      </c>
      <c r="E927" s="22">
        <f t="shared" si="14"/>
        <v>-5110.91</v>
      </c>
    </row>
    <row r="928" spans="1:9" x14ac:dyDescent="0.25">
      <c r="A928" s="6">
        <v>44027</v>
      </c>
      <c r="B928" s="59" t="s">
        <v>1692</v>
      </c>
      <c r="D928" s="54">
        <v>500</v>
      </c>
      <c r="E928" s="22">
        <f t="shared" si="14"/>
        <v>-5610.91</v>
      </c>
    </row>
    <row r="929" spans="1:5" x14ac:dyDescent="0.25">
      <c r="A929" s="6">
        <v>44027</v>
      </c>
      <c r="B929" s="59" t="s">
        <v>1865</v>
      </c>
      <c r="C929" s="50">
        <v>1000</v>
      </c>
      <c r="E929" s="22">
        <f t="shared" si="14"/>
        <v>-4610.91</v>
      </c>
    </row>
    <row r="930" spans="1:5" x14ac:dyDescent="0.25">
      <c r="A930" s="6">
        <v>44027</v>
      </c>
      <c r="B930" s="59" t="s">
        <v>1680</v>
      </c>
      <c r="D930" s="54">
        <v>1300</v>
      </c>
      <c r="E930" s="22">
        <f t="shared" si="14"/>
        <v>-5910.91</v>
      </c>
    </row>
    <row r="931" spans="1:5" x14ac:dyDescent="0.25">
      <c r="A931" s="6">
        <v>44027</v>
      </c>
      <c r="B931" s="59" t="s">
        <v>1853</v>
      </c>
      <c r="D931" s="54">
        <v>500</v>
      </c>
      <c r="E931" s="22">
        <f t="shared" si="14"/>
        <v>-6410.91</v>
      </c>
    </row>
    <row r="932" spans="1:5" x14ac:dyDescent="0.25">
      <c r="A932" s="6">
        <v>44027</v>
      </c>
      <c r="B932" s="59" t="s">
        <v>1624</v>
      </c>
      <c r="D932" s="54">
        <v>2000</v>
      </c>
      <c r="E932" s="22">
        <f t="shared" si="14"/>
        <v>-8410.91</v>
      </c>
    </row>
    <row r="933" spans="1:5" x14ac:dyDescent="0.25">
      <c r="A933" s="6">
        <v>44028</v>
      </c>
      <c r="B933" s="59" t="s">
        <v>270</v>
      </c>
      <c r="C933" s="50">
        <v>8500</v>
      </c>
      <c r="E933" s="22">
        <f t="shared" si="14"/>
        <v>89.090000000000146</v>
      </c>
    </row>
    <row r="934" spans="1:5" s="22" customFormat="1" x14ac:dyDescent="0.25">
      <c r="A934" s="6">
        <v>44028</v>
      </c>
      <c r="B934" s="59" t="s">
        <v>1692</v>
      </c>
      <c r="C934" s="50"/>
      <c r="D934" s="54">
        <v>500</v>
      </c>
      <c r="E934" s="22">
        <f t="shared" si="14"/>
        <v>-410.90999999999985</v>
      </c>
    </row>
    <row r="935" spans="1:5" x14ac:dyDescent="0.25">
      <c r="A935" s="6">
        <v>44028</v>
      </c>
      <c r="B935" s="59" t="s">
        <v>1876</v>
      </c>
      <c r="D935" s="54">
        <v>200</v>
      </c>
      <c r="E935" s="22">
        <f t="shared" si="14"/>
        <v>-610.90999999999985</v>
      </c>
    </row>
    <row r="936" spans="1:5" x14ac:dyDescent="0.25">
      <c r="A936" s="6">
        <v>44028</v>
      </c>
      <c r="B936" s="59" t="s">
        <v>1680</v>
      </c>
      <c r="D936" s="54">
        <v>900</v>
      </c>
      <c r="E936" s="22">
        <f t="shared" si="14"/>
        <v>-1510.9099999999999</v>
      </c>
    </row>
    <row r="937" spans="1:5" x14ac:dyDescent="0.25">
      <c r="A937" s="6">
        <v>44029</v>
      </c>
      <c r="B937" s="59" t="s">
        <v>1880</v>
      </c>
      <c r="D937" s="54">
        <v>200</v>
      </c>
      <c r="E937" s="22">
        <f t="shared" si="14"/>
        <v>-1710.9099999999999</v>
      </c>
    </row>
    <row r="938" spans="1:5" x14ac:dyDescent="0.25">
      <c r="A938" s="6">
        <v>44029</v>
      </c>
      <c r="B938" s="59" t="s">
        <v>1692</v>
      </c>
      <c r="D938" s="54">
        <v>500</v>
      </c>
      <c r="E938" s="22">
        <f t="shared" si="14"/>
        <v>-2210.91</v>
      </c>
    </row>
    <row r="939" spans="1:5" x14ac:dyDescent="0.25">
      <c r="A939" s="6">
        <v>44029</v>
      </c>
      <c r="B939" s="59" t="s">
        <v>270</v>
      </c>
      <c r="C939" s="50">
        <v>3500</v>
      </c>
      <c r="E939" s="22">
        <f t="shared" si="14"/>
        <v>1289.0900000000001</v>
      </c>
    </row>
    <row r="940" spans="1:5" s="22" customFormat="1" x14ac:dyDescent="0.25">
      <c r="A940" s="6">
        <v>44029</v>
      </c>
      <c r="B940" s="59" t="s">
        <v>1887</v>
      </c>
      <c r="C940" s="50"/>
      <c r="D940" s="54">
        <v>500</v>
      </c>
      <c r="E940" s="22">
        <f t="shared" si="14"/>
        <v>789.09000000000015</v>
      </c>
    </row>
    <row r="941" spans="1:5" x14ac:dyDescent="0.25">
      <c r="A941" s="6">
        <v>44030</v>
      </c>
      <c r="B941" s="59" t="s">
        <v>1630</v>
      </c>
      <c r="D941" s="54">
        <v>2900</v>
      </c>
      <c r="E941" s="22">
        <f t="shared" si="14"/>
        <v>-2110.91</v>
      </c>
    </row>
    <row r="942" spans="1:5" x14ac:dyDescent="0.25">
      <c r="A942" s="6">
        <v>44030</v>
      </c>
      <c r="B942" s="59" t="s">
        <v>1692</v>
      </c>
      <c r="D942" s="54">
        <v>500</v>
      </c>
      <c r="E942" s="22">
        <f t="shared" si="14"/>
        <v>-2610.91</v>
      </c>
    </row>
    <row r="943" spans="1:5" x14ac:dyDescent="0.25">
      <c r="A943" s="6">
        <v>44030</v>
      </c>
      <c r="B943" s="59" t="s">
        <v>1641</v>
      </c>
      <c r="D943" s="54">
        <v>200</v>
      </c>
      <c r="E943" s="22">
        <f t="shared" si="14"/>
        <v>-2810.91</v>
      </c>
    </row>
    <row r="944" spans="1:5" x14ac:dyDescent="0.25">
      <c r="A944" s="6">
        <v>44030</v>
      </c>
      <c r="B944" s="59" t="s">
        <v>1649</v>
      </c>
      <c r="C944" s="50">
        <v>2000</v>
      </c>
      <c r="E944" s="22">
        <f t="shared" si="14"/>
        <v>-810.90999999999985</v>
      </c>
    </row>
    <row r="945" spans="1:5" s="22" customFormat="1" x14ac:dyDescent="0.25">
      <c r="A945" s="6">
        <v>44030</v>
      </c>
      <c r="B945" s="59" t="s">
        <v>1895</v>
      </c>
      <c r="C945" s="50"/>
      <c r="D945" s="54">
        <v>500</v>
      </c>
      <c r="E945" s="22">
        <f t="shared" si="14"/>
        <v>-1310.9099999999999</v>
      </c>
    </row>
    <row r="946" spans="1:5" x14ac:dyDescent="0.25">
      <c r="A946" s="6">
        <v>44030</v>
      </c>
      <c r="B946" s="59" t="s">
        <v>1899</v>
      </c>
      <c r="D946" s="54">
        <v>500</v>
      </c>
      <c r="E946" s="22">
        <f t="shared" si="14"/>
        <v>-1810.9099999999999</v>
      </c>
    </row>
    <row r="947" spans="1:5" x14ac:dyDescent="0.25">
      <c r="A947" s="6">
        <v>44030</v>
      </c>
      <c r="B947" s="59" t="s">
        <v>1637</v>
      </c>
      <c r="D947" s="54">
        <v>1640</v>
      </c>
      <c r="E947" s="22">
        <f t="shared" si="14"/>
        <v>-3450.91</v>
      </c>
    </row>
    <row r="948" spans="1:5" x14ac:dyDescent="0.25">
      <c r="A948" s="6">
        <v>44031</v>
      </c>
      <c r="B948" s="59" t="s">
        <v>1906</v>
      </c>
      <c r="D948" s="54">
        <v>1000</v>
      </c>
      <c r="E948" s="22">
        <f t="shared" si="14"/>
        <v>-4450.91</v>
      </c>
    </row>
    <row r="949" spans="1:5" x14ac:dyDescent="0.25">
      <c r="A949" s="6">
        <v>44031</v>
      </c>
      <c r="B949" s="59" t="s">
        <v>1907</v>
      </c>
      <c r="D949" s="54">
        <v>500</v>
      </c>
      <c r="E949" s="22">
        <f t="shared" si="14"/>
        <v>-4950.91</v>
      </c>
    </row>
    <row r="950" spans="1:5" s="22" customFormat="1" x14ac:dyDescent="0.25">
      <c r="A950" s="6">
        <v>44031</v>
      </c>
      <c r="B950" s="59" t="s">
        <v>1630</v>
      </c>
      <c r="C950" s="50"/>
      <c r="D950" s="54">
        <v>1000</v>
      </c>
      <c r="E950" s="22">
        <f t="shared" si="14"/>
        <v>-5950.91</v>
      </c>
    </row>
    <row r="951" spans="1:5" x14ac:dyDescent="0.25">
      <c r="A951" s="6">
        <v>44032</v>
      </c>
      <c r="B951" s="59" t="s">
        <v>1692</v>
      </c>
      <c r="D951" s="54">
        <v>500</v>
      </c>
      <c r="E951" s="22">
        <f t="shared" si="14"/>
        <v>-6450.91</v>
      </c>
    </row>
    <row r="952" spans="1:5" x14ac:dyDescent="0.25">
      <c r="A952" s="6">
        <v>44032</v>
      </c>
      <c r="B952" s="59" t="s">
        <v>1902</v>
      </c>
      <c r="D952" s="54">
        <v>1000</v>
      </c>
      <c r="E952" s="22">
        <f t="shared" si="14"/>
        <v>-7450.91</v>
      </c>
    </row>
    <row r="953" spans="1:5" x14ac:dyDescent="0.25">
      <c r="A953" s="6">
        <v>44032</v>
      </c>
      <c r="B953" s="59" t="s">
        <v>1904</v>
      </c>
      <c r="D953" s="54">
        <v>500</v>
      </c>
      <c r="E953" s="22">
        <f t="shared" si="14"/>
        <v>-7950.91</v>
      </c>
    </row>
    <row r="954" spans="1:5" x14ac:dyDescent="0.25">
      <c r="A954" s="6">
        <v>44032</v>
      </c>
      <c r="B954" s="59" t="s">
        <v>1905</v>
      </c>
      <c r="C954" s="50">
        <v>5000</v>
      </c>
      <c r="E954" s="22">
        <f t="shared" si="14"/>
        <v>-2950.91</v>
      </c>
    </row>
    <row r="955" spans="1:5" x14ac:dyDescent="0.25">
      <c r="A955" s="6">
        <v>44033</v>
      </c>
      <c r="B955" s="59" t="s">
        <v>1908</v>
      </c>
      <c r="D955" s="54">
        <v>1000</v>
      </c>
      <c r="E955" s="22">
        <f t="shared" si="14"/>
        <v>-3950.91</v>
      </c>
    </row>
    <row r="956" spans="1:5" x14ac:dyDescent="0.25">
      <c r="A956" s="6">
        <v>44033</v>
      </c>
      <c r="B956" s="59" t="s">
        <v>1910</v>
      </c>
      <c r="D956" s="55">
        <v>200</v>
      </c>
      <c r="E956" s="22">
        <f t="shared" si="14"/>
        <v>-4150.91</v>
      </c>
    </row>
    <row r="957" spans="1:5" x14ac:dyDescent="0.25">
      <c r="A957" s="6">
        <v>44033</v>
      </c>
      <c r="B957" s="59" t="s">
        <v>1912</v>
      </c>
      <c r="D957" s="55">
        <v>300</v>
      </c>
      <c r="E957" s="22">
        <f t="shared" si="14"/>
        <v>-4450.91</v>
      </c>
    </row>
    <row r="958" spans="1:5" x14ac:dyDescent="0.25">
      <c r="A958" s="6">
        <v>44033</v>
      </c>
      <c r="B958" s="59" t="s">
        <v>1921</v>
      </c>
      <c r="D958" s="55">
        <v>500</v>
      </c>
      <c r="E958" s="22">
        <f t="shared" si="14"/>
        <v>-4950.91</v>
      </c>
    </row>
    <row r="959" spans="1:5" x14ac:dyDescent="0.25">
      <c r="A959" s="6">
        <v>44033</v>
      </c>
      <c r="B959" s="59" t="s">
        <v>1706</v>
      </c>
      <c r="D959" s="55">
        <v>500</v>
      </c>
      <c r="E959" s="22">
        <f t="shared" si="14"/>
        <v>-5450.91</v>
      </c>
    </row>
    <row r="960" spans="1:5" x14ac:dyDescent="0.25">
      <c r="A960" s="6">
        <v>44033</v>
      </c>
      <c r="B960" s="59" t="s">
        <v>1922</v>
      </c>
      <c r="D960" s="55">
        <v>2100</v>
      </c>
      <c r="E960" s="22">
        <f>E959-D960+C960</f>
        <v>-7550.91</v>
      </c>
    </row>
    <row r="961" spans="1:5" s="22" customFormat="1" x14ac:dyDescent="0.25">
      <c r="A961" s="6">
        <v>44033</v>
      </c>
      <c r="B961" s="59" t="s">
        <v>1925</v>
      </c>
      <c r="C961" s="50">
        <v>10000</v>
      </c>
      <c r="D961" s="55"/>
      <c r="E961" s="22">
        <f t="shared" ref="E961:E990" si="15">E960-D961+C961</f>
        <v>2449.09</v>
      </c>
    </row>
    <row r="962" spans="1:5" x14ac:dyDescent="0.25">
      <c r="A962" s="6">
        <v>44033</v>
      </c>
      <c r="B962" s="59" t="s">
        <v>1910</v>
      </c>
      <c r="D962" s="55">
        <v>300</v>
      </c>
      <c r="E962" s="22">
        <f t="shared" si="15"/>
        <v>2149.09</v>
      </c>
    </row>
    <row r="963" spans="1:5" x14ac:dyDescent="0.25">
      <c r="A963" s="6">
        <v>44033</v>
      </c>
      <c r="B963" s="59" t="s">
        <v>1924</v>
      </c>
      <c r="D963" s="55">
        <v>400</v>
      </c>
      <c r="E963" s="22">
        <f t="shared" si="15"/>
        <v>1749.0900000000001</v>
      </c>
    </row>
    <row r="964" spans="1:5" x14ac:dyDescent="0.25">
      <c r="A964" s="6">
        <v>44033</v>
      </c>
      <c r="B964" s="59" t="s">
        <v>1712</v>
      </c>
      <c r="D964" s="55">
        <v>4850</v>
      </c>
      <c r="E964" s="22">
        <f t="shared" si="15"/>
        <v>-3100.91</v>
      </c>
    </row>
    <row r="965" spans="1:5" x14ac:dyDescent="0.25">
      <c r="A965" s="6">
        <v>44033</v>
      </c>
      <c r="B965" s="59" t="s">
        <v>1928</v>
      </c>
      <c r="C965" s="50">
        <v>1000</v>
      </c>
      <c r="D965" s="55"/>
      <c r="E965" s="22">
        <f t="shared" si="15"/>
        <v>-2100.91</v>
      </c>
    </row>
    <row r="966" spans="1:5" x14ac:dyDescent="0.25">
      <c r="A966" s="6">
        <v>44034</v>
      </c>
      <c r="B966" s="59" t="s">
        <v>126</v>
      </c>
      <c r="D966" s="55">
        <v>2000</v>
      </c>
      <c r="E966" s="22">
        <f t="shared" si="15"/>
        <v>-4100.91</v>
      </c>
    </row>
    <row r="967" spans="1:5" x14ac:dyDescent="0.25">
      <c r="A967" s="6">
        <v>44034</v>
      </c>
      <c r="D967" s="55">
        <v>4000</v>
      </c>
      <c r="E967" s="22">
        <f t="shared" si="15"/>
        <v>-8100.91</v>
      </c>
    </row>
    <row r="968" spans="1:5" x14ac:dyDescent="0.25">
      <c r="A968" s="6">
        <v>44034</v>
      </c>
      <c r="C968" s="50">
        <v>7500</v>
      </c>
      <c r="E968" s="22">
        <f t="shared" si="15"/>
        <v>-600.90999999999985</v>
      </c>
    </row>
    <row r="969" spans="1:5" x14ac:dyDescent="0.25">
      <c r="A969" s="6">
        <v>44035</v>
      </c>
      <c r="B969" s="59" t="s">
        <v>1941</v>
      </c>
      <c r="D969" s="55">
        <v>300</v>
      </c>
      <c r="E969" s="22">
        <f t="shared" si="15"/>
        <v>-900.90999999999985</v>
      </c>
    </row>
    <row r="970" spans="1:5" x14ac:dyDescent="0.25">
      <c r="A970" s="6">
        <v>44035</v>
      </c>
      <c r="B970" s="59" t="s">
        <v>1940</v>
      </c>
      <c r="D970" s="55">
        <v>200</v>
      </c>
      <c r="E970" s="22">
        <f t="shared" si="15"/>
        <v>-1100.9099999999999</v>
      </c>
    </row>
    <row r="971" spans="1:5" x14ac:dyDescent="0.25">
      <c r="A971" s="6">
        <v>44035</v>
      </c>
      <c r="B971" s="59" t="s">
        <v>1942</v>
      </c>
      <c r="D971" s="55">
        <v>1000</v>
      </c>
      <c r="E971" s="22">
        <f t="shared" si="15"/>
        <v>-2100.91</v>
      </c>
    </row>
    <row r="972" spans="1:5" x14ac:dyDescent="0.25">
      <c r="A972" s="6">
        <v>44035</v>
      </c>
      <c r="B972" s="59" t="s">
        <v>1943</v>
      </c>
      <c r="D972" s="55">
        <v>1500</v>
      </c>
      <c r="E972" s="22">
        <f t="shared" si="15"/>
        <v>-3600.91</v>
      </c>
    </row>
    <row r="973" spans="1:5" x14ac:dyDescent="0.25">
      <c r="A973" s="6">
        <v>44035</v>
      </c>
      <c r="B973" s="59" t="s">
        <v>1944</v>
      </c>
      <c r="D973" s="55">
        <v>800</v>
      </c>
      <c r="E973" s="22">
        <f t="shared" si="15"/>
        <v>-4400.91</v>
      </c>
    </row>
    <row r="974" spans="1:5" s="22" customFormat="1" x14ac:dyDescent="0.25">
      <c r="A974" s="6">
        <v>44035</v>
      </c>
      <c r="B974" s="61" t="s">
        <v>2107</v>
      </c>
      <c r="C974" s="51">
        <v>448.76</v>
      </c>
      <c r="D974" s="55"/>
      <c r="E974" s="22">
        <f t="shared" si="15"/>
        <v>-3952.1499999999996</v>
      </c>
    </row>
    <row r="975" spans="1:5" x14ac:dyDescent="0.25">
      <c r="A975" s="6">
        <v>44035</v>
      </c>
      <c r="B975" s="59" t="s">
        <v>1948</v>
      </c>
      <c r="D975" s="55">
        <v>700</v>
      </c>
      <c r="E975" s="22">
        <f t="shared" si="15"/>
        <v>-4652.1499999999996</v>
      </c>
    </row>
    <row r="976" spans="1:5" s="22" customFormat="1" x14ac:dyDescent="0.25">
      <c r="A976" s="6">
        <v>44035</v>
      </c>
      <c r="B976" s="59"/>
      <c r="C976" s="50"/>
      <c r="D976" s="55">
        <v>800</v>
      </c>
      <c r="E976" s="22">
        <f t="shared" si="15"/>
        <v>-5452.15</v>
      </c>
    </row>
    <row r="977" spans="1:5" s="22" customFormat="1" x14ac:dyDescent="0.25">
      <c r="A977" s="6">
        <v>44036</v>
      </c>
      <c r="B977" s="59" t="s">
        <v>270</v>
      </c>
      <c r="C977" s="50">
        <v>6500</v>
      </c>
      <c r="D977" s="55"/>
      <c r="E977" s="22">
        <f t="shared" si="15"/>
        <v>1047.8500000000004</v>
      </c>
    </row>
    <row r="978" spans="1:5" x14ac:dyDescent="0.25">
      <c r="A978" s="6">
        <v>44036</v>
      </c>
      <c r="B978" s="59" t="s">
        <v>1706</v>
      </c>
      <c r="D978" s="55">
        <v>500</v>
      </c>
      <c r="E978" s="22">
        <f t="shared" si="15"/>
        <v>547.85000000000036</v>
      </c>
    </row>
    <row r="979" spans="1:5" x14ac:dyDescent="0.25">
      <c r="A979" s="6">
        <v>44037</v>
      </c>
      <c r="B979" s="59" t="s">
        <v>1957</v>
      </c>
      <c r="D979" s="55">
        <v>700</v>
      </c>
      <c r="E979" s="22">
        <f t="shared" si="15"/>
        <v>-152.14999999999964</v>
      </c>
    </row>
    <row r="980" spans="1:5" x14ac:dyDescent="0.25">
      <c r="A980" s="6">
        <v>44037</v>
      </c>
      <c r="B980" s="59" t="s">
        <v>1706</v>
      </c>
      <c r="D980" s="55">
        <v>500</v>
      </c>
      <c r="E980" s="22">
        <f t="shared" si="15"/>
        <v>-652.14999999999964</v>
      </c>
    </row>
    <row r="981" spans="1:5" x14ac:dyDescent="0.25">
      <c r="A981" s="6">
        <v>44037</v>
      </c>
      <c r="B981" s="59" t="s">
        <v>1948</v>
      </c>
      <c r="D981" s="55">
        <v>1600</v>
      </c>
      <c r="E981" s="22">
        <f t="shared" si="15"/>
        <v>-2252.1499999999996</v>
      </c>
    </row>
    <row r="982" spans="1:5" x14ac:dyDescent="0.25">
      <c r="A982" s="6">
        <v>44039</v>
      </c>
      <c r="B982" s="59" t="s">
        <v>1942</v>
      </c>
      <c r="D982" s="55">
        <v>500</v>
      </c>
      <c r="E982" s="22">
        <f t="shared" si="15"/>
        <v>-2752.1499999999996</v>
      </c>
    </row>
    <row r="983" spans="1:5" x14ac:dyDescent="0.25">
      <c r="A983" s="6">
        <v>44039</v>
      </c>
      <c r="B983" s="59" t="s">
        <v>1948</v>
      </c>
      <c r="D983" s="55">
        <v>2500</v>
      </c>
      <c r="E983" s="22">
        <f t="shared" si="15"/>
        <v>-5252.15</v>
      </c>
    </row>
    <row r="984" spans="1:5" x14ac:dyDescent="0.25">
      <c r="A984" s="6">
        <v>44039</v>
      </c>
      <c r="B984" s="59" t="s">
        <v>1944</v>
      </c>
      <c r="D984" s="55">
        <v>1800</v>
      </c>
      <c r="E984" s="22">
        <f t="shared" si="15"/>
        <v>-7052.15</v>
      </c>
    </row>
    <row r="985" spans="1:5" x14ac:dyDescent="0.25">
      <c r="A985" s="6">
        <v>44039</v>
      </c>
      <c r="B985" s="59">
        <v>827642</v>
      </c>
      <c r="D985" s="55">
        <v>200</v>
      </c>
      <c r="E985" s="22">
        <f t="shared" si="15"/>
        <v>-7252.15</v>
      </c>
    </row>
    <row r="986" spans="1:5" x14ac:dyDescent="0.25">
      <c r="A986" s="6">
        <v>44039</v>
      </c>
      <c r="B986" s="59" t="s">
        <v>2109</v>
      </c>
      <c r="C986" s="50">
        <v>1000</v>
      </c>
      <c r="E986" s="22">
        <f t="shared" si="15"/>
        <v>-6252.15</v>
      </c>
    </row>
    <row r="987" spans="1:5" s="22" customFormat="1" x14ac:dyDescent="0.25">
      <c r="A987" s="6">
        <v>44039</v>
      </c>
      <c r="B987" s="59" t="s">
        <v>2108</v>
      </c>
      <c r="C987" s="50">
        <v>800</v>
      </c>
      <c r="D987" s="54"/>
      <c r="E987" s="22">
        <f t="shared" si="15"/>
        <v>-5452.15</v>
      </c>
    </row>
    <row r="988" spans="1:5" x14ac:dyDescent="0.25">
      <c r="A988" s="6">
        <v>44039</v>
      </c>
      <c r="B988" s="59" t="s">
        <v>1977</v>
      </c>
      <c r="C988" s="50">
        <v>3000</v>
      </c>
      <c r="E988" s="22">
        <f t="shared" si="15"/>
        <v>-2452.1499999999996</v>
      </c>
    </row>
    <row r="989" spans="1:5" x14ac:dyDescent="0.25">
      <c r="A989" s="6">
        <v>44039</v>
      </c>
      <c r="B989" s="59" t="s">
        <v>1978</v>
      </c>
      <c r="D989" s="55">
        <v>5000</v>
      </c>
      <c r="E989" s="22">
        <f t="shared" si="15"/>
        <v>-7452.15</v>
      </c>
    </row>
    <row r="990" spans="1:5" x14ac:dyDescent="0.25">
      <c r="A990" s="6">
        <v>44039</v>
      </c>
      <c r="B990" s="59" t="s">
        <v>1979</v>
      </c>
      <c r="D990" s="55">
        <v>200</v>
      </c>
      <c r="E990" s="22">
        <f t="shared" si="15"/>
        <v>-7652.15</v>
      </c>
    </row>
    <row r="991" spans="1:5" x14ac:dyDescent="0.25">
      <c r="A991" s="6">
        <v>44040</v>
      </c>
      <c r="B991" s="59" t="s">
        <v>270</v>
      </c>
      <c r="C991" s="50">
        <v>23000</v>
      </c>
      <c r="E991" s="22">
        <f t="shared" ref="E991:E1057" si="16">E990-D991+C991</f>
        <v>15347.85</v>
      </c>
    </row>
    <row r="992" spans="1:5" x14ac:dyDescent="0.25">
      <c r="A992" s="6">
        <v>44040</v>
      </c>
      <c r="B992" s="59" t="s">
        <v>1944</v>
      </c>
      <c r="D992" s="54">
        <v>2000</v>
      </c>
      <c r="E992" s="22">
        <f t="shared" si="16"/>
        <v>13347.85</v>
      </c>
    </row>
    <row r="993" spans="1:7" x14ac:dyDescent="0.25">
      <c r="A993" s="6">
        <v>44040</v>
      </c>
      <c r="B993" s="59" t="s">
        <v>1987</v>
      </c>
      <c r="D993" s="54">
        <v>3500</v>
      </c>
      <c r="E993" s="22">
        <f t="shared" si="16"/>
        <v>9847.85</v>
      </c>
    </row>
    <row r="994" spans="1:7" x14ac:dyDescent="0.25">
      <c r="A994" s="6">
        <v>44040</v>
      </c>
      <c r="B994" s="59" t="s">
        <v>1989</v>
      </c>
      <c r="D994" s="54">
        <v>2460</v>
      </c>
      <c r="E994" s="22">
        <f t="shared" si="16"/>
        <v>7387.85</v>
      </c>
    </row>
    <row r="995" spans="1:7" x14ac:dyDescent="0.25">
      <c r="A995" s="6">
        <v>44040</v>
      </c>
      <c r="B995" s="59" t="s">
        <v>1991</v>
      </c>
      <c r="D995" s="54">
        <v>150</v>
      </c>
      <c r="E995" s="22">
        <f t="shared" si="16"/>
        <v>7237.85</v>
      </c>
    </row>
    <row r="996" spans="1:7" x14ac:dyDescent="0.25">
      <c r="A996" s="6">
        <v>44040</v>
      </c>
      <c r="B996" s="59" t="s">
        <v>1942</v>
      </c>
      <c r="D996" s="54">
        <v>500</v>
      </c>
      <c r="E996" s="22">
        <f t="shared" si="16"/>
        <v>6737.85</v>
      </c>
    </row>
    <row r="997" spans="1:7" s="22" customFormat="1" x14ac:dyDescent="0.25">
      <c r="A997" s="6">
        <v>44040</v>
      </c>
      <c r="B997" s="59" t="s">
        <v>2110</v>
      </c>
      <c r="C997" s="50"/>
      <c r="D997" s="54">
        <v>1000</v>
      </c>
      <c r="E997" s="22">
        <f t="shared" si="16"/>
        <v>5737.85</v>
      </c>
    </row>
    <row r="998" spans="1:7" s="22" customFormat="1" x14ac:dyDescent="0.25">
      <c r="A998" s="6"/>
      <c r="B998" s="59"/>
      <c r="C998" s="50"/>
      <c r="D998" s="54">
        <v>300</v>
      </c>
      <c r="E998" s="22">
        <f t="shared" si="16"/>
        <v>5437.85</v>
      </c>
    </row>
    <row r="999" spans="1:7" x14ac:dyDescent="0.25">
      <c r="A999" s="6">
        <v>44040</v>
      </c>
      <c r="B999" s="59" t="s">
        <v>1944</v>
      </c>
      <c r="D999" s="54">
        <v>1800</v>
      </c>
      <c r="E999" s="22">
        <f t="shared" si="16"/>
        <v>3637.8500000000004</v>
      </c>
    </row>
    <row r="1000" spans="1:7" x14ac:dyDescent="0.25">
      <c r="A1000" s="6">
        <v>44041</v>
      </c>
      <c r="B1000" s="59" t="s">
        <v>1999</v>
      </c>
      <c r="D1000" s="54">
        <v>500</v>
      </c>
      <c r="E1000" s="22">
        <f t="shared" si="16"/>
        <v>3137.8500000000004</v>
      </c>
    </row>
    <row r="1001" spans="1:7" x14ac:dyDescent="0.25">
      <c r="A1001" s="6">
        <v>44041</v>
      </c>
      <c r="B1001" s="59" t="s">
        <v>2001</v>
      </c>
      <c r="D1001" s="54">
        <v>100</v>
      </c>
      <c r="E1001" s="22">
        <f t="shared" si="16"/>
        <v>3037.8500000000004</v>
      </c>
    </row>
    <row r="1002" spans="1:7" x14ac:dyDescent="0.25">
      <c r="A1002" s="6">
        <v>44041</v>
      </c>
      <c r="B1002" s="59" t="s">
        <v>1942</v>
      </c>
      <c r="D1002" s="54">
        <v>500</v>
      </c>
      <c r="E1002" s="22">
        <f t="shared" si="16"/>
        <v>2537.8500000000004</v>
      </c>
    </row>
    <row r="1003" spans="1:7" x14ac:dyDescent="0.25">
      <c r="A1003" s="6">
        <v>44042</v>
      </c>
      <c r="B1003" s="59" t="s">
        <v>2022</v>
      </c>
      <c r="D1003" s="54">
        <v>600</v>
      </c>
      <c r="E1003" s="22">
        <f t="shared" si="16"/>
        <v>1937.8500000000004</v>
      </c>
    </row>
    <row r="1004" spans="1:7" x14ac:dyDescent="0.25">
      <c r="A1004" s="6">
        <v>44042</v>
      </c>
      <c r="B1004" s="59" t="s">
        <v>1942</v>
      </c>
      <c r="D1004" s="54">
        <v>500</v>
      </c>
      <c r="E1004" s="22">
        <f t="shared" si="16"/>
        <v>1437.8500000000004</v>
      </c>
    </row>
    <row r="1005" spans="1:7" x14ac:dyDescent="0.25">
      <c r="A1005" s="6">
        <v>44042</v>
      </c>
      <c r="B1005" s="59" t="s">
        <v>2023</v>
      </c>
      <c r="D1005" s="54">
        <v>500</v>
      </c>
      <c r="E1005" s="22">
        <f t="shared" si="16"/>
        <v>937.85000000000036</v>
      </c>
      <c r="G1005">
        <f>E1005-937.85</f>
        <v>0</v>
      </c>
    </row>
    <row r="1006" spans="1:7" x14ac:dyDescent="0.25">
      <c r="A1006" s="6">
        <v>44043</v>
      </c>
      <c r="B1006" s="59" t="s">
        <v>2029</v>
      </c>
      <c r="D1006" s="54">
        <v>400</v>
      </c>
      <c r="E1006" s="22">
        <f t="shared" si="16"/>
        <v>537.85000000000036</v>
      </c>
    </row>
    <row r="1007" spans="1:7" x14ac:dyDescent="0.25">
      <c r="A1007" s="6">
        <v>44043</v>
      </c>
      <c r="B1007" s="59" t="s">
        <v>1942</v>
      </c>
      <c r="D1007" s="54">
        <v>500</v>
      </c>
      <c r="E1007" s="22">
        <f t="shared" si="16"/>
        <v>37.850000000000364</v>
      </c>
    </row>
    <row r="1008" spans="1:7" x14ac:dyDescent="0.25">
      <c r="A1008" s="6">
        <v>44043</v>
      </c>
      <c r="B1008" s="59" t="s">
        <v>1944</v>
      </c>
      <c r="D1008" s="54">
        <v>1200</v>
      </c>
      <c r="E1008" s="22">
        <f t="shared" si="16"/>
        <v>-1162.1499999999996</v>
      </c>
    </row>
    <row r="1009" spans="1:5" x14ac:dyDescent="0.25">
      <c r="A1009" s="6">
        <v>44043</v>
      </c>
      <c r="C1009" s="50">
        <v>1000</v>
      </c>
      <c r="E1009" s="22">
        <f t="shared" si="16"/>
        <v>-162.14999999999964</v>
      </c>
    </row>
    <row r="1010" spans="1:5" x14ac:dyDescent="0.25">
      <c r="A1010" s="6">
        <v>44044</v>
      </c>
      <c r="B1010" s="59" t="s">
        <v>2044</v>
      </c>
      <c r="C1010" s="50">
        <v>7400</v>
      </c>
      <c r="E1010" s="22">
        <f t="shared" si="16"/>
        <v>7237.85</v>
      </c>
    </row>
    <row r="1011" spans="1:5" x14ac:dyDescent="0.25">
      <c r="A1011" s="6">
        <v>44044</v>
      </c>
      <c r="B1011" s="59" t="s">
        <v>2046</v>
      </c>
      <c r="D1011" s="54">
        <v>500</v>
      </c>
      <c r="E1011" s="22">
        <f t="shared" si="16"/>
        <v>6737.85</v>
      </c>
    </row>
    <row r="1012" spans="1:5" x14ac:dyDescent="0.25">
      <c r="A1012" s="6">
        <v>44044</v>
      </c>
      <c r="B1012" s="59" t="s">
        <v>1926</v>
      </c>
      <c r="C1012" s="50">
        <v>1300</v>
      </c>
      <c r="E1012" s="22">
        <f t="shared" si="16"/>
        <v>8037.85</v>
      </c>
    </row>
    <row r="1013" spans="1:5" x14ac:dyDescent="0.25">
      <c r="A1013" s="6">
        <v>44044</v>
      </c>
      <c r="B1013" s="59" t="s">
        <v>1619</v>
      </c>
      <c r="C1013" s="50">
        <v>5000</v>
      </c>
      <c r="E1013" s="22">
        <f t="shared" si="16"/>
        <v>13037.85</v>
      </c>
    </row>
    <row r="1014" spans="1:5" x14ac:dyDescent="0.25">
      <c r="A1014" s="6">
        <v>44044</v>
      </c>
      <c r="B1014" s="59" t="s">
        <v>1979</v>
      </c>
      <c r="D1014" s="54">
        <v>200</v>
      </c>
      <c r="E1014" s="22">
        <f t="shared" si="16"/>
        <v>12837.85</v>
      </c>
    </row>
    <row r="1015" spans="1:5" x14ac:dyDescent="0.25">
      <c r="A1015" s="6">
        <v>44045</v>
      </c>
      <c r="B1015" s="59" t="s">
        <v>2046</v>
      </c>
      <c r="D1015" s="54">
        <v>500</v>
      </c>
      <c r="E1015" s="22">
        <f t="shared" si="16"/>
        <v>12337.85</v>
      </c>
    </row>
    <row r="1016" spans="1:5" x14ac:dyDescent="0.25">
      <c r="A1016" s="6">
        <v>44045</v>
      </c>
      <c r="B1016" s="59" t="s">
        <v>2049</v>
      </c>
      <c r="D1016" s="54">
        <v>200</v>
      </c>
      <c r="E1016" s="22">
        <f t="shared" si="16"/>
        <v>12137.85</v>
      </c>
    </row>
    <row r="1017" spans="1:5" x14ac:dyDescent="0.25">
      <c r="A1017" s="6">
        <v>44045</v>
      </c>
      <c r="B1017" s="59" t="s">
        <v>2048</v>
      </c>
      <c r="D1017" s="54">
        <v>10000</v>
      </c>
      <c r="E1017" s="22">
        <f t="shared" si="16"/>
        <v>2137.8500000000004</v>
      </c>
    </row>
    <row r="1018" spans="1:5" x14ac:dyDescent="0.25">
      <c r="A1018" s="6">
        <v>44045</v>
      </c>
      <c r="B1018" s="59" t="s">
        <v>1944</v>
      </c>
      <c r="D1018" s="54">
        <v>800</v>
      </c>
      <c r="E1018" s="22">
        <f t="shared" si="16"/>
        <v>1337.8500000000004</v>
      </c>
    </row>
    <row r="1019" spans="1:5" x14ac:dyDescent="0.25">
      <c r="A1019" s="6">
        <v>44045</v>
      </c>
      <c r="B1019" s="59" t="s">
        <v>1649</v>
      </c>
      <c r="C1019" s="50">
        <v>2000</v>
      </c>
      <c r="E1019" s="22">
        <f t="shared" si="16"/>
        <v>3337.8500000000004</v>
      </c>
    </row>
    <row r="1020" spans="1:5" x14ac:dyDescent="0.25">
      <c r="A1020" s="6">
        <v>44045</v>
      </c>
      <c r="B1020" s="59" t="s">
        <v>2051</v>
      </c>
      <c r="C1020" s="50">
        <v>1600</v>
      </c>
      <c r="E1020" s="22">
        <f t="shared" si="16"/>
        <v>4937.8500000000004</v>
      </c>
    </row>
    <row r="1021" spans="1:5" x14ac:dyDescent="0.25">
      <c r="A1021" s="6">
        <v>44046</v>
      </c>
      <c r="B1021" s="59" t="s">
        <v>1948</v>
      </c>
      <c r="D1021" s="54">
        <v>5000</v>
      </c>
      <c r="E1021" s="22">
        <f t="shared" si="16"/>
        <v>-62.149999999999636</v>
      </c>
    </row>
    <row r="1022" spans="1:5" x14ac:dyDescent="0.25">
      <c r="A1022" s="6">
        <v>44047</v>
      </c>
      <c r="B1022" s="59" t="s">
        <v>2046</v>
      </c>
      <c r="D1022" s="54">
        <v>1000</v>
      </c>
      <c r="E1022" s="22">
        <f t="shared" si="16"/>
        <v>-1062.1499999999996</v>
      </c>
    </row>
    <row r="1023" spans="1:5" x14ac:dyDescent="0.25">
      <c r="A1023" s="6">
        <v>44047</v>
      </c>
      <c r="B1023" s="59" t="s">
        <v>2059</v>
      </c>
      <c r="D1023" s="54">
        <v>3000</v>
      </c>
      <c r="E1023" s="22">
        <f t="shared" si="16"/>
        <v>-4062.1499999999996</v>
      </c>
    </row>
    <row r="1024" spans="1:5" x14ac:dyDescent="0.25">
      <c r="A1024" s="6">
        <v>44048</v>
      </c>
      <c r="B1024" s="59" t="s">
        <v>2061</v>
      </c>
      <c r="D1024" s="54">
        <v>2500</v>
      </c>
      <c r="E1024" s="22">
        <f t="shared" si="16"/>
        <v>-6562.15</v>
      </c>
    </row>
    <row r="1025" spans="1:5" x14ac:dyDescent="0.25">
      <c r="A1025" s="6">
        <v>44048</v>
      </c>
      <c r="B1025" s="59" t="s">
        <v>2060</v>
      </c>
      <c r="D1025" s="54">
        <v>500</v>
      </c>
      <c r="E1025" s="22">
        <f t="shared" si="16"/>
        <v>-7062.15</v>
      </c>
    </row>
    <row r="1026" spans="1:5" x14ac:dyDescent="0.25">
      <c r="A1026" s="6">
        <v>44048</v>
      </c>
      <c r="B1026" s="59" t="s">
        <v>270</v>
      </c>
      <c r="C1026" s="50">
        <v>13000</v>
      </c>
      <c r="E1026" s="22">
        <f t="shared" si="16"/>
        <v>5937.85</v>
      </c>
    </row>
    <row r="1027" spans="1:5" x14ac:dyDescent="0.25">
      <c r="A1027" s="6">
        <v>44048</v>
      </c>
      <c r="D1027" s="54">
        <v>500</v>
      </c>
      <c r="E1027" s="22">
        <f t="shared" si="16"/>
        <v>5437.85</v>
      </c>
    </row>
    <row r="1028" spans="1:5" x14ac:dyDescent="0.25">
      <c r="A1028" s="6">
        <v>44048</v>
      </c>
      <c r="D1028" s="54">
        <v>1400</v>
      </c>
      <c r="E1028" s="22">
        <f t="shared" si="16"/>
        <v>4037.8500000000004</v>
      </c>
    </row>
    <row r="1029" spans="1:5" x14ac:dyDescent="0.25">
      <c r="A1029" s="6">
        <v>44048</v>
      </c>
      <c r="B1029" s="59" t="s">
        <v>2062</v>
      </c>
      <c r="D1029" s="54">
        <v>3000</v>
      </c>
      <c r="E1029" s="22">
        <f t="shared" si="16"/>
        <v>1037.8500000000004</v>
      </c>
    </row>
    <row r="1030" spans="1:5" x14ac:dyDescent="0.25">
      <c r="A1030" s="6">
        <v>44048</v>
      </c>
      <c r="B1030" s="59" t="s">
        <v>2065</v>
      </c>
      <c r="D1030" s="54">
        <v>200</v>
      </c>
      <c r="E1030" s="22">
        <f t="shared" si="16"/>
        <v>837.85000000000036</v>
      </c>
    </row>
    <row r="1031" spans="1:5" x14ac:dyDescent="0.25">
      <c r="A1031" s="6">
        <v>44048</v>
      </c>
      <c r="B1031" s="59" t="s">
        <v>126</v>
      </c>
      <c r="D1031" s="54">
        <v>600</v>
      </c>
      <c r="E1031" s="22">
        <f t="shared" si="16"/>
        <v>237.85000000000036</v>
      </c>
    </row>
    <row r="1032" spans="1:5" x14ac:dyDescent="0.25">
      <c r="A1032" s="6">
        <v>44049</v>
      </c>
      <c r="B1032" s="59" t="s">
        <v>2068</v>
      </c>
      <c r="D1032" s="54">
        <v>300</v>
      </c>
      <c r="E1032" s="22">
        <f t="shared" si="16"/>
        <v>-62.149999999999636</v>
      </c>
    </row>
    <row r="1033" spans="1:5" s="22" customFormat="1" x14ac:dyDescent="0.25">
      <c r="A1033" s="6">
        <v>44049</v>
      </c>
      <c r="B1033" s="59" t="s">
        <v>2126</v>
      </c>
      <c r="C1033" s="50"/>
      <c r="D1033" s="54">
        <v>300</v>
      </c>
      <c r="E1033" s="22">
        <f t="shared" si="16"/>
        <v>-362.14999999999964</v>
      </c>
    </row>
    <row r="1034" spans="1:5" x14ac:dyDescent="0.25">
      <c r="A1034" s="6">
        <v>44050</v>
      </c>
      <c r="B1034" s="59" t="s">
        <v>270</v>
      </c>
      <c r="C1034" s="50">
        <v>17000</v>
      </c>
      <c r="E1034" s="22">
        <f t="shared" si="16"/>
        <v>16637.849999999999</v>
      </c>
    </row>
    <row r="1035" spans="1:5" x14ac:dyDescent="0.25">
      <c r="A1035" s="6">
        <v>44050</v>
      </c>
      <c r="B1035" s="59" t="s">
        <v>2070</v>
      </c>
      <c r="D1035" s="54">
        <v>10000</v>
      </c>
      <c r="E1035" s="22">
        <f t="shared" si="16"/>
        <v>6637.8499999999985</v>
      </c>
    </row>
    <row r="1036" spans="1:5" x14ac:dyDescent="0.25">
      <c r="A1036" s="6">
        <v>44050</v>
      </c>
      <c r="B1036" s="59" t="s">
        <v>2071</v>
      </c>
      <c r="D1036" s="54">
        <v>550</v>
      </c>
      <c r="E1036" s="22">
        <f t="shared" si="16"/>
        <v>6087.8499999999985</v>
      </c>
    </row>
    <row r="1037" spans="1:5" x14ac:dyDescent="0.25">
      <c r="A1037" s="6">
        <v>44050</v>
      </c>
      <c r="B1037" s="59" t="s">
        <v>2072</v>
      </c>
      <c r="D1037" s="54">
        <v>10000</v>
      </c>
      <c r="E1037" s="22">
        <f t="shared" si="16"/>
        <v>-3912.1500000000015</v>
      </c>
    </row>
    <row r="1038" spans="1:5" x14ac:dyDescent="0.25">
      <c r="A1038" s="6">
        <v>44050</v>
      </c>
      <c r="B1038" s="59" t="s">
        <v>2080</v>
      </c>
      <c r="D1038" s="54">
        <v>300</v>
      </c>
      <c r="E1038" s="22">
        <f t="shared" si="16"/>
        <v>-4212.1500000000015</v>
      </c>
    </row>
    <row r="1039" spans="1:5" x14ac:dyDescent="0.25">
      <c r="A1039" s="6">
        <v>44050</v>
      </c>
      <c r="B1039" s="59" t="s">
        <v>2046</v>
      </c>
      <c r="D1039" s="54">
        <v>1000</v>
      </c>
      <c r="E1039" s="22">
        <f t="shared" si="16"/>
        <v>-5212.1500000000015</v>
      </c>
    </row>
    <row r="1040" spans="1:5" x14ac:dyDescent="0.25">
      <c r="A1040" s="6">
        <v>44050</v>
      </c>
      <c r="B1040" s="59" t="s">
        <v>2083</v>
      </c>
      <c r="C1040" s="50">
        <v>200</v>
      </c>
      <c r="E1040" s="22">
        <f t="shared" si="16"/>
        <v>-5012.1500000000015</v>
      </c>
    </row>
    <row r="1041" spans="1:7" x14ac:dyDescent="0.25">
      <c r="A1041" s="6">
        <v>44051</v>
      </c>
      <c r="B1041" s="59" t="s">
        <v>1649</v>
      </c>
      <c r="C1041" s="50">
        <v>2000</v>
      </c>
      <c r="E1041" s="22">
        <f t="shared" si="16"/>
        <v>-3012.1500000000015</v>
      </c>
    </row>
    <row r="1042" spans="1:7" x14ac:dyDescent="0.25">
      <c r="A1042" s="6">
        <v>44051</v>
      </c>
      <c r="B1042" s="59" t="s">
        <v>1979</v>
      </c>
      <c r="D1042" s="54">
        <v>200</v>
      </c>
      <c r="E1042" s="22">
        <f t="shared" si="16"/>
        <v>-3212.1500000000015</v>
      </c>
    </row>
    <row r="1043" spans="1:7" x14ac:dyDescent="0.25">
      <c r="A1043" s="6">
        <v>44051</v>
      </c>
      <c r="B1043" s="59" t="s">
        <v>2084</v>
      </c>
      <c r="D1043" s="54">
        <v>3000</v>
      </c>
      <c r="E1043" s="22">
        <f t="shared" si="16"/>
        <v>-6212.1500000000015</v>
      </c>
    </row>
    <row r="1044" spans="1:7" x14ac:dyDescent="0.25">
      <c r="A1044" s="6">
        <v>44051</v>
      </c>
      <c r="B1044" s="59" t="s">
        <v>2085</v>
      </c>
      <c r="C1044" s="50">
        <v>2900</v>
      </c>
      <c r="E1044" s="22">
        <f t="shared" si="16"/>
        <v>-3312.1500000000015</v>
      </c>
    </row>
    <row r="1045" spans="1:7" x14ac:dyDescent="0.25">
      <c r="A1045" s="6">
        <v>44051</v>
      </c>
      <c r="B1045" s="59" t="s">
        <v>2086</v>
      </c>
      <c r="D1045" s="54">
        <v>5000</v>
      </c>
      <c r="E1045" s="22">
        <f t="shared" si="16"/>
        <v>-8312.1500000000015</v>
      </c>
    </row>
    <row r="1046" spans="1:7" x14ac:dyDescent="0.25">
      <c r="A1046" s="6">
        <v>44051</v>
      </c>
      <c r="B1046" s="59" t="s">
        <v>1926</v>
      </c>
      <c r="C1046" s="50">
        <v>400</v>
      </c>
      <c r="E1046" s="22">
        <f t="shared" si="16"/>
        <v>-7912.1500000000015</v>
      </c>
    </row>
    <row r="1047" spans="1:7" x14ac:dyDescent="0.25">
      <c r="A1047" s="6">
        <v>44051</v>
      </c>
      <c r="B1047" s="61" t="s">
        <v>2046</v>
      </c>
      <c r="E1047" s="22">
        <f t="shared" si="16"/>
        <v>-7912.1500000000015</v>
      </c>
      <c r="G1047" t="s">
        <v>2130</v>
      </c>
    </row>
    <row r="1048" spans="1:7" x14ac:dyDescent="0.25">
      <c r="A1048" s="6">
        <v>44052</v>
      </c>
      <c r="B1048" s="59" t="s">
        <v>2094</v>
      </c>
      <c r="C1048" s="50">
        <v>300</v>
      </c>
      <c r="E1048" s="22">
        <f t="shared" si="16"/>
        <v>-7612.1500000000015</v>
      </c>
    </row>
    <row r="1049" spans="1:7" x14ac:dyDescent="0.25">
      <c r="A1049" s="6">
        <v>44052</v>
      </c>
      <c r="B1049" s="59" t="s">
        <v>2046</v>
      </c>
      <c r="D1049" s="54">
        <v>500</v>
      </c>
      <c r="E1049" s="22">
        <f t="shared" si="16"/>
        <v>-8112.1500000000015</v>
      </c>
    </row>
    <row r="1050" spans="1:7" x14ac:dyDescent="0.25">
      <c r="A1050" s="6">
        <v>44053</v>
      </c>
      <c r="B1050" s="59" t="s">
        <v>270</v>
      </c>
      <c r="C1050" s="50">
        <v>13000</v>
      </c>
      <c r="E1050" s="22">
        <f t="shared" si="16"/>
        <v>4887.8499999999985</v>
      </c>
    </row>
    <row r="1051" spans="1:7" x14ac:dyDescent="0.25">
      <c r="A1051" s="6">
        <v>44053</v>
      </c>
      <c r="B1051" s="59" t="s">
        <v>2062</v>
      </c>
      <c r="D1051" s="54">
        <v>10000</v>
      </c>
      <c r="E1051" s="22">
        <f t="shared" si="16"/>
        <v>-5112.1500000000015</v>
      </c>
    </row>
    <row r="1052" spans="1:7" x14ac:dyDescent="0.25">
      <c r="A1052" s="6">
        <v>44053</v>
      </c>
      <c r="B1052" s="59" t="s">
        <v>2100</v>
      </c>
      <c r="D1052" s="54">
        <v>500</v>
      </c>
      <c r="E1052" s="22">
        <f t="shared" si="16"/>
        <v>-5612.1500000000015</v>
      </c>
    </row>
    <row r="1053" spans="1:7" x14ac:dyDescent="0.25">
      <c r="A1053" s="6">
        <v>44053</v>
      </c>
      <c r="B1053" s="59" t="s">
        <v>2101</v>
      </c>
      <c r="D1053" s="54">
        <v>500</v>
      </c>
      <c r="E1053" s="22">
        <f t="shared" si="16"/>
        <v>-6112.1500000000015</v>
      </c>
    </row>
    <row r="1054" spans="1:7" x14ac:dyDescent="0.25">
      <c r="A1054" s="6">
        <v>44053</v>
      </c>
      <c r="B1054" s="59" t="s">
        <v>2095</v>
      </c>
      <c r="D1054" s="54">
        <v>200</v>
      </c>
      <c r="E1054" s="22">
        <f t="shared" si="16"/>
        <v>-6312.1500000000015</v>
      </c>
    </row>
    <row r="1055" spans="1:7" x14ac:dyDescent="0.25">
      <c r="A1055" s="6">
        <v>44053</v>
      </c>
      <c r="B1055" s="59" t="s">
        <v>321</v>
      </c>
      <c r="C1055" s="50">
        <v>16000</v>
      </c>
      <c r="E1055" s="22">
        <f t="shared" si="16"/>
        <v>9687.8499999999985</v>
      </c>
    </row>
    <row r="1056" spans="1:7" x14ac:dyDescent="0.25">
      <c r="A1056" s="6">
        <v>44053</v>
      </c>
      <c r="B1056" s="59" t="s">
        <v>2046</v>
      </c>
      <c r="D1056" s="54">
        <v>500</v>
      </c>
      <c r="E1056" s="22">
        <f t="shared" si="16"/>
        <v>9187.8499999999985</v>
      </c>
    </row>
    <row r="1057" spans="1:7" x14ac:dyDescent="0.25">
      <c r="A1057" s="6">
        <v>44053</v>
      </c>
      <c r="B1057" s="59" t="s">
        <v>2102</v>
      </c>
      <c r="D1057" s="54">
        <v>6000</v>
      </c>
      <c r="E1057" s="22">
        <f t="shared" si="16"/>
        <v>3187.8499999999985</v>
      </c>
    </row>
    <row r="1058" spans="1:7" x14ac:dyDescent="0.25">
      <c r="A1058" s="6">
        <v>44053</v>
      </c>
      <c r="B1058" s="59" t="s">
        <v>2060</v>
      </c>
      <c r="D1058" s="54">
        <v>2000</v>
      </c>
      <c r="E1058" s="22">
        <f t="shared" ref="E1058:E1122" si="17">E1057-D1058+C1058</f>
        <v>1187.8499999999985</v>
      </c>
    </row>
    <row r="1059" spans="1:7" x14ac:dyDescent="0.25">
      <c r="A1059" s="6">
        <v>44053</v>
      </c>
      <c r="B1059" s="59" t="s">
        <v>2103</v>
      </c>
      <c r="D1059" s="54">
        <v>3750</v>
      </c>
      <c r="E1059" s="22">
        <f t="shared" si="17"/>
        <v>-2562.1500000000015</v>
      </c>
    </row>
    <row r="1060" spans="1:7" x14ac:dyDescent="0.25">
      <c r="A1060" s="6">
        <v>44053</v>
      </c>
      <c r="B1060" s="59" t="s">
        <v>2104</v>
      </c>
      <c r="D1060" s="54">
        <v>1950</v>
      </c>
      <c r="E1060" s="22">
        <f t="shared" si="17"/>
        <v>-4512.1500000000015</v>
      </c>
    </row>
    <row r="1061" spans="1:7" x14ac:dyDescent="0.25">
      <c r="A1061" s="6">
        <v>44054</v>
      </c>
      <c r="B1061" s="59" t="s">
        <v>270</v>
      </c>
      <c r="C1061" s="50">
        <v>25000</v>
      </c>
      <c r="D1061" s="58"/>
      <c r="E1061" s="22">
        <f t="shared" si="17"/>
        <v>20487.849999999999</v>
      </c>
    </row>
    <row r="1062" spans="1:7" x14ac:dyDescent="0.25">
      <c r="A1062" s="6">
        <v>44054</v>
      </c>
      <c r="B1062" s="59" t="s">
        <v>2046</v>
      </c>
      <c r="D1062" s="54">
        <v>500</v>
      </c>
      <c r="E1062" s="22">
        <f t="shared" si="17"/>
        <v>19987.849999999999</v>
      </c>
    </row>
    <row r="1063" spans="1:7" x14ac:dyDescent="0.25">
      <c r="A1063" s="6">
        <v>44054</v>
      </c>
      <c r="B1063" s="59" t="s">
        <v>2111</v>
      </c>
      <c r="D1063" s="54">
        <v>500</v>
      </c>
      <c r="E1063" s="22">
        <f t="shared" si="17"/>
        <v>19487.849999999999</v>
      </c>
      <c r="G1063">
        <f>20487.85-E1061</f>
        <v>0</v>
      </c>
    </row>
    <row r="1064" spans="1:7" x14ac:dyDescent="0.25">
      <c r="A1064" s="6">
        <v>44054</v>
      </c>
      <c r="B1064" s="59" t="s">
        <v>2112</v>
      </c>
      <c r="D1064" s="54">
        <v>200</v>
      </c>
      <c r="E1064" s="22">
        <f t="shared" si="17"/>
        <v>19287.849999999999</v>
      </c>
    </row>
    <row r="1065" spans="1:7" x14ac:dyDescent="0.25">
      <c r="A1065" s="6">
        <v>44054</v>
      </c>
      <c r="B1065" s="59" t="s">
        <v>2102</v>
      </c>
      <c r="D1065" s="54">
        <v>5000</v>
      </c>
      <c r="E1065" s="22">
        <f t="shared" si="17"/>
        <v>14287.849999999999</v>
      </c>
    </row>
    <row r="1066" spans="1:7" x14ac:dyDescent="0.25">
      <c r="A1066" s="6">
        <v>44054</v>
      </c>
      <c r="B1066" s="59" t="s">
        <v>2048</v>
      </c>
      <c r="D1066" s="54">
        <v>5000</v>
      </c>
      <c r="E1066" s="22">
        <f t="shared" si="17"/>
        <v>9287.8499999999985</v>
      </c>
    </row>
    <row r="1067" spans="1:7" x14ac:dyDescent="0.25">
      <c r="A1067" s="6">
        <v>44055</v>
      </c>
      <c r="B1067" s="59" t="s">
        <v>2046</v>
      </c>
      <c r="D1067" s="54">
        <v>500</v>
      </c>
      <c r="E1067" s="22">
        <f t="shared" si="17"/>
        <v>8787.8499999999985</v>
      </c>
    </row>
    <row r="1068" spans="1:7" x14ac:dyDescent="0.25">
      <c r="A1068" s="6">
        <v>44055</v>
      </c>
      <c r="B1068" s="59" t="s">
        <v>2048</v>
      </c>
      <c r="D1068" s="54">
        <v>5000</v>
      </c>
      <c r="E1068" s="22">
        <f t="shared" si="17"/>
        <v>3787.8499999999985</v>
      </c>
    </row>
    <row r="1069" spans="1:7" x14ac:dyDescent="0.25">
      <c r="A1069" s="6">
        <v>44055</v>
      </c>
      <c r="B1069" s="59" t="s">
        <v>2116</v>
      </c>
      <c r="C1069" s="50">
        <v>200</v>
      </c>
      <c r="E1069" s="22">
        <f t="shared" si="17"/>
        <v>3987.8499999999985</v>
      </c>
    </row>
    <row r="1070" spans="1:7" x14ac:dyDescent="0.25">
      <c r="A1070" s="6">
        <v>44055</v>
      </c>
      <c r="B1070" s="59" t="s">
        <v>2117</v>
      </c>
      <c r="C1070" s="50">
        <v>300</v>
      </c>
      <c r="E1070" s="22">
        <f t="shared" si="17"/>
        <v>4287.8499999999985</v>
      </c>
    </row>
    <row r="1071" spans="1:7" x14ac:dyDescent="0.25">
      <c r="A1071" s="6">
        <v>44055</v>
      </c>
      <c r="B1071" s="59" t="s">
        <v>2120</v>
      </c>
      <c r="C1071" s="50">
        <v>2800</v>
      </c>
      <c r="E1071" s="22">
        <f t="shared" si="17"/>
        <v>7087.8499999999985</v>
      </c>
    </row>
    <row r="1072" spans="1:7" x14ac:dyDescent="0.25">
      <c r="A1072" s="6">
        <v>44055</v>
      </c>
      <c r="B1072" s="59" t="s">
        <v>2123</v>
      </c>
      <c r="D1072" s="54">
        <v>400</v>
      </c>
      <c r="E1072" s="22">
        <f t="shared" si="17"/>
        <v>6687.8499999999985</v>
      </c>
    </row>
    <row r="1073" spans="1:5" x14ac:dyDescent="0.25">
      <c r="A1073" s="6">
        <v>44055</v>
      </c>
      <c r="B1073" s="59" t="s">
        <v>2134</v>
      </c>
      <c r="C1073" s="50">
        <v>500</v>
      </c>
      <c r="E1073" s="22">
        <f t="shared" si="17"/>
        <v>7187.8499999999985</v>
      </c>
    </row>
    <row r="1074" spans="1:5" x14ac:dyDescent="0.25">
      <c r="A1074" s="6">
        <v>44056</v>
      </c>
      <c r="B1074" s="59" t="s">
        <v>2046</v>
      </c>
      <c r="D1074" s="54">
        <v>500</v>
      </c>
      <c r="E1074" s="22">
        <f t="shared" si="17"/>
        <v>6687.8499999999985</v>
      </c>
    </row>
    <row r="1075" spans="1:5" x14ac:dyDescent="0.25">
      <c r="A1075" s="6">
        <v>44056</v>
      </c>
      <c r="B1075" s="59" t="s">
        <v>2138</v>
      </c>
      <c r="D1075" s="54">
        <v>1000</v>
      </c>
      <c r="E1075" s="22">
        <f t="shared" si="17"/>
        <v>5687.8499999999985</v>
      </c>
    </row>
    <row r="1076" spans="1:5" x14ac:dyDescent="0.25">
      <c r="A1076" s="6">
        <v>44056</v>
      </c>
      <c r="B1076" s="59" t="s">
        <v>2139</v>
      </c>
      <c r="D1076" s="54">
        <v>200</v>
      </c>
      <c r="E1076" s="22">
        <f t="shared" si="17"/>
        <v>5487.8499999999985</v>
      </c>
    </row>
    <row r="1077" spans="1:5" x14ac:dyDescent="0.25">
      <c r="A1077" s="6">
        <v>44056</v>
      </c>
      <c r="B1077" s="59" t="s">
        <v>2046</v>
      </c>
      <c r="D1077" s="54">
        <v>500</v>
      </c>
      <c r="E1077" s="22">
        <f t="shared" si="17"/>
        <v>4987.8499999999985</v>
      </c>
    </row>
    <row r="1078" spans="1:5" x14ac:dyDescent="0.25">
      <c r="A1078" s="6">
        <v>44056</v>
      </c>
      <c r="B1078" s="59" t="s">
        <v>1703</v>
      </c>
      <c r="C1078" s="50">
        <v>2000</v>
      </c>
      <c r="E1078" s="22">
        <f t="shared" si="17"/>
        <v>6987.8499999999985</v>
      </c>
    </row>
    <row r="1079" spans="1:5" x14ac:dyDescent="0.25">
      <c r="A1079" s="6">
        <v>44056</v>
      </c>
      <c r="B1079" s="59" t="s">
        <v>2062</v>
      </c>
      <c r="D1079" s="54">
        <v>2000</v>
      </c>
      <c r="E1079" s="22">
        <f t="shared" si="17"/>
        <v>4987.8499999999985</v>
      </c>
    </row>
    <row r="1080" spans="1:5" x14ac:dyDescent="0.25">
      <c r="A1080" s="6">
        <v>44056</v>
      </c>
      <c r="B1080" s="59" t="s">
        <v>2048</v>
      </c>
      <c r="D1080" s="54">
        <v>5000</v>
      </c>
      <c r="E1080" s="22">
        <f t="shared" si="17"/>
        <v>-12.150000000001455</v>
      </c>
    </row>
    <row r="1081" spans="1:5" x14ac:dyDescent="0.25">
      <c r="A1081" s="6">
        <v>44057</v>
      </c>
      <c r="B1081" s="59" t="s">
        <v>2062</v>
      </c>
      <c r="D1081" s="54">
        <v>5000</v>
      </c>
      <c r="E1081" s="22">
        <f t="shared" si="17"/>
        <v>-5012.1500000000015</v>
      </c>
    </row>
    <row r="1082" spans="1:5" x14ac:dyDescent="0.25">
      <c r="A1082" s="6">
        <v>44057</v>
      </c>
      <c r="B1082" s="59" t="s">
        <v>1948</v>
      </c>
      <c r="D1082" s="54">
        <v>1700</v>
      </c>
      <c r="E1082" s="22">
        <f t="shared" si="17"/>
        <v>-6712.1500000000015</v>
      </c>
    </row>
    <row r="1083" spans="1:5" x14ac:dyDescent="0.25">
      <c r="A1083" s="6">
        <v>44057</v>
      </c>
      <c r="B1083" s="59" t="s">
        <v>270</v>
      </c>
      <c r="C1083" s="50">
        <v>10000</v>
      </c>
      <c r="E1083" s="22">
        <f t="shared" si="17"/>
        <v>3287.8499999999985</v>
      </c>
    </row>
    <row r="1084" spans="1:5" x14ac:dyDescent="0.25">
      <c r="A1084" s="6">
        <v>44057</v>
      </c>
      <c r="B1084" s="59" t="s">
        <v>2060</v>
      </c>
      <c r="D1084" s="54">
        <v>7000</v>
      </c>
      <c r="E1084" s="22">
        <f t="shared" si="17"/>
        <v>-3712.1500000000015</v>
      </c>
    </row>
    <row r="1085" spans="1:5" x14ac:dyDescent="0.25">
      <c r="A1085" s="6">
        <v>44057</v>
      </c>
      <c r="B1085" s="59" t="s">
        <v>1948</v>
      </c>
      <c r="D1085" s="54">
        <v>700</v>
      </c>
      <c r="E1085" s="22">
        <f t="shared" si="17"/>
        <v>-4412.1500000000015</v>
      </c>
    </row>
    <row r="1086" spans="1:5" x14ac:dyDescent="0.25">
      <c r="A1086" s="6">
        <v>44057</v>
      </c>
      <c r="B1086" s="59" t="s">
        <v>2046</v>
      </c>
      <c r="D1086" s="54">
        <v>500</v>
      </c>
      <c r="E1086" s="22">
        <f t="shared" si="17"/>
        <v>-4912.1500000000015</v>
      </c>
    </row>
    <row r="1087" spans="1:5" x14ac:dyDescent="0.25">
      <c r="A1087" s="6">
        <v>44058</v>
      </c>
      <c r="B1087" s="59" t="s">
        <v>2046</v>
      </c>
      <c r="D1087" s="54">
        <v>500</v>
      </c>
      <c r="E1087" s="22">
        <f t="shared" si="17"/>
        <v>-5412.1500000000015</v>
      </c>
    </row>
    <row r="1088" spans="1:5" x14ac:dyDescent="0.25">
      <c r="A1088" s="6">
        <v>44059</v>
      </c>
      <c r="B1088" s="59" t="s">
        <v>2046</v>
      </c>
      <c r="D1088" s="54">
        <v>500</v>
      </c>
      <c r="E1088" s="22">
        <f t="shared" si="17"/>
        <v>-5912.1500000000015</v>
      </c>
    </row>
    <row r="1089" spans="1:5" x14ac:dyDescent="0.25">
      <c r="A1089" s="6">
        <v>44059</v>
      </c>
      <c r="B1089" s="59" t="s">
        <v>2164</v>
      </c>
      <c r="D1089" s="54">
        <v>500</v>
      </c>
      <c r="E1089" s="22">
        <f t="shared" si="17"/>
        <v>-6412.1500000000015</v>
      </c>
    </row>
    <row r="1090" spans="1:5" x14ac:dyDescent="0.25">
      <c r="A1090" s="6">
        <v>44060</v>
      </c>
      <c r="B1090" s="59" t="s">
        <v>2046</v>
      </c>
      <c r="D1090" s="54">
        <v>500</v>
      </c>
      <c r="E1090" s="22">
        <f t="shared" si="17"/>
        <v>-6912.1500000000015</v>
      </c>
    </row>
    <row r="1091" spans="1:5" x14ac:dyDescent="0.25">
      <c r="A1091" s="6">
        <v>44060</v>
      </c>
      <c r="B1091" s="59" t="s">
        <v>2165</v>
      </c>
      <c r="D1091" s="54">
        <v>100</v>
      </c>
      <c r="E1091" s="22">
        <f t="shared" si="17"/>
        <v>-7012.1500000000015</v>
      </c>
    </row>
    <row r="1092" spans="1:5" x14ac:dyDescent="0.25">
      <c r="A1092" s="6">
        <v>44060</v>
      </c>
      <c r="B1092" s="59" t="s">
        <v>270</v>
      </c>
      <c r="C1092" s="50">
        <v>8500</v>
      </c>
      <c r="E1092" s="22">
        <f t="shared" si="17"/>
        <v>1487.8499999999985</v>
      </c>
    </row>
    <row r="1093" spans="1:5" s="22" customFormat="1" x14ac:dyDescent="0.25">
      <c r="A1093" s="6">
        <v>44060</v>
      </c>
      <c r="B1093" s="59" t="s">
        <v>1944</v>
      </c>
      <c r="C1093" s="50"/>
      <c r="D1093" s="54">
        <v>2200</v>
      </c>
      <c r="E1093" s="22">
        <f t="shared" si="17"/>
        <v>-712.15000000000146</v>
      </c>
    </row>
    <row r="1094" spans="1:5" s="22" customFormat="1" x14ac:dyDescent="0.25">
      <c r="A1094" s="6">
        <v>44060</v>
      </c>
      <c r="B1094" s="59" t="s">
        <v>1979</v>
      </c>
      <c r="C1094" s="50"/>
      <c r="D1094" s="54">
        <v>200</v>
      </c>
      <c r="E1094" s="22">
        <f t="shared" si="17"/>
        <v>-912.15000000000146</v>
      </c>
    </row>
    <row r="1095" spans="1:5" s="22" customFormat="1" x14ac:dyDescent="0.25">
      <c r="A1095" s="6">
        <v>44060</v>
      </c>
      <c r="B1095" s="59" t="s">
        <v>2061</v>
      </c>
      <c r="C1095" s="50"/>
      <c r="D1095" s="54">
        <v>6000</v>
      </c>
      <c r="E1095" s="22">
        <f t="shared" si="17"/>
        <v>-6912.1500000000015</v>
      </c>
    </row>
    <row r="1096" spans="1:5" x14ac:dyDescent="0.25">
      <c r="A1096" s="6">
        <v>44061</v>
      </c>
      <c r="B1096" s="59" t="s">
        <v>2169</v>
      </c>
      <c r="C1096" s="50">
        <v>16000</v>
      </c>
      <c r="E1096" s="22">
        <f t="shared" si="17"/>
        <v>9087.8499999999985</v>
      </c>
    </row>
    <row r="1097" spans="1:5" x14ac:dyDescent="0.25">
      <c r="A1097" s="6">
        <v>44061</v>
      </c>
      <c r="B1097" s="59" t="s">
        <v>2171</v>
      </c>
      <c r="D1097" s="54">
        <v>500</v>
      </c>
      <c r="E1097" s="22">
        <f t="shared" si="17"/>
        <v>8587.8499999999985</v>
      </c>
    </row>
    <row r="1098" spans="1:5" x14ac:dyDescent="0.25">
      <c r="A1098" s="6">
        <v>44061</v>
      </c>
      <c r="B1098" s="59" t="s">
        <v>2061</v>
      </c>
      <c r="D1098" s="54">
        <v>9000</v>
      </c>
      <c r="E1098" s="22">
        <f t="shared" si="17"/>
        <v>-412.15000000000146</v>
      </c>
    </row>
    <row r="1099" spans="1:5" x14ac:dyDescent="0.25">
      <c r="A1099" s="6">
        <v>44061</v>
      </c>
      <c r="B1099" s="59" t="s">
        <v>2046</v>
      </c>
      <c r="D1099" s="54">
        <v>500</v>
      </c>
      <c r="E1099" s="22">
        <f t="shared" si="17"/>
        <v>-912.15000000000146</v>
      </c>
    </row>
    <row r="1100" spans="1:5" x14ac:dyDescent="0.25">
      <c r="A1100" s="6">
        <v>44061</v>
      </c>
      <c r="B1100" s="59" t="s">
        <v>2048</v>
      </c>
      <c r="D1100" s="54">
        <v>5000</v>
      </c>
      <c r="E1100" s="22">
        <f t="shared" si="17"/>
        <v>-5912.1500000000015</v>
      </c>
    </row>
    <row r="1101" spans="1:5" x14ac:dyDescent="0.25">
      <c r="A1101" s="6">
        <v>44061</v>
      </c>
      <c r="B1101" s="59" t="s">
        <v>2172</v>
      </c>
      <c r="D1101" s="54">
        <v>2000</v>
      </c>
      <c r="E1101" s="22">
        <f t="shared" si="17"/>
        <v>-7912.1500000000015</v>
      </c>
    </row>
    <row r="1102" spans="1:5" x14ac:dyDescent="0.25">
      <c r="A1102" s="6">
        <v>44061</v>
      </c>
      <c r="B1102" s="59" t="s">
        <v>2170</v>
      </c>
      <c r="C1102" s="50">
        <v>5000</v>
      </c>
      <c r="E1102" s="22">
        <f t="shared" si="17"/>
        <v>-2912.1500000000015</v>
      </c>
    </row>
    <row r="1103" spans="1:5" x14ac:dyDescent="0.25">
      <c r="A1103" s="6">
        <v>44061</v>
      </c>
      <c r="B1103" s="59" t="s">
        <v>1944</v>
      </c>
      <c r="D1103" s="54">
        <v>1600</v>
      </c>
      <c r="E1103" s="22">
        <f t="shared" si="17"/>
        <v>-4512.1500000000015</v>
      </c>
    </row>
    <row r="1104" spans="1:5" x14ac:dyDescent="0.25">
      <c r="A1104" s="6">
        <v>44061</v>
      </c>
      <c r="B1104" s="59" t="s">
        <v>2173</v>
      </c>
      <c r="D1104" s="54">
        <v>1200</v>
      </c>
      <c r="E1104" s="22">
        <f t="shared" si="17"/>
        <v>-5712.1500000000015</v>
      </c>
    </row>
    <row r="1105" spans="1:5" x14ac:dyDescent="0.25">
      <c r="A1105" s="6">
        <v>44061</v>
      </c>
      <c r="B1105" s="59" t="s">
        <v>2127</v>
      </c>
      <c r="D1105" s="54">
        <v>500</v>
      </c>
      <c r="E1105" s="22">
        <f t="shared" si="17"/>
        <v>-6212.1500000000015</v>
      </c>
    </row>
    <row r="1106" spans="1:5" x14ac:dyDescent="0.25">
      <c r="A1106" s="6">
        <v>44062</v>
      </c>
      <c r="B1106" s="59" t="s">
        <v>2046</v>
      </c>
      <c r="D1106" s="54">
        <v>500</v>
      </c>
      <c r="E1106" s="22">
        <f t="shared" si="17"/>
        <v>-6712.1500000000015</v>
      </c>
    </row>
    <row r="1107" spans="1:5" x14ac:dyDescent="0.25">
      <c r="A1107" s="6">
        <v>44062</v>
      </c>
      <c r="B1107" s="59" t="s">
        <v>2170</v>
      </c>
      <c r="C1107" s="50">
        <v>5000</v>
      </c>
      <c r="E1107" s="22">
        <f t="shared" si="17"/>
        <v>-1712.1500000000015</v>
      </c>
    </row>
    <row r="1108" spans="1:5" x14ac:dyDescent="0.25">
      <c r="A1108" s="6">
        <v>44062</v>
      </c>
      <c r="B1108" s="59" t="s">
        <v>2174</v>
      </c>
      <c r="D1108" s="54">
        <v>300</v>
      </c>
      <c r="E1108" s="22">
        <f t="shared" si="17"/>
        <v>-2012.1500000000015</v>
      </c>
    </row>
    <row r="1109" spans="1:5" x14ac:dyDescent="0.25">
      <c r="A1109" s="6">
        <v>44062</v>
      </c>
      <c r="B1109" s="59" t="s">
        <v>2060</v>
      </c>
      <c r="D1109" s="54">
        <v>1720</v>
      </c>
      <c r="E1109" s="22">
        <f t="shared" si="17"/>
        <v>-3732.1500000000015</v>
      </c>
    </row>
    <row r="1110" spans="1:5" x14ac:dyDescent="0.25">
      <c r="A1110" s="6">
        <v>44062</v>
      </c>
      <c r="B1110" s="59" t="s">
        <v>2176</v>
      </c>
      <c r="D1110" s="54">
        <v>5000</v>
      </c>
      <c r="E1110" s="22">
        <f t="shared" si="17"/>
        <v>-8732.1500000000015</v>
      </c>
    </row>
    <row r="1111" spans="1:5" x14ac:dyDescent="0.25">
      <c r="A1111" s="6">
        <v>44062</v>
      </c>
      <c r="B1111" s="59" t="s">
        <v>2102</v>
      </c>
      <c r="C1111" s="50">
        <v>3000</v>
      </c>
      <c r="E1111" s="22">
        <f t="shared" si="17"/>
        <v>-5732.1500000000015</v>
      </c>
    </row>
    <row r="1112" spans="1:5" x14ac:dyDescent="0.25">
      <c r="A1112" s="6">
        <v>44062</v>
      </c>
      <c r="B1112" s="59" t="s">
        <v>2178</v>
      </c>
      <c r="D1112" s="54">
        <v>1000</v>
      </c>
      <c r="E1112" s="22">
        <f t="shared" si="17"/>
        <v>-6732.1500000000015</v>
      </c>
    </row>
    <row r="1113" spans="1:5" x14ac:dyDescent="0.25">
      <c r="A1113" s="6">
        <v>44062</v>
      </c>
      <c r="B1113" s="59" t="s">
        <v>2177</v>
      </c>
      <c r="C1113" s="50">
        <v>2000</v>
      </c>
      <c r="E1113" s="22">
        <f t="shared" si="17"/>
        <v>-4732.1500000000015</v>
      </c>
    </row>
    <row r="1114" spans="1:5" x14ac:dyDescent="0.25">
      <c r="A1114" s="6">
        <v>44062</v>
      </c>
      <c r="B1114" s="59" t="s">
        <v>321</v>
      </c>
      <c r="C1114" s="50">
        <v>11000</v>
      </c>
      <c r="E1114" s="22">
        <f t="shared" si="17"/>
        <v>6267.8499999999985</v>
      </c>
    </row>
    <row r="1115" spans="1:5" x14ac:dyDescent="0.25">
      <c r="A1115" s="6">
        <v>44062</v>
      </c>
      <c r="B1115" s="59" t="s">
        <v>2179</v>
      </c>
      <c r="D1115" s="54">
        <v>9000</v>
      </c>
      <c r="E1115" s="22">
        <f t="shared" si="17"/>
        <v>-2732.1500000000015</v>
      </c>
    </row>
    <row r="1116" spans="1:5" x14ac:dyDescent="0.25">
      <c r="A1116" s="6">
        <v>44062</v>
      </c>
      <c r="B1116" s="59" t="s">
        <v>2022</v>
      </c>
      <c r="D1116" s="54">
        <v>1500</v>
      </c>
      <c r="E1116" s="22">
        <f t="shared" si="17"/>
        <v>-4232.1500000000015</v>
      </c>
    </row>
    <row r="1117" spans="1:5" x14ac:dyDescent="0.25">
      <c r="A1117" s="6">
        <v>44062</v>
      </c>
      <c r="B1117" s="59" t="s">
        <v>1948</v>
      </c>
      <c r="D1117" s="54">
        <v>500</v>
      </c>
      <c r="E1117" s="22">
        <f t="shared" si="17"/>
        <v>-4732.1500000000015</v>
      </c>
    </row>
    <row r="1118" spans="1:5" s="22" customFormat="1" x14ac:dyDescent="0.25">
      <c r="A1118" s="6">
        <v>44062</v>
      </c>
      <c r="B1118" s="59" t="s">
        <v>2181</v>
      </c>
      <c r="C1118" s="50"/>
      <c r="D1118" s="54">
        <v>50</v>
      </c>
      <c r="E1118" s="22">
        <f t="shared" si="17"/>
        <v>-4782.1500000000015</v>
      </c>
    </row>
    <row r="1119" spans="1:5" x14ac:dyDescent="0.25">
      <c r="A1119" s="6">
        <v>44063</v>
      </c>
      <c r="B1119" s="59" t="s">
        <v>2180</v>
      </c>
      <c r="C1119" s="50">
        <v>1600</v>
      </c>
      <c r="E1119" s="22">
        <f t="shared" si="17"/>
        <v>-3182.1500000000015</v>
      </c>
    </row>
    <row r="1120" spans="1:5" x14ac:dyDescent="0.25">
      <c r="A1120" s="6">
        <v>44063</v>
      </c>
      <c r="B1120" s="59" t="s">
        <v>2046</v>
      </c>
      <c r="D1120" s="54">
        <v>500</v>
      </c>
      <c r="E1120" s="22">
        <f t="shared" si="17"/>
        <v>-3682.1500000000015</v>
      </c>
    </row>
    <row r="1121" spans="1:5" x14ac:dyDescent="0.25">
      <c r="A1121" s="6">
        <v>44063</v>
      </c>
      <c r="B1121" s="59" t="s">
        <v>2138</v>
      </c>
      <c r="D1121" s="54">
        <v>500</v>
      </c>
      <c r="E1121" s="22">
        <f t="shared" si="17"/>
        <v>-4182.1500000000015</v>
      </c>
    </row>
    <row r="1122" spans="1:5" x14ac:dyDescent="0.25">
      <c r="A1122" s="6">
        <v>44063</v>
      </c>
      <c r="B1122" s="59" t="s">
        <v>1944</v>
      </c>
      <c r="D1122" s="54">
        <v>3800</v>
      </c>
      <c r="E1122" s="22">
        <f t="shared" si="17"/>
        <v>-7982.1500000000015</v>
      </c>
    </row>
    <row r="1123" spans="1:5" x14ac:dyDescent="0.25">
      <c r="A1123" s="6">
        <v>44063</v>
      </c>
      <c r="B1123" s="59" t="s">
        <v>2181</v>
      </c>
      <c r="D1123" s="54">
        <v>50</v>
      </c>
      <c r="E1123" s="22">
        <f t="shared" ref="E1123:E1188" si="18">E1122-D1123+C1123</f>
        <v>-8032.1500000000015</v>
      </c>
    </row>
    <row r="1124" spans="1:5" x14ac:dyDescent="0.25">
      <c r="A1124" s="6">
        <v>44064</v>
      </c>
      <c r="B1124" s="59" t="s">
        <v>2046</v>
      </c>
      <c r="D1124" s="54">
        <v>500</v>
      </c>
      <c r="E1124" s="22">
        <f t="shared" si="18"/>
        <v>-8532.1500000000015</v>
      </c>
    </row>
    <row r="1125" spans="1:5" x14ac:dyDescent="0.25">
      <c r="A1125" s="6">
        <v>44064</v>
      </c>
      <c r="B1125" s="59" t="s">
        <v>2183</v>
      </c>
      <c r="C1125" s="50">
        <v>2500</v>
      </c>
      <c r="E1125" s="22">
        <f t="shared" si="18"/>
        <v>-6032.1500000000015</v>
      </c>
    </row>
    <row r="1126" spans="1:5" x14ac:dyDescent="0.25">
      <c r="A1126" s="6">
        <v>44064</v>
      </c>
      <c r="B1126" s="59" t="s">
        <v>2186</v>
      </c>
      <c r="C1126" s="50">
        <v>500</v>
      </c>
      <c r="E1126" s="22">
        <f t="shared" si="18"/>
        <v>-5532.1500000000015</v>
      </c>
    </row>
    <row r="1127" spans="1:5" s="22" customFormat="1" x14ac:dyDescent="0.25">
      <c r="A1127" s="6">
        <v>44064</v>
      </c>
      <c r="B1127" s="59" t="s">
        <v>1946</v>
      </c>
      <c r="C1127" s="50"/>
      <c r="D1127" s="54">
        <v>2000</v>
      </c>
      <c r="E1127" s="22">
        <f t="shared" si="18"/>
        <v>-7532.1500000000015</v>
      </c>
    </row>
    <row r="1128" spans="1:5" x14ac:dyDescent="0.25">
      <c r="A1128" s="6">
        <v>44064</v>
      </c>
      <c r="B1128" s="59" t="s">
        <v>2187</v>
      </c>
      <c r="C1128" s="50">
        <v>3000</v>
      </c>
      <c r="E1128" s="22">
        <f t="shared" si="18"/>
        <v>-4532.1500000000015</v>
      </c>
    </row>
    <row r="1129" spans="1:5" x14ac:dyDescent="0.25">
      <c r="A1129" s="6">
        <v>44064</v>
      </c>
      <c r="B1129" s="59" t="s">
        <v>1944</v>
      </c>
      <c r="D1129" s="54">
        <v>1400</v>
      </c>
      <c r="E1129" s="22">
        <f t="shared" si="18"/>
        <v>-5932.1500000000015</v>
      </c>
    </row>
    <row r="1130" spans="1:5" x14ac:dyDescent="0.25">
      <c r="A1130" s="6">
        <v>44064</v>
      </c>
      <c r="B1130" s="59" t="s">
        <v>2181</v>
      </c>
      <c r="D1130" s="54">
        <v>150</v>
      </c>
      <c r="E1130" s="22">
        <f t="shared" si="18"/>
        <v>-6082.1500000000015</v>
      </c>
    </row>
    <row r="1131" spans="1:5" x14ac:dyDescent="0.25">
      <c r="A1131" s="6">
        <v>44064</v>
      </c>
      <c r="B1131" s="59" t="s">
        <v>2188</v>
      </c>
      <c r="C1131" s="50">
        <v>1000</v>
      </c>
      <c r="E1131" s="22">
        <f t="shared" si="18"/>
        <v>-5082.1500000000015</v>
      </c>
    </row>
    <row r="1132" spans="1:5" x14ac:dyDescent="0.25">
      <c r="A1132" s="6">
        <v>44065</v>
      </c>
      <c r="B1132" s="59" t="s">
        <v>2046</v>
      </c>
      <c r="D1132" s="54">
        <v>500</v>
      </c>
      <c r="E1132" s="22">
        <f t="shared" si="18"/>
        <v>-5582.1500000000015</v>
      </c>
    </row>
    <row r="1133" spans="1:5" x14ac:dyDescent="0.25">
      <c r="A1133" s="6">
        <v>44065</v>
      </c>
      <c r="B1133" s="59" t="s">
        <v>1948</v>
      </c>
      <c r="D1133" s="54">
        <v>1000</v>
      </c>
      <c r="E1133" s="22">
        <f t="shared" si="18"/>
        <v>-6582.1500000000015</v>
      </c>
    </row>
    <row r="1134" spans="1:5" x14ac:dyDescent="0.25">
      <c r="A1134" s="6">
        <v>44066</v>
      </c>
      <c r="B1134" s="59" t="s">
        <v>2046</v>
      </c>
      <c r="D1134" s="54">
        <v>500</v>
      </c>
      <c r="E1134" s="22">
        <f t="shared" si="18"/>
        <v>-7082.1500000000015</v>
      </c>
    </row>
    <row r="1135" spans="1:5" x14ac:dyDescent="0.25">
      <c r="A1135" s="6">
        <v>44067</v>
      </c>
      <c r="B1135" s="59" t="s">
        <v>2046</v>
      </c>
      <c r="D1135" s="54">
        <v>500</v>
      </c>
      <c r="E1135" s="22">
        <f t="shared" si="18"/>
        <v>-7582.1500000000015</v>
      </c>
    </row>
    <row r="1136" spans="1:5" x14ac:dyDescent="0.25">
      <c r="A1136" s="6">
        <v>44067</v>
      </c>
      <c r="B1136" s="59" t="s">
        <v>1948</v>
      </c>
      <c r="D1136" s="54">
        <v>800</v>
      </c>
      <c r="E1136" s="22">
        <f t="shared" si="18"/>
        <v>-8382.1500000000015</v>
      </c>
    </row>
    <row r="1137" spans="1:5" x14ac:dyDescent="0.25">
      <c r="A1137" s="6">
        <v>44067</v>
      </c>
      <c r="B1137" s="59" t="s">
        <v>93</v>
      </c>
      <c r="D1137" s="54">
        <v>500</v>
      </c>
      <c r="E1137" s="22">
        <f t="shared" si="18"/>
        <v>-8882.1500000000015</v>
      </c>
    </row>
    <row r="1138" spans="1:5" x14ac:dyDescent="0.25">
      <c r="A1138" s="6">
        <v>44067</v>
      </c>
      <c r="B1138" s="59" t="s">
        <v>2200</v>
      </c>
      <c r="C1138" s="50">
        <v>800</v>
      </c>
      <c r="E1138" s="22">
        <f t="shared" si="18"/>
        <v>-8082.1500000000015</v>
      </c>
    </row>
    <row r="1139" spans="1:5" x14ac:dyDescent="0.25">
      <c r="A1139" s="6">
        <v>44067</v>
      </c>
      <c r="B1139" s="59" t="s">
        <v>270</v>
      </c>
      <c r="C1139" s="50">
        <v>15000</v>
      </c>
      <c r="E1139" s="22">
        <f t="shared" si="18"/>
        <v>6917.8499999999985</v>
      </c>
    </row>
    <row r="1140" spans="1:5" x14ac:dyDescent="0.25">
      <c r="A1140" s="6">
        <v>44067</v>
      </c>
      <c r="B1140" s="59" t="s">
        <v>1943</v>
      </c>
      <c r="D1140" s="54">
        <v>1000</v>
      </c>
      <c r="E1140" s="22">
        <f t="shared" si="18"/>
        <v>5917.8499999999985</v>
      </c>
    </row>
    <row r="1141" spans="1:5" x14ac:dyDescent="0.25">
      <c r="A1141" s="6">
        <v>44067</v>
      </c>
      <c r="B1141" s="59" t="s">
        <v>2204</v>
      </c>
      <c r="D1141" s="54">
        <v>3000</v>
      </c>
      <c r="E1141" s="22">
        <f t="shared" si="18"/>
        <v>2917.8499999999985</v>
      </c>
    </row>
    <row r="1142" spans="1:5" x14ac:dyDescent="0.25">
      <c r="A1142" s="6">
        <v>44067</v>
      </c>
      <c r="B1142" s="59" t="s">
        <v>2205</v>
      </c>
      <c r="D1142" s="54">
        <v>5000</v>
      </c>
      <c r="E1142" s="22">
        <f t="shared" si="18"/>
        <v>-2082.1500000000015</v>
      </c>
    </row>
    <row r="1143" spans="1:5" x14ac:dyDescent="0.25">
      <c r="A1143" s="6">
        <v>44067</v>
      </c>
      <c r="B1143" s="59" t="s">
        <v>2059</v>
      </c>
      <c r="D1143" s="54">
        <v>5000</v>
      </c>
      <c r="E1143" s="22">
        <f t="shared" si="18"/>
        <v>-7082.1500000000015</v>
      </c>
    </row>
    <row r="1144" spans="1:5" x14ac:dyDescent="0.25">
      <c r="A1144" s="6">
        <v>44067</v>
      </c>
      <c r="B1144" s="59" t="s">
        <v>1649</v>
      </c>
      <c r="C1144" s="50">
        <v>500</v>
      </c>
      <c r="E1144" s="22">
        <f t="shared" si="18"/>
        <v>-6582.1500000000015</v>
      </c>
    </row>
    <row r="1145" spans="1:5" x14ac:dyDescent="0.25">
      <c r="A1145" s="6">
        <v>44068</v>
      </c>
      <c r="B1145" s="59" t="s">
        <v>2046</v>
      </c>
      <c r="D1145" s="54">
        <v>500</v>
      </c>
      <c r="E1145" s="22">
        <f t="shared" si="18"/>
        <v>-7082.1500000000015</v>
      </c>
    </row>
    <row r="1146" spans="1:5" x14ac:dyDescent="0.25">
      <c r="A1146" s="6">
        <v>44068</v>
      </c>
      <c r="B1146" s="6" t="s">
        <v>1986</v>
      </c>
      <c r="C1146" s="50">
        <v>1000</v>
      </c>
      <c r="E1146" s="22">
        <f t="shared" si="18"/>
        <v>-6082.1500000000015</v>
      </c>
    </row>
    <row r="1147" spans="1:5" x14ac:dyDescent="0.25">
      <c r="A1147" s="6">
        <v>44068</v>
      </c>
      <c r="B1147" s="59" t="s">
        <v>2212</v>
      </c>
      <c r="D1147" s="54">
        <v>1300</v>
      </c>
      <c r="E1147" s="22">
        <f t="shared" si="18"/>
        <v>-7382.1500000000015</v>
      </c>
    </row>
    <row r="1148" spans="1:5" x14ac:dyDescent="0.25">
      <c r="A1148" s="6">
        <v>44068</v>
      </c>
      <c r="B1148" s="59" t="s">
        <v>1979</v>
      </c>
      <c r="D1148" s="54">
        <v>200</v>
      </c>
      <c r="E1148" s="22">
        <f t="shared" si="18"/>
        <v>-7582.1500000000015</v>
      </c>
    </row>
    <row r="1149" spans="1:5" x14ac:dyDescent="0.25">
      <c r="A1149" s="6">
        <v>44068</v>
      </c>
      <c r="B1149" s="59" t="s">
        <v>1649</v>
      </c>
      <c r="C1149" s="50">
        <v>3000</v>
      </c>
      <c r="E1149" s="22">
        <f t="shared" si="18"/>
        <v>-4582.1500000000015</v>
      </c>
    </row>
    <row r="1150" spans="1:5" x14ac:dyDescent="0.25">
      <c r="A1150" s="6">
        <v>44068</v>
      </c>
      <c r="B1150" s="59" t="s">
        <v>1948</v>
      </c>
      <c r="D1150" s="54">
        <v>1000</v>
      </c>
      <c r="E1150" s="22">
        <f t="shared" si="18"/>
        <v>-5582.1500000000015</v>
      </c>
    </row>
    <row r="1151" spans="1:5" x14ac:dyDescent="0.25">
      <c r="A1151" s="6">
        <v>44068</v>
      </c>
      <c r="B1151" s="59" t="s">
        <v>1944</v>
      </c>
      <c r="D1151" s="54">
        <v>3000</v>
      </c>
      <c r="E1151" s="22">
        <f t="shared" si="18"/>
        <v>-8582.1500000000015</v>
      </c>
    </row>
    <row r="1152" spans="1:5" x14ac:dyDescent="0.25">
      <c r="A1152" s="6">
        <v>44068</v>
      </c>
      <c r="B1152" s="59" t="s">
        <v>2181</v>
      </c>
      <c r="D1152" s="54">
        <v>250</v>
      </c>
      <c r="E1152" s="22">
        <f t="shared" si="18"/>
        <v>-8832.1500000000015</v>
      </c>
    </row>
    <row r="1153" spans="1:5" x14ac:dyDescent="0.25">
      <c r="A1153" s="6">
        <v>44069</v>
      </c>
      <c r="B1153" s="59" t="s">
        <v>270</v>
      </c>
      <c r="C1153" s="50">
        <v>8000</v>
      </c>
      <c r="E1153" s="22">
        <f t="shared" si="18"/>
        <v>-832.15000000000146</v>
      </c>
    </row>
    <row r="1154" spans="1:5" x14ac:dyDescent="0.25">
      <c r="A1154" s="6">
        <v>44069</v>
      </c>
      <c r="B1154" s="59" t="s">
        <v>2046</v>
      </c>
      <c r="D1154" s="54">
        <v>500</v>
      </c>
      <c r="E1154" s="22">
        <f t="shared" si="18"/>
        <v>-1332.1500000000015</v>
      </c>
    </row>
    <row r="1155" spans="1:5" x14ac:dyDescent="0.25">
      <c r="A1155" s="6">
        <v>44069</v>
      </c>
      <c r="B1155" s="59" t="s">
        <v>2087</v>
      </c>
      <c r="D1155" s="54">
        <v>1000</v>
      </c>
      <c r="E1155" s="22">
        <f t="shared" si="18"/>
        <v>-2332.1500000000015</v>
      </c>
    </row>
    <row r="1156" spans="1:5" x14ac:dyDescent="0.25">
      <c r="A1156" s="6">
        <v>44069</v>
      </c>
      <c r="B1156" s="59" t="s">
        <v>1946</v>
      </c>
      <c r="D1156" s="54">
        <v>2000</v>
      </c>
      <c r="E1156" s="22">
        <f t="shared" si="18"/>
        <v>-4332.1500000000015</v>
      </c>
    </row>
    <row r="1157" spans="1:5" x14ac:dyDescent="0.25">
      <c r="A1157" s="6">
        <v>44069</v>
      </c>
      <c r="B1157" s="59" t="s">
        <v>1944</v>
      </c>
      <c r="D1157" s="54">
        <v>800</v>
      </c>
      <c r="E1157" s="22">
        <f t="shared" si="18"/>
        <v>-5132.1500000000015</v>
      </c>
    </row>
    <row r="1158" spans="1:5" x14ac:dyDescent="0.25">
      <c r="A1158" s="6">
        <v>44069</v>
      </c>
      <c r="B1158" s="59" t="s">
        <v>2221</v>
      </c>
      <c r="C1158" s="50">
        <v>5000</v>
      </c>
      <c r="E1158" s="22">
        <f t="shared" si="18"/>
        <v>-132.15000000000146</v>
      </c>
    </row>
    <row r="1159" spans="1:5" x14ac:dyDescent="0.25">
      <c r="A1159" s="6">
        <v>44069</v>
      </c>
      <c r="B1159" s="59" t="s">
        <v>1948</v>
      </c>
      <c r="D1159" s="54">
        <v>3000</v>
      </c>
      <c r="E1159" s="22">
        <f t="shared" si="18"/>
        <v>-3132.1500000000015</v>
      </c>
    </row>
    <row r="1160" spans="1:5" x14ac:dyDescent="0.25">
      <c r="A1160" s="6">
        <v>44069</v>
      </c>
      <c r="B1160" s="59" t="s">
        <v>1948</v>
      </c>
      <c r="D1160" s="54">
        <v>3300</v>
      </c>
      <c r="E1160" s="22">
        <f t="shared" si="18"/>
        <v>-6432.1500000000015</v>
      </c>
    </row>
    <row r="1161" spans="1:5" x14ac:dyDescent="0.25">
      <c r="A1161" s="6">
        <v>44070</v>
      </c>
      <c r="B1161" s="59" t="s">
        <v>1649</v>
      </c>
      <c r="C1161" s="50">
        <v>800</v>
      </c>
      <c r="E1161" s="22">
        <f t="shared" si="18"/>
        <v>-5632.1500000000015</v>
      </c>
    </row>
    <row r="1162" spans="1:5" x14ac:dyDescent="0.25">
      <c r="A1162" s="6">
        <v>44070</v>
      </c>
      <c r="B1162" s="59" t="s">
        <v>2046</v>
      </c>
      <c r="D1162" s="54">
        <v>500</v>
      </c>
      <c r="E1162" s="22">
        <f t="shared" si="18"/>
        <v>-6132.1500000000015</v>
      </c>
    </row>
    <row r="1163" spans="1:5" x14ac:dyDescent="0.25">
      <c r="A1163" s="6">
        <v>44070</v>
      </c>
      <c r="B1163" s="59" t="s">
        <v>129</v>
      </c>
      <c r="D1163" s="54">
        <v>400</v>
      </c>
      <c r="E1163" s="22">
        <f t="shared" si="18"/>
        <v>-6532.1500000000015</v>
      </c>
    </row>
    <row r="1164" spans="1:5" x14ac:dyDescent="0.25">
      <c r="A1164" s="6">
        <v>44071</v>
      </c>
      <c r="B1164" s="59" t="s">
        <v>321</v>
      </c>
      <c r="C1164" s="50">
        <v>9000</v>
      </c>
      <c r="E1164" s="22">
        <f t="shared" si="18"/>
        <v>2467.8499999999985</v>
      </c>
    </row>
    <row r="1165" spans="1:5" x14ac:dyDescent="0.25">
      <c r="A1165" s="6">
        <v>44071</v>
      </c>
      <c r="B1165" s="59" t="s">
        <v>2046</v>
      </c>
      <c r="D1165" s="54">
        <v>500</v>
      </c>
      <c r="E1165" s="22">
        <f t="shared" si="18"/>
        <v>1967.8499999999985</v>
      </c>
    </row>
    <row r="1166" spans="1:5" x14ac:dyDescent="0.25">
      <c r="A1166" s="6">
        <v>44071</v>
      </c>
      <c r="B1166" s="59" t="s">
        <v>1944</v>
      </c>
      <c r="D1166" s="54">
        <v>1200</v>
      </c>
      <c r="E1166" s="22">
        <f t="shared" si="18"/>
        <v>767.84999999999854</v>
      </c>
    </row>
    <row r="1167" spans="1:5" x14ac:dyDescent="0.25">
      <c r="A1167" s="6">
        <v>44072</v>
      </c>
      <c r="B1167" s="59" t="s">
        <v>2046</v>
      </c>
      <c r="D1167" s="54">
        <v>500</v>
      </c>
      <c r="E1167" s="22">
        <f t="shared" si="18"/>
        <v>267.84999999999854</v>
      </c>
    </row>
    <row r="1168" spans="1:5" x14ac:dyDescent="0.25">
      <c r="A1168" s="6">
        <v>44072</v>
      </c>
      <c r="B1168" s="59" t="s">
        <v>2232</v>
      </c>
      <c r="D1168" s="54">
        <v>500</v>
      </c>
      <c r="E1168" s="22">
        <f t="shared" si="18"/>
        <v>-232.15000000000146</v>
      </c>
    </row>
    <row r="1169" spans="1:5" x14ac:dyDescent="0.25">
      <c r="A1169" s="6">
        <v>44072</v>
      </c>
      <c r="B1169" s="59" t="s">
        <v>1694</v>
      </c>
      <c r="C1169" s="50">
        <v>5000</v>
      </c>
      <c r="E1169" s="22">
        <f t="shared" si="18"/>
        <v>4767.8499999999985</v>
      </c>
    </row>
    <row r="1170" spans="1:5" x14ac:dyDescent="0.25">
      <c r="A1170" s="6">
        <v>44073</v>
      </c>
      <c r="B1170" s="59" t="s">
        <v>2046</v>
      </c>
      <c r="D1170" s="2">
        <v>500</v>
      </c>
      <c r="E1170" s="22">
        <f t="shared" si="18"/>
        <v>4267.8499999999985</v>
      </c>
    </row>
    <row r="1171" spans="1:5" x14ac:dyDescent="0.25">
      <c r="A1171" s="6">
        <v>44073</v>
      </c>
      <c r="B1171" s="59" t="s">
        <v>1948</v>
      </c>
      <c r="D1171" s="2">
        <v>2300</v>
      </c>
      <c r="E1171" s="22">
        <f t="shared" si="18"/>
        <v>1967.8499999999985</v>
      </c>
    </row>
    <row r="1172" spans="1:5" x14ac:dyDescent="0.25">
      <c r="A1172" s="6">
        <v>44073</v>
      </c>
      <c r="B1172" s="59" t="s">
        <v>2241</v>
      </c>
      <c r="D1172" s="2">
        <v>1000</v>
      </c>
      <c r="E1172" s="22">
        <f t="shared" si="18"/>
        <v>967.84999999999854</v>
      </c>
    </row>
    <row r="1173" spans="1:5" x14ac:dyDescent="0.25">
      <c r="A1173" s="6">
        <v>44074</v>
      </c>
      <c r="B1173" s="59" t="s">
        <v>2239</v>
      </c>
      <c r="D1173" s="2">
        <v>500</v>
      </c>
      <c r="E1173" s="22">
        <f t="shared" si="18"/>
        <v>467.84999999999854</v>
      </c>
    </row>
    <row r="1174" spans="1:5" x14ac:dyDescent="0.25">
      <c r="A1174" s="6">
        <v>44074</v>
      </c>
      <c r="B1174" s="6" t="s">
        <v>1948</v>
      </c>
      <c r="D1174" s="2">
        <v>300</v>
      </c>
      <c r="E1174" s="22">
        <f t="shared" si="18"/>
        <v>167.84999999999854</v>
      </c>
    </row>
    <row r="1175" spans="1:5" x14ac:dyDescent="0.25">
      <c r="A1175" s="6">
        <v>44074</v>
      </c>
      <c r="B1175" s="6" t="s">
        <v>2242</v>
      </c>
      <c r="D1175" s="2">
        <v>2000</v>
      </c>
      <c r="E1175" s="22">
        <f t="shared" si="18"/>
        <v>-1832.1500000000015</v>
      </c>
    </row>
    <row r="1176" spans="1:5" x14ac:dyDescent="0.25">
      <c r="A1176" s="6">
        <v>44074</v>
      </c>
      <c r="B1176" s="59" t="s">
        <v>2245</v>
      </c>
      <c r="C1176" s="50">
        <v>3000</v>
      </c>
      <c r="E1176" s="22">
        <f t="shared" si="18"/>
        <v>1167.8499999999985</v>
      </c>
    </row>
    <row r="1177" spans="1:5" x14ac:dyDescent="0.25">
      <c r="A1177" s="6">
        <v>44074</v>
      </c>
      <c r="B1177" s="59" t="s">
        <v>2062</v>
      </c>
      <c r="D1177" s="54">
        <v>4000</v>
      </c>
      <c r="E1177" s="22">
        <f t="shared" si="18"/>
        <v>-2832.1500000000015</v>
      </c>
    </row>
    <row r="1178" spans="1:5" x14ac:dyDescent="0.25">
      <c r="A1178" s="6">
        <v>44074</v>
      </c>
      <c r="B1178" s="59" t="s">
        <v>270</v>
      </c>
      <c r="C1178" s="50">
        <v>9500</v>
      </c>
      <c r="E1178" s="22">
        <f t="shared" si="18"/>
        <v>6667.8499999999985</v>
      </c>
    </row>
    <row r="1179" spans="1:5" x14ac:dyDescent="0.25">
      <c r="A1179" s="6">
        <v>44074</v>
      </c>
      <c r="B1179" s="59" t="s">
        <v>2249</v>
      </c>
      <c r="D1179" s="54">
        <v>2500</v>
      </c>
      <c r="E1179" s="22">
        <f t="shared" si="18"/>
        <v>4167.8499999999985</v>
      </c>
    </row>
    <row r="1180" spans="1:5" x14ac:dyDescent="0.25">
      <c r="A1180" s="6">
        <v>44074</v>
      </c>
      <c r="B1180" s="59" t="s">
        <v>2060</v>
      </c>
      <c r="D1180" s="54">
        <v>5000</v>
      </c>
      <c r="E1180" s="22">
        <f t="shared" si="18"/>
        <v>-832.15000000000146</v>
      </c>
    </row>
    <row r="1181" spans="1:5" x14ac:dyDescent="0.25">
      <c r="A1181" s="6">
        <v>44074</v>
      </c>
      <c r="B1181" s="59" t="s">
        <v>1948</v>
      </c>
      <c r="D1181" s="54">
        <v>2000</v>
      </c>
      <c r="E1181" s="22">
        <f t="shared" si="18"/>
        <v>-2832.1500000000015</v>
      </c>
    </row>
    <row r="1182" spans="1:5" x14ac:dyDescent="0.25">
      <c r="A1182" s="6">
        <v>44074</v>
      </c>
      <c r="B1182" s="59" t="s">
        <v>2062</v>
      </c>
      <c r="D1182" s="54">
        <v>3000</v>
      </c>
      <c r="E1182" s="22">
        <f t="shared" si="18"/>
        <v>-5832.1500000000015</v>
      </c>
    </row>
    <row r="1183" spans="1:5" s="22" customFormat="1" x14ac:dyDescent="0.25">
      <c r="A1183" s="6">
        <v>44075</v>
      </c>
      <c r="B1183" s="59" t="s">
        <v>2397</v>
      </c>
      <c r="C1183" s="50"/>
      <c r="D1183" s="58">
        <v>2349.9999999999986</v>
      </c>
      <c r="E1183" s="22">
        <f t="shared" si="18"/>
        <v>-8182.15</v>
      </c>
    </row>
    <row r="1184" spans="1:5" s="22" customFormat="1" x14ac:dyDescent="0.25">
      <c r="A1184" s="6">
        <v>44075</v>
      </c>
      <c r="B1184" s="59" t="s">
        <v>2393</v>
      </c>
      <c r="C1184" s="50">
        <v>1000</v>
      </c>
      <c r="D1184" s="54"/>
      <c r="E1184" s="22">
        <f t="shared" si="18"/>
        <v>-7182.15</v>
      </c>
    </row>
    <row r="1185" spans="1:11" s="22" customFormat="1" x14ac:dyDescent="0.25">
      <c r="A1185" s="6">
        <v>44075</v>
      </c>
      <c r="B1185" s="61" t="s">
        <v>334</v>
      </c>
      <c r="C1185" s="50"/>
      <c r="D1185" s="54">
        <v>1000</v>
      </c>
      <c r="E1185" s="22">
        <f t="shared" si="18"/>
        <v>-8182.15</v>
      </c>
    </row>
    <row r="1186" spans="1:11" s="22" customFormat="1" x14ac:dyDescent="0.25">
      <c r="A1186" s="6">
        <v>44075</v>
      </c>
      <c r="B1186" s="62" t="s">
        <v>2239</v>
      </c>
      <c r="C1186" s="50"/>
      <c r="D1186" s="54">
        <v>500</v>
      </c>
      <c r="E1186" s="22">
        <f t="shared" si="18"/>
        <v>-8682.15</v>
      </c>
    </row>
    <row r="1187" spans="1:11" s="22" customFormat="1" x14ac:dyDescent="0.25">
      <c r="A1187" s="6">
        <v>44075</v>
      </c>
      <c r="B1187" s="59" t="s">
        <v>2394</v>
      </c>
      <c r="C1187" s="50">
        <v>400</v>
      </c>
      <c r="D1187" s="54"/>
      <c r="E1187" s="22">
        <f t="shared" si="18"/>
        <v>-8282.15</v>
      </c>
    </row>
    <row r="1188" spans="1:11" s="22" customFormat="1" x14ac:dyDescent="0.25">
      <c r="A1188" s="6">
        <v>44075</v>
      </c>
      <c r="B1188" s="59" t="s">
        <v>2395</v>
      </c>
      <c r="C1188" s="50"/>
      <c r="D1188" s="54">
        <v>500</v>
      </c>
      <c r="E1188" s="22">
        <f t="shared" si="18"/>
        <v>-8782.15</v>
      </c>
    </row>
    <row r="1189" spans="1:11" s="22" customFormat="1" x14ac:dyDescent="0.25">
      <c r="A1189" s="6">
        <v>44075</v>
      </c>
      <c r="B1189" s="59" t="s">
        <v>321</v>
      </c>
      <c r="C1189" s="50">
        <v>15000</v>
      </c>
      <c r="D1189" s="54"/>
      <c r="E1189" s="22">
        <f t="shared" ref="E1189:E1214" si="19">E1188-D1189+C1189</f>
        <v>6217.85</v>
      </c>
    </row>
    <row r="1190" spans="1:11" s="22" customFormat="1" x14ac:dyDescent="0.25">
      <c r="A1190" s="6">
        <v>44075</v>
      </c>
      <c r="B1190" s="59" t="s">
        <v>2396</v>
      </c>
      <c r="C1190" s="50"/>
      <c r="D1190" s="54">
        <v>500</v>
      </c>
      <c r="E1190" s="22">
        <f t="shared" si="19"/>
        <v>5717.85</v>
      </c>
    </row>
    <row r="1191" spans="1:11" s="22" customFormat="1" x14ac:dyDescent="0.25">
      <c r="A1191" s="6">
        <v>44075</v>
      </c>
      <c r="B1191" s="59" t="s">
        <v>2060</v>
      </c>
      <c r="C1191" s="50"/>
      <c r="D1191" s="54">
        <v>1000</v>
      </c>
      <c r="E1191" s="22">
        <f t="shared" si="19"/>
        <v>4717.8500000000004</v>
      </c>
    </row>
    <row r="1192" spans="1:11" s="22" customFormat="1" x14ac:dyDescent="0.25">
      <c r="A1192" s="6">
        <v>44075</v>
      </c>
      <c r="B1192" s="59" t="s">
        <v>2062</v>
      </c>
      <c r="C1192" s="50"/>
      <c r="D1192" s="54">
        <v>9000</v>
      </c>
      <c r="E1192" s="22">
        <f t="shared" si="19"/>
        <v>-4282.1499999999996</v>
      </c>
    </row>
    <row r="1193" spans="1:11" s="22" customFormat="1" x14ac:dyDescent="0.25">
      <c r="A1193" s="6">
        <v>44075</v>
      </c>
      <c r="B1193" s="59" t="s">
        <v>2231</v>
      </c>
      <c r="C1193" s="50"/>
      <c r="D1193" s="54">
        <v>500</v>
      </c>
      <c r="E1193" s="22">
        <f t="shared" si="19"/>
        <v>-4782.1499999999996</v>
      </c>
    </row>
    <row r="1194" spans="1:11" x14ac:dyDescent="0.25">
      <c r="A1194" s="6">
        <v>44075</v>
      </c>
      <c r="B1194" s="59" t="s">
        <v>2286</v>
      </c>
      <c r="D1194" s="54">
        <v>300</v>
      </c>
      <c r="E1194" s="22">
        <f t="shared" si="19"/>
        <v>-5082.1499999999996</v>
      </c>
    </row>
    <row r="1195" spans="1:11" s="22" customFormat="1" x14ac:dyDescent="0.25">
      <c r="A1195" s="6">
        <v>44076</v>
      </c>
      <c r="B1195" s="59" t="s">
        <v>2062</v>
      </c>
      <c r="C1195" s="50"/>
      <c r="D1195" s="54">
        <v>2500</v>
      </c>
      <c r="E1195" s="22">
        <f t="shared" si="19"/>
        <v>-7582.15</v>
      </c>
    </row>
    <row r="1196" spans="1:11" x14ac:dyDescent="0.25">
      <c r="A1196" s="6">
        <v>44076</v>
      </c>
      <c r="B1196" s="59" t="s">
        <v>2274</v>
      </c>
      <c r="C1196" s="50">
        <v>44000</v>
      </c>
      <c r="E1196" s="22">
        <f t="shared" si="19"/>
        <v>36417.85</v>
      </c>
      <c r="J1196">
        <f>426*5</f>
        <v>2130</v>
      </c>
      <c r="K1196">
        <v>28</v>
      </c>
    </row>
    <row r="1197" spans="1:11" x14ac:dyDescent="0.25">
      <c r="A1197" s="6">
        <v>44076</v>
      </c>
      <c r="B1197" s="59" t="s">
        <v>2273</v>
      </c>
      <c r="D1197" s="54">
        <v>10000</v>
      </c>
      <c r="E1197" s="22">
        <f t="shared" si="19"/>
        <v>26417.85</v>
      </c>
      <c r="G1197" s="6">
        <v>44075</v>
      </c>
      <c r="H1197" s="59" t="s">
        <v>2087</v>
      </c>
      <c r="I1197" s="50"/>
      <c r="J1197" s="54">
        <v>2000</v>
      </c>
    </row>
    <row r="1198" spans="1:11" x14ac:dyDescent="0.25">
      <c r="A1198" s="6">
        <v>44076</v>
      </c>
      <c r="B1198" s="59" t="s">
        <v>2275</v>
      </c>
      <c r="D1198" s="54">
        <v>3500</v>
      </c>
      <c r="E1198" s="22">
        <f t="shared" si="19"/>
        <v>22917.85</v>
      </c>
    </row>
    <row r="1199" spans="1:11" x14ac:dyDescent="0.25">
      <c r="A1199" s="6">
        <v>44077</v>
      </c>
      <c r="B1199" s="59" t="s">
        <v>2273</v>
      </c>
      <c r="D1199" s="54">
        <v>10000</v>
      </c>
      <c r="E1199" s="22">
        <f t="shared" si="19"/>
        <v>12917.849999999999</v>
      </c>
    </row>
    <row r="1200" spans="1:11" x14ac:dyDescent="0.25">
      <c r="A1200" s="6">
        <v>44077</v>
      </c>
      <c r="B1200" s="59" t="s">
        <v>1944</v>
      </c>
      <c r="D1200" s="54">
        <v>2000</v>
      </c>
      <c r="E1200" s="22">
        <f t="shared" si="19"/>
        <v>10917.849999999999</v>
      </c>
    </row>
    <row r="1201" spans="1:10" x14ac:dyDescent="0.25">
      <c r="A1201" s="6">
        <v>44077</v>
      </c>
      <c r="B1201" s="59" t="s">
        <v>2062</v>
      </c>
      <c r="D1201" s="54">
        <v>7000</v>
      </c>
      <c r="E1201" s="22">
        <f t="shared" si="19"/>
        <v>3917.8499999999985</v>
      </c>
    </row>
    <row r="1202" spans="1:10" s="22" customFormat="1" x14ac:dyDescent="0.25">
      <c r="A1202" s="6">
        <v>44077</v>
      </c>
      <c r="B1202" s="59" t="s">
        <v>2239</v>
      </c>
      <c r="C1202" s="50"/>
      <c r="D1202" s="54">
        <v>500</v>
      </c>
      <c r="E1202" s="22">
        <f t="shared" si="19"/>
        <v>3417.8499999999985</v>
      </c>
    </row>
    <row r="1203" spans="1:10" s="22" customFormat="1" x14ac:dyDescent="0.25">
      <c r="A1203" s="6">
        <v>44077</v>
      </c>
      <c r="B1203" s="59" t="s">
        <v>270</v>
      </c>
      <c r="C1203" s="50">
        <v>8000</v>
      </c>
      <c r="D1203" s="54"/>
      <c r="E1203" s="22">
        <f t="shared" si="19"/>
        <v>11417.849999999999</v>
      </c>
    </row>
    <row r="1204" spans="1:10" s="22" customFormat="1" x14ac:dyDescent="0.25">
      <c r="A1204" s="6">
        <v>44078</v>
      </c>
      <c r="B1204" s="59" t="s">
        <v>2273</v>
      </c>
      <c r="C1204" s="50"/>
      <c r="D1204" s="54">
        <v>19000</v>
      </c>
      <c r="E1204" s="22">
        <f t="shared" si="19"/>
        <v>-7582.1500000000015</v>
      </c>
    </row>
    <row r="1205" spans="1:10" x14ac:dyDescent="0.25">
      <c r="A1205" s="6">
        <v>44078</v>
      </c>
      <c r="B1205" s="59" t="s">
        <v>2271</v>
      </c>
      <c r="D1205" s="54">
        <v>500</v>
      </c>
      <c r="E1205" s="22">
        <f>E1203-D1205+C1205</f>
        <v>10917.849999999999</v>
      </c>
    </row>
    <row r="1206" spans="1:10" x14ac:dyDescent="0.25">
      <c r="A1206" s="6">
        <v>44078</v>
      </c>
      <c r="B1206" s="59" t="s">
        <v>2273</v>
      </c>
      <c r="C1206" s="51">
        <v>2350</v>
      </c>
      <c r="D1206" s="54">
        <v>19000</v>
      </c>
      <c r="E1206" s="22">
        <f t="shared" si="19"/>
        <v>-5732.1500000000015</v>
      </c>
      <c r="F1206">
        <v>-7582.15</v>
      </c>
      <c r="J1206">
        <f>44000+19000-49000</f>
        <v>14000</v>
      </c>
    </row>
    <row r="1207" spans="1:10" x14ac:dyDescent="0.25">
      <c r="A1207" s="6">
        <v>44078</v>
      </c>
      <c r="B1207" s="59" t="s">
        <v>2175</v>
      </c>
      <c r="C1207" s="50">
        <v>2000</v>
      </c>
      <c r="E1207" s="22">
        <f t="shared" si="19"/>
        <v>-3732.1500000000015</v>
      </c>
    </row>
    <row r="1208" spans="1:10" x14ac:dyDescent="0.25">
      <c r="A1208" s="6">
        <v>44078</v>
      </c>
      <c r="C1208" s="50">
        <v>21500</v>
      </c>
      <c r="E1208" s="22">
        <f t="shared" si="19"/>
        <v>17767.849999999999</v>
      </c>
    </row>
    <row r="1209" spans="1:10" x14ac:dyDescent="0.25">
      <c r="A1209" s="6">
        <v>44078</v>
      </c>
      <c r="B1209" s="59" t="s">
        <v>2134</v>
      </c>
      <c r="C1209" s="50">
        <v>3000</v>
      </c>
      <c r="E1209" s="22">
        <f t="shared" si="19"/>
        <v>20767.849999999999</v>
      </c>
    </row>
    <row r="1210" spans="1:10" x14ac:dyDescent="0.25">
      <c r="A1210" s="6">
        <v>44078</v>
      </c>
      <c r="B1210" s="59" t="s">
        <v>2282</v>
      </c>
      <c r="D1210" s="54">
        <v>10000</v>
      </c>
      <c r="E1210" s="22">
        <f t="shared" si="19"/>
        <v>10767.849999999999</v>
      </c>
    </row>
    <row r="1211" spans="1:10" x14ac:dyDescent="0.25">
      <c r="A1211" s="6">
        <v>44079</v>
      </c>
      <c r="B1211" s="59" t="s">
        <v>2283</v>
      </c>
      <c r="D1211" s="54">
        <v>100</v>
      </c>
      <c r="E1211" s="22">
        <f t="shared" si="19"/>
        <v>10667.849999999999</v>
      </c>
    </row>
    <row r="1212" spans="1:10" s="22" customFormat="1" x14ac:dyDescent="0.25">
      <c r="A1212" s="6">
        <v>44079</v>
      </c>
      <c r="B1212" s="59" t="s">
        <v>2285</v>
      </c>
      <c r="C1212" s="50"/>
      <c r="D1212" s="54">
        <v>100</v>
      </c>
      <c r="E1212" s="22">
        <f t="shared" si="19"/>
        <v>10567.849999999999</v>
      </c>
    </row>
    <row r="1213" spans="1:10" x14ac:dyDescent="0.25">
      <c r="A1213" s="6">
        <v>44079</v>
      </c>
      <c r="B1213" s="59" t="s">
        <v>2239</v>
      </c>
      <c r="D1213" s="54">
        <v>500</v>
      </c>
      <c r="E1213" s="22">
        <f t="shared" si="19"/>
        <v>10067.849999999999</v>
      </c>
    </row>
    <row r="1214" spans="1:10" x14ac:dyDescent="0.25">
      <c r="A1214" s="6">
        <v>44079</v>
      </c>
      <c r="B1214" s="59" t="s">
        <v>2062</v>
      </c>
      <c r="D1214" s="54">
        <v>10000</v>
      </c>
      <c r="E1214" s="22">
        <f t="shared" si="19"/>
        <v>67.849999999998545</v>
      </c>
    </row>
    <row r="1215" spans="1:10" x14ac:dyDescent="0.25">
      <c r="A1215" s="6">
        <v>44079</v>
      </c>
      <c r="B1215" s="59" t="s">
        <v>2284</v>
      </c>
      <c r="C1215" s="50">
        <v>5000</v>
      </c>
      <c r="E1215" s="22">
        <f t="shared" ref="E1215:E1252" si="20">E1214-D1215+C1215</f>
        <v>5067.8499999999985</v>
      </c>
    </row>
    <row r="1216" spans="1:10" x14ac:dyDescent="0.25">
      <c r="A1216" s="6">
        <v>44079</v>
      </c>
      <c r="B1216" s="59" t="s">
        <v>292</v>
      </c>
      <c r="D1216" s="54">
        <v>3400</v>
      </c>
      <c r="E1216" s="22">
        <f t="shared" si="20"/>
        <v>1667.8499999999985</v>
      </c>
    </row>
    <row r="1217" spans="1:5" x14ac:dyDescent="0.25">
      <c r="A1217" s="6">
        <v>44080</v>
      </c>
      <c r="B1217" s="59" t="s">
        <v>2299</v>
      </c>
      <c r="D1217" s="54">
        <v>3500</v>
      </c>
      <c r="E1217" s="22">
        <f t="shared" si="20"/>
        <v>-1832.1500000000015</v>
      </c>
    </row>
    <row r="1218" spans="1:5" x14ac:dyDescent="0.25">
      <c r="A1218" s="6">
        <v>44080</v>
      </c>
      <c r="B1218" s="59" t="s">
        <v>2239</v>
      </c>
      <c r="D1218" s="54">
        <v>500</v>
      </c>
      <c r="E1218" s="22">
        <f t="shared" si="20"/>
        <v>-2332.1500000000015</v>
      </c>
    </row>
    <row r="1219" spans="1:5" x14ac:dyDescent="0.25">
      <c r="A1219" s="6">
        <v>44081</v>
      </c>
      <c r="B1219" s="59" t="s">
        <v>2300</v>
      </c>
      <c r="C1219" s="50">
        <v>500</v>
      </c>
      <c r="E1219" s="22">
        <f t="shared" si="20"/>
        <v>-1832.1500000000015</v>
      </c>
    </row>
    <row r="1220" spans="1:5" x14ac:dyDescent="0.25">
      <c r="A1220" s="6">
        <v>44081</v>
      </c>
      <c r="B1220" s="59" t="s">
        <v>2286</v>
      </c>
      <c r="D1220" s="54">
        <v>100</v>
      </c>
      <c r="E1220" s="22">
        <f t="shared" si="20"/>
        <v>-1932.1500000000015</v>
      </c>
    </row>
    <row r="1221" spans="1:5" x14ac:dyDescent="0.25">
      <c r="A1221" s="6">
        <v>44081</v>
      </c>
      <c r="B1221" s="59" t="s">
        <v>1926</v>
      </c>
      <c r="C1221" s="50">
        <v>5000</v>
      </c>
      <c r="E1221" s="22">
        <f t="shared" si="20"/>
        <v>3067.8499999999985</v>
      </c>
    </row>
    <row r="1222" spans="1:5" x14ac:dyDescent="0.25">
      <c r="A1222" s="6">
        <v>44081</v>
      </c>
      <c r="B1222" s="59" t="s">
        <v>1948</v>
      </c>
      <c r="D1222" s="54">
        <v>3500</v>
      </c>
      <c r="E1222" s="22">
        <f t="shared" si="20"/>
        <v>-432.15000000000146</v>
      </c>
    </row>
    <row r="1223" spans="1:5" x14ac:dyDescent="0.25">
      <c r="A1223" s="6">
        <v>44081</v>
      </c>
      <c r="B1223" s="59" t="s">
        <v>2301</v>
      </c>
      <c r="D1223" s="54">
        <v>200</v>
      </c>
      <c r="E1223" s="22">
        <f t="shared" si="20"/>
        <v>-632.15000000000146</v>
      </c>
    </row>
    <row r="1224" spans="1:5" x14ac:dyDescent="0.25">
      <c r="A1224" s="6">
        <v>44081</v>
      </c>
      <c r="B1224" s="59" t="s">
        <v>2302</v>
      </c>
      <c r="D1224" s="54">
        <v>200</v>
      </c>
      <c r="E1224" s="22">
        <f t="shared" si="20"/>
        <v>-832.15000000000146</v>
      </c>
    </row>
    <row r="1225" spans="1:5" x14ac:dyDescent="0.25">
      <c r="A1225" s="6">
        <v>44081</v>
      </c>
      <c r="B1225" s="59" t="s">
        <v>2303</v>
      </c>
      <c r="D1225" s="54">
        <v>900</v>
      </c>
      <c r="E1225" s="22">
        <f t="shared" si="20"/>
        <v>-1732.1500000000015</v>
      </c>
    </row>
    <row r="1226" spans="1:5" x14ac:dyDescent="0.25">
      <c r="A1226" s="6">
        <v>44081</v>
      </c>
      <c r="B1226" s="59" t="s">
        <v>2288</v>
      </c>
      <c r="D1226" s="54">
        <v>100</v>
      </c>
      <c r="E1226" s="22">
        <f t="shared" si="20"/>
        <v>-1832.1500000000015</v>
      </c>
    </row>
    <row r="1227" spans="1:5" x14ac:dyDescent="0.25">
      <c r="A1227" s="6">
        <v>44081</v>
      </c>
      <c r="B1227" s="59" t="s">
        <v>2062</v>
      </c>
      <c r="D1227" s="54">
        <v>1600</v>
      </c>
      <c r="E1227" s="22">
        <f t="shared" si="20"/>
        <v>-3432.1500000000015</v>
      </c>
    </row>
    <row r="1228" spans="1:5" x14ac:dyDescent="0.25">
      <c r="A1228" s="6">
        <v>44081</v>
      </c>
      <c r="B1228" s="59" t="s">
        <v>2304</v>
      </c>
      <c r="D1228" s="54">
        <v>200</v>
      </c>
      <c r="E1228" s="22">
        <f t="shared" si="20"/>
        <v>-3632.1500000000015</v>
      </c>
    </row>
    <row r="1229" spans="1:5" x14ac:dyDescent="0.25">
      <c r="A1229" s="6">
        <v>44081</v>
      </c>
      <c r="B1229" s="59" t="s">
        <v>2305</v>
      </c>
      <c r="D1229" s="54">
        <v>200</v>
      </c>
      <c r="E1229" s="22">
        <f t="shared" si="20"/>
        <v>-3832.1500000000015</v>
      </c>
    </row>
    <row r="1230" spans="1:5" x14ac:dyDescent="0.25">
      <c r="A1230" s="6">
        <v>44081</v>
      </c>
      <c r="B1230" s="59" t="s">
        <v>1979</v>
      </c>
      <c r="D1230" s="54">
        <v>200</v>
      </c>
      <c r="E1230" s="22">
        <f t="shared" si="20"/>
        <v>-4032.1500000000015</v>
      </c>
    </row>
    <row r="1231" spans="1:5" x14ac:dyDescent="0.25">
      <c r="A1231" s="6">
        <v>44081</v>
      </c>
      <c r="B1231" s="59" t="s">
        <v>2306</v>
      </c>
      <c r="C1231" s="50">
        <v>7000</v>
      </c>
      <c r="E1231" s="22">
        <f t="shared" si="20"/>
        <v>2967.8499999999985</v>
      </c>
    </row>
    <row r="1232" spans="1:5" x14ac:dyDescent="0.25">
      <c r="A1232" s="6">
        <v>44081</v>
      </c>
      <c r="B1232" s="59" t="s">
        <v>2060</v>
      </c>
      <c r="D1232" s="54">
        <v>5000</v>
      </c>
      <c r="E1232" s="22">
        <f t="shared" si="20"/>
        <v>-2032.1500000000015</v>
      </c>
    </row>
    <row r="1233" spans="1:6" x14ac:dyDescent="0.25">
      <c r="A1233" s="6">
        <v>44082</v>
      </c>
      <c r="B1233" s="59" t="s">
        <v>270</v>
      </c>
      <c r="C1233" s="50">
        <v>8000</v>
      </c>
      <c r="E1233" s="22">
        <f t="shared" si="20"/>
        <v>5967.8499999999985</v>
      </c>
    </row>
    <row r="1234" spans="1:6" x14ac:dyDescent="0.25">
      <c r="A1234" s="6">
        <v>44082</v>
      </c>
      <c r="B1234" s="59" t="s">
        <v>2239</v>
      </c>
      <c r="D1234" s="54">
        <v>500</v>
      </c>
      <c r="E1234" s="22">
        <f t="shared" si="20"/>
        <v>5467.8499999999985</v>
      </c>
    </row>
    <row r="1235" spans="1:6" x14ac:dyDescent="0.25">
      <c r="A1235" s="6">
        <v>44082</v>
      </c>
      <c r="B1235" s="59" t="s">
        <v>2350</v>
      </c>
      <c r="D1235" s="54">
        <v>500</v>
      </c>
      <c r="E1235" s="22">
        <f t="shared" si="20"/>
        <v>4967.8499999999985</v>
      </c>
    </row>
    <row r="1236" spans="1:6" x14ac:dyDescent="0.25">
      <c r="A1236" s="6">
        <v>44082</v>
      </c>
      <c r="B1236" s="59" t="s">
        <v>1948</v>
      </c>
      <c r="D1236" s="54">
        <v>4200</v>
      </c>
      <c r="E1236" s="22">
        <f t="shared" si="20"/>
        <v>767.84999999999854</v>
      </c>
    </row>
    <row r="1237" spans="1:6" x14ac:dyDescent="0.25">
      <c r="A1237" s="6">
        <v>44082</v>
      </c>
      <c r="B1237" s="59" t="s">
        <v>2351</v>
      </c>
      <c r="D1237" s="54">
        <v>1000</v>
      </c>
      <c r="E1237" s="22">
        <f t="shared" si="20"/>
        <v>-232.15000000000146</v>
      </c>
    </row>
    <row r="1238" spans="1:6" x14ac:dyDescent="0.25">
      <c r="A1238" s="6">
        <v>44082</v>
      </c>
      <c r="B1238" s="59" t="s">
        <v>2352</v>
      </c>
      <c r="D1238" s="54">
        <v>200</v>
      </c>
      <c r="E1238" s="22">
        <f t="shared" si="20"/>
        <v>-432.15000000000146</v>
      </c>
    </row>
    <row r="1239" spans="1:6" x14ac:dyDescent="0.25">
      <c r="A1239" s="6">
        <v>44082</v>
      </c>
      <c r="B1239" s="59" t="s">
        <v>2353</v>
      </c>
      <c r="D1239" s="54">
        <v>200</v>
      </c>
      <c r="E1239" s="22">
        <f t="shared" si="20"/>
        <v>-632.15000000000146</v>
      </c>
    </row>
    <row r="1240" spans="1:6" x14ac:dyDescent="0.25">
      <c r="A1240" s="6">
        <v>44082</v>
      </c>
      <c r="B1240" s="59" t="s">
        <v>2273</v>
      </c>
      <c r="D1240" s="54">
        <v>10000</v>
      </c>
      <c r="E1240" s="22">
        <f t="shared" si="20"/>
        <v>-10632.150000000001</v>
      </c>
    </row>
    <row r="1241" spans="1:6" x14ac:dyDescent="0.25">
      <c r="A1241" s="6">
        <v>44082</v>
      </c>
      <c r="B1241" s="59" t="s">
        <v>2355</v>
      </c>
      <c r="C1241" s="50">
        <v>5000</v>
      </c>
      <c r="E1241" s="22">
        <f t="shared" si="20"/>
        <v>-5632.1500000000015</v>
      </c>
      <c r="F1241">
        <v>-3782.15</v>
      </c>
    </row>
    <row r="1242" spans="1:6" x14ac:dyDescent="0.25">
      <c r="A1242" s="6">
        <v>44082</v>
      </c>
      <c r="B1242" s="59" t="s">
        <v>2354</v>
      </c>
      <c r="D1242" s="54">
        <v>500</v>
      </c>
      <c r="E1242" s="22">
        <f t="shared" si="20"/>
        <v>-6132.1500000000015</v>
      </c>
    </row>
    <row r="1243" spans="1:6" x14ac:dyDescent="0.25">
      <c r="A1243" s="6">
        <v>44083</v>
      </c>
      <c r="B1243" s="59" t="s">
        <v>2239</v>
      </c>
      <c r="D1243" s="54">
        <v>500</v>
      </c>
      <c r="E1243" s="22">
        <f t="shared" si="20"/>
        <v>-6632.1500000000015</v>
      </c>
    </row>
    <row r="1244" spans="1:6" x14ac:dyDescent="0.25">
      <c r="A1244" s="6">
        <v>44083</v>
      </c>
      <c r="B1244" s="59" t="s">
        <v>2273</v>
      </c>
      <c r="D1244" s="54">
        <v>4000</v>
      </c>
      <c r="E1244" s="22">
        <f t="shared" si="20"/>
        <v>-10632.150000000001</v>
      </c>
    </row>
    <row r="1245" spans="1:6" x14ac:dyDescent="0.25">
      <c r="A1245" s="6">
        <v>44083</v>
      </c>
      <c r="B1245" s="59" t="s">
        <v>2062</v>
      </c>
      <c r="D1245" s="54">
        <v>2200</v>
      </c>
      <c r="E1245" s="22">
        <f t="shared" si="20"/>
        <v>-12832.150000000001</v>
      </c>
    </row>
    <row r="1246" spans="1:6" s="22" customFormat="1" x14ac:dyDescent="0.25">
      <c r="A1246" s="6">
        <v>44083</v>
      </c>
      <c r="B1246" s="59" t="s">
        <v>2367</v>
      </c>
      <c r="C1246" s="50">
        <v>2000</v>
      </c>
      <c r="D1246" s="54"/>
      <c r="E1246" s="22">
        <f t="shared" si="20"/>
        <v>-10832.150000000001</v>
      </c>
    </row>
    <row r="1247" spans="1:6" x14ac:dyDescent="0.25">
      <c r="A1247" s="6">
        <v>44084</v>
      </c>
      <c r="B1247" s="59" t="s">
        <v>2362</v>
      </c>
      <c r="C1247" s="50">
        <v>1300</v>
      </c>
      <c r="E1247" s="22">
        <f t="shared" si="20"/>
        <v>-9532.1500000000015</v>
      </c>
    </row>
    <row r="1248" spans="1:6" s="22" customFormat="1" x14ac:dyDescent="0.25">
      <c r="A1248" s="6">
        <v>44084</v>
      </c>
      <c r="B1248" s="59" t="s">
        <v>13</v>
      </c>
      <c r="C1248" s="50">
        <v>7000</v>
      </c>
      <c r="D1248" s="54"/>
      <c r="E1248" s="22">
        <f t="shared" si="20"/>
        <v>-2532.1500000000015</v>
      </c>
    </row>
    <row r="1249" spans="1:5" x14ac:dyDescent="0.25">
      <c r="A1249" s="6">
        <v>44084</v>
      </c>
      <c r="B1249" s="59" t="s">
        <v>2062</v>
      </c>
      <c r="D1249" s="54">
        <v>500</v>
      </c>
      <c r="E1249" s="22">
        <f t="shared" si="20"/>
        <v>-3032.1500000000015</v>
      </c>
    </row>
    <row r="1250" spans="1:5" x14ac:dyDescent="0.25">
      <c r="A1250" s="6">
        <v>44084</v>
      </c>
      <c r="B1250" s="59" t="s">
        <v>2363</v>
      </c>
      <c r="D1250" s="54">
        <v>3000</v>
      </c>
      <c r="E1250" s="22">
        <f t="shared" si="20"/>
        <v>-6032.1500000000015</v>
      </c>
    </row>
    <row r="1251" spans="1:5" s="22" customFormat="1" x14ac:dyDescent="0.25">
      <c r="A1251" s="6">
        <v>44084</v>
      </c>
      <c r="B1251" s="59" t="s">
        <v>2306</v>
      </c>
      <c r="C1251" s="50"/>
      <c r="D1251" s="54">
        <v>2500</v>
      </c>
      <c r="E1251" s="22">
        <f t="shared" si="20"/>
        <v>-8532.1500000000015</v>
      </c>
    </row>
    <row r="1252" spans="1:5" s="22" customFormat="1" x14ac:dyDescent="0.25">
      <c r="A1252" s="6">
        <v>44084</v>
      </c>
      <c r="B1252" s="59" t="s">
        <v>2087</v>
      </c>
      <c r="C1252" s="50"/>
      <c r="D1252" s="54">
        <v>2000</v>
      </c>
      <c r="E1252" s="22">
        <f t="shared" si="20"/>
        <v>-10532.150000000001</v>
      </c>
    </row>
    <row r="1253" spans="1:5" s="22" customFormat="1" x14ac:dyDescent="0.25">
      <c r="A1253" s="6">
        <v>44085</v>
      </c>
      <c r="B1253" s="59" t="s">
        <v>2367</v>
      </c>
      <c r="C1253" s="50">
        <v>5000</v>
      </c>
      <c r="D1253" s="54"/>
      <c r="E1253" s="22">
        <f t="shared" ref="E1253:E1316" si="21">E1252-D1253+C1253</f>
        <v>-5532.1500000000015</v>
      </c>
    </row>
    <row r="1254" spans="1:5" x14ac:dyDescent="0.25">
      <c r="A1254" s="6">
        <v>44085</v>
      </c>
      <c r="B1254" s="59" t="s">
        <v>2239</v>
      </c>
      <c r="D1254" s="54">
        <v>500</v>
      </c>
      <c r="E1254" s="22">
        <f t="shared" si="21"/>
        <v>-6032.1500000000015</v>
      </c>
    </row>
    <row r="1255" spans="1:5" x14ac:dyDescent="0.25">
      <c r="A1255" s="6">
        <v>44085</v>
      </c>
      <c r="B1255" s="59" t="s">
        <v>2364</v>
      </c>
      <c r="D1255" s="54">
        <v>1000</v>
      </c>
      <c r="E1255" s="22">
        <f t="shared" si="21"/>
        <v>-7032.1500000000015</v>
      </c>
    </row>
    <row r="1256" spans="1:5" x14ac:dyDescent="0.25">
      <c r="A1256" s="6">
        <v>44085</v>
      </c>
      <c r="B1256" s="59" t="s">
        <v>2365</v>
      </c>
      <c r="D1256" s="54">
        <v>1000</v>
      </c>
      <c r="E1256" s="22">
        <f t="shared" si="21"/>
        <v>-8032.1500000000015</v>
      </c>
    </row>
    <row r="1257" spans="1:5" x14ac:dyDescent="0.25">
      <c r="A1257" s="6">
        <v>44085</v>
      </c>
      <c r="B1257" s="59" t="s">
        <v>2366</v>
      </c>
      <c r="D1257" s="54">
        <v>1000</v>
      </c>
      <c r="E1257" s="22">
        <f t="shared" si="21"/>
        <v>-9032.1500000000015</v>
      </c>
    </row>
    <row r="1258" spans="1:5" x14ac:dyDescent="0.25">
      <c r="A1258" s="6">
        <v>44085</v>
      </c>
      <c r="B1258" s="59" t="s">
        <v>2062</v>
      </c>
      <c r="C1258" s="85">
        <v>1850.0000000000009</v>
      </c>
      <c r="D1258" s="54">
        <v>1800</v>
      </c>
      <c r="E1258" s="22">
        <f t="shared" si="21"/>
        <v>-8982.1500000000015</v>
      </c>
    </row>
    <row r="1259" spans="1:5" x14ac:dyDescent="0.25">
      <c r="A1259" s="6">
        <v>44086</v>
      </c>
      <c r="B1259" s="59" t="s">
        <v>2362</v>
      </c>
      <c r="C1259" s="50">
        <v>4000</v>
      </c>
      <c r="E1259" s="22">
        <f t="shared" si="21"/>
        <v>-4982.1500000000015</v>
      </c>
    </row>
    <row r="1260" spans="1:5" x14ac:dyDescent="0.25">
      <c r="A1260" s="6">
        <v>44086</v>
      </c>
      <c r="B1260" s="59" t="s">
        <v>2239</v>
      </c>
      <c r="D1260" s="54">
        <v>500</v>
      </c>
      <c r="E1260" s="22">
        <f t="shared" si="21"/>
        <v>-5482.1500000000015</v>
      </c>
    </row>
    <row r="1261" spans="1:5" x14ac:dyDescent="0.25">
      <c r="A1261" s="6">
        <v>44086</v>
      </c>
      <c r="B1261" s="59" t="s">
        <v>2368</v>
      </c>
      <c r="D1261" s="54">
        <v>2500</v>
      </c>
      <c r="E1261" s="22">
        <f t="shared" si="21"/>
        <v>-7982.1500000000015</v>
      </c>
    </row>
    <row r="1262" spans="1:5" x14ac:dyDescent="0.25">
      <c r="A1262" s="6">
        <v>44086</v>
      </c>
      <c r="D1262" s="54">
        <v>300</v>
      </c>
      <c r="E1262" s="22">
        <f t="shared" si="21"/>
        <v>-8282.1500000000015</v>
      </c>
    </row>
    <row r="1263" spans="1:5" x14ac:dyDescent="0.25">
      <c r="A1263" s="6">
        <v>44086</v>
      </c>
      <c r="D1263" s="54">
        <v>100</v>
      </c>
      <c r="E1263" s="22">
        <f t="shared" si="21"/>
        <v>-8382.1500000000015</v>
      </c>
    </row>
    <row r="1264" spans="1:5" x14ac:dyDescent="0.25">
      <c r="A1264" s="6">
        <v>44086</v>
      </c>
      <c r="B1264" s="59" t="s">
        <v>2182</v>
      </c>
      <c r="C1264" s="50">
        <v>3000</v>
      </c>
      <c r="E1264" s="22">
        <f t="shared" si="21"/>
        <v>-5382.1500000000015</v>
      </c>
    </row>
    <row r="1265" spans="1:5" x14ac:dyDescent="0.25">
      <c r="A1265" s="6">
        <v>44086</v>
      </c>
      <c r="D1265" s="54">
        <v>800</v>
      </c>
      <c r="E1265" s="22">
        <f t="shared" si="21"/>
        <v>-6182.1500000000015</v>
      </c>
    </row>
    <row r="1266" spans="1:5" x14ac:dyDescent="0.25">
      <c r="A1266" s="6">
        <v>44088</v>
      </c>
      <c r="B1266" s="59" t="s">
        <v>2134</v>
      </c>
      <c r="C1266" s="50">
        <v>3000</v>
      </c>
      <c r="E1266" s="22">
        <f t="shared" si="21"/>
        <v>-3182.1500000000015</v>
      </c>
    </row>
    <row r="1267" spans="1:5" x14ac:dyDescent="0.25">
      <c r="A1267" s="6">
        <v>44088</v>
      </c>
      <c r="D1267" s="54">
        <v>900</v>
      </c>
      <c r="E1267" s="22">
        <f t="shared" si="21"/>
        <v>-4082.1500000000015</v>
      </c>
    </row>
    <row r="1268" spans="1:5" x14ac:dyDescent="0.25">
      <c r="A1268" s="6">
        <v>44088</v>
      </c>
      <c r="B1268" s="59" t="s">
        <v>2239</v>
      </c>
      <c r="D1268" s="54">
        <v>500</v>
      </c>
      <c r="E1268" s="22">
        <f t="shared" si="21"/>
        <v>-4582.1500000000015</v>
      </c>
    </row>
    <row r="1269" spans="1:5" x14ac:dyDescent="0.25">
      <c r="A1269" s="6">
        <v>44088</v>
      </c>
      <c r="B1269" s="59" t="s">
        <v>2414</v>
      </c>
      <c r="D1269" s="54">
        <v>2000</v>
      </c>
      <c r="E1269" s="22">
        <f t="shared" si="21"/>
        <v>-6582.1500000000015</v>
      </c>
    </row>
    <row r="1270" spans="1:5" x14ac:dyDescent="0.25">
      <c r="A1270" s="6">
        <v>44088</v>
      </c>
      <c r="B1270" s="59" t="s">
        <v>2415</v>
      </c>
      <c r="C1270" s="50">
        <v>1500</v>
      </c>
      <c r="E1270" s="22">
        <f t="shared" si="21"/>
        <v>-5082.1500000000015</v>
      </c>
    </row>
    <row r="1271" spans="1:5" x14ac:dyDescent="0.25">
      <c r="A1271" s="6">
        <v>44088</v>
      </c>
      <c r="B1271" s="59" t="s">
        <v>2416</v>
      </c>
      <c r="D1271" s="54">
        <v>2000</v>
      </c>
      <c r="E1271" s="22">
        <f t="shared" si="21"/>
        <v>-7082.1500000000015</v>
      </c>
    </row>
    <row r="1272" spans="1:5" x14ac:dyDescent="0.25">
      <c r="A1272" s="6">
        <v>44089</v>
      </c>
      <c r="B1272" s="59" t="s">
        <v>2239</v>
      </c>
      <c r="D1272" s="54">
        <v>500</v>
      </c>
      <c r="E1272" s="22">
        <f t="shared" si="21"/>
        <v>-7582.1500000000015</v>
      </c>
    </row>
    <row r="1273" spans="1:5" x14ac:dyDescent="0.25">
      <c r="A1273" s="6">
        <v>44090</v>
      </c>
      <c r="B1273" s="59" t="s">
        <v>2300</v>
      </c>
      <c r="C1273" s="50">
        <v>700</v>
      </c>
      <c r="E1273" s="22">
        <f t="shared" si="21"/>
        <v>-6882.1500000000015</v>
      </c>
    </row>
    <row r="1274" spans="1:5" x14ac:dyDescent="0.25">
      <c r="A1274" s="6">
        <v>44090</v>
      </c>
      <c r="B1274" s="59" t="s">
        <v>2417</v>
      </c>
      <c r="D1274" s="54">
        <v>200</v>
      </c>
      <c r="E1274" s="22">
        <f t="shared" si="21"/>
        <v>-7082.1500000000015</v>
      </c>
    </row>
    <row r="1275" spans="1:5" x14ac:dyDescent="0.25">
      <c r="A1275" s="6">
        <v>44090</v>
      </c>
      <c r="B1275" s="59" t="s">
        <v>2239</v>
      </c>
      <c r="D1275" s="54">
        <v>500</v>
      </c>
      <c r="E1275" s="22">
        <f t="shared" si="21"/>
        <v>-7582.1500000000015</v>
      </c>
    </row>
    <row r="1276" spans="1:5" x14ac:dyDescent="0.25">
      <c r="A1276" s="6">
        <v>44090</v>
      </c>
      <c r="B1276" s="59" t="s">
        <v>2085</v>
      </c>
      <c r="D1276" s="54">
        <v>1100</v>
      </c>
      <c r="E1276" s="22">
        <f t="shared" si="21"/>
        <v>-8682.1500000000015</v>
      </c>
    </row>
    <row r="1277" spans="1:5" s="22" customFormat="1" x14ac:dyDescent="0.25">
      <c r="A1277" s="6">
        <v>44090</v>
      </c>
      <c r="B1277" s="59" t="s">
        <v>2418</v>
      </c>
      <c r="C1277" s="50"/>
      <c r="D1277" s="54">
        <v>2500</v>
      </c>
      <c r="E1277" s="22">
        <f t="shared" si="21"/>
        <v>-11182.150000000001</v>
      </c>
    </row>
    <row r="1278" spans="1:5" s="22" customFormat="1" x14ac:dyDescent="0.25">
      <c r="A1278" s="6">
        <v>44090</v>
      </c>
      <c r="B1278" s="59" t="s">
        <v>2060</v>
      </c>
      <c r="C1278" s="50"/>
      <c r="D1278" s="54">
        <v>1100</v>
      </c>
      <c r="E1278" s="22">
        <f t="shared" si="21"/>
        <v>-12282.150000000001</v>
      </c>
    </row>
    <row r="1279" spans="1:5" s="22" customFormat="1" x14ac:dyDescent="0.25">
      <c r="A1279" s="6">
        <v>44091</v>
      </c>
      <c r="B1279" s="59" t="s">
        <v>2239</v>
      </c>
      <c r="C1279" s="50"/>
      <c r="D1279" s="54">
        <v>500</v>
      </c>
      <c r="E1279" s="22">
        <f t="shared" si="21"/>
        <v>-12782.150000000001</v>
      </c>
    </row>
    <row r="1280" spans="1:5" s="22" customFormat="1" x14ac:dyDescent="0.25">
      <c r="A1280" s="6">
        <v>44091</v>
      </c>
      <c r="B1280" s="59" t="s">
        <v>2415</v>
      </c>
      <c r="C1280" s="50">
        <v>4000</v>
      </c>
      <c r="D1280" s="54"/>
      <c r="E1280" s="22">
        <f t="shared" si="21"/>
        <v>-8782.1500000000015</v>
      </c>
    </row>
    <row r="1281" spans="1:6" x14ac:dyDescent="0.25">
      <c r="A1281" s="6">
        <v>44092</v>
      </c>
      <c r="B1281" s="59" t="s">
        <v>2239</v>
      </c>
      <c r="D1281" s="54">
        <v>500</v>
      </c>
      <c r="E1281" s="22">
        <f t="shared" si="21"/>
        <v>-9282.1500000000015</v>
      </c>
    </row>
    <row r="1282" spans="1:6" x14ac:dyDescent="0.25">
      <c r="A1282" s="6">
        <v>44092</v>
      </c>
      <c r="B1282" s="59" t="s">
        <v>270</v>
      </c>
      <c r="C1282" s="50">
        <v>5000</v>
      </c>
      <c r="E1282" s="22">
        <f t="shared" si="21"/>
        <v>-4282.1500000000015</v>
      </c>
      <c r="F1282">
        <v>-3682.15</v>
      </c>
    </row>
    <row r="1283" spans="1:6" x14ac:dyDescent="0.25">
      <c r="A1283" s="6">
        <v>44092</v>
      </c>
      <c r="B1283" s="59" t="s">
        <v>71</v>
      </c>
      <c r="C1283" s="50">
        <v>500</v>
      </c>
      <c r="E1283" s="22">
        <f t="shared" si="21"/>
        <v>-3782.1500000000015</v>
      </c>
    </row>
    <row r="1284" spans="1:6" x14ac:dyDescent="0.25">
      <c r="A1284" s="6">
        <v>44092</v>
      </c>
      <c r="B1284" s="59" t="s">
        <v>71</v>
      </c>
      <c r="C1284" s="50">
        <v>200</v>
      </c>
      <c r="E1284" s="22">
        <f t="shared" si="21"/>
        <v>-3582.1500000000015</v>
      </c>
    </row>
    <row r="1285" spans="1:6" x14ac:dyDescent="0.25">
      <c r="A1285" s="6">
        <v>44092</v>
      </c>
      <c r="B1285" s="59" t="s">
        <v>2411</v>
      </c>
      <c r="D1285" s="54">
        <v>100</v>
      </c>
      <c r="E1285" s="22">
        <f>E1284-D1285+C1285</f>
        <v>-3682.1500000000015</v>
      </c>
    </row>
    <row r="1286" spans="1:6" x14ac:dyDescent="0.25">
      <c r="A1286" s="6">
        <v>44092</v>
      </c>
      <c r="B1286" s="59" t="s">
        <v>2239</v>
      </c>
      <c r="D1286" s="54">
        <v>500</v>
      </c>
      <c r="E1286" s="22">
        <f t="shared" si="21"/>
        <v>-4182.1500000000015</v>
      </c>
    </row>
    <row r="1287" spans="1:6" x14ac:dyDescent="0.25">
      <c r="A1287" s="6">
        <v>44092</v>
      </c>
      <c r="B1287" s="59" t="s">
        <v>2412</v>
      </c>
      <c r="D1287" s="54">
        <v>500</v>
      </c>
      <c r="E1287" s="22">
        <f t="shared" si="21"/>
        <v>-4682.1500000000015</v>
      </c>
    </row>
    <row r="1288" spans="1:6" x14ac:dyDescent="0.25">
      <c r="A1288" s="6">
        <v>44092</v>
      </c>
      <c r="B1288" s="59" t="s">
        <v>2350</v>
      </c>
      <c r="D1288" s="54">
        <v>1000</v>
      </c>
      <c r="E1288" s="22">
        <f t="shared" si="21"/>
        <v>-5682.1500000000015</v>
      </c>
    </row>
    <row r="1289" spans="1:6" x14ac:dyDescent="0.25">
      <c r="A1289" s="6">
        <v>44092</v>
      </c>
      <c r="B1289" s="59" t="s">
        <v>2127</v>
      </c>
      <c r="D1289" s="54">
        <v>2000</v>
      </c>
      <c r="E1289" s="22">
        <f t="shared" si="21"/>
        <v>-7682.1500000000015</v>
      </c>
    </row>
    <row r="1290" spans="1:6" x14ac:dyDescent="0.25">
      <c r="A1290" s="6">
        <v>44092</v>
      </c>
      <c r="B1290" s="59" t="s">
        <v>2413</v>
      </c>
      <c r="D1290" s="54">
        <v>1500</v>
      </c>
      <c r="E1290" s="22">
        <f t="shared" si="21"/>
        <v>-9182.1500000000015</v>
      </c>
    </row>
    <row r="1291" spans="1:6" s="22" customFormat="1" x14ac:dyDescent="0.25">
      <c r="A1291" s="6"/>
      <c r="B1291" s="61" t="s">
        <v>93</v>
      </c>
      <c r="C1291" s="51">
        <v>500</v>
      </c>
      <c r="D1291" s="58"/>
      <c r="E1291" s="22">
        <f t="shared" si="21"/>
        <v>-8682.1500000000015</v>
      </c>
    </row>
    <row r="1292" spans="1:6" x14ac:dyDescent="0.25">
      <c r="A1292" s="6">
        <v>44093</v>
      </c>
      <c r="B1292" s="59" t="s">
        <v>270</v>
      </c>
      <c r="C1292" s="50">
        <v>11000</v>
      </c>
      <c r="E1292" s="22">
        <f t="shared" si="21"/>
        <v>2317.8499999999985</v>
      </c>
    </row>
    <row r="1293" spans="1:6" x14ac:dyDescent="0.25">
      <c r="A1293" s="6">
        <v>44093</v>
      </c>
      <c r="B1293" s="59" t="s">
        <v>1979</v>
      </c>
      <c r="D1293" s="54">
        <v>200</v>
      </c>
      <c r="E1293" s="22">
        <f t="shared" si="21"/>
        <v>2117.8499999999985</v>
      </c>
    </row>
    <row r="1294" spans="1:6" x14ac:dyDescent="0.25">
      <c r="A1294" s="6">
        <v>44093</v>
      </c>
      <c r="B1294" s="59" t="s">
        <v>1948</v>
      </c>
      <c r="D1294" s="54">
        <v>700</v>
      </c>
      <c r="E1294" s="22">
        <f t="shared" si="21"/>
        <v>1417.8499999999985</v>
      </c>
    </row>
    <row r="1295" spans="1:6" x14ac:dyDescent="0.25">
      <c r="A1295" s="6">
        <v>44093</v>
      </c>
      <c r="B1295" s="59" t="s">
        <v>2164</v>
      </c>
      <c r="D1295" s="54">
        <v>1500</v>
      </c>
      <c r="E1295" s="22">
        <f t="shared" si="21"/>
        <v>-82.150000000001455</v>
      </c>
    </row>
    <row r="1296" spans="1:6" x14ac:dyDescent="0.25">
      <c r="A1296" s="6">
        <v>44093</v>
      </c>
      <c r="B1296" s="59" t="s">
        <v>2439</v>
      </c>
      <c r="D1296" s="54">
        <v>1000</v>
      </c>
      <c r="E1296" s="22">
        <f t="shared" si="21"/>
        <v>-1082.1500000000015</v>
      </c>
    </row>
    <row r="1297" spans="1:5" x14ac:dyDescent="0.25">
      <c r="A1297" s="6">
        <v>44093</v>
      </c>
      <c r="B1297" s="59" t="s">
        <v>2350</v>
      </c>
      <c r="D1297" s="54">
        <v>2000</v>
      </c>
      <c r="E1297" s="22">
        <f t="shared" si="21"/>
        <v>-3082.1500000000015</v>
      </c>
    </row>
    <row r="1298" spans="1:5" x14ac:dyDescent="0.25">
      <c r="A1298" s="6">
        <v>44093</v>
      </c>
      <c r="B1298" s="59" t="s">
        <v>1943</v>
      </c>
      <c r="D1298" s="54">
        <v>1000</v>
      </c>
      <c r="E1298" s="22">
        <f t="shared" si="21"/>
        <v>-4082.1500000000015</v>
      </c>
    </row>
    <row r="1299" spans="1:5" x14ac:dyDescent="0.25">
      <c r="A1299" s="6">
        <v>44093</v>
      </c>
      <c r="B1299" s="59" t="s">
        <v>2062</v>
      </c>
      <c r="D1299" s="54">
        <v>4000</v>
      </c>
      <c r="E1299" s="22">
        <f t="shared" si="21"/>
        <v>-8082.1500000000015</v>
      </c>
    </row>
    <row r="1300" spans="1:5" x14ac:dyDescent="0.25">
      <c r="A1300" s="6">
        <v>44093</v>
      </c>
      <c r="B1300" s="59" t="s">
        <v>2440</v>
      </c>
      <c r="C1300" s="50">
        <v>1500</v>
      </c>
      <c r="E1300" s="22">
        <f t="shared" si="21"/>
        <v>-6582.1500000000015</v>
      </c>
    </row>
    <row r="1301" spans="1:5" x14ac:dyDescent="0.25">
      <c r="A1301" s="6">
        <v>44093</v>
      </c>
      <c r="B1301" s="59" t="s">
        <v>2441</v>
      </c>
      <c r="C1301" s="50">
        <v>2500</v>
      </c>
      <c r="E1301" s="22">
        <f t="shared" si="21"/>
        <v>-4082.1500000000015</v>
      </c>
    </row>
    <row r="1302" spans="1:5" x14ac:dyDescent="0.25">
      <c r="A1302" s="6">
        <v>44094</v>
      </c>
      <c r="B1302" s="59" t="s">
        <v>2239</v>
      </c>
      <c r="D1302" s="54">
        <v>500</v>
      </c>
      <c r="E1302" s="22">
        <f t="shared" si="21"/>
        <v>-4582.1500000000015</v>
      </c>
    </row>
    <row r="1303" spans="1:5" x14ac:dyDescent="0.25">
      <c r="A1303" s="6">
        <v>44094</v>
      </c>
      <c r="B1303" s="59" t="s">
        <v>2449</v>
      </c>
      <c r="D1303" s="54">
        <v>100</v>
      </c>
      <c r="E1303" s="22">
        <f t="shared" si="21"/>
        <v>-4682.1500000000015</v>
      </c>
    </row>
    <row r="1304" spans="1:5" x14ac:dyDescent="0.25">
      <c r="A1304" s="6">
        <v>44094</v>
      </c>
      <c r="B1304" s="59" t="s">
        <v>2138</v>
      </c>
      <c r="D1304" s="54">
        <v>700</v>
      </c>
      <c r="E1304" s="22">
        <f t="shared" si="21"/>
        <v>-5382.1500000000015</v>
      </c>
    </row>
    <row r="1305" spans="1:5" x14ac:dyDescent="0.25">
      <c r="A1305" s="6">
        <v>44094</v>
      </c>
      <c r="B1305" s="59" t="s">
        <v>2060</v>
      </c>
      <c r="C1305" s="50">
        <v>2000</v>
      </c>
      <c r="E1305" s="22">
        <f t="shared" si="21"/>
        <v>-3382.1500000000015</v>
      </c>
    </row>
    <row r="1306" spans="1:5" x14ac:dyDescent="0.25">
      <c r="A1306" s="6">
        <v>44094</v>
      </c>
      <c r="B1306" s="59" t="s">
        <v>2062</v>
      </c>
      <c r="D1306" s="54">
        <v>5000</v>
      </c>
      <c r="E1306" s="22">
        <f t="shared" si="21"/>
        <v>-8382.1500000000015</v>
      </c>
    </row>
    <row r="1307" spans="1:5" x14ac:dyDescent="0.25">
      <c r="A1307" s="6">
        <v>44095</v>
      </c>
      <c r="B1307" s="59" t="s">
        <v>2239</v>
      </c>
      <c r="D1307" s="54">
        <v>500</v>
      </c>
      <c r="E1307" s="22">
        <f t="shared" si="21"/>
        <v>-8882.1500000000015</v>
      </c>
    </row>
    <row r="1308" spans="1:5" x14ac:dyDescent="0.25">
      <c r="A1308" s="6">
        <v>44095</v>
      </c>
      <c r="B1308" s="59" t="s">
        <v>2073</v>
      </c>
      <c r="D1308" s="54">
        <v>500</v>
      </c>
      <c r="E1308" s="22">
        <f t="shared" si="21"/>
        <v>-9382.1500000000015</v>
      </c>
    </row>
    <row r="1309" spans="1:5" x14ac:dyDescent="0.25">
      <c r="A1309" s="6">
        <v>44095</v>
      </c>
      <c r="B1309" s="59" t="s">
        <v>1948</v>
      </c>
      <c r="D1309" s="54">
        <v>500</v>
      </c>
      <c r="E1309" s="22">
        <f t="shared" si="21"/>
        <v>-9882.1500000000015</v>
      </c>
    </row>
    <row r="1310" spans="1:5" x14ac:dyDescent="0.25">
      <c r="A1310" s="6">
        <v>44097</v>
      </c>
      <c r="C1310" s="50">
        <v>2000</v>
      </c>
      <c r="E1310" s="22">
        <f t="shared" si="21"/>
        <v>-7882.1500000000015</v>
      </c>
    </row>
    <row r="1311" spans="1:5" x14ac:dyDescent="0.25">
      <c r="A1311" s="6">
        <v>44097</v>
      </c>
      <c r="B1311" s="59" t="s">
        <v>321</v>
      </c>
      <c r="C1311" s="50">
        <v>15000</v>
      </c>
      <c r="E1311" s="22">
        <f t="shared" si="21"/>
        <v>7117.8499999999985</v>
      </c>
    </row>
    <row r="1312" spans="1:5" x14ac:dyDescent="0.25">
      <c r="A1312" s="6">
        <v>44097</v>
      </c>
      <c r="B1312" s="59" t="s">
        <v>2239</v>
      </c>
      <c r="D1312" s="54">
        <v>500</v>
      </c>
      <c r="E1312" s="22">
        <f t="shared" si="21"/>
        <v>6617.8499999999985</v>
      </c>
    </row>
    <row r="1313" spans="1:5" x14ac:dyDescent="0.25">
      <c r="A1313" s="6">
        <v>44097</v>
      </c>
      <c r="B1313" s="59" t="s">
        <v>2273</v>
      </c>
      <c r="D1313" s="54">
        <v>10000</v>
      </c>
      <c r="E1313" s="22">
        <f t="shared" si="21"/>
        <v>-3382.1500000000015</v>
      </c>
    </row>
    <row r="1314" spans="1:5" x14ac:dyDescent="0.25">
      <c r="A1314" s="6">
        <v>44097</v>
      </c>
      <c r="B1314" s="59" t="s">
        <v>2303</v>
      </c>
      <c r="D1314" s="54">
        <v>500</v>
      </c>
      <c r="E1314" s="22">
        <f t="shared" si="21"/>
        <v>-3882.1500000000015</v>
      </c>
    </row>
    <row r="1315" spans="1:5" x14ac:dyDescent="0.25">
      <c r="A1315" s="6">
        <v>44097</v>
      </c>
      <c r="B1315" s="59" t="s">
        <v>71</v>
      </c>
      <c r="C1315" s="50">
        <v>1500</v>
      </c>
      <c r="E1315" s="22">
        <f t="shared" si="21"/>
        <v>-2382.1500000000015</v>
      </c>
    </row>
    <row r="1316" spans="1:5" x14ac:dyDescent="0.25">
      <c r="A1316" s="6">
        <v>44097</v>
      </c>
      <c r="B1316" s="59" t="s">
        <v>2102</v>
      </c>
      <c r="D1316" s="54">
        <v>7000</v>
      </c>
      <c r="E1316" s="22">
        <f t="shared" si="21"/>
        <v>-9382.1500000000015</v>
      </c>
    </row>
    <row r="1317" spans="1:5" x14ac:dyDescent="0.25">
      <c r="A1317" s="6">
        <v>44097</v>
      </c>
      <c r="B1317" s="59" t="s">
        <v>2465</v>
      </c>
      <c r="D1317" s="54">
        <v>200</v>
      </c>
      <c r="E1317" s="22">
        <f t="shared" ref="E1317:E1387" si="22">E1316-D1317+C1317</f>
        <v>-9582.1500000000015</v>
      </c>
    </row>
    <row r="1318" spans="1:5" x14ac:dyDescent="0.25">
      <c r="A1318" s="6">
        <v>44098</v>
      </c>
      <c r="B1318" s="59" t="s">
        <v>270</v>
      </c>
      <c r="C1318" s="50">
        <v>10000</v>
      </c>
      <c r="E1318" s="22">
        <f t="shared" si="22"/>
        <v>417.84999999999854</v>
      </c>
    </row>
    <row r="1319" spans="1:5" x14ac:dyDescent="0.25">
      <c r="A1319" s="6">
        <v>44098</v>
      </c>
      <c r="B1319" s="59" t="s">
        <v>2273</v>
      </c>
      <c r="D1319" s="54">
        <v>2000</v>
      </c>
      <c r="E1319" s="22">
        <f t="shared" si="22"/>
        <v>-1582.1500000000015</v>
      </c>
    </row>
    <row r="1320" spans="1:5" x14ac:dyDescent="0.25">
      <c r="A1320" s="6">
        <v>44098</v>
      </c>
      <c r="B1320" s="59" t="s">
        <v>2466</v>
      </c>
      <c r="D1320" s="54">
        <v>500</v>
      </c>
      <c r="E1320" s="22">
        <f t="shared" si="22"/>
        <v>-2082.1500000000015</v>
      </c>
    </row>
    <row r="1321" spans="1:5" x14ac:dyDescent="0.25">
      <c r="A1321" s="6">
        <v>44098</v>
      </c>
      <c r="B1321" s="59" t="s">
        <v>2303</v>
      </c>
      <c r="D1321" s="54">
        <v>150</v>
      </c>
      <c r="E1321" s="22">
        <f t="shared" si="22"/>
        <v>-2232.1500000000015</v>
      </c>
    </row>
    <row r="1322" spans="1:5" x14ac:dyDescent="0.25">
      <c r="A1322" s="6">
        <v>44098</v>
      </c>
      <c r="B1322" s="59" t="s">
        <v>1948</v>
      </c>
      <c r="D1322" s="54">
        <v>3500</v>
      </c>
      <c r="E1322" s="22">
        <f t="shared" si="22"/>
        <v>-5732.1500000000015</v>
      </c>
    </row>
    <row r="1323" spans="1:5" x14ac:dyDescent="0.25">
      <c r="A1323" s="6">
        <v>44098</v>
      </c>
      <c r="B1323" s="59" t="s">
        <v>2239</v>
      </c>
      <c r="D1323" s="54">
        <v>500</v>
      </c>
      <c r="E1323" s="22">
        <f t="shared" si="22"/>
        <v>-6232.1500000000015</v>
      </c>
    </row>
    <row r="1324" spans="1:5" x14ac:dyDescent="0.25">
      <c r="A1324" s="6">
        <v>44098</v>
      </c>
      <c r="B1324" s="59" t="s">
        <v>2062</v>
      </c>
      <c r="D1324" s="54">
        <v>4000</v>
      </c>
      <c r="E1324" s="22">
        <f t="shared" si="22"/>
        <v>-10232.150000000001</v>
      </c>
    </row>
    <row r="1325" spans="1:5" x14ac:dyDescent="0.25">
      <c r="A1325" s="6">
        <v>44098</v>
      </c>
      <c r="B1325" s="59" t="s">
        <v>71</v>
      </c>
      <c r="C1325" s="50">
        <v>1500</v>
      </c>
      <c r="E1325" s="22">
        <f t="shared" si="22"/>
        <v>-8732.1500000000015</v>
      </c>
    </row>
    <row r="1326" spans="1:5" x14ac:dyDescent="0.25">
      <c r="A1326" s="6">
        <v>44098</v>
      </c>
      <c r="B1326" s="59" t="s">
        <v>2467</v>
      </c>
      <c r="C1326" s="50">
        <v>300</v>
      </c>
      <c r="E1326" s="22">
        <f t="shared" si="22"/>
        <v>-8432.1500000000015</v>
      </c>
    </row>
    <row r="1327" spans="1:5" x14ac:dyDescent="0.25">
      <c r="A1327" s="6">
        <v>44099</v>
      </c>
      <c r="B1327" s="59" t="s">
        <v>2023</v>
      </c>
      <c r="C1327" s="50">
        <v>1600</v>
      </c>
      <c r="E1327" s="22">
        <f t="shared" si="22"/>
        <v>-6832.1500000000015</v>
      </c>
    </row>
    <row r="1328" spans="1:5" x14ac:dyDescent="0.25">
      <c r="A1328" s="6">
        <v>44099</v>
      </c>
      <c r="B1328" s="59" t="s">
        <v>2165</v>
      </c>
      <c r="D1328" s="54">
        <v>400</v>
      </c>
      <c r="E1328" s="22">
        <f t="shared" si="22"/>
        <v>-7232.1500000000015</v>
      </c>
    </row>
    <row r="1329" spans="1:7" x14ac:dyDescent="0.25">
      <c r="A1329" s="6">
        <v>44099</v>
      </c>
      <c r="B1329" s="59" t="s">
        <v>2239</v>
      </c>
      <c r="D1329" s="54">
        <v>500</v>
      </c>
      <c r="E1329" s="22">
        <f t="shared" si="22"/>
        <v>-7732.1500000000015</v>
      </c>
    </row>
    <row r="1330" spans="1:7" x14ac:dyDescent="0.25">
      <c r="A1330" s="6">
        <v>44099</v>
      </c>
      <c r="B1330" s="59" t="s">
        <v>2468</v>
      </c>
      <c r="C1330" s="50">
        <v>200</v>
      </c>
      <c r="E1330" s="22">
        <f t="shared" si="22"/>
        <v>-7532.1500000000015</v>
      </c>
    </row>
    <row r="1331" spans="1:7" x14ac:dyDescent="0.25">
      <c r="A1331" s="6">
        <v>44099</v>
      </c>
      <c r="B1331" s="59" t="s">
        <v>2469</v>
      </c>
      <c r="C1331" s="50">
        <v>1000</v>
      </c>
      <c r="E1331" s="22">
        <f t="shared" si="22"/>
        <v>-6532.1500000000015</v>
      </c>
    </row>
    <row r="1332" spans="1:7" x14ac:dyDescent="0.25">
      <c r="A1332" s="6">
        <v>44099</v>
      </c>
      <c r="B1332" s="59" t="s">
        <v>2470</v>
      </c>
      <c r="D1332" s="54">
        <v>1000</v>
      </c>
      <c r="E1332" s="22">
        <f t="shared" si="22"/>
        <v>-7532.1500000000015</v>
      </c>
    </row>
    <row r="1333" spans="1:7" x14ac:dyDescent="0.25">
      <c r="A1333" s="6">
        <v>44099</v>
      </c>
      <c r="B1333" s="59" t="s">
        <v>2471</v>
      </c>
      <c r="D1333" s="54">
        <v>100</v>
      </c>
      <c r="E1333" s="22">
        <f t="shared" si="22"/>
        <v>-7632.1500000000015</v>
      </c>
    </row>
    <row r="1334" spans="1:7" x14ac:dyDescent="0.25">
      <c r="A1334" s="6">
        <v>44099</v>
      </c>
      <c r="B1334" s="59" t="s">
        <v>2241</v>
      </c>
      <c r="D1334" s="54">
        <v>2000</v>
      </c>
      <c r="E1334" s="22">
        <f t="shared" si="22"/>
        <v>-9632.1500000000015</v>
      </c>
    </row>
    <row r="1335" spans="1:7" x14ac:dyDescent="0.25">
      <c r="A1335" s="6">
        <v>44099</v>
      </c>
      <c r="B1335" s="59" t="s">
        <v>1928</v>
      </c>
      <c r="C1335" s="50">
        <v>1000</v>
      </c>
      <c r="E1335" s="22">
        <f t="shared" si="22"/>
        <v>-8632.1500000000015</v>
      </c>
    </row>
    <row r="1336" spans="1:7" x14ac:dyDescent="0.25">
      <c r="A1336" s="6">
        <v>44099</v>
      </c>
      <c r="B1336" s="59" t="s">
        <v>2060</v>
      </c>
      <c r="C1336" s="50">
        <v>400</v>
      </c>
      <c r="E1336" s="22">
        <f t="shared" si="22"/>
        <v>-8232.1500000000015</v>
      </c>
    </row>
    <row r="1337" spans="1:7" x14ac:dyDescent="0.25">
      <c r="A1337" s="6">
        <v>44100</v>
      </c>
      <c r="B1337" s="59" t="s">
        <v>2239</v>
      </c>
      <c r="D1337" s="54">
        <v>500</v>
      </c>
      <c r="E1337" s="22">
        <f t="shared" si="22"/>
        <v>-8732.1500000000015</v>
      </c>
    </row>
    <row r="1338" spans="1:7" x14ac:dyDescent="0.25">
      <c r="A1338" s="6">
        <v>44100</v>
      </c>
      <c r="B1338" s="59" t="s">
        <v>2060</v>
      </c>
      <c r="C1338" s="50">
        <v>1500</v>
      </c>
      <c r="E1338" s="22">
        <f t="shared" si="22"/>
        <v>-7232.1500000000015</v>
      </c>
    </row>
    <row r="1339" spans="1:7" x14ac:dyDescent="0.25">
      <c r="A1339" s="6">
        <v>44101</v>
      </c>
      <c r="B1339" s="59" t="s">
        <v>1948</v>
      </c>
      <c r="D1339" s="54">
        <v>3000</v>
      </c>
      <c r="E1339" s="22">
        <f t="shared" si="22"/>
        <v>-10232.150000000001</v>
      </c>
    </row>
    <row r="1340" spans="1:7" s="22" customFormat="1" x14ac:dyDescent="0.25">
      <c r="A1340" s="6"/>
      <c r="B1340" s="61" t="s">
        <v>2473</v>
      </c>
      <c r="C1340" s="51">
        <v>1270.5</v>
      </c>
      <c r="D1340" s="54"/>
      <c r="E1340" s="22">
        <f t="shared" si="22"/>
        <v>-8961.6500000000015</v>
      </c>
    </row>
    <row r="1341" spans="1:7" x14ac:dyDescent="0.25">
      <c r="A1341" s="6">
        <v>44102</v>
      </c>
      <c r="B1341" s="59" t="s">
        <v>270</v>
      </c>
      <c r="C1341" s="50">
        <v>25000</v>
      </c>
      <c r="E1341" s="22">
        <f t="shared" si="22"/>
        <v>16038.349999999999</v>
      </c>
      <c r="G1341">
        <f>16038.35-14767.85</f>
        <v>1270.5</v>
      </c>
    </row>
    <row r="1342" spans="1:7" x14ac:dyDescent="0.25">
      <c r="A1342" s="6">
        <v>44102</v>
      </c>
      <c r="B1342" s="59" t="s">
        <v>2273</v>
      </c>
      <c r="D1342" s="54">
        <v>8000</v>
      </c>
      <c r="E1342" s="22">
        <f t="shared" si="22"/>
        <v>8038.3499999999985</v>
      </c>
    </row>
    <row r="1343" spans="1:7" x14ac:dyDescent="0.25">
      <c r="A1343" s="6">
        <v>44102</v>
      </c>
      <c r="B1343" s="59" t="s">
        <v>2239</v>
      </c>
      <c r="D1343" s="54">
        <v>1000</v>
      </c>
      <c r="E1343" s="22">
        <f t="shared" si="22"/>
        <v>7038.3499999999985</v>
      </c>
    </row>
    <row r="1344" spans="1:7" s="22" customFormat="1" x14ac:dyDescent="0.25">
      <c r="A1344" s="6"/>
      <c r="B1344" s="59"/>
      <c r="C1344" s="50"/>
      <c r="D1344" s="54">
        <v>100</v>
      </c>
      <c r="E1344" s="22">
        <f t="shared" si="22"/>
        <v>6938.3499999999985</v>
      </c>
    </row>
    <row r="1345" spans="1:5" x14ac:dyDescent="0.25">
      <c r="A1345" s="6">
        <v>44102</v>
      </c>
      <c r="B1345" s="59" t="s">
        <v>2062</v>
      </c>
      <c r="D1345" s="54">
        <v>5000</v>
      </c>
      <c r="E1345" s="22">
        <f t="shared" si="22"/>
        <v>1938.3499999999985</v>
      </c>
    </row>
    <row r="1346" spans="1:5" x14ac:dyDescent="0.25">
      <c r="A1346" s="6">
        <v>44102</v>
      </c>
      <c r="B1346" s="59" t="s">
        <v>2472</v>
      </c>
      <c r="D1346" s="54">
        <v>2000</v>
      </c>
      <c r="E1346" s="22">
        <f t="shared" si="22"/>
        <v>-61.650000000001455</v>
      </c>
    </row>
    <row r="1347" spans="1:5" x14ac:dyDescent="0.25">
      <c r="A1347" s="6">
        <v>44102</v>
      </c>
      <c r="B1347" s="59" t="s">
        <v>2087</v>
      </c>
      <c r="D1347" s="54">
        <v>2000</v>
      </c>
      <c r="E1347" s="22">
        <f t="shared" si="22"/>
        <v>-2061.6500000000015</v>
      </c>
    </row>
    <row r="1348" spans="1:5" x14ac:dyDescent="0.25">
      <c r="A1348" s="6">
        <v>44102</v>
      </c>
      <c r="B1348" s="59" t="s">
        <v>2496</v>
      </c>
      <c r="D1348" s="54">
        <v>200</v>
      </c>
      <c r="E1348" s="22">
        <f t="shared" si="22"/>
        <v>-2261.6500000000015</v>
      </c>
    </row>
    <row r="1349" spans="1:5" x14ac:dyDescent="0.25">
      <c r="A1349" s="6">
        <v>44102</v>
      </c>
      <c r="B1349" s="59" t="s">
        <v>2305</v>
      </c>
      <c r="D1349" s="54">
        <v>200</v>
      </c>
      <c r="E1349" s="22">
        <f t="shared" si="22"/>
        <v>-2461.6500000000015</v>
      </c>
    </row>
    <row r="1350" spans="1:5" x14ac:dyDescent="0.25">
      <c r="A1350" s="6">
        <v>44102</v>
      </c>
      <c r="B1350" s="59" t="s">
        <v>2062</v>
      </c>
      <c r="D1350" s="54">
        <v>5000</v>
      </c>
      <c r="E1350" s="22">
        <f t="shared" si="22"/>
        <v>-7461.6500000000015</v>
      </c>
    </row>
    <row r="1351" spans="1:5" x14ac:dyDescent="0.25">
      <c r="A1351" s="6">
        <v>44102</v>
      </c>
      <c r="B1351" s="59" t="s">
        <v>2467</v>
      </c>
      <c r="C1351" s="50">
        <v>500</v>
      </c>
      <c r="E1351" s="22">
        <f t="shared" si="22"/>
        <v>-6961.6500000000015</v>
      </c>
    </row>
    <row r="1352" spans="1:5" x14ac:dyDescent="0.25">
      <c r="A1352" s="6">
        <v>44103</v>
      </c>
      <c r="B1352" s="59" t="s">
        <v>2497</v>
      </c>
      <c r="D1352" s="54">
        <v>100</v>
      </c>
      <c r="E1352" s="22">
        <f t="shared" si="22"/>
        <v>-7061.6500000000015</v>
      </c>
    </row>
    <row r="1353" spans="1:5" s="22" customFormat="1" x14ac:dyDescent="0.25">
      <c r="A1353" s="6">
        <v>44103</v>
      </c>
      <c r="B1353" s="59" t="s">
        <v>2412</v>
      </c>
      <c r="C1353" s="50"/>
      <c r="D1353" s="54">
        <v>200</v>
      </c>
      <c r="E1353" s="22">
        <f t="shared" si="22"/>
        <v>-7261.6500000000015</v>
      </c>
    </row>
    <row r="1354" spans="1:5" s="22" customFormat="1" x14ac:dyDescent="0.25">
      <c r="A1354" s="6">
        <v>44103</v>
      </c>
      <c r="B1354" s="59" t="s">
        <v>327</v>
      </c>
      <c r="C1354" s="50">
        <v>7000</v>
      </c>
      <c r="D1354" s="54"/>
      <c r="E1354" s="22">
        <f t="shared" si="22"/>
        <v>-261.65000000000146</v>
      </c>
    </row>
    <row r="1355" spans="1:5" s="22" customFormat="1" x14ac:dyDescent="0.25">
      <c r="A1355" s="6">
        <v>44103</v>
      </c>
      <c r="B1355" s="59" t="s">
        <v>2273</v>
      </c>
      <c r="C1355" s="50"/>
      <c r="D1355" s="54">
        <v>7000</v>
      </c>
      <c r="E1355" s="22">
        <f t="shared" si="22"/>
        <v>-7261.6500000000015</v>
      </c>
    </row>
    <row r="1356" spans="1:5" s="22" customFormat="1" x14ac:dyDescent="0.25">
      <c r="A1356" s="6">
        <v>44103</v>
      </c>
      <c r="B1356" s="59" t="s">
        <v>2498</v>
      </c>
      <c r="C1356" s="50"/>
      <c r="D1356" s="54">
        <v>100</v>
      </c>
      <c r="E1356" s="22">
        <f t="shared" si="22"/>
        <v>-7361.6500000000015</v>
      </c>
    </row>
    <row r="1357" spans="1:5" s="22" customFormat="1" x14ac:dyDescent="0.25">
      <c r="A1357" s="6">
        <v>44103</v>
      </c>
      <c r="B1357" s="59" t="s">
        <v>2239</v>
      </c>
      <c r="C1357" s="50"/>
      <c r="D1357" s="54">
        <v>500</v>
      </c>
      <c r="E1357" s="22">
        <f t="shared" si="22"/>
        <v>-7861.6500000000015</v>
      </c>
    </row>
    <row r="1358" spans="1:5" s="22" customFormat="1" x14ac:dyDescent="0.25">
      <c r="A1358" s="6">
        <v>44104</v>
      </c>
      <c r="B1358" s="59" t="s">
        <v>2499</v>
      </c>
      <c r="C1358" s="50"/>
      <c r="D1358" s="54">
        <v>200</v>
      </c>
      <c r="E1358" s="22">
        <f t="shared" si="22"/>
        <v>-8061.6500000000015</v>
      </c>
    </row>
    <row r="1359" spans="1:5" s="22" customFormat="1" x14ac:dyDescent="0.25">
      <c r="A1359" s="6">
        <v>44104</v>
      </c>
      <c r="B1359" s="59" t="s">
        <v>2239</v>
      </c>
      <c r="C1359" s="50"/>
      <c r="D1359" s="54">
        <v>500</v>
      </c>
      <c r="E1359" s="22">
        <f t="shared" si="22"/>
        <v>-8561.6500000000015</v>
      </c>
    </row>
    <row r="1360" spans="1:5" s="22" customFormat="1" x14ac:dyDescent="0.25">
      <c r="A1360" s="6">
        <v>44104</v>
      </c>
      <c r="B1360" s="59" t="s">
        <v>1928</v>
      </c>
      <c r="C1360" s="50">
        <v>1000</v>
      </c>
      <c r="D1360" s="54"/>
      <c r="E1360" s="22">
        <f t="shared" si="22"/>
        <v>-7561.6500000000015</v>
      </c>
    </row>
    <row r="1361" spans="1:5" s="22" customFormat="1" x14ac:dyDescent="0.25">
      <c r="A1361" s="6">
        <v>44104</v>
      </c>
      <c r="B1361" s="59" t="s">
        <v>2412</v>
      </c>
      <c r="C1361" s="50"/>
      <c r="D1361" s="54">
        <v>150</v>
      </c>
      <c r="E1361" s="22">
        <f t="shared" si="22"/>
        <v>-7711.6500000000015</v>
      </c>
    </row>
    <row r="1362" spans="1:5" s="22" customFormat="1" x14ac:dyDescent="0.25">
      <c r="A1362" s="6">
        <v>44104</v>
      </c>
      <c r="B1362" s="59" t="s">
        <v>2303</v>
      </c>
      <c r="C1362" s="50"/>
      <c r="D1362" s="54">
        <v>250</v>
      </c>
      <c r="E1362" s="22">
        <f t="shared" si="22"/>
        <v>-7961.6500000000015</v>
      </c>
    </row>
    <row r="1363" spans="1:5" s="22" customFormat="1" x14ac:dyDescent="0.25">
      <c r="A1363" s="6">
        <v>44104</v>
      </c>
      <c r="B1363" s="59"/>
      <c r="C1363" s="50"/>
      <c r="D1363" s="54">
        <v>1000</v>
      </c>
      <c r="E1363" s="22">
        <f t="shared" si="22"/>
        <v>-8961.6500000000015</v>
      </c>
    </row>
    <row r="1364" spans="1:5" s="22" customFormat="1" x14ac:dyDescent="0.25">
      <c r="A1364" s="6">
        <v>44105</v>
      </c>
      <c r="B1364" s="59" t="s">
        <v>1942</v>
      </c>
      <c r="C1364" s="50"/>
      <c r="D1364" s="54">
        <v>500</v>
      </c>
      <c r="E1364" s="22">
        <f t="shared" si="22"/>
        <v>-9461.6500000000015</v>
      </c>
    </row>
    <row r="1365" spans="1:5" s="22" customFormat="1" x14ac:dyDescent="0.25">
      <c r="A1365" s="6"/>
      <c r="B1365" s="59" t="s">
        <v>2507</v>
      </c>
      <c r="C1365" s="50"/>
      <c r="D1365" s="54">
        <v>400</v>
      </c>
      <c r="E1365" s="22">
        <f t="shared" si="22"/>
        <v>-9861.6500000000015</v>
      </c>
    </row>
    <row r="1366" spans="1:5" s="22" customFormat="1" x14ac:dyDescent="0.25">
      <c r="A1366" s="6"/>
      <c r="B1366" s="59" t="s">
        <v>2303</v>
      </c>
      <c r="C1366" s="50"/>
      <c r="D1366" s="54">
        <v>290</v>
      </c>
      <c r="E1366" s="22">
        <f t="shared" si="22"/>
        <v>-10151.650000000001</v>
      </c>
    </row>
    <row r="1367" spans="1:5" s="22" customFormat="1" x14ac:dyDescent="0.25">
      <c r="A1367" s="4"/>
      <c r="B1367" s="59" t="s">
        <v>2508</v>
      </c>
      <c r="C1367" s="50"/>
      <c r="D1367" s="54">
        <v>500</v>
      </c>
      <c r="E1367" s="22">
        <f t="shared" si="22"/>
        <v>-10651.650000000001</v>
      </c>
    </row>
    <row r="1368" spans="1:5" s="22" customFormat="1" x14ac:dyDescent="0.25">
      <c r="A1368" s="6">
        <v>44106</v>
      </c>
      <c r="B1368" s="59" t="s">
        <v>2509</v>
      </c>
      <c r="C1368" s="50"/>
      <c r="D1368" s="54">
        <v>500</v>
      </c>
      <c r="E1368" s="22">
        <f t="shared" si="22"/>
        <v>-11151.650000000001</v>
      </c>
    </row>
    <row r="1369" spans="1:5" s="22" customFormat="1" x14ac:dyDescent="0.25">
      <c r="A1369" s="4"/>
      <c r="B1369" s="59"/>
      <c r="C1369" s="50"/>
      <c r="D1369" s="54"/>
      <c r="E1369" s="22">
        <f t="shared" si="22"/>
        <v>-11151.650000000001</v>
      </c>
    </row>
    <row r="1370" spans="1:5" s="22" customFormat="1" x14ac:dyDescent="0.25">
      <c r="A1370" s="4"/>
      <c r="B1370" s="59"/>
      <c r="C1370" s="50"/>
      <c r="D1370" s="54"/>
      <c r="E1370" s="22">
        <f t="shared" si="22"/>
        <v>-11151.650000000001</v>
      </c>
    </row>
    <row r="1371" spans="1:5" x14ac:dyDescent="0.25">
      <c r="E1371" s="22">
        <f t="shared" si="22"/>
        <v>-11151.650000000001</v>
      </c>
    </row>
    <row r="1372" spans="1:5" x14ac:dyDescent="0.25">
      <c r="E1372" s="22">
        <f t="shared" si="22"/>
        <v>-11151.650000000001</v>
      </c>
    </row>
    <row r="1373" spans="1:5" x14ac:dyDescent="0.25">
      <c r="D1373" s="54">
        <v>1599.99999999999</v>
      </c>
      <c r="E1373" s="22">
        <f t="shared" si="22"/>
        <v>-12751.649999999991</v>
      </c>
    </row>
    <row r="1374" spans="1:5" x14ac:dyDescent="0.25">
      <c r="A1374" s="6">
        <v>44107</v>
      </c>
      <c r="B1374" s="59" t="s">
        <v>2476</v>
      </c>
      <c r="C1374" s="50">
        <v>2000</v>
      </c>
      <c r="E1374" s="22">
        <f t="shared" si="22"/>
        <v>-10751.649999999991</v>
      </c>
    </row>
    <row r="1375" spans="1:5" x14ac:dyDescent="0.25">
      <c r="A1375" s="6">
        <v>44107</v>
      </c>
      <c r="B1375" s="59" t="s">
        <v>2477</v>
      </c>
      <c r="C1375" s="50">
        <v>1500</v>
      </c>
      <c r="E1375" s="22">
        <f t="shared" si="22"/>
        <v>-9251.6499999999905</v>
      </c>
    </row>
    <row r="1376" spans="1:5" x14ac:dyDescent="0.25">
      <c r="A1376" s="6">
        <v>44107</v>
      </c>
      <c r="B1376" s="59" t="s">
        <v>1942</v>
      </c>
      <c r="D1376" s="54">
        <v>1000</v>
      </c>
      <c r="E1376" s="22">
        <f t="shared" si="22"/>
        <v>-10251.649999999991</v>
      </c>
    </row>
    <row r="1377" spans="1:5" x14ac:dyDescent="0.25">
      <c r="A1377" s="6">
        <v>44107</v>
      </c>
      <c r="B1377" s="59" t="s">
        <v>1979</v>
      </c>
      <c r="D1377" s="54">
        <v>200</v>
      </c>
      <c r="E1377" s="22">
        <f t="shared" si="22"/>
        <v>-10451.649999999991</v>
      </c>
    </row>
    <row r="1378" spans="1:5" x14ac:dyDescent="0.25">
      <c r="A1378" s="6">
        <v>44107</v>
      </c>
      <c r="B1378" s="59" t="s">
        <v>2418</v>
      </c>
      <c r="C1378" s="50">
        <v>3000</v>
      </c>
      <c r="E1378" s="22">
        <f t="shared" si="22"/>
        <v>-7451.6499999999905</v>
      </c>
    </row>
    <row r="1379" spans="1:5" x14ac:dyDescent="0.25">
      <c r="A1379" s="6">
        <v>44107</v>
      </c>
      <c r="B1379" s="59" t="s">
        <v>1999</v>
      </c>
      <c r="D1379" s="54">
        <v>500</v>
      </c>
      <c r="E1379" s="22">
        <f t="shared" si="22"/>
        <v>-7951.6499999999905</v>
      </c>
    </row>
    <row r="1380" spans="1:5" x14ac:dyDescent="0.25">
      <c r="A1380" s="6">
        <v>44107</v>
      </c>
      <c r="B1380" s="59" t="s">
        <v>2062</v>
      </c>
      <c r="D1380" s="54">
        <v>3000</v>
      </c>
      <c r="E1380" s="22">
        <f t="shared" si="22"/>
        <v>-10951.649999999991</v>
      </c>
    </row>
    <row r="1381" spans="1:5" x14ac:dyDescent="0.25">
      <c r="A1381" s="6">
        <v>44108</v>
      </c>
      <c r="B1381" s="59" t="s">
        <v>2239</v>
      </c>
      <c r="D1381" s="54">
        <v>1500</v>
      </c>
      <c r="E1381" s="22">
        <f t="shared" si="22"/>
        <v>-12451.649999999991</v>
      </c>
    </row>
    <row r="1382" spans="1:5" s="22" customFormat="1" x14ac:dyDescent="0.25">
      <c r="A1382" s="6">
        <v>44109</v>
      </c>
      <c r="B1382" s="59" t="s">
        <v>321</v>
      </c>
      <c r="C1382" s="50">
        <v>11000</v>
      </c>
      <c r="D1382" s="54"/>
      <c r="E1382" s="22">
        <f t="shared" si="22"/>
        <v>-1451.6499999999905</v>
      </c>
    </row>
    <row r="1383" spans="1:5" x14ac:dyDescent="0.25">
      <c r="A1383" s="6">
        <v>44109</v>
      </c>
      <c r="B1383" s="59" t="s">
        <v>2303</v>
      </c>
      <c r="D1383" s="54">
        <v>4000</v>
      </c>
      <c r="E1383" s="22">
        <f t="shared" si="22"/>
        <v>-5451.6499999999905</v>
      </c>
    </row>
    <row r="1384" spans="1:5" x14ac:dyDescent="0.25">
      <c r="A1384" s="6">
        <v>44109</v>
      </c>
      <c r="B1384" s="59" t="s">
        <v>2500</v>
      </c>
      <c r="D1384" s="54">
        <v>2000</v>
      </c>
      <c r="E1384" s="22">
        <f t="shared" si="22"/>
        <v>-7451.6499999999905</v>
      </c>
    </row>
    <row r="1385" spans="1:5" x14ac:dyDescent="0.25">
      <c r="A1385" s="6">
        <v>44109</v>
      </c>
      <c r="B1385" s="59" t="s">
        <v>1942</v>
      </c>
      <c r="D1385" s="54">
        <v>1000</v>
      </c>
      <c r="E1385" s="22">
        <f t="shared" si="22"/>
        <v>-8451.6499999999905</v>
      </c>
    </row>
    <row r="1386" spans="1:5" x14ac:dyDescent="0.25">
      <c r="A1386" s="6">
        <v>44109</v>
      </c>
      <c r="B1386" s="59" t="s">
        <v>2501</v>
      </c>
      <c r="D1386" s="54">
        <v>200</v>
      </c>
      <c r="E1386" s="22">
        <f t="shared" si="22"/>
        <v>-8651.6499999999905</v>
      </c>
    </row>
    <row r="1387" spans="1:5" x14ac:dyDescent="0.25">
      <c r="A1387" s="6">
        <v>44109</v>
      </c>
      <c r="B1387" s="59" t="s">
        <v>2533</v>
      </c>
      <c r="D1387" s="54">
        <v>200</v>
      </c>
      <c r="E1387" s="22">
        <f t="shared" si="22"/>
        <v>-8851.6499999999905</v>
      </c>
    </row>
    <row r="1388" spans="1:5" x14ac:dyDescent="0.25">
      <c r="A1388" s="6">
        <v>44109</v>
      </c>
      <c r="B1388" s="59" t="s">
        <v>2502</v>
      </c>
      <c r="D1388" s="54">
        <v>10000</v>
      </c>
      <c r="E1388" s="22">
        <f t="shared" ref="E1388:E1481" si="23">E1387-D1388+C1388</f>
        <v>-18851.649999999991</v>
      </c>
    </row>
    <row r="1389" spans="1:5" x14ac:dyDescent="0.25">
      <c r="A1389" s="6">
        <v>44109</v>
      </c>
      <c r="B1389" s="59" t="s">
        <v>2062</v>
      </c>
      <c r="C1389" s="50">
        <v>3000</v>
      </c>
      <c r="E1389" s="22">
        <f t="shared" si="23"/>
        <v>-15851.649999999991</v>
      </c>
    </row>
    <row r="1390" spans="1:5" s="22" customFormat="1" x14ac:dyDescent="0.25">
      <c r="A1390" s="6">
        <v>44110</v>
      </c>
      <c r="B1390" s="59" t="s">
        <v>321</v>
      </c>
      <c r="C1390" s="50">
        <v>15000</v>
      </c>
      <c r="D1390" s="54"/>
      <c r="E1390" s="22">
        <f t="shared" si="23"/>
        <v>-851.64999999999054</v>
      </c>
    </row>
    <row r="1391" spans="1:5" x14ac:dyDescent="0.25">
      <c r="A1391" s="6">
        <v>44110</v>
      </c>
      <c r="B1391" s="59" t="s">
        <v>1942</v>
      </c>
      <c r="D1391" s="54">
        <v>500</v>
      </c>
      <c r="E1391" s="22">
        <f t="shared" si="23"/>
        <v>-1351.6499999999905</v>
      </c>
    </row>
    <row r="1392" spans="1:5" x14ac:dyDescent="0.25">
      <c r="A1392" s="6">
        <v>44110</v>
      </c>
      <c r="B1392" s="59" t="s">
        <v>1694</v>
      </c>
      <c r="C1392" s="50">
        <v>10000</v>
      </c>
      <c r="E1392" s="22">
        <f t="shared" si="23"/>
        <v>8648.3500000000095</v>
      </c>
    </row>
    <row r="1393" spans="1:5" x14ac:dyDescent="0.25">
      <c r="A1393" s="6">
        <v>44110</v>
      </c>
      <c r="B1393" s="59" t="s">
        <v>2503</v>
      </c>
      <c r="D1393" s="54">
        <v>8000</v>
      </c>
      <c r="E1393" s="22">
        <f t="shared" si="23"/>
        <v>648.35000000000946</v>
      </c>
    </row>
    <row r="1394" spans="1:5" x14ac:dyDescent="0.25">
      <c r="A1394" s="6">
        <v>44110</v>
      </c>
      <c r="C1394" s="50">
        <v>300</v>
      </c>
      <c r="E1394" s="22">
        <f t="shared" si="23"/>
        <v>948.35000000000946</v>
      </c>
    </row>
    <row r="1395" spans="1:5" s="22" customFormat="1" x14ac:dyDescent="0.25">
      <c r="A1395" s="6"/>
      <c r="B1395" s="59"/>
      <c r="C1395" s="51">
        <v>13689.999999999991</v>
      </c>
      <c r="D1395" s="54"/>
      <c r="E1395" s="22">
        <f t="shared" si="23"/>
        <v>14638.35</v>
      </c>
    </row>
    <row r="1396" spans="1:5" x14ac:dyDescent="0.25">
      <c r="A1396" s="6">
        <v>44110</v>
      </c>
      <c r="B1396" s="59" t="s">
        <v>2504</v>
      </c>
      <c r="D1396" s="54">
        <v>100</v>
      </c>
      <c r="E1396" s="22">
        <f t="shared" si="23"/>
        <v>14538.35</v>
      </c>
    </row>
    <row r="1397" spans="1:5" x14ac:dyDescent="0.25">
      <c r="A1397" s="6">
        <v>44110</v>
      </c>
      <c r="B1397" s="59" t="s">
        <v>2062</v>
      </c>
      <c r="D1397" s="54">
        <v>10000</v>
      </c>
      <c r="E1397" s="22">
        <f t="shared" si="23"/>
        <v>4538.3500000000004</v>
      </c>
    </row>
    <row r="1398" spans="1:5" x14ac:dyDescent="0.25">
      <c r="A1398" s="6">
        <v>44111</v>
      </c>
      <c r="B1398" s="59" t="s">
        <v>2505</v>
      </c>
      <c r="D1398" s="54">
        <v>500</v>
      </c>
      <c r="E1398" s="22">
        <f t="shared" si="23"/>
        <v>4038.3500000000004</v>
      </c>
    </row>
    <row r="1399" spans="1:5" x14ac:dyDescent="0.25">
      <c r="A1399" s="6">
        <v>44111</v>
      </c>
      <c r="B1399" s="59" t="s">
        <v>1942</v>
      </c>
      <c r="D1399" s="54">
        <v>500</v>
      </c>
      <c r="E1399" s="22">
        <f t="shared" si="23"/>
        <v>3538.3500000000004</v>
      </c>
    </row>
    <row r="1400" spans="1:5" x14ac:dyDescent="0.25">
      <c r="A1400" s="6">
        <v>44111</v>
      </c>
      <c r="D1400" s="54">
        <v>500</v>
      </c>
      <c r="E1400" s="22">
        <f t="shared" si="23"/>
        <v>3038.3500000000004</v>
      </c>
    </row>
    <row r="1401" spans="1:5" x14ac:dyDescent="0.25">
      <c r="A1401" s="6">
        <v>44112</v>
      </c>
      <c r="B1401" s="59" t="s">
        <v>1942</v>
      </c>
      <c r="D1401" s="54">
        <v>500</v>
      </c>
      <c r="E1401" s="22">
        <f t="shared" si="23"/>
        <v>2538.3500000000004</v>
      </c>
    </row>
    <row r="1402" spans="1:5" x14ac:dyDescent="0.25">
      <c r="A1402" s="6">
        <v>44112</v>
      </c>
      <c r="B1402" s="59" t="s">
        <v>2413</v>
      </c>
      <c r="D1402" s="54">
        <v>1500</v>
      </c>
      <c r="E1402" s="22">
        <f t="shared" si="23"/>
        <v>1038.3500000000004</v>
      </c>
    </row>
    <row r="1403" spans="1:5" x14ac:dyDescent="0.25">
      <c r="A1403" s="6">
        <v>44112</v>
      </c>
      <c r="B1403" s="59" t="s">
        <v>2515</v>
      </c>
      <c r="C1403" s="50">
        <v>1500</v>
      </c>
      <c r="E1403" s="22">
        <f t="shared" si="23"/>
        <v>2538.3500000000004</v>
      </c>
    </row>
    <row r="1404" spans="1:5" x14ac:dyDescent="0.25">
      <c r="A1404" s="6">
        <v>44112</v>
      </c>
      <c r="B1404" s="59" t="s">
        <v>2062</v>
      </c>
      <c r="D1404" s="54">
        <v>6000</v>
      </c>
      <c r="E1404" s="22">
        <f t="shared" si="23"/>
        <v>-3461.6499999999996</v>
      </c>
    </row>
    <row r="1405" spans="1:5" x14ac:dyDescent="0.25">
      <c r="A1405" s="6">
        <v>44113</v>
      </c>
      <c r="B1405" s="59" t="s">
        <v>1942</v>
      </c>
      <c r="C1405" s="50">
        <v>5000</v>
      </c>
      <c r="E1405" s="22">
        <f t="shared" si="23"/>
        <v>1538.3500000000004</v>
      </c>
    </row>
    <row r="1406" spans="1:5" x14ac:dyDescent="0.25">
      <c r="A1406" s="6">
        <v>44113</v>
      </c>
      <c r="B1406" s="59" t="s">
        <v>1948</v>
      </c>
      <c r="D1406" s="54">
        <v>3500</v>
      </c>
      <c r="E1406" s="22">
        <f t="shared" si="23"/>
        <v>-1961.6499999999996</v>
      </c>
    </row>
    <row r="1407" spans="1:5" x14ac:dyDescent="0.25">
      <c r="A1407" s="6">
        <v>44113</v>
      </c>
      <c r="B1407" s="59" t="s">
        <v>2516</v>
      </c>
      <c r="D1407" s="54">
        <v>500</v>
      </c>
      <c r="E1407" s="22">
        <f t="shared" si="23"/>
        <v>-2461.6499999999996</v>
      </c>
    </row>
    <row r="1408" spans="1:5" x14ac:dyDescent="0.25">
      <c r="A1408" s="6">
        <v>44113</v>
      </c>
      <c r="B1408" s="59" t="s">
        <v>1942</v>
      </c>
      <c r="D1408" s="54">
        <v>1000</v>
      </c>
      <c r="E1408" s="22">
        <f t="shared" si="23"/>
        <v>-3461.6499999999996</v>
      </c>
    </row>
    <row r="1409" spans="1:5" x14ac:dyDescent="0.25">
      <c r="A1409" s="6">
        <v>44113</v>
      </c>
      <c r="B1409" s="59" t="s">
        <v>2048</v>
      </c>
      <c r="D1409" s="54">
        <v>2000</v>
      </c>
      <c r="E1409" s="22">
        <f t="shared" si="23"/>
        <v>-5461.65</v>
      </c>
    </row>
    <row r="1410" spans="1:5" x14ac:dyDescent="0.25">
      <c r="A1410" s="6">
        <v>44114</v>
      </c>
      <c r="B1410" s="59" t="s">
        <v>1942</v>
      </c>
      <c r="D1410" s="54">
        <v>1000</v>
      </c>
      <c r="E1410" s="22">
        <f t="shared" si="23"/>
        <v>-6461.65</v>
      </c>
    </row>
    <row r="1411" spans="1:5" x14ac:dyDescent="0.25">
      <c r="A1411" s="6">
        <v>44114</v>
      </c>
      <c r="B1411" s="59" t="s">
        <v>2449</v>
      </c>
      <c r="D1411" s="54">
        <v>100</v>
      </c>
      <c r="E1411" s="22">
        <f t="shared" si="23"/>
        <v>-6561.65</v>
      </c>
    </row>
    <row r="1412" spans="1:5" x14ac:dyDescent="0.25">
      <c r="A1412" s="6">
        <v>44114</v>
      </c>
      <c r="B1412" s="59" t="s">
        <v>2062</v>
      </c>
      <c r="D1412" s="54">
        <v>2000</v>
      </c>
      <c r="E1412" s="22">
        <f t="shared" si="23"/>
        <v>-8561.65</v>
      </c>
    </row>
    <row r="1413" spans="1:5" x14ac:dyDescent="0.25">
      <c r="A1413" s="6">
        <v>44114</v>
      </c>
      <c r="B1413" s="59" t="s">
        <v>2521</v>
      </c>
      <c r="C1413" s="50">
        <v>2500</v>
      </c>
      <c r="E1413" s="22">
        <f t="shared" si="23"/>
        <v>-6061.65</v>
      </c>
    </row>
    <row r="1414" spans="1:5" x14ac:dyDescent="0.25">
      <c r="A1414" s="6">
        <v>44114</v>
      </c>
      <c r="B1414" s="59" t="s">
        <v>2416</v>
      </c>
      <c r="D1414" s="54">
        <v>2900</v>
      </c>
      <c r="E1414" s="22">
        <f t="shared" si="23"/>
        <v>-8961.65</v>
      </c>
    </row>
    <row r="1415" spans="1:5" x14ac:dyDescent="0.25">
      <c r="A1415" s="6">
        <v>44116</v>
      </c>
      <c r="B1415" s="59" t="s">
        <v>2526</v>
      </c>
      <c r="C1415" s="50">
        <v>2500</v>
      </c>
      <c r="E1415" s="22">
        <f t="shared" si="23"/>
        <v>-6461.65</v>
      </c>
    </row>
    <row r="1416" spans="1:5" x14ac:dyDescent="0.25">
      <c r="A1416" s="6">
        <v>44116</v>
      </c>
      <c r="B1416" s="59" t="s">
        <v>1942</v>
      </c>
      <c r="D1416" s="54">
        <v>1000</v>
      </c>
      <c r="E1416" s="22">
        <f t="shared" si="23"/>
        <v>-7461.65</v>
      </c>
    </row>
    <row r="1417" spans="1:5" x14ac:dyDescent="0.25">
      <c r="A1417" s="6">
        <v>44116</v>
      </c>
      <c r="B1417" s="59" t="s">
        <v>1979</v>
      </c>
      <c r="D1417" s="54">
        <v>200</v>
      </c>
      <c r="E1417" s="22">
        <f t="shared" si="23"/>
        <v>-7661.65</v>
      </c>
    </row>
    <row r="1418" spans="1:5" x14ac:dyDescent="0.25">
      <c r="A1418" s="6">
        <v>44116</v>
      </c>
      <c r="B1418" s="59" t="s">
        <v>2449</v>
      </c>
      <c r="D1418" s="54">
        <v>400</v>
      </c>
      <c r="E1418" s="22">
        <f t="shared" si="23"/>
        <v>-8061.65</v>
      </c>
    </row>
    <row r="1419" spans="1:5" x14ac:dyDescent="0.25">
      <c r="A1419" s="6">
        <v>44116</v>
      </c>
      <c r="B1419" s="59" t="s">
        <v>2527</v>
      </c>
      <c r="D1419" s="54">
        <v>300</v>
      </c>
      <c r="E1419" s="22">
        <f t="shared" si="23"/>
        <v>-8361.65</v>
      </c>
    </row>
    <row r="1420" spans="1:5" x14ac:dyDescent="0.25">
      <c r="A1420" s="6">
        <v>44117</v>
      </c>
      <c r="B1420" s="59" t="s">
        <v>321</v>
      </c>
      <c r="C1420" s="50">
        <v>8500</v>
      </c>
      <c r="E1420" s="22">
        <f t="shared" si="23"/>
        <v>138.35000000000036</v>
      </c>
    </row>
    <row r="1421" spans="1:5" x14ac:dyDescent="0.25">
      <c r="A1421" s="6">
        <v>44117</v>
      </c>
      <c r="B1421" s="59" t="s">
        <v>1942</v>
      </c>
      <c r="D1421" s="54">
        <v>500</v>
      </c>
      <c r="E1421" s="22">
        <f t="shared" si="23"/>
        <v>-361.64999999999964</v>
      </c>
    </row>
    <row r="1422" spans="1:5" x14ac:dyDescent="0.25">
      <c r="A1422" s="6">
        <v>44117</v>
      </c>
      <c r="B1422" s="59" t="s">
        <v>2538</v>
      </c>
      <c r="D1422" s="54">
        <v>500</v>
      </c>
      <c r="E1422" s="22">
        <f t="shared" si="23"/>
        <v>-861.64999999999964</v>
      </c>
    </row>
    <row r="1423" spans="1:5" s="22" customFormat="1" x14ac:dyDescent="0.25">
      <c r="A1423" s="6">
        <v>44117</v>
      </c>
      <c r="B1423" s="59" t="s">
        <v>2540</v>
      </c>
      <c r="C1423" s="50"/>
      <c r="D1423" s="54">
        <v>1800</v>
      </c>
      <c r="E1423" s="22">
        <f t="shared" si="23"/>
        <v>-2661.6499999999996</v>
      </c>
    </row>
    <row r="1424" spans="1:5" x14ac:dyDescent="0.25">
      <c r="A1424" s="6">
        <v>44118</v>
      </c>
      <c r="B1424" s="59" t="s">
        <v>2539</v>
      </c>
      <c r="C1424" s="50">
        <v>1000</v>
      </c>
      <c r="E1424" s="22">
        <f t="shared" si="23"/>
        <v>-1661.6499999999996</v>
      </c>
    </row>
    <row r="1425" spans="1:5" x14ac:dyDescent="0.25">
      <c r="A1425" s="6">
        <v>44118</v>
      </c>
      <c r="B1425" s="59" t="s">
        <v>1948</v>
      </c>
      <c r="D1425" s="54">
        <v>500</v>
      </c>
      <c r="E1425" s="22">
        <f t="shared" si="23"/>
        <v>-2161.6499999999996</v>
      </c>
    </row>
    <row r="1426" spans="1:5" x14ac:dyDescent="0.25">
      <c r="A1426" s="6">
        <v>44118</v>
      </c>
      <c r="B1426" s="59" t="s">
        <v>2062</v>
      </c>
      <c r="D1426" s="54">
        <v>5000</v>
      </c>
      <c r="E1426" s="22">
        <f t="shared" si="23"/>
        <v>-7161.65</v>
      </c>
    </row>
    <row r="1427" spans="1:5" x14ac:dyDescent="0.25">
      <c r="A1427" s="6">
        <v>44118</v>
      </c>
      <c r="B1427" s="59" t="s">
        <v>2138</v>
      </c>
      <c r="D1427" s="54">
        <v>1000</v>
      </c>
      <c r="E1427" s="22">
        <f t="shared" si="23"/>
        <v>-8161.65</v>
      </c>
    </row>
    <row r="1428" spans="1:5" x14ac:dyDescent="0.25">
      <c r="A1428" s="6">
        <v>44118</v>
      </c>
      <c r="B1428" s="59" t="s">
        <v>2543</v>
      </c>
      <c r="C1428" s="50">
        <v>2500</v>
      </c>
      <c r="E1428" s="22">
        <f t="shared" si="23"/>
        <v>-5661.65</v>
      </c>
    </row>
    <row r="1429" spans="1:5" x14ac:dyDescent="0.25">
      <c r="A1429" s="6">
        <v>44118</v>
      </c>
      <c r="B1429" s="59" t="s">
        <v>2542</v>
      </c>
      <c r="D1429" s="54">
        <v>500</v>
      </c>
      <c r="E1429" s="22">
        <f t="shared" si="23"/>
        <v>-6161.65</v>
      </c>
    </row>
    <row r="1430" spans="1:5" x14ac:dyDescent="0.25">
      <c r="A1430" s="6">
        <v>44118</v>
      </c>
      <c r="B1430" s="59" t="s">
        <v>321</v>
      </c>
      <c r="C1430" s="50">
        <v>3000</v>
      </c>
      <c r="E1430" s="22">
        <f t="shared" si="23"/>
        <v>-3161.6499999999996</v>
      </c>
    </row>
    <row r="1431" spans="1:5" x14ac:dyDescent="0.25">
      <c r="A1431" s="6">
        <v>44118</v>
      </c>
      <c r="B1431" s="59" t="s">
        <v>1946</v>
      </c>
      <c r="D1431" s="54">
        <v>3000</v>
      </c>
      <c r="E1431" s="22">
        <f t="shared" si="23"/>
        <v>-6161.65</v>
      </c>
    </row>
    <row r="1432" spans="1:5" x14ac:dyDescent="0.25">
      <c r="A1432" s="6">
        <v>44118</v>
      </c>
      <c r="B1432" s="59" t="s">
        <v>2547</v>
      </c>
      <c r="D1432" s="54">
        <v>100</v>
      </c>
      <c r="E1432" s="22">
        <f t="shared" si="23"/>
        <v>-6261.65</v>
      </c>
    </row>
    <row r="1433" spans="1:5" x14ac:dyDescent="0.25">
      <c r="A1433" s="6">
        <v>44118</v>
      </c>
      <c r="B1433" s="59" t="s">
        <v>2550</v>
      </c>
      <c r="D1433" s="54">
        <v>2500</v>
      </c>
      <c r="E1433" s="22">
        <f t="shared" si="23"/>
        <v>-8761.65</v>
      </c>
    </row>
    <row r="1434" spans="1:5" x14ac:dyDescent="0.25">
      <c r="A1434" s="6">
        <v>44118</v>
      </c>
      <c r="B1434" s="59" t="s">
        <v>2551</v>
      </c>
      <c r="C1434" s="50">
        <v>4000</v>
      </c>
      <c r="E1434" s="22">
        <f t="shared" si="23"/>
        <v>-4761.6499999999996</v>
      </c>
    </row>
    <row r="1435" spans="1:5" x14ac:dyDescent="0.25">
      <c r="A1435" s="6">
        <v>44119</v>
      </c>
      <c r="B1435" s="59" t="s">
        <v>2127</v>
      </c>
      <c r="D1435" s="54">
        <v>1800</v>
      </c>
      <c r="E1435" s="22">
        <f t="shared" si="23"/>
        <v>-6561.65</v>
      </c>
    </row>
    <row r="1436" spans="1:5" x14ac:dyDescent="0.25">
      <c r="A1436" s="6">
        <v>44119</v>
      </c>
      <c r="B1436" s="59" t="s">
        <v>2551</v>
      </c>
      <c r="C1436" s="50">
        <v>3000</v>
      </c>
      <c r="E1436" s="22">
        <f t="shared" si="23"/>
        <v>-3561.6499999999996</v>
      </c>
    </row>
    <row r="1437" spans="1:5" x14ac:dyDescent="0.25">
      <c r="A1437" s="6">
        <v>44119</v>
      </c>
      <c r="B1437" s="59" t="s">
        <v>2553</v>
      </c>
      <c r="C1437" s="50">
        <v>500</v>
      </c>
      <c r="E1437" s="22">
        <f t="shared" si="23"/>
        <v>-3061.6499999999996</v>
      </c>
    </row>
    <row r="1438" spans="1:5" x14ac:dyDescent="0.25">
      <c r="A1438" s="6">
        <v>44119</v>
      </c>
      <c r="B1438" s="59" t="s">
        <v>2554</v>
      </c>
      <c r="D1438" s="54">
        <v>100</v>
      </c>
      <c r="E1438" s="22">
        <f t="shared" si="23"/>
        <v>-3161.6499999999996</v>
      </c>
    </row>
    <row r="1439" spans="1:5" x14ac:dyDescent="0.25">
      <c r="A1439" s="6">
        <v>44119</v>
      </c>
      <c r="B1439" s="59" t="s">
        <v>2555</v>
      </c>
      <c r="D1439" s="54">
        <v>100</v>
      </c>
      <c r="E1439" s="22">
        <f t="shared" si="23"/>
        <v>-3261.6499999999996</v>
      </c>
    </row>
    <row r="1440" spans="1:5" x14ac:dyDescent="0.25">
      <c r="A1440" s="6">
        <v>44119</v>
      </c>
      <c r="B1440" s="59" t="s">
        <v>2556</v>
      </c>
      <c r="C1440" s="50">
        <v>100</v>
      </c>
      <c r="E1440" s="22">
        <f t="shared" si="23"/>
        <v>-3161.6499999999996</v>
      </c>
    </row>
    <row r="1441" spans="1:5" x14ac:dyDescent="0.25">
      <c r="A1441" s="6">
        <v>44119</v>
      </c>
      <c r="B1441" s="59" t="s">
        <v>1942</v>
      </c>
      <c r="D1441" s="54">
        <v>500</v>
      </c>
      <c r="E1441" s="22">
        <f t="shared" si="23"/>
        <v>-3661.6499999999996</v>
      </c>
    </row>
    <row r="1442" spans="1:5" x14ac:dyDescent="0.25">
      <c r="A1442" s="6">
        <v>44120</v>
      </c>
      <c r="B1442" s="59" t="s">
        <v>2048</v>
      </c>
      <c r="D1442" s="54">
        <v>2000</v>
      </c>
      <c r="E1442" s="22">
        <f t="shared" si="23"/>
        <v>-5661.65</v>
      </c>
    </row>
    <row r="1443" spans="1:5" x14ac:dyDescent="0.25">
      <c r="A1443" s="6">
        <v>44120</v>
      </c>
      <c r="B1443" s="59" t="s">
        <v>1942</v>
      </c>
      <c r="D1443" s="54">
        <v>500</v>
      </c>
      <c r="E1443" s="22">
        <f t="shared" si="23"/>
        <v>-6161.65</v>
      </c>
    </row>
    <row r="1444" spans="1:5" x14ac:dyDescent="0.25">
      <c r="A1444" s="6">
        <v>44120</v>
      </c>
      <c r="B1444" s="59" t="s">
        <v>2557</v>
      </c>
      <c r="D1444" s="54">
        <v>100</v>
      </c>
      <c r="E1444" s="22">
        <f t="shared" si="23"/>
        <v>-6261.65</v>
      </c>
    </row>
    <row r="1445" spans="1:5" x14ac:dyDescent="0.25">
      <c r="A1445" s="6">
        <v>44120</v>
      </c>
      <c r="B1445" s="59" t="s">
        <v>2138</v>
      </c>
      <c r="D1445" s="54">
        <v>1000</v>
      </c>
      <c r="E1445" s="22">
        <f t="shared" si="23"/>
        <v>-7261.65</v>
      </c>
    </row>
    <row r="1446" spans="1:5" x14ac:dyDescent="0.25">
      <c r="A1446" s="6">
        <v>44120</v>
      </c>
      <c r="B1446" s="59" t="s">
        <v>2134</v>
      </c>
      <c r="C1446" s="50">
        <v>2000</v>
      </c>
      <c r="E1446" s="22">
        <f t="shared" si="23"/>
        <v>-5261.65</v>
      </c>
    </row>
    <row r="1447" spans="1:5" x14ac:dyDescent="0.25">
      <c r="A1447" s="6">
        <v>44120</v>
      </c>
      <c r="B1447" s="59" t="s">
        <v>1948</v>
      </c>
      <c r="D1447" s="54">
        <v>3700</v>
      </c>
      <c r="E1447" s="22">
        <f t="shared" si="23"/>
        <v>-8961.65</v>
      </c>
    </row>
    <row r="1448" spans="1:5" x14ac:dyDescent="0.25">
      <c r="A1448" s="6">
        <v>44121</v>
      </c>
      <c r="B1448" s="59" t="s">
        <v>505</v>
      </c>
      <c r="C1448" s="50">
        <v>1000</v>
      </c>
      <c r="E1448" s="22">
        <f t="shared" si="23"/>
        <v>-7961.65</v>
      </c>
    </row>
    <row r="1449" spans="1:5" x14ac:dyDescent="0.25">
      <c r="A1449" s="6">
        <v>44121</v>
      </c>
      <c r="B1449" s="59" t="s">
        <v>1948</v>
      </c>
      <c r="D1449" s="54">
        <v>700</v>
      </c>
      <c r="E1449" s="22">
        <f t="shared" si="23"/>
        <v>-8661.65</v>
      </c>
    </row>
    <row r="1450" spans="1:5" x14ac:dyDescent="0.25">
      <c r="A1450" s="6">
        <v>44121</v>
      </c>
      <c r="B1450" s="59" t="s">
        <v>2569</v>
      </c>
      <c r="D1450" s="54">
        <v>200</v>
      </c>
      <c r="E1450" s="22">
        <f t="shared" si="23"/>
        <v>-8861.65</v>
      </c>
    </row>
    <row r="1451" spans="1:5" x14ac:dyDescent="0.25">
      <c r="A1451" s="6">
        <v>44121</v>
      </c>
      <c r="B1451" s="59" t="s">
        <v>2570</v>
      </c>
      <c r="C1451" s="50">
        <v>500</v>
      </c>
      <c r="E1451" s="22">
        <f t="shared" si="23"/>
        <v>-8361.65</v>
      </c>
    </row>
    <row r="1452" spans="1:5" x14ac:dyDescent="0.25">
      <c r="A1452" s="6">
        <v>44121</v>
      </c>
      <c r="B1452" s="59" t="s">
        <v>1942</v>
      </c>
      <c r="D1452" s="54">
        <v>500</v>
      </c>
      <c r="E1452" s="22">
        <f t="shared" si="23"/>
        <v>-8861.65</v>
      </c>
    </row>
    <row r="1453" spans="1:5" x14ac:dyDescent="0.25">
      <c r="A1453" s="6">
        <v>44121</v>
      </c>
      <c r="B1453" s="59" t="s">
        <v>2571</v>
      </c>
      <c r="D1453" s="54">
        <v>100</v>
      </c>
      <c r="E1453" s="22">
        <f t="shared" si="23"/>
        <v>-8961.65</v>
      </c>
    </row>
    <row r="1454" spans="1:5" x14ac:dyDescent="0.25">
      <c r="A1454" s="6">
        <v>44121</v>
      </c>
      <c r="B1454" s="59" t="s">
        <v>2521</v>
      </c>
      <c r="C1454" s="50">
        <v>2500</v>
      </c>
      <c r="E1454" s="22">
        <f t="shared" si="23"/>
        <v>-6461.65</v>
      </c>
    </row>
    <row r="1455" spans="1:5" x14ac:dyDescent="0.25">
      <c r="A1455" s="6">
        <v>44121</v>
      </c>
      <c r="B1455" s="59" t="s">
        <v>2571</v>
      </c>
      <c r="D1455" s="54">
        <v>100</v>
      </c>
      <c r="E1455" s="22">
        <f t="shared" si="23"/>
        <v>-6561.65</v>
      </c>
    </row>
    <row r="1456" spans="1:5" x14ac:dyDescent="0.25">
      <c r="A1456" s="6">
        <v>44121</v>
      </c>
      <c r="B1456" s="59" t="s">
        <v>2572</v>
      </c>
      <c r="C1456" s="50">
        <v>800</v>
      </c>
      <c r="E1456" s="22">
        <f t="shared" si="23"/>
        <v>-5761.65</v>
      </c>
    </row>
    <row r="1457" spans="1:5" x14ac:dyDescent="0.25">
      <c r="A1457" s="6">
        <v>44121</v>
      </c>
      <c r="B1457" s="59" t="s">
        <v>2062</v>
      </c>
      <c r="D1457" s="54">
        <v>2000</v>
      </c>
      <c r="E1457" s="22">
        <f t="shared" si="23"/>
        <v>-7761.65</v>
      </c>
    </row>
    <row r="1458" spans="1:5" x14ac:dyDescent="0.25">
      <c r="A1458" s="6">
        <v>44123</v>
      </c>
      <c r="B1458" s="59" t="s">
        <v>2573</v>
      </c>
      <c r="C1458" s="50">
        <v>700</v>
      </c>
      <c r="E1458" s="22">
        <f t="shared" si="23"/>
        <v>-7061.65</v>
      </c>
    </row>
    <row r="1459" spans="1:5" x14ac:dyDescent="0.25">
      <c r="A1459" s="6">
        <v>44123</v>
      </c>
      <c r="B1459" s="59" t="s">
        <v>2165</v>
      </c>
      <c r="D1459" s="54">
        <v>500</v>
      </c>
      <c r="E1459" s="22">
        <f t="shared" si="23"/>
        <v>-7561.65</v>
      </c>
    </row>
    <row r="1460" spans="1:5" x14ac:dyDescent="0.25">
      <c r="A1460" s="6">
        <v>44123</v>
      </c>
      <c r="B1460" s="59" t="s">
        <v>2449</v>
      </c>
      <c r="D1460" s="54">
        <v>100</v>
      </c>
      <c r="E1460" s="22">
        <f t="shared" si="23"/>
        <v>-7661.65</v>
      </c>
    </row>
    <row r="1461" spans="1:5" x14ac:dyDescent="0.25">
      <c r="A1461" s="6">
        <v>44123</v>
      </c>
      <c r="B1461" s="59" t="s">
        <v>2574</v>
      </c>
      <c r="C1461" s="50">
        <v>2500</v>
      </c>
      <c r="E1461" s="22">
        <f t="shared" si="23"/>
        <v>-5161.6499999999996</v>
      </c>
    </row>
    <row r="1462" spans="1:5" x14ac:dyDescent="0.25">
      <c r="A1462" s="6">
        <v>44123</v>
      </c>
      <c r="B1462" s="59" t="s">
        <v>2575</v>
      </c>
      <c r="C1462" s="50">
        <v>500</v>
      </c>
      <c r="E1462" s="22">
        <f t="shared" si="23"/>
        <v>-4661.6499999999996</v>
      </c>
    </row>
    <row r="1463" spans="1:5" x14ac:dyDescent="0.25">
      <c r="A1463" s="6">
        <v>44123</v>
      </c>
      <c r="B1463" s="59" t="s">
        <v>2449</v>
      </c>
      <c r="D1463" s="54">
        <v>100</v>
      </c>
      <c r="E1463" s="22">
        <f t="shared" si="23"/>
        <v>-4761.6499999999996</v>
      </c>
    </row>
    <row r="1464" spans="1:5" x14ac:dyDescent="0.25">
      <c r="A1464" s="6">
        <v>44123</v>
      </c>
      <c r="B1464" s="59" t="s">
        <v>2576</v>
      </c>
      <c r="D1464" s="54">
        <v>200</v>
      </c>
      <c r="E1464" s="22">
        <f t="shared" si="23"/>
        <v>-4961.6499999999996</v>
      </c>
    </row>
    <row r="1465" spans="1:5" x14ac:dyDescent="0.25">
      <c r="A1465" s="6">
        <v>44123</v>
      </c>
      <c r="B1465" s="59" t="s">
        <v>2577</v>
      </c>
      <c r="D1465" s="54">
        <v>500</v>
      </c>
      <c r="E1465" s="22">
        <f t="shared" si="23"/>
        <v>-5461.65</v>
      </c>
    </row>
    <row r="1466" spans="1:5" x14ac:dyDescent="0.25">
      <c r="A1466" s="6">
        <v>44123</v>
      </c>
      <c r="B1466" s="59" t="s">
        <v>2578</v>
      </c>
      <c r="D1466" s="54">
        <v>200</v>
      </c>
      <c r="E1466" s="22">
        <f t="shared" si="23"/>
        <v>-5661.65</v>
      </c>
    </row>
    <row r="1467" spans="1:5" x14ac:dyDescent="0.25">
      <c r="A1467" s="6">
        <v>44124</v>
      </c>
      <c r="B1467" s="59" t="s">
        <v>2134</v>
      </c>
      <c r="C1467" s="50">
        <v>3000</v>
      </c>
      <c r="E1467" s="22">
        <f t="shared" si="23"/>
        <v>-2661.6499999999996</v>
      </c>
    </row>
    <row r="1468" spans="1:5" x14ac:dyDescent="0.25">
      <c r="A1468" s="6">
        <v>44124</v>
      </c>
      <c r="B1468" s="59" t="s">
        <v>1942</v>
      </c>
      <c r="D1468" s="54">
        <v>1000</v>
      </c>
      <c r="E1468" s="22">
        <f t="shared" si="23"/>
        <v>-3661.6499999999996</v>
      </c>
    </row>
    <row r="1469" spans="1:5" x14ac:dyDescent="0.25">
      <c r="A1469" s="6">
        <v>44124</v>
      </c>
      <c r="B1469" s="59" t="s">
        <v>2048</v>
      </c>
      <c r="D1469" s="54">
        <v>1000</v>
      </c>
      <c r="E1469" s="22">
        <f t="shared" si="23"/>
        <v>-4661.6499999999996</v>
      </c>
    </row>
    <row r="1470" spans="1:5" x14ac:dyDescent="0.25">
      <c r="A1470" s="6">
        <v>44124</v>
      </c>
      <c r="B1470" s="59" t="s">
        <v>2062</v>
      </c>
      <c r="D1470" s="54">
        <v>1000</v>
      </c>
      <c r="E1470" s="22">
        <f t="shared" si="23"/>
        <v>-5661.65</v>
      </c>
    </row>
    <row r="1471" spans="1:5" x14ac:dyDescent="0.25">
      <c r="A1471" s="6">
        <v>44124</v>
      </c>
      <c r="B1471" s="59" t="s">
        <v>2300</v>
      </c>
      <c r="C1471" s="50">
        <v>1000</v>
      </c>
      <c r="E1471" s="22">
        <f t="shared" si="23"/>
        <v>-4661.6499999999996</v>
      </c>
    </row>
    <row r="1472" spans="1:5" x14ac:dyDescent="0.25">
      <c r="A1472" s="6">
        <v>44124</v>
      </c>
      <c r="B1472" s="59" t="s">
        <v>1942</v>
      </c>
      <c r="D1472" s="54">
        <v>500</v>
      </c>
      <c r="E1472" s="22">
        <f t="shared" si="23"/>
        <v>-5161.6499999999996</v>
      </c>
    </row>
    <row r="1473" spans="1:5" x14ac:dyDescent="0.25">
      <c r="A1473" s="6">
        <v>44124</v>
      </c>
      <c r="B1473" s="59" t="s">
        <v>1979</v>
      </c>
      <c r="D1473" s="54">
        <v>500</v>
      </c>
      <c r="E1473" s="22">
        <f t="shared" si="23"/>
        <v>-5661.65</v>
      </c>
    </row>
    <row r="1474" spans="1:5" x14ac:dyDescent="0.25">
      <c r="A1474" s="6">
        <v>44124</v>
      </c>
      <c r="B1474" s="59" t="s">
        <v>1948</v>
      </c>
      <c r="D1474" s="54">
        <v>1300</v>
      </c>
      <c r="E1474" s="22">
        <f t="shared" si="23"/>
        <v>-6961.65</v>
      </c>
    </row>
    <row r="1475" spans="1:5" x14ac:dyDescent="0.25">
      <c r="A1475" s="6">
        <v>44124</v>
      </c>
      <c r="B1475" s="59" t="s">
        <v>2579</v>
      </c>
      <c r="D1475" s="54">
        <v>100</v>
      </c>
      <c r="E1475" s="22">
        <f t="shared" si="23"/>
        <v>-7061.65</v>
      </c>
    </row>
    <row r="1476" spans="1:5" x14ac:dyDescent="0.25">
      <c r="A1476" s="6">
        <v>44125</v>
      </c>
      <c r="B1476" s="59" t="s">
        <v>2581</v>
      </c>
      <c r="D1476" s="54">
        <v>500</v>
      </c>
      <c r="E1476" s="22">
        <f t="shared" si="23"/>
        <v>-7561.65</v>
      </c>
    </row>
    <row r="1477" spans="1:5" x14ac:dyDescent="0.25">
      <c r="A1477" s="6">
        <v>44125</v>
      </c>
      <c r="B1477" s="59" t="s">
        <v>2581</v>
      </c>
      <c r="D1477" s="54">
        <v>300</v>
      </c>
      <c r="E1477" s="22">
        <f t="shared" si="23"/>
        <v>-7861.65</v>
      </c>
    </row>
    <row r="1478" spans="1:5" x14ac:dyDescent="0.25">
      <c r="A1478" s="6">
        <v>44125</v>
      </c>
      <c r="B1478" s="59" t="s">
        <v>2582</v>
      </c>
      <c r="C1478" s="50">
        <v>2300</v>
      </c>
      <c r="E1478" s="22">
        <f t="shared" si="23"/>
        <v>-5561.65</v>
      </c>
    </row>
    <row r="1479" spans="1:5" x14ac:dyDescent="0.25">
      <c r="A1479" s="6">
        <v>44125</v>
      </c>
      <c r="B1479" s="59" t="s">
        <v>2583</v>
      </c>
      <c r="C1479" s="50">
        <v>700</v>
      </c>
      <c r="E1479" s="22">
        <f t="shared" si="23"/>
        <v>-4861.6499999999996</v>
      </c>
    </row>
    <row r="1480" spans="1:5" x14ac:dyDescent="0.25">
      <c r="A1480" s="6">
        <v>44125</v>
      </c>
      <c r="B1480" s="59" t="s">
        <v>1942</v>
      </c>
      <c r="D1480" s="54">
        <v>10000</v>
      </c>
      <c r="E1480" s="22">
        <f t="shared" si="23"/>
        <v>-14861.65</v>
      </c>
    </row>
    <row r="1481" spans="1:5" x14ac:dyDescent="0.25">
      <c r="A1481" s="6">
        <v>44125</v>
      </c>
      <c r="B1481" s="59" t="s">
        <v>2062</v>
      </c>
      <c r="C1481" s="50">
        <v>10000</v>
      </c>
      <c r="E1481" s="22">
        <f t="shared" si="23"/>
        <v>-4861.6499999999996</v>
      </c>
    </row>
    <row r="1482" spans="1:5" x14ac:dyDescent="0.25">
      <c r="A1482" s="6">
        <v>44125</v>
      </c>
      <c r="B1482" s="59" t="s">
        <v>1946</v>
      </c>
      <c r="D1482" s="54">
        <v>3000</v>
      </c>
      <c r="E1482" s="22">
        <f t="shared" ref="E1482:E1560" si="24">E1481-D1482+C1482</f>
        <v>-7861.65</v>
      </c>
    </row>
    <row r="1483" spans="1:5" x14ac:dyDescent="0.25">
      <c r="A1483" s="6">
        <v>44126</v>
      </c>
      <c r="B1483" s="59" t="s">
        <v>2584</v>
      </c>
      <c r="C1483" s="50">
        <v>10000</v>
      </c>
      <c r="E1483" s="22">
        <f t="shared" si="24"/>
        <v>2138.3500000000004</v>
      </c>
    </row>
    <row r="1484" spans="1:5" x14ac:dyDescent="0.25">
      <c r="A1484" s="6">
        <v>44126</v>
      </c>
      <c r="B1484" s="59" t="s">
        <v>2062</v>
      </c>
      <c r="D1484" s="54">
        <v>10000</v>
      </c>
      <c r="E1484" s="22">
        <f t="shared" si="24"/>
        <v>-7861.65</v>
      </c>
    </row>
    <row r="1485" spans="1:5" x14ac:dyDescent="0.25">
      <c r="A1485" s="6">
        <v>44127</v>
      </c>
      <c r="B1485" s="59" t="s">
        <v>2585</v>
      </c>
      <c r="C1485" s="50">
        <v>2000</v>
      </c>
      <c r="E1485" s="22">
        <f>E1484-D1485+C1485</f>
        <v>-5861.65</v>
      </c>
    </row>
    <row r="1486" spans="1:5" x14ac:dyDescent="0.25">
      <c r="A1486" s="6">
        <v>44127</v>
      </c>
      <c r="B1486" s="59" t="s">
        <v>1942</v>
      </c>
      <c r="D1486" s="54">
        <v>800</v>
      </c>
      <c r="E1486" s="22">
        <f t="shared" si="24"/>
        <v>-6661.65</v>
      </c>
    </row>
    <row r="1487" spans="1:5" x14ac:dyDescent="0.25">
      <c r="A1487" s="6">
        <v>44127</v>
      </c>
      <c r="B1487" s="59" t="s">
        <v>1624</v>
      </c>
      <c r="D1487" s="54">
        <v>700</v>
      </c>
      <c r="E1487" s="22">
        <f t="shared" si="24"/>
        <v>-7361.65</v>
      </c>
    </row>
    <row r="1488" spans="1:5" x14ac:dyDescent="0.25">
      <c r="A1488" s="6">
        <v>44127</v>
      </c>
      <c r="B1488" s="59" t="s">
        <v>2449</v>
      </c>
      <c r="D1488" s="54">
        <v>100</v>
      </c>
      <c r="E1488" s="22">
        <f t="shared" si="24"/>
        <v>-7461.65</v>
      </c>
    </row>
    <row r="1489" spans="1:5" x14ac:dyDescent="0.25">
      <c r="A1489" s="6">
        <v>44127</v>
      </c>
      <c r="B1489" s="59" t="s">
        <v>2586</v>
      </c>
      <c r="C1489" s="50">
        <v>1000</v>
      </c>
      <c r="E1489" s="22">
        <f t="shared" si="24"/>
        <v>-6461.65</v>
      </c>
    </row>
    <row r="1490" spans="1:5" x14ac:dyDescent="0.25">
      <c r="A1490" s="6">
        <v>44127</v>
      </c>
      <c r="B1490" s="59" t="s">
        <v>1942</v>
      </c>
      <c r="D1490" s="54">
        <v>500</v>
      </c>
      <c r="E1490" s="22">
        <f t="shared" si="24"/>
        <v>-6961.65</v>
      </c>
    </row>
    <row r="1491" spans="1:5" x14ac:dyDescent="0.25">
      <c r="A1491" s="6">
        <v>44127</v>
      </c>
      <c r="B1491" s="59" t="s">
        <v>2449</v>
      </c>
      <c r="D1491" s="54">
        <v>200</v>
      </c>
      <c r="E1491" s="22">
        <f t="shared" si="24"/>
        <v>-7161.65</v>
      </c>
    </row>
    <row r="1492" spans="1:5" x14ac:dyDescent="0.25">
      <c r="A1492" s="6">
        <v>44127</v>
      </c>
      <c r="B1492" s="59" t="s">
        <v>321</v>
      </c>
      <c r="C1492" s="50">
        <v>4500</v>
      </c>
      <c r="E1492" s="22">
        <f t="shared" si="24"/>
        <v>-2661.6499999999996</v>
      </c>
    </row>
    <row r="1493" spans="1:5" x14ac:dyDescent="0.25">
      <c r="A1493" s="6">
        <v>44127</v>
      </c>
      <c r="B1493" s="59" t="s">
        <v>2070</v>
      </c>
      <c r="D1493" s="54">
        <v>4000</v>
      </c>
      <c r="E1493" s="22">
        <f t="shared" si="24"/>
        <v>-6661.65</v>
      </c>
    </row>
    <row r="1494" spans="1:5" x14ac:dyDescent="0.25">
      <c r="A1494" s="26">
        <v>44127</v>
      </c>
      <c r="B1494" s="61" t="s">
        <v>2587</v>
      </c>
      <c r="C1494" s="51"/>
      <c r="D1494" s="58">
        <v>500</v>
      </c>
      <c r="E1494" s="22">
        <f t="shared" si="24"/>
        <v>-7161.65</v>
      </c>
    </row>
    <row r="1495" spans="1:5" x14ac:dyDescent="0.25">
      <c r="A1495" s="6">
        <v>44129</v>
      </c>
      <c r="B1495" s="59" t="s">
        <v>2062</v>
      </c>
      <c r="D1495" s="54">
        <v>1800</v>
      </c>
      <c r="E1495" s="22">
        <f t="shared" si="24"/>
        <v>-8961.65</v>
      </c>
    </row>
    <row r="1496" spans="1:5" x14ac:dyDescent="0.25">
      <c r="A1496" s="6">
        <v>44130</v>
      </c>
      <c r="B1496" s="59" t="s">
        <v>1649</v>
      </c>
      <c r="C1496" s="50">
        <v>1000</v>
      </c>
      <c r="E1496" s="22">
        <f t="shared" si="24"/>
        <v>-7961.65</v>
      </c>
    </row>
    <row r="1497" spans="1:5" x14ac:dyDescent="0.25">
      <c r="A1497" s="6">
        <v>44131</v>
      </c>
      <c r="B1497" s="59" t="s">
        <v>1649</v>
      </c>
      <c r="C1497" s="50">
        <v>4000</v>
      </c>
      <c r="E1497" s="22">
        <f t="shared" si="24"/>
        <v>-3961.6499999999996</v>
      </c>
    </row>
    <row r="1498" spans="1:5" x14ac:dyDescent="0.25">
      <c r="A1498" s="6">
        <v>44131</v>
      </c>
      <c r="B1498" s="59" t="s">
        <v>2062</v>
      </c>
      <c r="D1498" s="54">
        <v>5000</v>
      </c>
      <c r="E1498" s="22">
        <f t="shared" si="24"/>
        <v>-8961.65</v>
      </c>
    </row>
    <row r="1499" spans="1:5" x14ac:dyDescent="0.25">
      <c r="A1499" s="6">
        <v>44131</v>
      </c>
      <c r="B1499" s="59" t="s">
        <v>2596</v>
      </c>
      <c r="C1499" s="50">
        <v>5000</v>
      </c>
      <c r="E1499" s="22">
        <f t="shared" si="24"/>
        <v>-3961.6499999999996</v>
      </c>
    </row>
    <row r="1500" spans="1:5" x14ac:dyDescent="0.25">
      <c r="A1500" s="6">
        <v>44131</v>
      </c>
      <c r="B1500" s="59" t="s">
        <v>2597</v>
      </c>
      <c r="C1500" s="50">
        <v>2000</v>
      </c>
      <c r="E1500" s="22">
        <f t="shared" si="24"/>
        <v>-1961.6499999999996</v>
      </c>
    </row>
    <row r="1501" spans="1:5" x14ac:dyDescent="0.25">
      <c r="A1501" s="6">
        <v>44131</v>
      </c>
      <c r="B1501" s="59" t="s">
        <v>2598</v>
      </c>
      <c r="D1501" s="54">
        <v>200</v>
      </c>
      <c r="E1501" s="22">
        <f t="shared" si="24"/>
        <v>-2161.6499999999996</v>
      </c>
    </row>
    <row r="1502" spans="1:5" x14ac:dyDescent="0.25">
      <c r="A1502" s="6">
        <v>44131</v>
      </c>
      <c r="B1502" s="59" t="s">
        <v>2599</v>
      </c>
      <c r="D1502" s="54">
        <v>200</v>
      </c>
      <c r="E1502" s="22">
        <f t="shared" si="24"/>
        <v>-2361.6499999999996</v>
      </c>
    </row>
    <row r="1503" spans="1:5" x14ac:dyDescent="0.25">
      <c r="A1503" s="6">
        <v>44131</v>
      </c>
      <c r="B1503" s="59" t="s">
        <v>2048</v>
      </c>
      <c r="D1503" s="54">
        <v>3000</v>
      </c>
      <c r="E1503" s="22">
        <f t="shared" si="24"/>
        <v>-5361.65</v>
      </c>
    </row>
    <row r="1504" spans="1:5" x14ac:dyDescent="0.25">
      <c r="A1504" s="6">
        <v>44132</v>
      </c>
      <c r="B1504" s="59" t="s">
        <v>2062</v>
      </c>
      <c r="D1504" s="54">
        <v>3000</v>
      </c>
      <c r="E1504" s="22">
        <f t="shared" si="24"/>
        <v>-8361.65</v>
      </c>
    </row>
    <row r="1505" spans="1:6" x14ac:dyDescent="0.25">
      <c r="A1505" s="6">
        <v>44132</v>
      </c>
      <c r="B1505" s="59" t="s">
        <v>2175</v>
      </c>
      <c r="C1505" s="50">
        <v>3000</v>
      </c>
      <c r="E1505" s="22">
        <f t="shared" si="24"/>
        <v>-5361.65</v>
      </c>
    </row>
    <row r="1506" spans="1:6" x14ac:dyDescent="0.25">
      <c r="A1506" s="6">
        <v>44132</v>
      </c>
      <c r="B1506" s="59" t="s">
        <v>2600</v>
      </c>
      <c r="C1506" s="50">
        <v>6000</v>
      </c>
      <c r="E1506" s="22">
        <f t="shared" si="24"/>
        <v>638.35000000000036</v>
      </c>
    </row>
    <row r="1507" spans="1:6" x14ac:dyDescent="0.25">
      <c r="A1507" s="6">
        <v>44132</v>
      </c>
      <c r="B1507" s="59" t="s">
        <v>1941</v>
      </c>
      <c r="D1507" s="54">
        <v>2000</v>
      </c>
      <c r="E1507" s="22">
        <f t="shared" si="24"/>
        <v>-1361.6499999999996</v>
      </c>
    </row>
    <row r="1508" spans="1:6" x14ac:dyDescent="0.25">
      <c r="A1508" s="6">
        <v>44133</v>
      </c>
      <c r="B1508" s="59" t="s">
        <v>2601</v>
      </c>
      <c r="D1508" s="54">
        <v>1000</v>
      </c>
      <c r="E1508" s="22">
        <f t="shared" si="24"/>
        <v>-2361.6499999999996</v>
      </c>
    </row>
    <row r="1509" spans="1:6" x14ac:dyDescent="0.25">
      <c r="A1509" s="6">
        <v>44133</v>
      </c>
      <c r="B1509" s="59" t="s">
        <v>2102</v>
      </c>
      <c r="D1509" s="54">
        <v>6500</v>
      </c>
      <c r="E1509" s="22">
        <f t="shared" si="24"/>
        <v>-8861.65</v>
      </c>
    </row>
    <row r="1510" spans="1:6" x14ac:dyDescent="0.25">
      <c r="A1510" s="6">
        <v>44133</v>
      </c>
      <c r="B1510" s="59" t="s">
        <v>1649</v>
      </c>
      <c r="C1510" s="50">
        <v>2000</v>
      </c>
      <c r="E1510" s="22">
        <f t="shared" si="24"/>
        <v>-6861.65</v>
      </c>
    </row>
    <row r="1511" spans="1:6" x14ac:dyDescent="0.25">
      <c r="A1511" s="6">
        <v>44133</v>
      </c>
      <c r="B1511" s="59" t="s">
        <v>2605</v>
      </c>
      <c r="D1511" s="54">
        <v>500</v>
      </c>
      <c r="E1511" s="22">
        <f t="shared" si="24"/>
        <v>-7361.65</v>
      </c>
    </row>
    <row r="1512" spans="1:6" x14ac:dyDescent="0.25">
      <c r="A1512" s="6">
        <v>44134</v>
      </c>
      <c r="B1512" s="59" t="s">
        <v>2611</v>
      </c>
      <c r="C1512" s="50">
        <v>5000</v>
      </c>
      <c r="E1512" s="22">
        <f t="shared" si="24"/>
        <v>-2361.6499999999996</v>
      </c>
    </row>
    <row r="1513" spans="1:6" x14ac:dyDescent="0.25">
      <c r="A1513" s="6">
        <v>44134</v>
      </c>
      <c r="B1513" s="59" t="s">
        <v>2612</v>
      </c>
      <c r="D1513" s="54">
        <v>1000</v>
      </c>
      <c r="E1513" s="22">
        <f t="shared" si="24"/>
        <v>-3361.6499999999996</v>
      </c>
    </row>
    <row r="1514" spans="1:6" x14ac:dyDescent="0.25">
      <c r="A1514" s="6">
        <v>44134</v>
      </c>
      <c r="B1514" s="59" t="s">
        <v>2062</v>
      </c>
      <c r="D1514" s="54">
        <v>2000</v>
      </c>
      <c r="E1514" s="22">
        <f t="shared" si="24"/>
        <v>-5361.65</v>
      </c>
    </row>
    <row r="1515" spans="1:6" x14ac:dyDescent="0.25">
      <c r="A1515" s="6">
        <v>44134</v>
      </c>
      <c r="B1515" s="59" t="s">
        <v>2613</v>
      </c>
      <c r="D1515" s="54">
        <v>500</v>
      </c>
      <c r="E1515" s="22">
        <f t="shared" si="24"/>
        <v>-5861.65</v>
      </c>
    </row>
    <row r="1516" spans="1:6" x14ac:dyDescent="0.25">
      <c r="A1516" s="6">
        <v>44134</v>
      </c>
      <c r="B1516" s="59" t="s">
        <v>1928</v>
      </c>
      <c r="C1516" s="50">
        <v>1000</v>
      </c>
      <c r="E1516" s="22">
        <f t="shared" si="24"/>
        <v>-4861.6499999999996</v>
      </c>
      <c r="F1516">
        <v>3638.35</v>
      </c>
    </row>
    <row r="1517" spans="1:6" s="22" customFormat="1" x14ac:dyDescent="0.25">
      <c r="A1517" s="6">
        <v>44134</v>
      </c>
      <c r="B1517" s="59" t="s">
        <v>2073</v>
      </c>
      <c r="C1517" s="50"/>
      <c r="D1517" s="54">
        <v>500</v>
      </c>
      <c r="E1517" s="22">
        <f t="shared" si="24"/>
        <v>-5361.65</v>
      </c>
    </row>
    <row r="1518" spans="1:6" x14ac:dyDescent="0.25">
      <c r="A1518" s="6">
        <v>44135</v>
      </c>
      <c r="B1518" s="59" t="s">
        <v>2134</v>
      </c>
      <c r="C1518" s="50">
        <v>1600</v>
      </c>
      <c r="E1518" s="22">
        <f t="shared" si="24"/>
        <v>-3761.6499999999996</v>
      </c>
    </row>
    <row r="1519" spans="1:6" x14ac:dyDescent="0.25">
      <c r="A1519" s="6">
        <v>44135</v>
      </c>
      <c r="B1519" s="59" t="s">
        <v>2616</v>
      </c>
      <c r="C1519" s="50">
        <v>2000</v>
      </c>
      <c r="E1519" s="22">
        <f t="shared" si="24"/>
        <v>-1761.6499999999996</v>
      </c>
    </row>
    <row r="1520" spans="1:6" x14ac:dyDescent="0.25">
      <c r="A1520" s="6">
        <v>44135</v>
      </c>
      <c r="B1520" s="59" t="s">
        <v>2616</v>
      </c>
      <c r="C1520" s="50">
        <v>3500</v>
      </c>
      <c r="E1520" s="22">
        <f t="shared" si="24"/>
        <v>1738.3500000000004</v>
      </c>
    </row>
    <row r="1521" spans="1:7" x14ac:dyDescent="0.25">
      <c r="A1521" s="6">
        <v>44135</v>
      </c>
      <c r="B1521" s="59" t="s">
        <v>2619</v>
      </c>
      <c r="D1521" s="54">
        <v>2000</v>
      </c>
      <c r="E1521" s="22">
        <f t="shared" si="24"/>
        <v>-261.64999999999964</v>
      </c>
    </row>
    <row r="1522" spans="1:7" x14ac:dyDescent="0.25">
      <c r="A1522" s="6">
        <v>44136</v>
      </c>
      <c r="B1522" s="59" t="s">
        <v>2618</v>
      </c>
      <c r="D1522" s="54">
        <v>3000</v>
      </c>
      <c r="E1522" s="22">
        <f t="shared" si="24"/>
        <v>-3261.6499999999996</v>
      </c>
      <c r="G1522">
        <f>3261-2961.65</f>
        <v>299.34999999999991</v>
      </c>
    </row>
    <row r="1523" spans="1:7" x14ac:dyDescent="0.25">
      <c r="A1523" s="6">
        <v>44136</v>
      </c>
      <c r="B1523" s="59" t="s">
        <v>2620</v>
      </c>
      <c r="C1523" s="50">
        <v>300</v>
      </c>
      <c r="E1523" s="22">
        <f t="shared" si="24"/>
        <v>-2961.6499999999996</v>
      </c>
    </row>
    <row r="1524" spans="1:7" x14ac:dyDescent="0.25">
      <c r="A1524" s="6">
        <v>44136</v>
      </c>
      <c r="B1524" s="59" t="s">
        <v>2617</v>
      </c>
      <c r="D1524" s="54">
        <v>500</v>
      </c>
      <c r="E1524" s="22">
        <f t="shared" si="24"/>
        <v>-3461.6499999999996</v>
      </c>
    </row>
    <row r="1525" spans="1:7" x14ac:dyDescent="0.25">
      <c r="A1525" s="6">
        <v>44136</v>
      </c>
      <c r="B1525" s="59" t="s">
        <v>2062</v>
      </c>
      <c r="D1525" s="54">
        <v>5000</v>
      </c>
      <c r="E1525" s="22">
        <f t="shared" si="24"/>
        <v>-8461.65</v>
      </c>
    </row>
    <row r="1526" spans="1:7" x14ac:dyDescent="0.25">
      <c r="A1526" s="6">
        <v>44137</v>
      </c>
      <c r="B1526" s="59" t="s">
        <v>2625</v>
      </c>
      <c r="C1526" s="50">
        <v>6000</v>
      </c>
      <c r="E1526" s="22">
        <f t="shared" si="24"/>
        <v>-2461.6499999999996</v>
      </c>
    </row>
    <row r="1527" spans="1:7" x14ac:dyDescent="0.25">
      <c r="A1527" s="6">
        <v>44137</v>
      </c>
      <c r="B1527" s="59" t="s">
        <v>2624</v>
      </c>
      <c r="D1527" s="54">
        <v>1350</v>
      </c>
      <c r="E1527" s="22">
        <f t="shared" si="24"/>
        <v>-3811.6499999999996</v>
      </c>
    </row>
    <row r="1528" spans="1:7" x14ac:dyDescent="0.25">
      <c r="A1528" s="6">
        <v>44138</v>
      </c>
      <c r="B1528" s="59" t="s">
        <v>321</v>
      </c>
      <c r="C1528" s="50">
        <v>5000</v>
      </c>
      <c r="E1528" s="22">
        <f t="shared" si="24"/>
        <v>1188.3500000000004</v>
      </c>
    </row>
    <row r="1529" spans="1:7" x14ac:dyDescent="0.25">
      <c r="A1529" s="6">
        <v>44138</v>
      </c>
      <c r="B1529" s="59" t="s">
        <v>2626</v>
      </c>
      <c r="D1529" s="54">
        <v>1000</v>
      </c>
      <c r="E1529" s="22">
        <f t="shared" si="24"/>
        <v>188.35000000000036</v>
      </c>
    </row>
    <row r="1530" spans="1:7" x14ac:dyDescent="0.25">
      <c r="A1530" s="6">
        <v>44138</v>
      </c>
      <c r="B1530" s="59" t="s">
        <v>2627</v>
      </c>
      <c r="D1530" s="54">
        <v>500</v>
      </c>
      <c r="E1530" s="22">
        <f t="shared" si="24"/>
        <v>-311.64999999999964</v>
      </c>
    </row>
    <row r="1531" spans="1:7" x14ac:dyDescent="0.25">
      <c r="A1531" s="6">
        <v>44138</v>
      </c>
      <c r="B1531" s="59" t="s">
        <v>2062</v>
      </c>
      <c r="D1531" s="54">
        <v>8500</v>
      </c>
      <c r="E1531" s="22">
        <f t="shared" si="24"/>
        <v>-8811.65</v>
      </c>
    </row>
    <row r="1532" spans="1:7" x14ac:dyDescent="0.25">
      <c r="A1532" s="6">
        <v>44139</v>
      </c>
      <c r="B1532" s="59" t="s">
        <v>2628</v>
      </c>
      <c r="C1532" s="50">
        <v>10000</v>
      </c>
      <c r="E1532" s="22">
        <f t="shared" si="24"/>
        <v>1188.3500000000004</v>
      </c>
    </row>
    <row r="1533" spans="1:7" x14ac:dyDescent="0.25">
      <c r="A1533" s="6">
        <v>44139</v>
      </c>
      <c r="B1533" s="59" t="s">
        <v>2629</v>
      </c>
      <c r="C1533" s="50">
        <v>8500</v>
      </c>
      <c r="E1533" s="22">
        <f t="shared" si="24"/>
        <v>9688.35</v>
      </c>
    </row>
    <row r="1534" spans="1:7" x14ac:dyDescent="0.25">
      <c r="A1534" s="6">
        <v>44139</v>
      </c>
      <c r="B1534" s="59" t="s">
        <v>2630</v>
      </c>
      <c r="D1534" s="54">
        <v>4000</v>
      </c>
      <c r="E1534" s="22">
        <f t="shared" si="24"/>
        <v>5688.35</v>
      </c>
    </row>
    <row r="1535" spans="1:7" x14ac:dyDescent="0.25">
      <c r="A1535" s="6">
        <v>44139</v>
      </c>
      <c r="B1535" s="59" t="s">
        <v>2062</v>
      </c>
      <c r="D1535" s="54">
        <v>4000</v>
      </c>
      <c r="E1535" s="22">
        <f t="shared" si="24"/>
        <v>1688.3500000000004</v>
      </c>
    </row>
    <row r="1536" spans="1:7" x14ac:dyDescent="0.25">
      <c r="A1536" s="6">
        <v>44139</v>
      </c>
      <c r="B1536" s="59" t="s">
        <v>2631</v>
      </c>
      <c r="D1536" s="54">
        <v>100</v>
      </c>
      <c r="E1536" s="22">
        <f t="shared" si="24"/>
        <v>1588.3500000000004</v>
      </c>
    </row>
    <row r="1537" spans="1:5" x14ac:dyDescent="0.25">
      <c r="A1537" s="6">
        <v>44139</v>
      </c>
      <c r="B1537" s="59" t="s">
        <v>2632</v>
      </c>
      <c r="D1537" s="54">
        <v>200</v>
      </c>
      <c r="E1537" s="22">
        <f t="shared" si="24"/>
        <v>1388.3500000000004</v>
      </c>
    </row>
    <row r="1538" spans="1:5" x14ac:dyDescent="0.25">
      <c r="A1538" s="6">
        <v>44139</v>
      </c>
      <c r="B1538" s="59" t="s">
        <v>1948</v>
      </c>
      <c r="D1538" s="54">
        <v>800</v>
      </c>
      <c r="E1538" s="22">
        <f t="shared" si="24"/>
        <v>588.35000000000036</v>
      </c>
    </row>
    <row r="1539" spans="1:5" x14ac:dyDescent="0.25">
      <c r="A1539" s="6">
        <v>44140</v>
      </c>
      <c r="B1539" s="59" t="s">
        <v>2062</v>
      </c>
      <c r="D1539" s="54">
        <v>800</v>
      </c>
      <c r="E1539" s="22">
        <f t="shared" si="24"/>
        <v>-211.64999999999964</v>
      </c>
    </row>
    <row r="1540" spans="1:5" x14ac:dyDescent="0.25">
      <c r="A1540" s="6">
        <v>44140</v>
      </c>
      <c r="B1540" s="59" t="s">
        <v>2633</v>
      </c>
      <c r="D1540" s="54">
        <v>500</v>
      </c>
      <c r="E1540" s="22">
        <f t="shared" si="24"/>
        <v>-711.64999999999964</v>
      </c>
    </row>
    <row r="1541" spans="1:5" x14ac:dyDescent="0.25">
      <c r="A1541" s="6">
        <v>44140</v>
      </c>
      <c r="B1541" s="59" t="s">
        <v>2181</v>
      </c>
      <c r="D1541" s="54">
        <v>200</v>
      </c>
      <c r="E1541" s="22">
        <f t="shared" si="24"/>
        <v>-911.64999999999964</v>
      </c>
    </row>
    <row r="1542" spans="1:5" s="22" customFormat="1" x14ac:dyDescent="0.25">
      <c r="A1542" s="6">
        <v>44140</v>
      </c>
      <c r="B1542" s="59" t="s">
        <v>321</v>
      </c>
      <c r="C1542" s="50">
        <v>8000</v>
      </c>
      <c r="D1542" s="54"/>
      <c r="E1542" s="22">
        <f t="shared" si="24"/>
        <v>7088.35</v>
      </c>
    </row>
    <row r="1543" spans="1:5" s="22" customFormat="1" x14ac:dyDescent="0.25">
      <c r="A1543" s="6">
        <v>44140</v>
      </c>
      <c r="B1543" s="59" t="s">
        <v>2062</v>
      </c>
      <c r="C1543" s="50"/>
      <c r="D1543" s="54">
        <v>8000</v>
      </c>
      <c r="E1543" s="22">
        <f t="shared" si="24"/>
        <v>-911.64999999999964</v>
      </c>
    </row>
    <row r="1544" spans="1:5" x14ac:dyDescent="0.25">
      <c r="A1544" s="6">
        <v>44141</v>
      </c>
      <c r="B1544" s="59" t="s">
        <v>2634</v>
      </c>
      <c r="C1544" s="50">
        <v>5000</v>
      </c>
      <c r="E1544" s="22">
        <f t="shared" si="24"/>
        <v>4088.3500000000004</v>
      </c>
    </row>
    <row r="1545" spans="1:5" x14ac:dyDescent="0.25">
      <c r="A1545" s="6">
        <v>44141</v>
      </c>
      <c r="B1545" s="59" t="s">
        <v>2635</v>
      </c>
      <c r="D1545" s="54">
        <v>2000</v>
      </c>
      <c r="E1545" s="22">
        <f t="shared" si="24"/>
        <v>2088.3500000000004</v>
      </c>
    </row>
    <row r="1546" spans="1:5" x14ac:dyDescent="0.25">
      <c r="A1546" s="6">
        <v>44141</v>
      </c>
      <c r="B1546" s="59" t="s">
        <v>2300</v>
      </c>
      <c r="C1546" s="50">
        <v>3000</v>
      </c>
      <c r="E1546" s="22">
        <f t="shared" si="24"/>
        <v>5088.3500000000004</v>
      </c>
    </row>
    <row r="1547" spans="1:5" x14ac:dyDescent="0.25">
      <c r="A1547" s="6">
        <v>44141</v>
      </c>
      <c r="B1547" s="59" t="s">
        <v>2636</v>
      </c>
      <c r="D1547" s="54">
        <v>1500</v>
      </c>
      <c r="E1547" s="22">
        <f t="shared" si="24"/>
        <v>3588.3500000000004</v>
      </c>
    </row>
    <row r="1548" spans="1:5" x14ac:dyDescent="0.25">
      <c r="A1548" s="6">
        <v>44142</v>
      </c>
      <c r="B1548" s="59" t="s">
        <v>2637</v>
      </c>
      <c r="C1548" s="50">
        <v>1100</v>
      </c>
      <c r="E1548" s="22">
        <f t="shared" si="24"/>
        <v>4688.3500000000004</v>
      </c>
    </row>
    <row r="1549" spans="1:5" x14ac:dyDescent="0.25">
      <c r="A1549" s="6">
        <v>44142</v>
      </c>
      <c r="B1549" s="59" t="s">
        <v>2467</v>
      </c>
      <c r="C1549" s="50">
        <v>1000</v>
      </c>
      <c r="E1549" s="22">
        <f t="shared" si="24"/>
        <v>5688.35</v>
      </c>
    </row>
    <row r="1550" spans="1:5" x14ac:dyDescent="0.25">
      <c r="A1550" s="6">
        <v>44142</v>
      </c>
      <c r="B1550" s="59" t="s">
        <v>2638</v>
      </c>
      <c r="C1550" s="50">
        <v>1000</v>
      </c>
      <c r="E1550" s="22">
        <f t="shared" si="24"/>
        <v>6688.35</v>
      </c>
    </row>
    <row r="1551" spans="1:5" x14ac:dyDescent="0.25">
      <c r="A1551" s="6">
        <v>44142</v>
      </c>
      <c r="B1551" s="59" t="s">
        <v>2639</v>
      </c>
      <c r="D1551" s="54">
        <v>5000</v>
      </c>
      <c r="E1551" s="22">
        <f t="shared" si="24"/>
        <v>1688.3500000000004</v>
      </c>
    </row>
    <row r="1552" spans="1:5" x14ac:dyDescent="0.25">
      <c r="A1552" s="6">
        <v>44143</v>
      </c>
      <c r="B1552" s="59" t="s">
        <v>2062</v>
      </c>
      <c r="D1552" s="54">
        <v>2500</v>
      </c>
      <c r="E1552" s="22">
        <f t="shared" si="24"/>
        <v>-811.64999999999964</v>
      </c>
    </row>
    <row r="1553" spans="1:7" x14ac:dyDescent="0.25">
      <c r="A1553" s="6">
        <v>44143</v>
      </c>
      <c r="B1553" s="59" t="s">
        <v>2640</v>
      </c>
      <c r="D1553" s="54">
        <v>100</v>
      </c>
      <c r="E1553" s="22">
        <f t="shared" si="24"/>
        <v>-911.64999999999964</v>
      </c>
    </row>
    <row r="1554" spans="1:7" x14ac:dyDescent="0.25">
      <c r="A1554" s="6">
        <v>44143</v>
      </c>
      <c r="B1554" s="59" t="s">
        <v>2362</v>
      </c>
      <c r="C1554" s="50">
        <v>6000</v>
      </c>
      <c r="E1554" s="22">
        <f t="shared" si="24"/>
        <v>5088.3500000000004</v>
      </c>
    </row>
    <row r="1555" spans="1:7" x14ac:dyDescent="0.25">
      <c r="A1555" s="6">
        <v>44143</v>
      </c>
      <c r="B1555" s="59" t="s">
        <v>2362</v>
      </c>
      <c r="C1555" s="50">
        <v>2000</v>
      </c>
      <c r="E1555" s="22">
        <f t="shared" si="24"/>
        <v>7088.35</v>
      </c>
    </row>
    <row r="1556" spans="1:7" x14ac:dyDescent="0.25">
      <c r="A1556" s="6">
        <v>44143</v>
      </c>
      <c r="B1556" s="59" t="s">
        <v>2641</v>
      </c>
      <c r="D1556" s="54">
        <v>200</v>
      </c>
      <c r="E1556" s="22">
        <f t="shared" si="24"/>
        <v>6888.35</v>
      </c>
    </row>
    <row r="1557" spans="1:7" x14ac:dyDescent="0.25">
      <c r="A1557" s="6">
        <v>44143</v>
      </c>
      <c r="B1557" s="59" t="s">
        <v>2642</v>
      </c>
      <c r="D1557" s="54">
        <v>2500</v>
      </c>
      <c r="E1557" s="22">
        <f t="shared" si="24"/>
        <v>4388.3500000000004</v>
      </c>
    </row>
    <row r="1558" spans="1:7" x14ac:dyDescent="0.25">
      <c r="A1558" s="6">
        <v>44143</v>
      </c>
      <c r="B1558" s="59" t="s">
        <v>2643</v>
      </c>
      <c r="D1558" s="54">
        <v>1000</v>
      </c>
      <c r="E1558" s="22">
        <f t="shared" si="24"/>
        <v>3388.3500000000004</v>
      </c>
    </row>
    <row r="1559" spans="1:7" x14ac:dyDescent="0.25">
      <c r="A1559" s="6">
        <v>44143</v>
      </c>
      <c r="B1559" s="59" t="s">
        <v>2644</v>
      </c>
      <c r="D1559" s="54">
        <v>500</v>
      </c>
      <c r="E1559" s="22">
        <f t="shared" si="24"/>
        <v>2888.3500000000004</v>
      </c>
      <c r="G1559">
        <f>10888.35-3888.35</f>
        <v>7000</v>
      </c>
    </row>
    <row r="1560" spans="1:7" x14ac:dyDescent="0.25">
      <c r="A1560" s="6">
        <v>44144</v>
      </c>
      <c r="B1560" s="61" t="s">
        <v>2473</v>
      </c>
      <c r="C1560" s="51">
        <v>1000</v>
      </c>
      <c r="E1560" s="22">
        <f t="shared" si="24"/>
        <v>3888.3500000000004</v>
      </c>
    </row>
    <row r="1561" spans="1:7" x14ac:dyDescent="0.25">
      <c r="A1561" s="6">
        <v>44144</v>
      </c>
      <c r="B1561" s="59" t="s">
        <v>2648</v>
      </c>
      <c r="C1561" s="50">
        <v>4000</v>
      </c>
      <c r="E1561" s="22">
        <f t="shared" ref="E1561:E1624" si="25">E1560-D1561+C1561</f>
        <v>7888.35</v>
      </c>
    </row>
    <row r="1562" spans="1:7" x14ac:dyDescent="0.25">
      <c r="A1562" s="6">
        <v>44144</v>
      </c>
      <c r="B1562" s="59" t="s">
        <v>2413</v>
      </c>
      <c r="D1562" s="54">
        <v>3600</v>
      </c>
      <c r="E1562" s="22">
        <f t="shared" si="25"/>
        <v>4288.3500000000004</v>
      </c>
    </row>
    <row r="1563" spans="1:7" x14ac:dyDescent="0.25">
      <c r="A1563" s="6">
        <v>44144</v>
      </c>
      <c r="B1563" s="59" t="s">
        <v>2649</v>
      </c>
      <c r="D1563" s="54">
        <v>500</v>
      </c>
      <c r="E1563" s="22">
        <f t="shared" si="25"/>
        <v>3788.3500000000004</v>
      </c>
    </row>
    <row r="1564" spans="1:7" x14ac:dyDescent="0.25">
      <c r="A1564" s="6">
        <v>44144</v>
      </c>
      <c r="B1564" s="59" t="s">
        <v>2467</v>
      </c>
      <c r="C1564" s="50">
        <v>2000</v>
      </c>
      <c r="E1564" s="22">
        <f t="shared" si="25"/>
        <v>5788.35</v>
      </c>
    </row>
    <row r="1565" spans="1:7" x14ac:dyDescent="0.25">
      <c r="A1565" s="6">
        <v>44144</v>
      </c>
      <c r="B1565" s="59" t="s">
        <v>2062</v>
      </c>
      <c r="D1565" s="54">
        <v>6000</v>
      </c>
      <c r="E1565" s="22">
        <f t="shared" si="25"/>
        <v>-211.64999999999964</v>
      </c>
    </row>
    <row r="1566" spans="1:7" x14ac:dyDescent="0.25">
      <c r="A1566" s="6">
        <v>44145</v>
      </c>
      <c r="B1566" s="59" t="s">
        <v>2650</v>
      </c>
      <c r="C1566" s="50">
        <v>280.57</v>
      </c>
      <c r="E1566" s="22">
        <f t="shared" si="25"/>
        <v>68.920000000000357</v>
      </c>
    </row>
    <row r="1567" spans="1:7" x14ac:dyDescent="0.25">
      <c r="A1567" s="6">
        <v>44146</v>
      </c>
      <c r="B1567" s="59" t="s">
        <v>2651</v>
      </c>
      <c r="D1567" s="54">
        <v>800</v>
      </c>
      <c r="E1567" s="22">
        <f t="shared" si="25"/>
        <v>-731.0799999999997</v>
      </c>
    </row>
    <row r="1568" spans="1:7" x14ac:dyDescent="0.25">
      <c r="A1568" s="6">
        <v>44146</v>
      </c>
      <c r="B1568" s="59" t="s">
        <v>270</v>
      </c>
      <c r="C1568" s="50">
        <v>24000</v>
      </c>
      <c r="E1568" s="22">
        <f t="shared" si="25"/>
        <v>23268.920000000002</v>
      </c>
    </row>
    <row r="1569" spans="1:5" x14ac:dyDescent="0.25">
      <c r="A1569" s="6">
        <v>44146</v>
      </c>
      <c r="B1569" s="59" t="s">
        <v>2652</v>
      </c>
      <c r="D1569" s="54">
        <v>10000</v>
      </c>
      <c r="E1569" s="22">
        <f t="shared" si="25"/>
        <v>13268.920000000002</v>
      </c>
    </row>
    <row r="1570" spans="1:5" x14ac:dyDescent="0.25">
      <c r="A1570" s="6">
        <v>44146</v>
      </c>
      <c r="B1570" s="59" t="s">
        <v>2644</v>
      </c>
      <c r="D1570" s="54">
        <v>6000</v>
      </c>
      <c r="E1570" s="22">
        <f t="shared" si="25"/>
        <v>7268.9200000000019</v>
      </c>
    </row>
    <row r="1571" spans="1:5" x14ac:dyDescent="0.25">
      <c r="A1571" s="6">
        <v>44146</v>
      </c>
      <c r="B1571" s="59" t="s">
        <v>2062</v>
      </c>
      <c r="D1571" s="54">
        <v>5000</v>
      </c>
      <c r="E1571" s="22">
        <f t="shared" si="25"/>
        <v>2268.9200000000019</v>
      </c>
    </row>
    <row r="1572" spans="1:5" x14ac:dyDescent="0.25">
      <c r="A1572" s="6">
        <v>44147</v>
      </c>
      <c r="B1572" s="61" t="s">
        <v>2473</v>
      </c>
      <c r="C1572" s="51">
        <v>1000</v>
      </c>
      <c r="E1572" s="22">
        <f t="shared" si="25"/>
        <v>3268.9200000000019</v>
      </c>
    </row>
    <row r="1573" spans="1:5" x14ac:dyDescent="0.25">
      <c r="A1573" s="6">
        <v>44147</v>
      </c>
      <c r="B1573" s="59" t="s">
        <v>2653</v>
      </c>
      <c r="D1573" s="54">
        <v>1500</v>
      </c>
      <c r="E1573" s="22">
        <f t="shared" si="25"/>
        <v>1768.9200000000019</v>
      </c>
    </row>
    <row r="1574" spans="1:5" x14ac:dyDescent="0.25">
      <c r="A1574" s="6">
        <v>44148</v>
      </c>
      <c r="B1574" s="59" t="s">
        <v>2651</v>
      </c>
      <c r="D1574" s="54">
        <v>800</v>
      </c>
      <c r="E1574" s="22">
        <f t="shared" si="25"/>
        <v>968.92000000000189</v>
      </c>
    </row>
    <row r="1575" spans="1:5" x14ac:dyDescent="0.25">
      <c r="A1575" s="6">
        <v>44148</v>
      </c>
      <c r="B1575" s="59" t="s">
        <v>2659</v>
      </c>
      <c r="D1575" s="54">
        <v>200</v>
      </c>
      <c r="E1575" s="22">
        <f t="shared" si="25"/>
        <v>768.92000000000189</v>
      </c>
    </row>
    <row r="1576" spans="1:5" x14ac:dyDescent="0.25">
      <c r="A1576" s="6">
        <v>44148</v>
      </c>
      <c r="C1576" s="50">
        <v>1100</v>
      </c>
      <c r="E1576" s="22">
        <f t="shared" si="25"/>
        <v>1868.9200000000019</v>
      </c>
    </row>
    <row r="1577" spans="1:5" x14ac:dyDescent="0.25">
      <c r="A1577" s="6">
        <v>44149</v>
      </c>
      <c r="C1577" s="50">
        <v>2000</v>
      </c>
      <c r="E1577" s="22">
        <f t="shared" si="25"/>
        <v>3868.9200000000019</v>
      </c>
    </row>
    <row r="1578" spans="1:5" x14ac:dyDescent="0.25">
      <c r="A1578" s="6">
        <v>44149</v>
      </c>
      <c r="B1578" s="59" t="s">
        <v>2660</v>
      </c>
      <c r="D1578" s="54">
        <v>3800</v>
      </c>
      <c r="E1578" s="22">
        <f t="shared" si="25"/>
        <v>68.920000000001892</v>
      </c>
    </row>
    <row r="1579" spans="1:5" x14ac:dyDescent="0.25">
      <c r="A1579" s="6">
        <v>44150</v>
      </c>
      <c r="C1579" s="50">
        <v>3000</v>
      </c>
      <c r="E1579" s="22">
        <f t="shared" si="25"/>
        <v>3068.9200000000019</v>
      </c>
    </row>
    <row r="1580" spans="1:5" x14ac:dyDescent="0.25">
      <c r="A1580" s="6">
        <v>44150</v>
      </c>
      <c r="B1580" s="59" t="s">
        <v>2661</v>
      </c>
      <c r="C1580" s="50">
        <v>4000</v>
      </c>
      <c r="E1580" s="22">
        <f t="shared" si="25"/>
        <v>7068.9200000000019</v>
      </c>
    </row>
    <row r="1581" spans="1:5" x14ac:dyDescent="0.25">
      <c r="A1581" s="6">
        <v>44150</v>
      </c>
      <c r="B1581" s="59" t="s">
        <v>2662</v>
      </c>
      <c r="D1581" s="54">
        <v>7000</v>
      </c>
      <c r="E1581" s="22">
        <f t="shared" si="25"/>
        <v>68.920000000001892</v>
      </c>
    </row>
    <row r="1582" spans="1:5" x14ac:dyDescent="0.25">
      <c r="A1582" s="6">
        <v>44151</v>
      </c>
      <c r="B1582" s="59" t="s">
        <v>321</v>
      </c>
      <c r="C1582" s="50">
        <v>5000</v>
      </c>
      <c r="E1582" s="22">
        <f t="shared" si="25"/>
        <v>5068.9200000000019</v>
      </c>
    </row>
    <row r="1583" spans="1:5" x14ac:dyDescent="0.25">
      <c r="A1583" s="6">
        <v>44151</v>
      </c>
      <c r="B1583" s="59" t="s">
        <v>2666</v>
      </c>
      <c r="D1583" s="54">
        <v>500</v>
      </c>
      <c r="E1583" s="22">
        <f t="shared" si="25"/>
        <v>4568.9200000000019</v>
      </c>
    </row>
    <row r="1584" spans="1:5" x14ac:dyDescent="0.25">
      <c r="A1584" s="6">
        <v>44151</v>
      </c>
      <c r="B1584" s="59" t="s">
        <v>2665</v>
      </c>
      <c r="D1584" s="54">
        <v>200</v>
      </c>
      <c r="E1584" s="22">
        <f t="shared" si="25"/>
        <v>4368.9200000000019</v>
      </c>
    </row>
    <row r="1585" spans="1:5" x14ac:dyDescent="0.25">
      <c r="A1585" s="6">
        <v>44151</v>
      </c>
      <c r="B1585" s="59" t="s">
        <v>2664</v>
      </c>
      <c r="C1585" s="50">
        <v>200</v>
      </c>
      <c r="E1585" s="22">
        <f t="shared" si="25"/>
        <v>4568.9200000000019</v>
      </c>
    </row>
    <row r="1586" spans="1:5" x14ac:dyDescent="0.25">
      <c r="A1586" s="6">
        <v>44151</v>
      </c>
      <c r="B1586" s="59" t="s">
        <v>2663</v>
      </c>
      <c r="D1586" s="54">
        <v>500</v>
      </c>
      <c r="E1586" s="22">
        <f t="shared" si="25"/>
        <v>4068.9200000000019</v>
      </c>
    </row>
    <row r="1587" spans="1:5" x14ac:dyDescent="0.25">
      <c r="A1587" s="6">
        <v>44151</v>
      </c>
      <c r="B1587" s="59" t="s">
        <v>2413</v>
      </c>
      <c r="D1587" s="54">
        <v>4000</v>
      </c>
      <c r="E1587" s="22">
        <f t="shared" si="25"/>
        <v>68.920000000001892</v>
      </c>
    </row>
    <row r="1588" spans="1:5" x14ac:dyDescent="0.25">
      <c r="A1588" s="6">
        <v>44151</v>
      </c>
      <c r="B1588" s="59" t="s">
        <v>2667</v>
      </c>
      <c r="C1588" s="50">
        <v>1500</v>
      </c>
      <c r="E1588" s="22">
        <f t="shared" si="25"/>
        <v>1568.9200000000019</v>
      </c>
    </row>
    <row r="1589" spans="1:5" x14ac:dyDescent="0.25">
      <c r="A1589" s="6">
        <v>44152</v>
      </c>
      <c r="B1589" s="59" t="s">
        <v>2651</v>
      </c>
      <c r="C1589" s="50">
        <v>2000</v>
      </c>
      <c r="E1589" s="22">
        <f t="shared" si="25"/>
        <v>3568.9200000000019</v>
      </c>
    </row>
    <row r="1590" spans="1:5" x14ac:dyDescent="0.25">
      <c r="A1590" s="6">
        <v>44152</v>
      </c>
      <c r="B1590" s="59" t="s">
        <v>2662</v>
      </c>
      <c r="D1590" s="54">
        <v>3000</v>
      </c>
      <c r="E1590" s="22">
        <f t="shared" si="25"/>
        <v>568.92000000000189</v>
      </c>
    </row>
    <row r="1591" spans="1:5" x14ac:dyDescent="0.25">
      <c r="A1591" s="6">
        <v>44152</v>
      </c>
      <c r="B1591" s="59" t="s">
        <v>2668</v>
      </c>
      <c r="D1591" s="54">
        <v>200</v>
      </c>
      <c r="E1591" s="22">
        <f t="shared" si="25"/>
        <v>368.92000000000189</v>
      </c>
    </row>
    <row r="1592" spans="1:5" x14ac:dyDescent="0.25">
      <c r="A1592" s="6">
        <v>44152</v>
      </c>
      <c r="B1592" s="59" t="s">
        <v>2669</v>
      </c>
      <c r="D1592" s="54">
        <v>200</v>
      </c>
      <c r="E1592" s="22">
        <f t="shared" si="25"/>
        <v>168.92000000000189</v>
      </c>
    </row>
    <row r="1593" spans="1:5" x14ac:dyDescent="0.25">
      <c r="A1593" s="6">
        <v>44153</v>
      </c>
      <c r="B1593" s="59" t="s">
        <v>321</v>
      </c>
      <c r="C1593" s="50">
        <v>14500</v>
      </c>
      <c r="E1593" s="22">
        <f t="shared" si="25"/>
        <v>14668.920000000002</v>
      </c>
    </row>
    <row r="1594" spans="1:5" x14ac:dyDescent="0.25">
      <c r="A1594" s="6">
        <v>44153</v>
      </c>
      <c r="B1594" s="59" t="s">
        <v>2102</v>
      </c>
      <c r="D1594" s="54">
        <v>9800</v>
      </c>
      <c r="E1594" s="22">
        <f t="shared" si="25"/>
        <v>4868.9200000000019</v>
      </c>
    </row>
    <row r="1595" spans="1:5" x14ac:dyDescent="0.25">
      <c r="A1595" s="6">
        <v>44153</v>
      </c>
      <c r="B1595" s="59" t="s">
        <v>2062</v>
      </c>
      <c r="D1595" s="54">
        <v>4000</v>
      </c>
      <c r="E1595" s="22">
        <f t="shared" si="25"/>
        <v>868.92000000000189</v>
      </c>
    </row>
    <row r="1596" spans="1:5" x14ac:dyDescent="0.25">
      <c r="A1596" s="6">
        <v>44154</v>
      </c>
      <c r="B1596" s="59" t="s">
        <v>321</v>
      </c>
      <c r="C1596" s="50">
        <v>15000</v>
      </c>
      <c r="E1596" s="22">
        <f t="shared" si="25"/>
        <v>15868.920000000002</v>
      </c>
    </row>
    <row r="1597" spans="1:5" x14ac:dyDescent="0.25">
      <c r="A1597" s="6">
        <v>44154</v>
      </c>
      <c r="B1597" s="59" t="s">
        <v>2670</v>
      </c>
      <c r="D1597" s="54">
        <v>5000</v>
      </c>
      <c r="E1597" s="22">
        <f t="shared" si="25"/>
        <v>10868.920000000002</v>
      </c>
    </row>
    <row r="1598" spans="1:5" x14ac:dyDescent="0.25">
      <c r="A1598" s="6">
        <v>44154</v>
      </c>
      <c r="B1598" s="59" t="s">
        <v>2671</v>
      </c>
      <c r="D1598" s="54">
        <v>1000</v>
      </c>
      <c r="E1598" s="22">
        <f t="shared" si="25"/>
        <v>9868.9200000000019</v>
      </c>
    </row>
    <row r="1599" spans="1:5" x14ac:dyDescent="0.25">
      <c r="A1599" s="6">
        <v>44154</v>
      </c>
      <c r="B1599" s="59" t="s">
        <v>2062</v>
      </c>
      <c r="D1599" s="54">
        <v>9000</v>
      </c>
      <c r="E1599" s="22">
        <f t="shared" si="25"/>
        <v>868.92000000000189</v>
      </c>
    </row>
    <row r="1600" spans="1:5" x14ac:dyDescent="0.25">
      <c r="A1600" s="6">
        <v>44154</v>
      </c>
      <c r="B1600" s="59" t="s">
        <v>1948</v>
      </c>
      <c r="D1600" s="54">
        <v>300</v>
      </c>
      <c r="E1600" s="22">
        <f t="shared" si="25"/>
        <v>568.92000000000189</v>
      </c>
    </row>
    <row r="1601" spans="1:5" x14ac:dyDescent="0.25">
      <c r="A1601" s="6">
        <v>44154</v>
      </c>
      <c r="B1601" s="59" t="s">
        <v>2673</v>
      </c>
      <c r="C1601" s="50">
        <v>800</v>
      </c>
      <c r="E1601" s="22">
        <f t="shared" si="25"/>
        <v>1368.9200000000019</v>
      </c>
    </row>
    <row r="1602" spans="1:5" x14ac:dyDescent="0.25">
      <c r="A1602" s="6">
        <v>44155</v>
      </c>
      <c r="B1602" s="59" t="s">
        <v>1649</v>
      </c>
      <c r="C1602" s="50">
        <v>900</v>
      </c>
      <c r="E1602" s="22">
        <f t="shared" si="25"/>
        <v>2268.9200000000019</v>
      </c>
    </row>
    <row r="1603" spans="1:5" x14ac:dyDescent="0.25">
      <c r="A1603" s="6">
        <v>44155</v>
      </c>
      <c r="D1603" s="54">
        <v>2000</v>
      </c>
      <c r="E1603" s="22">
        <f t="shared" si="25"/>
        <v>268.92000000000189</v>
      </c>
    </row>
    <row r="1604" spans="1:5" x14ac:dyDescent="0.25">
      <c r="A1604" s="6">
        <v>44157</v>
      </c>
      <c r="C1604" s="50">
        <v>490</v>
      </c>
      <c r="E1604" s="22">
        <f t="shared" si="25"/>
        <v>758.92000000000189</v>
      </c>
    </row>
    <row r="1605" spans="1:5" x14ac:dyDescent="0.25">
      <c r="A1605" s="6">
        <v>44157</v>
      </c>
      <c r="D1605" s="54">
        <v>500</v>
      </c>
      <c r="E1605" s="22">
        <f t="shared" si="25"/>
        <v>258.92000000000189</v>
      </c>
    </row>
    <row r="1606" spans="1:5" x14ac:dyDescent="0.25">
      <c r="A1606" s="6">
        <v>44157</v>
      </c>
      <c r="B1606" s="59" t="s">
        <v>2274</v>
      </c>
      <c r="C1606" s="50">
        <v>12500</v>
      </c>
      <c r="E1606" s="22">
        <f t="shared" si="25"/>
        <v>12758.920000000002</v>
      </c>
    </row>
    <row r="1607" spans="1:5" x14ac:dyDescent="0.25">
      <c r="A1607" s="6">
        <v>44158</v>
      </c>
      <c r="B1607" s="59" t="s">
        <v>2046</v>
      </c>
      <c r="D1607" s="54">
        <v>3000</v>
      </c>
      <c r="E1607" s="22">
        <f t="shared" si="25"/>
        <v>9758.9200000000019</v>
      </c>
    </row>
    <row r="1608" spans="1:5" x14ac:dyDescent="0.25">
      <c r="A1608" s="6">
        <v>44158</v>
      </c>
      <c r="B1608" s="59" t="s">
        <v>2674</v>
      </c>
      <c r="D1608" s="54">
        <v>4500</v>
      </c>
      <c r="E1608" s="22">
        <f t="shared" si="25"/>
        <v>5258.9200000000019</v>
      </c>
    </row>
    <row r="1609" spans="1:5" x14ac:dyDescent="0.25">
      <c r="A1609" s="6">
        <v>44158</v>
      </c>
      <c r="B1609" s="59" t="s">
        <v>2071</v>
      </c>
      <c r="D1609" s="54">
        <v>700</v>
      </c>
      <c r="E1609" s="22">
        <f t="shared" si="25"/>
        <v>4558.9200000000019</v>
      </c>
    </row>
    <row r="1610" spans="1:5" x14ac:dyDescent="0.25">
      <c r="A1610" s="6">
        <v>44158</v>
      </c>
      <c r="B1610" s="59" t="s">
        <v>2675</v>
      </c>
      <c r="C1610" s="50">
        <v>3500</v>
      </c>
      <c r="E1610" s="22">
        <f t="shared" si="25"/>
        <v>8058.9200000000019</v>
      </c>
    </row>
    <row r="1611" spans="1:5" x14ac:dyDescent="0.25">
      <c r="A1611" s="6">
        <v>44158</v>
      </c>
      <c r="B1611" s="59" t="s">
        <v>2676</v>
      </c>
      <c r="C1611" s="50">
        <v>2400</v>
      </c>
      <c r="E1611" s="22">
        <f t="shared" si="25"/>
        <v>10458.920000000002</v>
      </c>
    </row>
    <row r="1612" spans="1:5" x14ac:dyDescent="0.25">
      <c r="A1612" s="6">
        <v>44158</v>
      </c>
      <c r="B1612" s="59" t="s">
        <v>2062</v>
      </c>
      <c r="D1612" s="54">
        <v>10000</v>
      </c>
      <c r="E1612" s="22">
        <f t="shared" si="25"/>
        <v>458.92000000000189</v>
      </c>
    </row>
    <row r="1613" spans="1:5" x14ac:dyDescent="0.25">
      <c r="A1613" s="6">
        <v>44159</v>
      </c>
      <c r="B1613" s="59" t="s">
        <v>2677</v>
      </c>
      <c r="C1613" s="50">
        <v>1000</v>
      </c>
      <c r="E1613" s="22">
        <f t="shared" si="25"/>
        <v>1458.9200000000019</v>
      </c>
    </row>
    <row r="1614" spans="1:5" x14ac:dyDescent="0.25">
      <c r="A1614" s="6">
        <v>44160</v>
      </c>
      <c r="B1614" s="59" t="s">
        <v>2678</v>
      </c>
      <c r="C1614" s="50">
        <v>600</v>
      </c>
      <c r="E1614" s="22">
        <f t="shared" si="25"/>
        <v>2058.9200000000019</v>
      </c>
    </row>
    <row r="1615" spans="1:5" x14ac:dyDescent="0.25">
      <c r="A1615" s="6">
        <v>44160</v>
      </c>
      <c r="B1615" s="59" t="s">
        <v>2679</v>
      </c>
      <c r="D1615" s="54">
        <v>200</v>
      </c>
      <c r="E1615" s="22">
        <f t="shared" si="25"/>
        <v>1858.9200000000019</v>
      </c>
    </row>
    <row r="1616" spans="1:5" x14ac:dyDescent="0.25">
      <c r="A1616" s="6">
        <v>44160</v>
      </c>
      <c r="B1616" s="59" t="s">
        <v>2629</v>
      </c>
      <c r="C1616" s="50">
        <v>12000</v>
      </c>
      <c r="E1616" s="22">
        <f t="shared" si="25"/>
        <v>13858.920000000002</v>
      </c>
    </row>
    <row r="1617" spans="1:5" x14ac:dyDescent="0.25">
      <c r="A1617" s="6">
        <v>44160</v>
      </c>
      <c r="B1617" s="59" t="s">
        <v>2662</v>
      </c>
      <c r="D1617" s="54">
        <v>3000</v>
      </c>
      <c r="E1617" s="22">
        <f t="shared" si="25"/>
        <v>10858.920000000002</v>
      </c>
    </row>
    <row r="1618" spans="1:5" x14ac:dyDescent="0.25">
      <c r="A1618" s="6">
        <v>44160</v>
      </c>
      <c r="B1618" s="59" t="s">
        <v>2680</v>
      </c>
      <c r="D1618" s="54">
        <v>3000</v>
      </c>
      <c r="E1618" s="22">
        <f t="shared" si="25"/>
        <v>7858.9200000000019</v>
      </c>
    </row>
    <row r="1619" spans="1:5" x14ac:dyDescent="0.25">
      <c r="A1619" s="6">
        <v>44160</v>
      </c>
      <c r="B1619" s="59" t="s">
        <v>2062</v>
      </c>
      <c r="D1619" s="54">
        <v>5000</v>
      </c>
      <c r="E1619" s="22">
        <f t="shared" si="25"/>
        <v>2858.9200000000019</v>
      </c>
    </row>
    <row r="1620" spans="1:5" x14ac:dyDescent="0.25">
      <c r="A1620" s="6">
        <v>44160</v>
      </c>
      <c r="B1620" s="59" t="s">
        <v>2362</v>
      </c>
      <c r="D1620" s="54">
        <v>1000</v>
      </c>
      <c r="E1620" s="22">
        <f t="shared" si="25"/>
        <v>1858.9200000000019</v>
      </c>
    </row>
    <row r="1621" spans="1:5" x14ac:dyDescent="0.25">
      <c r="A1621" s="6">
        <v>44163</v>
      </c>
      <c r="B1621" s="59" t="s">
        <v>2651</v>
      </c>
      <c r="D1621" s="54">
        <v>950</v>
      </c>
      <c r="E1621" s="22">
        <f t="shared" si="25"/>
        <v>908.92000000000189</v>
      </c>
    </row>
    <row r="1622" spans="1:5" x14ac:dyDescent="0.25">
      <c r="A1622" s="6">
        <v>44163</v>
      </c>
      <c r="B1622" s="59" t="s">
        <v>2686</v>
      </c>
      <c r="C1622" s="50">
        <v>8200</v>
      </c>
      <c r="E1622" s="22">
        <f t="shared" si="25"/>
        <v>9108.9200000000019</v>
      </c>
    </row>
    <row r="1623" spans="1:5" x14ac:dyDescent="0.25">
      <c r="A1623" s="6">
        <v>44163</v>
      </c>
      <c r="B1623" s="59" t="s">
        <v>2687</v>
      </c>
      <c r="D1623" s="54">
        <v>6200</v>
      </c>
      <c r="E1623" s="22">
        <f t="shared" si="25"/>
        <v>2908.9200000000019</v>
      </c>
    </row>
    <row r="1624" spans="1:5" x14ac:dyDescent="0.25">
      <c r="A1624" s="6">
        <v>44164</v>
      </c>
      <c r="B1624" s="59" t="s">
        <v>1649</v>
      </c>
      <c r="C1624" s="50">
        <v>5000</v>
      </c>
      <c r="E1624" s="22">
        <f t="shared" si="25"/>
        <v>7908.9200000000019</v>
      </c>
    </row>
    <row r="1625" spans="1:5" x14ac:dyDescent="0.25">
      <c r="A1625" s="6">
        <v>44164</v>
      </c>
      <c r="B1625" s="59" t="s">
        <v>2642</v>
      </c>
      <c r="D1625" s="54">
        <v>3000</v>
      </c>
      <c r="E1625" s="22">
        <f t="shared" ref="E1625:E1688" si="26">E1624-D1625+C1625</f>
        <v>4908.9200000000019</v>
      </c>
    </row>
    <row r="1626" spans="1:5" x14ac:dyDescent="0.25">
      <c r="A1626" s="6">
        <v>44164</v>
      </c>
      <c r="B1626" s="59" t="s">
        <v>2685</v>
      </c>
      <c r="D1626" s="54">
        <v>500</v>
      </c>
      <c r="E1626" s="22">
        <f t="shared" si="26"/>
        <v>4408.9200000000019</v>
      </c>
    </row>
    <row r="1627" spans="1:5" x14ac:dyDescent="0.25">
      <c r="A1627" s="6">
        <v>44164</v>
      </c>
      <c r="B1627" s="59" t="s">
        <v>2684</v>
      </c>
      <c r="D1627" s="54">
        <v>500</v>
      </c>
      <c r="E1627" s="22">
        <f t="shared" si="26"/>
        <v>3908.9200000000019</v>
      </c>
    </row>
    <row r="1628" spans="1:5" x14ac:dyDescent="0.25">
      <c r="A1628" s="6">
        <v>44166</v>
      </c>
      <c r="B1628" s="59" t="s">
        <v>321</v>
      </c>
      <c r="C1628" s="50">
        <v>11000</v>
      </c>
      <c r="E1628" s="22">
        <f t="shared" si="26"/>
        <v>14908.920000000002</v>
      </c>
    </row>
    <row r="1629" spans="1:5" x14ac:dyDescent="0.25">
      <c r="A1629" s="6">
        <v>44166</v>
      </c>
      <c r="B1629" s="59" t="s">
        <v>2693</v>
      </c>
      <c r="D1629" s="54">
        <v>9150</v>
      </c>
      <c r="E1629" s="22">
        <f t="shared" si="26"/>
        <v>5758.9200000000019</v>
      </c>
    </row>
    <row r="1630" spans="1:5" x14ac:dyDescent="0.25">
      <c r="A1630" s="6">
        <v>44166</v>
      </c>
      <c r="B1630" s="59" t="s">
        <v>2062</v>
      </c>
      <c r="D1630" s="54">
        <v>5000</v>
      </c>
      <c r="E1630" s="22">
        <f t="shared" si="26"/>
        <v>758.92000000000189</v>
      </c>
    </row>
    <row r="1631" spans="1:5" x14ac:dyDescent="0.25">
      <c r="A1631" s="6">
        <v>44167</v>
      </c>
      <c r="B1631" s="59" t="s">
        <v>2694</v>
      </c>
      <c r="D1631" s="54">
        <v>500</v>
      </c>
      <c r="E1631" s="22">
        <f t="shared" si="26"/>
        <v>258.92000000000189</v>
      </c>
    </row>
    <row r="1632" spans="1:5" x14ac:dyDescent="0.25">
      <c r="A1632" s="6">
        <v>44167</v>
      </c>
      <c r="B1632" s="59" t="s">
        <v>2747</v>
      </c>
      <c r="C1632" s="50">
        <v>5000</v>
      </c>
      <c r="E1632" s="22">
        <f t="shared" si="26"/>
        <v>5258.9200000000019</v>
      </c>
    </row>
    <row r="1633" spans="1:5" x14ac:dyDescent="0.25">
      <c r="A1633" s="6">
        <v>44167</v>
      </c>
      <c r="D1633" s="54">
        <v>500</v>
      </c>
      <c r="E1633" s="22">
        <f t="shared" si="26"/>
        <v>4758.9200000000019</v>
      </c>
    </row>
    <row r="1634" spans="1:5" x14ac:dyDescent="0.25">
      <c r="A1634" s="6">
        <v>44167</v>
      </c>
      <c r="D1634" s="54">
        <v>1000</v>
      </c>
      <c r="E1634" s="22">
        <f t="shared" si="26"/>
        <v>3758.9200000000019</v>
      </c>
    </row>
    <row r="1635" spans="1:5" x14ac:dyDescent="0.25">
      <c r="A1635" s="6">
        <v>44167</v>
      </c>
      <c r="D1635" s="54">
        <v>3000</v>
      </c>
      <c r="E1635" s="22">
        <f t="shared" si="26"/>
        <v>758.92000000000189</v>
      </c>
    </row>
    <row r="1636" spans="1:5" x14ac:dyDescent="0.25">
      <c r="A1636" s="6">
        <v>44167</v>
      </c>
      <c r="D1636" s="54">
        <v>300</v>
      </c>
      <c r="E1636" s="22">
        <f t="shared" si="26"/>
        <v>458.92000000000189</v>
      </c>
    </row>
    <row r="1637" spans="1:5" x14ac:dyDescent="0.25">
      <c r="A1637" s="6">
        <v>44167</v>
      </c>
      <c r="D1637" s="54">
        <v>400</v>
      </c>
      <c r="E1637" s="22">
        <f t="shared" si="26"/>
        <v>58.920000000001892</v>
      </c>
    </row>
    <row r="1638" spans="1:5" x14ac:dyDescent="0.25">
      <c r="A1638" s="6">
        <v>44168</v>
      </c>
      <c r="B1638" s="59" t="s">
        <v>2747</v>
      </c>
      <c r="C1638" s="50">
        <v>11000</v>
      </c>
      <c r="E1638" s="22">
        <f t="shared" si="26"/>
        <v>11058.920000000002</v>
      </c>
    </row>
    <row r="1639" spans="1:5" x14ac:dyDescent="0.25">
      <c r="D1639" s="54">
        <v>100</v>
      </c>
      <c r="E1639" s="22">
        <f t="shared" si="26"/>
        <v>10958.920000000002</v>
      </c>
    </row>
    <row r="1640" spans="1:5" x14ac:dyDescent="0.25">
      <c r="D1640" s="54">
        <v>300</v>
      </c>
      <c r="E1640" s="22">
        <f t="shared" si="26"/>
        <v>10658.920000000002</v>
      </c>
    </row>
    <row r="1641" spans="1:5" x14ac:dyDescent="0.25">
      <c r="D1641" s="54">
        <v>5000</v>
      </c>
      <c r="E1641" s="22">
        <f t="shared" si="26"/>
        <v>5658.9200000000019</v>
      </c>
    </row>
    <row r="1642" spans="1:5" x14ac:dyDescent="0.25">
      <c r="B1642" s="59" t="s">
        <v>2747</v>
      </c>
      <c r="C1642" s="50">
        <v>4500</v>
      </c>
      <c r="E1642" s="22">
        <f t="shared" si="26"/>
        <v>10158.920000000002</v>
      </c>
    </row>
    <row r="1643" spans="1:5" x14ac:dyDescent="0.25">
      <c r="D1643" s="54">
        <v>2900</v>
      </c>
      <c r="E1643" s="22">
        <f t="shared" si="26"/>
        <v>7258.9200000000019</v>
      </c>
    </row>
    <row r="1644" spans="1:5" x14ac:dyDescent="0.25">
      <c r="D1644" s="54">
        <v>4050</v>
      </c>
      <c r="E1644" s="22">
        <f t="shared" si="26"/>
        <v>3208.9200000000019</v>
      </c>
    </row>
    <row r="1645" spans="1:5" x14ac:dyDescent="0.25">
      <c r="B1645" s="59" t="s">
        <v>2747</v>
      </c>
      <c r="C1645" s="50">
        <v>5000</v>
      </c>
      <c r="E1645" s="22">
        <f t="shared" si="26"/>
        <v>8208.9200000000019</v>
      </c>
    </row>
    <row r="1646" spans="1:5" x14ac:dyDescent="0.25">
      <c r="D1646" s="54">
        <v>1000</v>
      </c>
      <c r="E1646" s="22">
        <f t="shared" si="26"/>
        <v>7208.9200000000019</v>
      </c>
    </row>
    <row r="1647" spans="1:5" x14ac:dyDescent="0.25">
      <c r="D1647" s="54">
        <v>3500</v>
      </c>
      <c r="E1647" s="22">
        <f t="shared" si="26"/>
        <v>3708.9200000000019</v>
      </c>
    </row>
    <row r="1648" spans="1:5" x14ac:dyDescent="0.25">
      <c r="D1648" s="54">
        <v>1500</v>
      </c>
      <c r="E1648" s="22">
        <f t="shared" si="26"/>
        <v>2208.9200000000019</v>
      </c>
    </row>
    <row r="1649" spans="1:5" x14ac:dyDescent="0.25">
      <c r="C1649" s="50">
        <v>5000</v>
      </c>
      <c r="E1649" s="22">
        <f t="shared" si="26"/>
        <v>7208.9200000000019</v>
      </c>
    </row>
    <row r="1650" spans="1:5" x14ac:dyDescent="0.25">
      <c r="D1650" s="54">
        <v>1000</v>
      </c>
      <c r="E1650" s="22">
        <f t="shared" si="26"/>
        <v>6208.9200000000019</v>
      </c>
    </row>
    <row r="1651" spans="1:5" x14ac:dyDescent="0.25">
      <c r="D1651" s="54">
        <v>5000</v>
      </c>
      <c r="E1651" s="22">
        <f t="shared" si="26"/>
        <v>1208.9200000000019</v>
      </c>
    </row>
    <row r="1652" spans="1:5" x14ac:dyDescent="0.25">
      <c r="D1652" s="54">
        <v>1000</v>
      </c>
      <c r="E1652" s="22">
        <f t="shared" si="26"/>
        <v>208.92000000000189</v>
      </c>
    </row>
    <row r="1653" spans="1:5" x14ac:dyDescent="0.25">
      <c r="C1653" s="50">
        <v>2500</v>
      </c>
      <c r="E1653" s="22">
        <f t="shared" si="26"/>
        <v>2708.9200000000019</v>
      </c>
    </row>
    <row r="1654" spans="1:5" x14ac:dyDescent="0.25">
      <c r="D1654" s="54">
        <v>500</v>
      </c>
      <c r="E1654" s="22">
        <f t="shared" si="26"/>
        <v>2208.9200000000019</v>
      </c>
    </row>
    <row r="1655" spans="1:5" x14ac:dyDescent="0.25">
      <c r="D1655" s="54">
        <v>1000</v>
      </c>
      <c r="E1655" s="22">
        <f t="shared" si="26"/>
        <v>1208.9200000000019</v>
      </c>
    </row>
    <row r="1656" spans="1:5" x14ac:dyDescent="0.25">
      <c r="D1656" s="54">
        <v>100</v>
      </c>
      <c r="E1656" s="22">
        <f t="shared" si="26"/>
        <v>1108.9200000000019</v>
      </c>
    </row>
    <row r="1657" spans="1:5" x14ac:dyDescent="0.25">
      <c r="D1657" s="54">
        <v>1000</v>
      </c>
      <c r="E1657" s="22">
        <f t="shared" si="26"/>
        <v>108.92000000000189</v>
      </c>
    </row>
    <row r="1658" spans="1:5" x14ac:dyDescent="0.25">
      <c r="A1658" s="6">
        <v>44172</v>
      </c>
      <c r="B1658" s="59" t="s">
        <v>2748</v>
      </c>
      <c r="C1658" s="50">
        <v>12500</v>
      </c>
      <c r="E1658" s="22">
        <f t="shared" si="26"/>
        <v>12608.920000000002</v>
      </c>
    </row>
    <row r="1659" spans="1:5" x14ac:dyDescent="0.25">
      <c r="A1659" s="6">
        <v>44172</v>
      </c>
      <c r="D1659" s="54">
        <v>1500</v>
      </c>
      <c r="E1659" s="22">
        <f t="shared" si="26"/>
        <v>11108.920000000002</v>
      </c>
    </row>
    <row r="1660" spans="1:5" x14ac:dyDescent="0.25">
      <c r="A1660" s="6">
        <v>44172</v>
      </c>
      <c r="B1660" s="59" t="s">
        <v>2416</v>
      </c>
      <c r="D1660" s="54">
        <v>10000</v>
      </c>
      <c r="E1660" s="22">
        <f t="shared" si="26"/>
        <v>1108.9200000000019</v>
      </c>
    </row>
    <row r="1661" spans="1:5" x14ac:dyDescent="0.25">
      <c r="A1661" s="6">
        <v>44172</v>
      </c>
      <c r="E1661" s="22">
        <f t="shared" si="26"/>
        <v>1108.9200000000019</v>
      </c>
    </row>
    <row r="1662" spans="1:5" x14ac:dyDescent="0.25">
      <c r="A1662" s="6">
        <v>44173</v>
      </c>
      <c r="B1662" s="59" t="s">
        <v>2747</v>
      </c>
      <c r="C1662" s="50">
        <v>6000</v>
      </c>
      <c r="E1662" s="22">
        <f t="shared" si="26"/>
        <v>7108.9200000000019</v>
      </c>
    </row>
    <row r="1663" spans="1:5" x14ac:dyDescent="0.25">
      <c r="A1663" s="6">
        <v>44173</v>
      </c>
      <c r="B1663" s="59" t="s">
        <v>2651</v>
      </c>
      <c r="D1663" s="54">
        <v>6000</v>
      </c>
      <c r="E1663" s="22">
        <f t="shared" si="26"/>
        <v>1108.9200000000019</v>
      </c>
    </row>
    <row r="1664" spans="1:5" x14ac:dyDescent="0.25">
      <c r="A1664" s="6">
        <v>44173</v>
      </c>
      <c r="D1664" s="54">
        <v>1000</v>
      </c>
      <c r="E1664" s="22">
        <f t="shared" si="26"/>
        <v>108.92000000000189</v>
      </c>
    </row>
    <row r="1665" spans="2:5" x14ac:dyDescent="0.25">
      <c r="B1665" s="59" t="s">
        <v>2747</v>
      </c>
      <c r="C1665" s="50">
        <v>10000</v>
      </c>
      <c r="E1665" s="22">
        <f t="shared" si="26"/>
        <v>10108.920000000002</v>
      </c>
    </row>
    <row r="1666" spans="2:5" x14ac:dyDescent="0.25">
      <c r="D1666" s="54">
        <v>500</v>
      </c>
      <c r="E1666" s="22">
        <f t="shared" si="26"/>
        <v>9608.9200000000019</v>
      </c>
    </row>
    <row r="1667" spans="2:5" x14ac:dyDescent="0.25">
      <c r="D1667" s="54">
        <v>1000</v>
      </c>
      <c r="E1667" s="22">
        <f t="shared" si="26"/>
        <v>8608.9200000000019</v>
      </c>
    </row>
    <row r="1668" spans="2:5" x14ac:dyDescent="0.25">
      <c r="D1668" s="54">
        <v>7000</v>
      </c>
      <c r="E1668" s="22">
        <f t="shared" si="26"/>
        <v>1608.9200000000019</v>
      </c>
    </row>
    <row r="1669" spans="2:5" x14ac:dyDescent="0.25">
      <c r="D1669" s="54">
        <v>500</v>
      </c>
      <c r="E1669" s="22">
        <f t="shared" si="26"/>
        <v>1108.9200000000019</v>
      </c>
    </row>
    <row r="1670" spans="2:5" x14ac:dyDescent="0.25">
      <c r="C1670" s="50">
        <v>10500</v>
      </c>
      <c r="E1670" s="22">
        <f t="shared" si="26"/>
        <v>11608.920000000002</v>
      </c>
    </row>
    <row r="1671" spans="2:5" x14ac:dyDescent="0.25">
      <c r="D1671" s="54">
        <v>500</v>
      </c>
      <c r="E1671" s="22">
        <f t="shared" si="26"/>
        <v>11108.920000000002</v>
      </c>
    </row>
    <row r="1672" spans="2:5" x14ac:dyDescent="0.25">
      <c r="D1672" s="54">
        <v>3000</v>
      </c>
      <c r="E1672" s="22">
        <f t="shared" si="26"/>
        <v>8108.9200000000019</v>
      </c>
    </row>
    <row r="1673" spans="2:5" x14ac:dyDescent="0.25">
      <c r="D1673" s="54">
        <v>5000</v>
      </c>
      <c r="E1673" s="22">
        <f t="shared" si="26"/>
        <v>3108.9200000000019</v>
      </c>
    </row>
    <row r="1674" spans="2:5" x14ac:dyDescent="0.25">
      <c r="D1674" s="54">
        <v>1050</v>
      </c>
      <c r="E1674" s="22">
        <f t="shared" si="26"/>
        <v>2058.9200000000019</v>
      </c>
    </row>
    <row r="1675" spans="2:5" x14ac:dyDescent="0.25">
      <c r="C1675" s="50">
        <v>1000</v>
      </c>
      <c r="E1675" s="22">
        <f t="shared" si="26"/>
        <v>3058.9200000000019</v>
      </c>
    </row>
    <row r="1676" spans="2:5" x14ac:dyDescent="0.25">
      <c r="D1676" s="54">
        <v>200</v>
      </c>
      <c r="E1676" s="22">
        <f t="shared" si="26"/>
        <v>2858.9200000000019</v>
      </c>
    </row>
    <row r="1677" spans="2:5" x14ac:dyDescent="0.25">
      <c r="D1677" s="54">
        <v>2000</v>
      </c>
      <c r="E1677" s="22">
        <f t="shared" si="26"/>
        <v>858.92000000000189</v>
      </c>
    </row>
    <row r="1678" spans="2:5" x14ac:dyDescent="0.25">
      <c r="D1678" s="54">
        <v>200</v>
      </c>
      <c r="E1678" s="22">
        <f t="shared" si="26"/>
        <v>658.92000000000189</v>
      </c>
    </row>
    <row r="1679" spans="2:5" x14ac:dyDescent="0.25">
      <c r="D1679" s="54">
        <v>500</v>
      </c>
      <c r="E1679" s="22">
        <f t="shared" si="26"/>
        <v>158.92000000000189</v>
      </c>
    </row>
    <row r="1680" spans="2:5" x14ac:dyDescent="0.25">
      <c r="B1680" s="59" t="s">
        <v>2747</v>
      </c>
      <c r="C1680" s="50">
        <v>2500</v>
      </c>
      <c r="E1680" s="22">
        <f t="shared" si="26"/>
        <v>2658.9200000000019</v>
      </c>
    </row>
    <row r="1681" spans="1:5" x14ac:dyDescent="0.25">
      <c r="D1681" s="54">
        <v>400</v>
      </c>
      <c r="E1681" s="22">
        <f t="shared" si="26"/>
        <v>2258.9200000000019</v>
      </c>
    </row>
    <row r="1682" spans="1:5" x14ac:dyDescent="0.25">
      <c r="D1682" s="54">
        <v>2000</v>
      </c>
      <c r="E1682" s="22">
        <f t="shared" si="26"/>
        <v>258.92000000000189</v>
      </c>
    </row>
    <row r="1683" spans="1:5" x14ac:dyDescent="0.25">
      <c r="B1683" s="59" t="s">
        <v>2743</v>
      </c>
      <c r="C1683" s="50">
        <v>6000</v>
      </c>
      <c r="E1683" s="22">
        <f t="shared" si="26"/>
        <v>6258.9200000000019</v>
      </c>
    </row>
    <row r="1684" spans="1:5" x14ac:dyDescent="0.25">
      <c r="D1684" s="54">
        <v>5600</v>
      </c>
      <c r="E1684" s="22">
        <f t="shared" si="26"/>
        <v>658.92000000000189</v>
      </c>
    </row>
    <row r="1685" spans="1:5" x14ac:dyDescent="0.25">
      <c r="D1685" s="54">
        <v>500</v>
      </c>
      <c r="E1685" s="22">
        <f t="shared" si="26"/>
        <v>158.92000000000189</v>
      </c>
    </row>
    <row r="1686" spans="1:5" x14ac:dyDescent="0.25">
      <c r="C1686" s="50">
        <v>2500</v>
      </c>
      <c r="E1686" s="22">
        <f t="shared" si="26"/>
        <v>2658.9200000000019</v>
      </c>
    </row>
    <row r="1687" spans="1:5" x14ac:dyDescent="0.25">
      <c r="D1687" s="54">
        <v>1000</v>
      </c>
      <c r="E1687" s="22">
        <f t="shared" si="26"/>
        <v>1658.9200000000019</v>
      </c>
    </row>
    <row r="1688" spans="1:5" x14ac:dyDescent="0.25">
      <c r="C1688" s="50">
        <v>500</v>
      </c>
      <c r="E1688" s="22">
        <f t="shared" si="26"/>
        <v>2158.9200000000019</v>
      </c>
    </row>
    <row r="1689" spans="1:5" x14ac:dyDescent="0.25">
      <c r="A1689" s="6">
        <v>44179</v>
      </c>
      <c r="D1689" s="54">
        <v>500</v>
      </c>
      <c r="E1689" s="22">
        <f t="shared" ref="E1689:E1752" si="27">E1688-D1689+C1689</f>
        <v>1658.9200000000019</v>
      </c>
    </row>
    <row r="1690" spans="1:5" x14ac:dyDescent="0.25">
      <c r="A1690" s="6">
        <v>44179</v>
      </c>
      <c r="D1690" s="54">
        <v>500</v>
      </c>
      <c r="E1690" s="22">
        <f t="shared" si="27"/>
        <v>1158.9200000000019</v>
      </c>
    </row>
    <row r="1691" spans="1:5" x14ac:dyDescent="0.25">
      <c r="A1691" s="6">
        <v>44179</v>
      </c>
      <c r="D1691" s="54">
        <v>1000</v>
      </c>
      <c r="E1691" s="22">
        <f t="shared" si="27"/>
        <v>158.92000000000189</v>
      </c>
    </row>
    <row r="1692" spans="1:5" x14ac:dyDescent="0.25">
      <c r="B1692" s="59" t="s">
        <v>2747</v>
      </c>
      <c r="C1692" s="50">
        <v>2500</v>
      </c>
      <c r="E1692" s="22">
        <f t="shared" si="27"/>
        <v>2658.9200000000019</v>
      </c>
    </row>
    <row r="1693" spans="1:5" x14ac:dyDescent="0.25">
      <c r="B1693" s="59" t="s">
        <v>2749</v>
      </c>
      <c r="C1693" s="50">
        <v>2000</v>
      </c>
      <c r="E1693" s="22">
        <f t="shared" si="27"/>
        <v>4658.9200000000019</v>
      </c>
    </row>
    <row r="1694" spans="1:5" x14ac:dyDescent="0.25">
      <c r="D1694" s="54">
        <v>500</v>
      </c>
      <c r="E1694" s="22">
        <f t="shared" si="27"/>
        <v>4158.9200000000019</v>
      </c>
    </row>
    <row r="1695" spans="1:5" x14ac:dyDescent="0.25">
      <c r="D1695" s="54">
        <v>2000</v>
      </c>
      <c r="E1695" s="22">
        <f t="shared" si="27"/>
        <v>2158.9200000000019</v>
      </c>
    </row>
    <row r="1696" spans="1:5" x14ac:dyDescent="0.25">
      <c r="D1696" s="54">
        <v>1500</v>
      </c>
      <c r="E1696" s="22">
        <f t="shared" si="27"/>
        <v>658.92000000000189</v>
      </c>
    </row>
    <row r="1697" spans="1:5" x14ac:dyDescent="0.25">
      <c r="D1697" s="54">
        <v>500</v>
      </c>
      <c r="E1697" s="22">
        <f t="shared" si="27"/>
        <v>158.92000000000189</v>
      </c>
    </row>
    <row r="1698" spans="1:5" x14ac:dyDescent="0.25">
      <c r="B1698" s="59" t="s">
        <v>2747</v>
      </c>
      <c r="C1698" s="50">
        <v>14500</v>
      </c>
      <c r="E1698" s="22">
        <f t="shared" si="27"/>
        <v>14658.920000000002</v>
      </c>
    </row>
    <row r="1699" spans="1:5" x14ac:dyDescent="0.25">
      <c r="D1699" s="54">
        <v>4500</v>
      </c>
      <c r="E1699" s="22">
        <f t="shared" si="27"/>
        <v>10158.920000000002</v>
      </c>
    </row>
    <row r="1700" spans="1:5" x14ac:dyDescent="0.25">
      <c r="D1700" s="54">
        <v>5000</v>
      </c>
      <c r="E1700" s="22">
        <f t="shared" si="27"/>
        <v>5158.9200000000019</v>
      </c>
    </row>
    <row r="1701" spans="1:5" x14ac:dyDescent="0.25">
      <c r="D1701" s="54">
        <v>5000</v>
      </c>
      <c r="E1701" s="22">
        <f t="shared" si="27"/>
        <v>158.92000000000189</v>
      </c>
    </row>
    <row r="1702" spans="1:5" x14ac:dyDescent="0.25">
      <c r="B1702" s="59" t="s">
        <v>2750</v>
      </c>
      <c r="C1702" s="50">
        <v>1200</v>
      </c>
      <c r="E1702" s="22">
        <f t="shared" si="27"/>
        <v>1358.9200000000019</v>
      </c>
    </row>
    <row r="1703" spans="1:5" x14ac:dyDescent="0.25">
      <c r="D1703" s="54">
        <v>1200</v>
      </c>
      <c r="E1703" s="22">
        <f t="shared" si="27"/>
        <v>158.92000000000189</v>
      </c>
    </row>
    <row r="1704" spans="1:5" x14ac:dyDescent="0.25">
      <c r="B1704" s="59" t="s">
        <v>2747</v>
      </c>
      <c r="C1704" s="50">
        <v>8000</v>
      </c>
      <c r="E1704" s="22">
        <f t="shared" si="27"/>
        <v>8158.9200000000019</v>
      </c>
    </row>
    <row r="1705" spans="1:5" x14ac:dyDescent="0.25">
      <c r="D1705" s="54">
        <v>1000</v>
      </c>
      <c r="E1705" s="22">
        <f t="shared" si="27"/>
        <v>7158.9200000000019</v>
      </c>
    </row>
    <row r="1706" spans="1:5" x14ac:dyDescent="0.25">
      <c r="D1706" s="54">
        <v>4000</v>
      </c>
      <c r="E1706" s="22">
        <f t="shared" si="27"/>
        <v>3158.9200000000019</v>
      </c>
    </row>
    <row r="1707" spans="1:5" x14ac:dyDescent="0.25">
      <c r="D1707" s="54">
        <v>3000</v>
      </c>
      <c r="E1707" s="22">
        <f t="shared" si="27"/>
        <v>158.92000000000189</v>
      </c>
    </row>
    <row r="1708" spans="1:5" x14ac:dyDescent="0.25">
      <c r="B1708" s="59" t="s">
        <v>46</v>
      </c>
      <c r="C1708" s="50">
        <v>975.1</v>
      </c>
      <c r="E1708" s="22">
        <f t="shared" si="27"/>
        <v>1134.0200000000018</v>
      </c>
    </row>
    <row r="1709" spans="1:5" x14ac:dyDescent="0.25">
      <c r="A1709" s="6">
        <v>44184</v>
      </c>
      <c r="C1709" s="50">
        <v>13000</v>
      </c>
      <c r="E1709" s="22">
        <f t="shared" si="27"/>
        <v>14134.020000000002</v>
      </c>
    </row>
    <row r="1710" spans="1:5" x14ac:dyDescent="0.25">
      <c r="A1710" s="6">
        <v>44184</v>
      </c>
      <c r="D1710" s="54">
        <v>1000</v>
      </c>
      <c r="E1710" s="22">
        <f t="shared" si="27"/>
        <v>13134.020000000002</v>
      </c>
    </row>
    <row r="1711" spans="1:5" x14ac:dyDescent="0.25">
      <c r="A1711" s="6">
        <v>44184</v>
      </c>
      <c r="D1711" s="54">
        <v>1000</v>
      </c>
      <c r="E1711" s="22">
        <f t="shared" si="27"/>
        <v>12134.020000000002</v>
      </c>
    </row>
    <row r="1712" spans="1:5" x14ac:dyDescent="0.25">
      <c r="A1712" s="6">
        <v>44184</v>
      </c>
      <c r="D1712" s="54">
        <v>500</v>
      </c>
      <c r="E1712" s="22">
        <f t="shared" si="27"/>
        <v>11634.020000000002</v>
      </c>
    </row>
    <row r="1713" spans="1:5" x14ac:dyDescent="0.25">
      <c r="A1713" s="6">
        <v>44184</v>
      </c>
      <c r="D1713" s="54">
        <v>500</v>
      </c>
      <c r="E1713" s="22">
        <f t="shared" si="27"/>
        <v>11134.020000000002</v>
      </c>
    </row>
    <row r="1714" spans="1:5" x14ac:dyDescent="0.25">
      <c r="A1714" s="6">
        <v>44184</v>
      </c>
      <c r="D1714" s="54">
        <v>500</v>
      </c>
      <c r="E1714" s="22">
        <f t="shared" si="27"/>
        <v>10634.020000000002</v>
      </c>
    </row>
    <row r="1715" spans="1:5" x14ac:dyDescent="0.25">
      <c r="A1715" s="6">
        <v>44184</v>
      </c>
      <c r="D1715" s="54">
        <v>2000</v>
      </c>
      <c r="E1715" s="22">
        <f t="shared" si="27"/>
        <v>8634.0200000000023</v>
      </c>
    </row>
    <row r="1716" spans="1:5" x14ac:dyDescent="0.25">
      <c r="A1716" s="6">
        <v>44184</v>
      </c>
      <c r="D1716" s="54">
        <v>4500</v>
      </c>
      <c r="E1716" s="22">
        <f t="shared" si="27"/>
        <v>4134.0200000000023</v>
      </c>
    </row>
    <row r="1717" spans="1:5" x14ac:dyDescent="0.25">
      <c r="A1717" s="6">
        <v>44184</v>
      </c>
      <c r="D1717" s="54">
        <v>2500</v>
      </c>
      <c r="E1717" s="22">
        <f t="shared" si="27"/>
        <v>1634.0200000000023</v>
      </c>
    </row>
    <row r="1718" spans="1:5" x14ac:dyDescent="0.25">
      <c r="A1718" s="6">
        <v>44184</v>
      </c>
      <c r="D1718" s="54">
        <v>1500</v>
      </c>
      <c r="E1718" s="22">
        <f t="shared" si="27"/>
        <v>134.02000000000226</v>
      </c>
    </row>
    <row r="1719" spans="1:5" x14ac:dyDescent="0.25">
      <c r="B1719" s="59" t="s">
        <v>2751</v>
      </c>
      <c r="C1719" s="50">
        <v>1500</v>
      </c>
      <c r="E1719" s="22">
        <f t="shared" si="27"/>
        <v>1634.0200000000023</v>
      </c>
    </row>
    <row r="1720" spans="1:5" x14ac:dyDescent="0.25">
      <c r="D1720" s="54">
        <v>500</v>
      </c>
      <c r="E1720" s="22">
        <f t="shared" si="27"/>
        <v>1134.0200000000023</v>
      </c>
    </row>
    <row r="1721" spans="1:5" x14ac:dyDescent="0.25">
      <c r="A1721" s="6">
        <v>44185</v>
      </c>
      <c r="B1721" s="59" t="s">
        <v>2747</v>
      </c>
      <c r="C1721" s="50">
        <v>16000</v>
      </c>
      <c r="E1721" s="22">
        <f t="shared" si="27"/>
        <v>17134.020000000004</v>
      </c>
    </row>
    <row r="1722" spans="1:5" x14ac:dyDescent="0.25">
      <c r="A1722" s="6">
        <v>44185</v>
      </c>
      <c r="D1722" s="54">
        <v>500</v>
      </c>
      <c r="E1722" s="22">
        <f t="shared" si="27"/>
        <v>16634.020000000004</v>
      </c>
    </row>
    <row r="1723" spans="1:5" x14ac:dyDescent="0.25">
      <c r="A1723" s="6">
        <v>44185</v>
      </c>
      <c r="D1723" s="54">
        <v>500</v>
      </c>
      <c r="E1723" s="22">
        <f t="shared" si="27"/>
        <v>16134.020000000004</v>
      </c>
    </row>
    <row r="1724" spans="1:5" x14ac:dyDescent="0.25">
      <c r="A1724" s="6">
        <v>44185</v>
      </c>
      <c r="D1724" s="54">
        <v>10000</v>
      </c>
      <c r="E1724" s="22">
        <f t="shared" si="27"/>
        <v>6134.0200000000041</v>
      </c>
    </row>
    <row r="1725" spans="1:5" x14ac:dyDescent="0.25">
      <c r="A1725" s="6">
        <v>44185</v>
      </c>
      <c r="D1725" s="54">
        <v>4000</v>
      </c>
      <c r="E1725" s="22">
        <f t="shared" si="27"/>
        <v>2134.0200000000041</v>
      </c>
    </row>
    <row r="1726" spans="1:5" x14ac:dyDescent="0.25">
      <c r="A1726" s="6">
        <v>44186</v>
      </c>
      <c r="D1726" s="54">
        <v>2000</v>
      </c>
      <c r="E1726" s="22">
        <f t="shared" si="27"/>
        <v>134.02000000000407</v>
      </c>
    </row>
    <row r="1727" spans="1:5" x14ac:dyDescent="0.25">
      <c r="A1727" s="6">
        <v>44187</v>
      </c>
      <c r="B1727" s="59" t="s">
        <v>2747</v>
      </c>
      <c r="C1727" s="50">
        <v>7500</v>
      </c>
      <c r="E1727" s="22">
        <f t="shared" si="27"/>
        <v>7634.0200000000041</v>
      </c>
    </row>
    <row r="1728" spans="1:5" x14ac:dyDescent="0.25">
      <c r="A1728" s="6">
        <v>44187</v>
      </c>
      <c r="D1728" s="54">
        <v>5000</v>
      </c>
      <c r="E1728" s="22">
        <f t="shared" si="27"/>
        <v>2634.0200000000041</v>
      </c>
    </row>
    <row r="1729" spans="1:5" x14ac:dyDescent="0.25">
      <c r="A1729" s="6">
        <v>44187</v>
      </c>
      <c r="C1729" s="50">
        <v>200</v>
      </c>
      <c r="E1729" s="22">
        <f t="shared" si="27"/>
        <v>2834.0200000000041</v>
      </c>
    </row>
    <row r="1730" spans="1:5" x14ac:dyDescent="0.25">
      <c r="A1730" s="6">
        <v>44187</v>
      </c>
      <c r="D1730" s="54">
        <v>1700</v>
      </c>
      <c r="E1730" s="22">
        <f t="shared" si="27"/>
        <v>1134.0200000000041</v>
      </c>
    </row>
    <row r="1731" spans="1:5" x14ac:dyDescent="0.25">
      <c r="A1731" s="6">
        <v>44188</v>
      </c>
      <c r="D1731" s="54">
        <v>500</v>
      </c>
      <c r="E1731" s="22">
        <f t="shared" si="27"/>
        <v>634.02000000000407</v>
      </c>
    </row>
    <row r="1732" spans="1:5" x14ac:dyDescent="0.25">
      <c r="A1732" s="6">
        <v>44188</v>
      </c>
      <c r="D1732" s="54">
        <v>500</v>
      </c>
      <c r="E1732" s="22">
        <f t="shared" si="27"/>
        <v>134.02000000000407</v>
      </c>
    </row>
    <row r="1733" spans="1:5" x14ac:dyDescent="0.25">
      <c r="A1733" s="6">
        <v>44188</v>
      </c>
      <c r="C1733" s="50">
        <v>1000</v>
      </c>
      <c r="E1733" s="22">
        <f t="shared" si="27"/>
        <v>1134.0200000000041</v>
      </c>
    </row>
    <row r="1734" spans="1:5" x14ac:dyDescent="0.25">
      <c r="A1734" s="6">
        <v>44188</v>
      </c>
      <c r="D1734" s="54">
        <v>500</v>
      </c>
      <c r="E1734" s="22">
        <f t="shared" si="27"/>
        <v>634.02000000000407</v>
      </c>
    </row>
    <row r="1735" spans="1:5" x14ac:dyDescent="0.25">
      <c r="A1735" s="6">
        <v>44188</v>
      </c>
      <c r="D1735" s="54">
        <v>500</v>
      </c>
      <c r="E1735" s="22">
        <f t="shared" si="27"/>
        <v>134.02000000000407</v>
      </c>
    </row>
    <row r="1736" spans="1:5" x14ac:dyDescent="0.25">
      <c r="A1736" s="6">
        <v>44188</v>
      </c>
      <c r="B1736" s="59" t="s">
        <v>2747</v>
      </c>
      <c r="C1736" s="50">
        <v>6500</v>
      </c>
      <c r="E1736" s="22">
        <f t="shared" si="27"/>
        <v>6634.0200000000041</v>
      </c>
    </row>
    <row r="1737" spans="1:5" x14ac:dyDescent="0.25">
      <c r="A1737" s="6">
        <v>44188</v>
      </c>
      <c r="B1737" s="59" t="s">
        <v>2752</v>
      </c>
      <c r="D1737" s="54">
        <v>6500</v>
      </c>
      <c r="E1737" s="22">
        <f t="shared" si="27"/>
        <v>134.02000000000407</v>
      </c>
    </row>
    <row r="1738" spans="1:5" x14ac:dyDescent="0.25">
      <c r="A1738" s="6">
        <v>44189</v>
      </c>
      <c r="B1738" s="59" t="s">
        <v>2274</v>
      </c>
      <c r="C1738" s="50">
        <v>11000</v>
      </c>
      <c r="E1738" s="22">
        <f t="shared" si="27"/>
        <v>11134.020000000004</v>
      </c>
    </row>
    <row r="1739" spans="1:5" x14ac:dyDescent="0.25">
      <c r="A1739" s="6">
        <v>44189</v>
      </c>
      <c r="B1739" s="59" t="s">
        <v>2840</v>
      </c>
      <c r="D1739" s="54">
        <v>10000</v>
      </c>
      <c r="E1739" s="22">
        <f t="shared" si="27"/>
        <v>1134.0200000000041</v>
      </c>
    </row>
    <row r="1740" spans="1:5" x14ac:dyDescent="0.25">
      <c r="A1740" s="6">
        <v>44189</v>
      </c>
      <c r="B1740" s="59" t="s">
        <v>2841</v>
      </c>
      <c r="D1740" s="54">
        <v>1000</v>
      </c>
      <c r="E1740" s="22">
        <f t="shared" si="27"/>
        <v>134.02000000000407</v>
      </c>
    </row>
    <row r="1741" spans="1:5" x14ac:dyDescent="0.25">
      <c r="A1741" s="6">
        <v>44189</v>
      </c>
      <c r="B1741" s="59" t="s">
        <v>2274</v>
      </c>
      <c r="C1741" s="50">
        <v>10000</v>
      </c>
      <c r="E1741" s="22">
        <f t="shared" si="27"/>
        <v>10134.020000000004</v>
      </c>
    </row>
    <row r="1742" spans="1:5" x14ac:dyDescent="0.25">
      <c r="A1742" s="6">
        <v>44189</v>
      </c>
      <c r="B1742" s="59" t="s">
        <v>2842</v>
      </c>
      <c r="D1742" s="54">
        <v>1000</v>
      </c>
      <c r="E1742" s="22">
        <f t="shared" si="27"/>
        <v>9134.0200000000041</v>
      </c>
    </row>
    <row r="1743" spans="1:5" x14ac:dyDescent="0.25">
      <c r="A1743" s="6">
        <v>44189</v>
      </c>
      <c r="B1743" s="59" t="s">
        <v>2062</v>
      </c>
      <c r="D1743" s="54">
        <v>6000</v>
      </c>
      <c r="E1743" s="22">
        <f t="shared" si="27"/>
        <v>3134.0200000000041</v>
      </c>
    </row>
    <row r="1744" spans="1:5" x14ac:dyDescent="0.25">
      <c r="A1744" s="6">
        <v>44190</v>
      </c>
      <c r="B1744" s="59" t="s">
        <v>2241</v>
      </c>
      <c r="D1744" s="54">
        <v>2500</v>
      </c>
      <c r="E1744" s="22">
        <f t="shared" si="27"/>
        <v>634.02000000000407</v>
      </c>
    </row>
    <row r="1745" spans="1:5" x14ac:dyDescent="0.25">
      <c r="A1745" s="6">
        <v>44191</v>
      </c>
      <c r="B1745" s="59" t="s">
        <v>2638</v>
      </c>
      <c r="C1745" s="50">
        <v>3000</v>
      </c>
      <c r="E1745" s="22">
        <f t="shared" si="27"/>
        <v>3634.0200000000041</v>
      </c>
    </row>
    <row r="1746" spans="1:5" s="22" customFormat="1" x14ac:dyDescent="0.25">
      <c r="A1746" s="6">
        <v>44191</v>
      </c>
      <c r="B1746" s="59" t="s">
        <v>2843</v>
      </c>
      <c r="C1746" s="50"/>
      <c r="D1746" s="54">
        <v>800</v>
      </c>
      <c r="E1746" s="22">
        <f t="shared" si="27"/>
        <v>2834.0200000000041</v>
      </c>
    </row>
    <row r="1747" spans="1:5" x14ac:dyDescent="0.25">
      <c r="A1747" s="6">
        <v>44191</v>
      </c>
      <c r="B1747" s="59" t="s">
        <v>2138</v>
      </c>
      <c r="D1747" s="54">
        <v>2500</v>
      </c>
      <c r="E1747" s="22">
        <f t="shared" si="27"/>
        <v>334.02000000000407</v>
      </c>
    </row>
    <row r="1748" spans="1:5" x14ac:dyDescent="0.25">
      <c r="A1748" s="6">
        <v>44192</v>
      </c>
      <c r="B1748" s="59" t="s">
        <v>1649</v>
      </c>
      <c r="C1748" s="50">
        <v>2000</v>
      </c>
      <c r="E1748" s="22">
        <f t="shared" si="27"/>
        <v>2334.0200000000041</v>
      </c>
    </row>
    <row r="1749" spans="1:5" x14ac:dyDescent="0.25">
      <c r="A1749" s="6">
        <v>44193</v>
      </c>
      <c r="B1749" s="59" t="s">
        <v>2362</v>
      </c>
      <c r="C1749" s="50">
        <v>3000</v>
      </c>
      <c r="E1749" s="22">
        <f t="shared" si="27"/>
        <v>5334.0200000000041</v>
      </c>
    </row>
    <row r="1750" spans="1:5" x14ac:dyDescent="0.25">
      <c r="A1750" s="6">
        <v>44193</v>
      </c>
      <c r="B1750" s="59" t="s">
        <v>2620</v>
      </c>
      <c r="C1750" s="50">
        <v>1000</v>
      </c>
      <c r="E1750" s="22">
        <f t="shared" si="27"/>
        <v>6334.0200000000041</v>
      </c>
    </row>
    <row r="1751" spans="1:5" x14ac:dyDescent="0.25">
      <c r="A1751" s="6">
        <v>44193</v>
      </c>
      <c r="B1751" s="59" t="s">
        <v>2274</v>
      </c>
      <c r="C1751" s="50">
        <v>9000</v>
      </c>
      <c r="E1751" s="22">
        <f t="shared" si="27"/>
        <v>15334.020000000004</v>
      </c>
    </row>
    <row r="1752" spans="1:5" x14ac:dyDescent="0.25">
      <c r="A1752" s="6">
        <v>44193</v>
      </c>
      <c r="B1752" s="59" t="s">
        <v>2844</v>
      </c>
      <c r="D1752" s="54">
        <v>4500</v>
      </c>
      <c r="E1752" s="22">
        <f t="shared" si="27"/>
        <v>10834.020000000004</v>
      </c>
    </row>
    <row r="1753" spans="1:5" x14ac:dyDescent="0.25">
      <c r="A1753" s="6">
        <v>44193</v>
      </c>
      <c r="B1753" s="59" t="s">
        <v>2845</v>
      </c>
      <c r="D1753" s="54">
        <v>650</v>
      </c>
      <c r="E1753" s="22">
        <f t="shared" ref="E1753:E1816" si="28">E1752-D1753+C1753</f>
        <v>10184.020000000004</v>
      </c>
    </row>
    <row r="1754" spans="1:5" x14ac:dyDescent="0.25">
      <c r="A1754" s="6">
        <v>44193</v>
      </c>
      <c r="B1754" s="59" t="s">
        <v>2846</v>
      </c>
      <c r="D1754" s="54">
        <v>500</v>
      </c>
      <c r="E1754" s="22">
        <f t="shared" si="28"/>
        <v>9684.0200000000041</v>
      </c>
    </row>
    <row r="1755" spans="1:5" x14ac:dyDescent="0.25">
      <c r="A1755" s="6">
        <v>44193</v>
      </c>
      <c r="B1755" s="59" t="s">
        <v>2847</v>
      </c>
      <c r="D1755" s="54">
        <v>500</v>
      </c>
      <c r="E1755" s="22">
        <f t="shared" si="28"/>
        <v>9184.0200000000041</v>
      </c>
    </row>
    <row r="1756" spans="1:5" x14ac:dyDescent="0.25">
      <c r="A1756" s="6">
        <v>44193</v>
      </c>
      <c r="B1756" s="59" t="s">
        <v>2642</v>
      </c>
      <c r="D1756" s="54">
        <v>2000</v>
      </c>
      <c r="E1756" s="22">
        <f t="shared" si="28"/>
        <v>7184.0200000000041</v>
      </c>
    </row>
    <row r="1757" spans="1:5" x14ac:dyDescent="0.25">
      <c r="A1757" s="6">
        <v>44193</v>
      </c>
      <c r="B1757" s="59" t="s">
        <v>2172</v>
      </c>
      <c r="D1757" s="54">
        <v>6000</v>
      </c>
      <c r="E1757" s="22">
        <f t="shared" si="28"/>
        <v>1184.0200000000041</v>
      </c>
    </row>
    <row r="1758" spans="1:5" x14ac:dyDescent="0.25">
      <c r="A1758" s="6">
        <v>44194</v>
      </c>
      <c r="B1758" s="59" t="s">
        <v>2848</v>
      </c>
      <c r="D1758" s="54">
        <v>900</v>
      </c>
      <c r="E1758" s="22">
        <f t="shared" si="28"/>
        <v>284.02000000000407</v>
      </c>
    </row>
    <row r="1759" spans="1:5" x14ac:dyDescent="0.25">
      <c r="A1759" s="6">
        <v>44194</v>
      </c>
      <c r="B1759" s="59" t="s">
        <v>1703</v>
      </c>
      <c r="C1759" s="50">
        <v>2000</v>
      </c>
      <c r="E1759" s="22">
        <f t="shared" si="28"/>
        <v>2284.0200000000041</v>
      </c>
    </row>
    <row r="1760" spans="1:5" x14ac:dyDescent="0.25">
      <c r="A1760" s="6">
        <v>44194</v>
      </c>
      <c r="B1760" s="59" t="s">
        <v>2849</v>
      </c>
      <c r="D1760" s="54">
        <v>1300</v>
      </c>
      <c r="E1760" s="22">
        <f t="shared" si="28"/>
        <v>984.02000000000407</v>
      </c>
    </row>
    <row r="1761" spans="1:5" x14ac:dyDescent="0.25">
      <c r="A1761" s="6">
        <v>44194</v>
      </c>
      <c r="B1761" s="59" t="s">
        <v>2850</v>
      </c>
      <c r="D1761" s="54">
        <v>500</v>
      </c>
      <c r="E1761" s="22">
        <f t="shared" si="28"/>
        <v>484.02000000000407</v>
      </c>
    </row>
    <row r="1762" spans="1:5" x14ac:dyDescent="0.25">
      <c r="A1762" s="6">
        <v>44194</v>
      </c>
      <c r="B1762" s="59" t="s">
        <v>2851</v>
      </c>
      <c r="C1762" s="50">
        <v>1500</v>
      </c>
      <c r="E1762" s="22">
        <f t="shared" si="28"/>
        <v>1984.0200000000041</v>
      </c>
    </row>
    <row r="1763" spans="1:5" x14ac:dyDescent="0.25">
      <c r="A1763" s="6">
        <v>44194</v>
      </c>
      <c r="B1763" s="59" t="s">
        <v>2734</v>
      </c>
      <c r="C1763" s="50">
        <v>500</v>
      </c>
      <c r="E1763" s="22">
        <f t="shared" si="28"/>
        <v>2484.0200000000041</v>
      </c>
    </row>
    <row r="1764" spans="1:5" x14ac:dyDescent="0.25">
      <c r="A1764" s="6">
        <v>44194</v>
      </c>
      <c r="B1764" s="59" t="s">
        <v>2642</v>
      </c>
      <c r="D1764" s="54">
        <v>1000</v>
      </c>
      <c r="E1764" s="22">
        <f t="shared" si="28"/>
        <v>1484.0200000000041</v>
      </c>
    </row>
    <row r="1765" spans="1:5" x14ac:dyDescent="0.25">
      <c r="A1765" s="6">
        <v>44194</v>
      </c>
      <c r="B1765" s="59" t="s">
        <v>2274</v>
      </c>
      <c r="C1765" s="50">
        <v>13000</v>
      </c>
      <c r="E1765" s="22">
        <f t="shared" si="28"/>
        <v>14484.020000000004</v>
      </c>
    </row>
    <row r="1766" spans="1:5" x14ac:dyDescent="0.25">
      <c r="A1766" s="6">
        <v>44194</v>
      </c>
      <c r="B1766" s="59" t="s">
        <v>2651</v>
      </c>
      <c r="D1766" s="54">
        <v>7000</v>
      </c>
      <c r="E1766" s="22">
        <f t="shared" si="28"/>
        <v>7484.0200000000041</v>
      </c>
    </row>
    <row r="1767" spans="1:5" x14ac:dyDescent="0.25">
      <c r="A1767" s="6">
        <v>44194</v>
      </c>
      <c r="B1767" s="59" t="s">
        <v>2725</v>
      </c>
      <c r="D1767" s="54">
        <v>5000</v>
      </c>
      <c r="E1767" s="22">
        <f t="shared" si="28"/>
        <v>2484.0200000000041</v>
      </c>
    </row>
    <row r="1768" spans="1:5" x14ac:dyDescent="0.25">
      <c r="A1768" s="6">
        <v>44196</v>
      </c>
      <c r="B1768" s="59" t="s">
        <v>2362</v>
      </c>
      <c r="C1768" s="50">
        <v>4000</v>
      </c>
      <c r="E1768" s="22">
        <f t="shared" si="28"/>
        <v>6484.0200000000041</v>
      </c>
    </row>
    <row r="1769" spans="1:5" x14ac:dyDescent="0.25">
      <c r="A1769" s="6">
        <v>44196</v>
      </c>
      <c r="B1769" s="59" t="s">
        <v>2852</v>
      </c>
      <c r="D1769" s="54">
        <v>500</v>
      </c>
      <c r="E1769" s="22">
        <f t="shared" si="28"/>
        <v>5984.0200000000041</v>
      </c>
    </row>
    <row r="1770" spans="1:5" x14ac:dyDescent="0.25">
      <c r="A1770" s="6">
        <v>44196</v>
      </c>
      <c r="B1770" s="59" t="s">
        <v>2851</v>
      </c>
      <c r="C1770" s="50">
        <v>500</v>
      </c>
      <c r="E1770" s="22">
        <f t="shared" si="28"/>
        <v>6484.0200000000041</v>
      </c>
    </row>
    <row r="1771" spans="1:5" x14ac:dyDescent="0.25">
      <c r="A1771" s="6">
        <v>44196</v>
      </c>
      <c r="B1771" s="59" t="s">
        <v>2853</v>
      </c>
      <c r="D1771" s="54">
        <v>500</v>
      </c>
      <c r="E1771" s="22">
        <f t="shared" si="28"/>
        <v>5984.0200000000041</v>
      </c>
    </row>
    <row r="1772" spans="1:5" x14ac:dyDescent="0.25">
      <c r="A1772" s="6">
        <v>44196</v>
      </c>
      <c r="B1772" s="61" t="s">
        <v>2473</v>
      </c>
      <c r="D1772" s="58">
        <v>30</v>
      </c>
      <c r="E1772" s="22">
        <f t="shared" si="28"/>
        <v>5954.0200000000041</v>
      </c>
    </row>
    <row r="1773" spans="1:5" x14ac:dyDescent="0.25">
      <c r="A1773" s="6">
        <v>44198</v>
      </c>
      <c r="D1773" s="54">
        <v>5500</v>
      </c>
      <c r="E1773" s="22">
        <f t="shared" si="28"/>
        <v>454.02000000000407</v>
      </c>
    </row>
    <row r="1774" spans="1:5" x14ac:dyDescent="0.25">
      <c r="A1774" s="6">
        <v>44198</v>
      </c>
      <c r="B1774" s="59" t="s">
        <v>321</v>
      </c>
      <c r="C1774" s="50">
        <v>10500</v>
      </c>
      <c r="E1774" s="22">
        <f t="shared" si="28"/>
        <v>10954.020000000004</v>
      </c>
    </row>
    <row r="1775" spans="1:5" x14ac:dyDescent="0.25">
      <c r="A1775" s="6">
        <v>44198</v>
      </c>
      <c r="B1775" s="59" t="s">
        <v>2858</v>
      </c>
      <c r="D1775" s="54">
        <v>6000</v>
      </c>
      <c r="E1775" s="22">
        <f t="shared" si="28"/>
        <v>4954.0200000000041</v>
      </c>
    </row>
    <row r="1776" spans="1:5" x14ac:dyDescent="0.25">
      <c r="A1776" s="6">
        <v>44200</v>
      </c>
      <c r="B1776" s="59" t="s">
        <v>2859</v>
      </c>
      <c r="D1776" s="54">
        <v>1350</v>
      </c>
      <c r="E1776" s="22">
        <f t="shared" si="28"/>
        <v>3604.0200000000041</v>
      </c>
    </row>
    <row r="1777" spans="1:5" x14ac:dyDescent="0.25">
      <c r="A1777" s="6">
        <v>44200</v>
      </c>
      <c r="B1777" s="59" t="s">
        <v>2860</v>
      </c>
      <c r="D1777" s="54">
        <v>500</v>
      </c>
      <c r="E1777" s="22">
        <f t="shared" si="28"/>
        <v>3104.0200000000041</v>
      </c>
    </row>
    <row r="1778" spans="1:5" x14ac:dyDescent="0.25">
      <c r="A1778" s="6">
        <v>44200</v>
      </c>
      <c r="C1778" s="50">
        <v>2000</v>
      </c>
      <c r="E1778" s="22">
        <f t="shared" si="28"/>
        <v>5104.0200000000041</v>
      </c>
    </row>
    <row r="1779" spans="1:5" x14ac:dyDescent="0.25">
      <c r="A1779" s="6">
        <v>44200</v>
      </c>
      <c r="B1779" s="59" t="s">
        <v>2861</v>
      </c>
      <c r="D1779" s="54">
        <v>3500</v>
      </c>
      <c r="E1779" s="22">
        <f t="shared" si="28"/>
        <v>1604.0200000000041</v>
      </c>
    </row>
    <row r="1780" spans="1:5" x14ac:dyDescent="0.25">
      <c r="A1780" s="6">
        <v>44200</v>
      </c>
      <c r="B1780" s="59" t="s">
        <v>2138</v>
      </c>
      <c r="D1780" s="54">
        <v>700</v>
      </c>
      <c r="E1780" s="22">
        <f t="shared" si="28"/>
        <v>904.02000000000407</v>
      </c>
    </row>
    <row r="1781" spans="1:5" x14ac:dyDescent="0.25">
      <c r="A1781" s="6">
        <v>44202</v>
      </c>
      <c r="B1781" s="59" t="s">
        <v>2862</v>
      </c>
      <c r="C1781" s="50">
        <v>9000</v>
      </c>
      <c r="E1781" s="22">
        <f t="shared" si="28"/>
        <v>9904.0200000000041</v>
      </c>
    </row>
    <row r="1782" spans="1:5" x14ac:dyDescent="0.25">
      <c r="A1782" s="6">
        <v>44202</v>
      </c>
      <c r="B1782" s="59" t="s">
        <v>2858</v>
      </c>
      <c r="D1782" s="54">
        <v>8000</v>
      </c>
      <c r="E1782" s="22">
        <f t="shared" si="28"/>
        <v>1904.0200000000041</v>
      </c>
    </row>
    <row r="1783" spans="1:5" x14ac:dyDescent="0.25">
      <c r="A1783" s="6">
        <v>44202</v>
      </c>
      <c r="B1783" s="59" t="s">
        <v>2581</v>
      </c>
      <c r="D1783" s="54">
        <v>1500</v>
      </c>
      <c r="E1783" s="22">
        <f t="shared" si="28"/>
        <v>404.02000000000407</v>
      </c>
    </row>
    <row r="1784" spans="1:5" x14ac:dyDescent="0.25">
      <c r="A1784" s="6">
        <v>44202</v>
      </c>
      <c r="B1784" s="59" t="s">
        <v>2863</v>
      </c>
      <c r="D1784" s="54">
        <v>100</v>
      </c>
      <c r="E1784" s="22">
        <f t="shared" si="28"/>
        <v>304.02000000000407</v>
      </c>
    </row>
    <row r="1785" spans="1:5" x14ac:dyDescent="0.25">
      <c r="A1785" s="6">
        <v>44202</v>
      </c>
      <c r="B1785" s="59" t="s">
        <v>2864</v>
      </c>
      <c r="C1785" s="50">
        <v>1500</v>
      </c>
      <c r="E1785" s="22">
        <f t="shared" si="28"/>
        <v>1804.0200000000041</v>
      </c>
    </row>
    <row r="1786" spans="1:5" x14ac:dyDescent="0.25">
      <c r="A1786" s="6">
        <v>44202</v>
      </c>
      <c r="B1786" s="59" t="s">
        <v>2865</v>
      </c>
      <c r="C1786" s="50">
        <v>1000</v>
      </c>
      <c r="E1786" s="22">
        <f t="shared" si="28"/>
        <v>2804.0200000000041</v>
      </c>
    </row>
    <row r="1787" spans="1:5" x14ac:dyDescent="0.25">
      <c r="A1787" s="6">
        <v>44202</v>
      </c>
      <c r="B1787" s="59" t="s">
        <v>2866</v>
      </c>
      <c r="C1787" s="50">
        <v>2000</v>
      </c>
      <c r="E1787" s="22">
        <f t="shared" si="28"/>
        <v>4804.0200000000041</v>
      </c>
    </row>
    <row r="1788" spans="1:5" x14ac:dyDescent="0.25">
      <c r="A1788" s="6">
        <v>44203</v>
      </c>
      <c r="B1788" s="59" t="s">
        <v>2867</v>
      </c>
      <c r="D1788" s="54">
        <v>1000</v>
      </c>
      <c r="E1788" s="22">
        <f t="shared" si="28"/>
        <v>3804.0200000000041</v>
      </c>
    </row>
    <row r="1789" spans="1:5" x14ac:dyDescent="0.25">
      <c r="A1789" s="6">
        <v>44203</v>
      </c>
      <c r="B1789" s="59" t="s">
        <v>2868</v>
      </c>
      <c r="D1789" s="54">
        <v>2200</v>
      </c>
      <c r="E1789" s="22">
        <f t="shared" si="28"/>
        <v>1604.0200000000041</v>
      </c>
    </row>
    <row r="1790" spans="1:5" x14ac:dyDescent="0.25">
      <c r="A1790" s="6">
        <v>44203</v>
      </c>
      <c r="B1790" s="59" t="s">
        <v>2843</v>
      </c>
      <c r="D1790" s="54">
        <v>600</v>
      </c>
      <c r="E1790" s="22">
        <f t="shared" si="28"/>
        <v>1004.0200000000041</v>
      </c>
    </row>
    <row r="1791" spans="1:5" x14ac:dyDescent="0.25">
      <c r="A1791" s="6">
        <v>44203</v>
      </c>
      <c r="B1791" s="59" t="s">
        <v>2620</v>
      </c>
      <c r="C1791" s="50">
        <v>1000</v>
      </c>
      <c r="E1791" s="22">
        <f t="shared" si="28"/>
        <v>2004.0200000000041</v>
      </c>
    </row>
    <row r="1792" spans="1:5" x14ac:dyDescent="0.25">
      <c r="A1792" s="6">
        <v>44203</v>
      </c>
      <c r="B1792" s="59" t="s">
        <v>1979</v>
      </c>
      <c r="D1792" s="54">
        <v>500</v>
      </c>
      <c r="E1792" s="22">
        <f t="shared" si="28"/>
        <v>1504.0200000000041</v>
      </c>
    </row>
    <row r="1793" spans="1:5" x14ac:dyDescent="0.25">
      <c r="A1793" s="6">
        <v>44204</v>
      </c>
      <c r="B1793" s="59" t="s">
        <v>2274</v>
      </c>
      <c r="C1793" s="50">
        <v>8000</v>
      </c>
      <c r="E1793" s="22">
        <f t="shared" si="28"/>
        <v>9504.0200000000041</v>
      </c>
    </row>
    <row r="1794" spans="1:5" x14ac:dyDescent="0.25">
      <c r="A1794" s="6">
        <v>44204</v>
      </c>
      <c r="B1794" s="59" t="s">
        <v>2858</v>
      </c>
      <c r="D1794" s="54">
        <v>5000</v>
      </c>
      <c r="E1794" s="22">
        <f t="shared" si="28"/>
        <v>4504.0200000000041</v>
      </c>
    </row>
    <row r="1795" spans="1:5" x14ac:dyDescent="0.25">
      <c r="A1795" s="6">
        <v>44204</v>
      </c>
      <c r="B1795" s="59" t="s">
        <v>2181</v>
      </c>
      <c r="D1795" s="54">
        <v>500</v>
      </c>
      <c r="E1795" s="22">
        <f t="shared" si="28"/>
        <v>4004.0200000000041</v>
      </c>
    </row>
    <row r="1796" spans="1:5" x14ac:dyDescent="0.25">
      <c r="A1796" s="6">
        <v>44204</v>
      </c>
      <c r="B1796" s="59" t="s">
        <v>2609</v>
      </c>
      <c r="D1796" s="54">
        <v>1000</v>
      </c>
      <c r="E1796" s="22">
        <f t="shared" si="28"/>
        <v>3004.0200000000041</v>
      </c>
    </row>
    <row r="1797" spans="1:5" x14ac:dyDescent="0.25">
      <c r="A1797" s="6">
        <v>44205</v>
      </c>
      <c r="B1797" s="59" t="s">
        <v>2869</v>
      </c>
      <c r="D1797" s="54">
        <v>500</v>
      </c>
      <c r="E1797" s="22">
        <f t="shared" si="28"/>
        <v>2504.0200000000041</v>
      </c>
    </row>
    <row r="1798" spans="1:5" x14ac:dyDescent="0.25">
      <c r="A1798" s="6">
        <v>44205</v>
      </c>
      <c r="B1798" s="59" t="s">
        <v>2870</v>
      </c>
      <c r="D1798" s="54">
        <v>1000</v>
      </c>
      <c r="E1798" s="22">
        <f t="shared" si="28"/>
        <v>1504.0200000000041</v>
      </c>
    </row>
    <row r="1799" spans="1:5" x14ac:dyDescent="0.25">
      <c r="A1799" s="6">
        <v>44205</v>
      </c>
      <c r="B1799" s="59" t="s">
        <v>2138</v>
      </c>
      <c r="D1799" s="54">
        <v>1000</v>
      </c>
      <c r="E1799" s="22">
        <f t="shared" si="28"/>
        <v>504.02000000000407</v>
      </c>
    </row>
    <row r="1800" spans="1:5" x14ac:dyDescent="0.25">
      <c r="A1800" s="6">
        <v>44205</v>
      </c>
      <c r="B1800" s="59" t="s">
        <v>2871</v>
      </c>
      <c r="D1800" s="54">
        <v>100</v>
      </c>
      <c r="E1800" s="22">
        <f t="shared" si="28"/>
        <v>404.02000000000407</v>
      </c>
    </row>
    <row r="1801" spans="1:5" x14ac:dyDescent="0.25">
      <c r="A1801" s="6">
        <v>44206</v>
      </c>
      <c r="B1801" s="59" t="s">
        <v>2872</v>
      </c>
      <c r="C1801" s="50">
        <v>5000</v>
      </c>
      <c r="E1801" s="22">
        <f t="shared" si="28"/>
        <v>5404.0200000000041</v>
      </c>
    </row>
    <row r="1802" spans="1:5" x14ac:dyDescent="0.25">
      <c r="A1802" s="6">
        <v>44206</v>
      </c>
      <c r="B1802" s="59" t="s">
        <v>2413</v>
      </c>
      <c r="D1802" s="54">
        <v>2000</v>
      </c>
      <c r="E1802" s="22">
        <f t="shared" si="28"/>
        <v>3404.0200000000041</v>
      </c>
    </row>
    <row r="1803" spans="1:5" x14ac:dyDescent="0.25">
      <c r="A1803" s="6">
        <v>44207</v>
      </c>
      <c r="B1803" s="59" t="s">
        <v>2301</v>
      </c>
      <c r="D1803" s="54">
        <v>1000</v>
      </c>
      <c r="E1803" s="22">
        <f t="shared" si="28"/>
        <v>2404.0200000000041</v>
      </c>
    </row>
    <row r="1804" spans="1:5" x14ac:dyDescent="0.25">
      <c r="A1804" s="6">
        <v>44207</v>
      </c>
      <c r="B1804" s="59" t="s">
        <v>2858</v>
      </c>
      <c r="D1804" s="54">
        <v>2000</v>
      </c>
      <c r="E1804" s="22">
        <f t="shared" si="28"/>
        <v>404.02000000000407</v>
      </c>
    </row>
    <row r="1805" spans="1:5" x14ac:dyDescent="0.25">
      <c r="A1805" s="6">
        <v>44207</v>
      </c>
      <c r="B1805" s="59" t="s">
        <v>2873</v>
      </c>
      <c r="C1805" s="50">
        <v>2500</v>
      </c>
      <c r="E1805" s="22">
        <f t="shared" si="28"/>
        <v>2904.0200000000041</v>
      </c>
    </row>
    <row r="1806" spans="1:5" x14ac:dyDescent="0.25">
      <c r="A1806" s="6">
        <v>44207</v>
      </c>
      <c r="B1806" s="59" t="s">
        <v>2874</v>
      </c>
      <c r="D1806" s="54">
        <v>500</v>
      </c>
      <c r="E1806" s="22">
        <f t="shared" si="28"/>
        <v>2404.0200000000041</v>
      </c>
    </row>
    <row r="1807" spans="1:5" x14ac:dyDescent="0.25">
      <c r="A1807" s="6">
        <v>44207</v>
      </c>
      <c r="B1807" s="59" t="s">
        <v>2274</v>
      </c>
      <c r="C1807" s="50">
        <v>13000</v>
      </c>
      <c r="E1807" s="22">
        <f t="shared" si="28"/>
        <v>15404.020000000004</v>
      </c>
    </row>
    <row r="1808" spans="1:5" x14ac:dyDescent="0.25">
      <c r="A1808" s="6">
        <v>44207</v>
      </c>
      <c r="B1808" s="59" t="s">
        <v>2858</v>
      </c>
      <c r="D1808" s="54">
        <v>7000</v>
      </c>
      <c r="E1808" s="22">
        <f t="shared" si="28"/>
        <v>8404.0200000000041</v>
      </c>
    </row>
    <row r="1809" spans="1:5" x14ac:dyDescent="0.25">
      <c r="A1809" s="6">
        <v>44207</v>
      </c>
      <c r="B1809" s="59" t="s">
        <v>2071</v>
      </c>
      <c r="D1809" s="54">
        <v>3600</v>
      </c>
      <c r="E1809" s="22">
        <f t="shared" si="28"/>
        <v>4804.0200000000041</v>
      </c>
    </row>
    <row r="1810" spans="1:5" x14ac:dyDescent="0.25">
      <c r="A1810" s="6">
        <v>44207</v>
      </c>
      <c r="B1810" s="59" t="s">
        <v>1987</v>
      </c>
      <c r="D1810" s="54">
        <v>4200</v>
      </c>
      <c r="E1810" s="22">
        <f t="shared" si="28"/>
        <v>604.02000000000407</v>
      </c>
    </row>
    <row r="1811" spans="1:5" x14ac:dyDescent="0.25">
      <c r="A1811" s="6">
        <v>44207</v>
      </c>
      <c r="B1811" s="59" t="s">
        <v>1866</v>
      </c>
      <c r="C1811" s="50">
        <v>4900</v>
      </c>
      <c r="E1811" s="22">
        <f t="shared" si="28"/>
        <v>5504.0200000000041</v>
      </c>
    </row>
    <row r="1812" spans="1:5" x14ac:dyDescent="0.25">
      <c r="A1812" s="6">
        <v>44207</v>
      </c>
      <c r="B1812" s="59" t="s">
        <v>2743</v>
      </c>
      <c r="C1812" s="50">
        <v>5000</v>
      </c>
      <c r="E1812" s="22">
        <f t="shared" si="28"/>
        <v>10504.020000000004</v>
      </c>
    </row>
    <row r="1813" spans="1:5" x14ac:dyDescent="0.25">
      <c r="A1813" s="6">
        <v>44207</v>
      </c>
      <c r="B1813" s="59" t="s">
        <v>2662</v>
      </c>
      <c r="D1813" s="54">
        <v>6000</v>
      </c>
      <c r="E1813" s="22">
        <f t="shared" si="28"/>
        <v>4504.0200000000041</v>
      </c>
    </row>
    <row r="1814" spans="1:5" x14ac:dyDescent="0.25">
      <c r="A1814" s="6">
        <v>44207</v>
      </c>
      <c r="B1814" s="59" t="s">
        <v>2862</v>
      </c>
      <c r="C1814" s="50">
        <v>2000</v>
      </c>
      <c r="E1814" s="22">
        <f t="shared" si="28"/>
        <v>6504.0200000000041</v>
      </c>
    </row>
    <row r="1815" spans="1:5" x14ac:dyDescent="0.25">
      <c r="A1815" s="6">
        <v>44207</v>
      </c>
      <c r="B1815" s="59" t="s">
        <v>2651</v>
      </c>
      <c r="D1815" s="54">
        <v>1000</v>
      </c>
      <c r="E1815" s="22">
        <f t="shared" si="28"/>
        <v>5504.0200000000041</v>
      </c>
    </row>
    <row r="1816" spans="1:5" x14ac:dyDescent="0.25">
      <c r="A1816" s="6">
        <v>44207</v>
      </c>
      <c r="B1816" s="59" t="s">
        <v>2660</v>
      </c>
      <c r="D1816" s="54">
        <v>4000</v>
      </c>
      <c r="E1816" s="22">
        <f t="shared" si="28"/>
        <v>1504.0200000000041</v>
      </c>
    </row>
    <row r="1817" spans="1:5" x14ac:dyDescent="0.25">
      <c r="A1817" s="6">
        <v>44208</v>
      </c>
      <c r="B1817" s="59" t="s">
        <v>2659</v>
      </c>
      <c r="D1817" s="54">
        <v>200</v>
      </c>
      <c r="E1817" s="22">
        <f t="shared" ref="E1817:E1831" si="29">E1816-D1817+C1817</f>
        <v>1304.0200000000041</v>
      </c>
    </row>
    <row r="1818" spans="1:5" x14ac:dyDescent="0.25">
      <c r="A1818" s="6">
        <v>44208</v>
      </c>
      <c r="B1818" s="59" t="s">
        <v>2875</v>
      </c>
      <c r="D1818" s="54">
        <v>100</v>
      </c>
      <c r="E1818" s="22">
        <f t="shared" si="29"/>
        <v>1204.0200000000041</v>
      </c>
    </row>
    <row r="1819" spans="1:5" x14ac:dyDescent="0.25">
      <c r="A1819" s="6">
        <v>44208</v>
      </c>
      <c r="B1819" s="59" t="s">
        <v>2876</v>
      </c>
      <c r="D1819" s="54">
        <v>1000</v>
      </c>
      <c r="E1819" s="22">
        <f t="shared" si="29"/>
        <v>204.02000000000407</v>
      </c>
    </row>
    <row r="1820" spans="1:5" x14ac:dyDescent="0.25">
      <c r="A1820" s="6">
        <v>44208</v>
      </c>
      <c r="B1820" s="59" t="s">
        <v>2274</v>
      </c>
      <c r="C1820" s="50">
        <v>4000</v>
      </c>
      <c r="E1820" s="22">
        <f t="shared" si="29"/>
        <v>4204.0200000000041</v>
      </c>
    </row>
    <row r="1821" spans="1:5" x14ac:dyDescent="0.25">
      <c r="A1821" s="6">
        <v>44208</v>
      </c>
      <c r="B1821" s="59" t="s">
        <v>2070</v>
      </c>
      <c r="D1821" s="54">
        <v>1000</v>
      </c>
      <c r="E1821" s="22">
        <f t="shared" si="29"/>
        <v>3204.0200000000041</v>
      </c>
    </row>
    <row r="1822" spans="1:5" x14ac:dyDescent="0.25">
      <c r="A1822" s="6">
        <v>44208</v>
      </c>
      <c r="B1822" s="59" t="s">
        <v>2862</v>
      </c>
      <c r="C1822" s="50">
        <v>3000</v>
      </c>
      <c r="E1822" s="22">
        <f t="shared" si="29"/>
        <v>6204.0200000000041</v>
      </c>
    </row>
    <row r="1823" spans="1:5" x14ac:dyDescent="0.25">
      <c r="A1823" s="6">
        <v>44208</v>
      </c>
      <c r="B1823" s="59" t="s">
        <v>2877</v>
      </c>
      <c r="D1823" s="54">
        <v>500</v>
      </c>
      <c r="E1823" s="22">
        <f t="shared" si="29"/>
        <v>5704.0200000000041</v>
      </c>
    </row>
    <row r="1824" spans="1:5" x14ac:dyDescent="0.25">
      <c r="A1824" s="6">
        <v>44208</v>
      </c>
      <c r="B1824" s="59" t="s">
        <v>2509</v>
      </c>
      <c r="D1824" s="54">
        <v>5000</v>
      </c>
      <c r="E1824" s="22">
        <f t="shared" si="29"/>
        <v>704.02000000000407</v>
      </c>
    </row>
    <row r="1825" spans="1:5" x14ac:dyDescent="0.25">
      <c r="A1825" s="6">
        <v>44209</v>
      </c>
      <c r="B1825" s="59" t="s">
        <v>2878</v>
      </c>
      <c r="C1825" s="50">
        <v>2500</v>
      </c>
      <c r="E1825" s="22">
        <f t="shared" si="29"/>
        <v>3204.0200000000041</v>
      </c>
    </row>
    <row r="1826" spans="1:5" x14ac:dyDescent="0.25">
      <c r="A1826" s="6">
        <v>44209</v>
      </c>
      <c r="B1826" s="59" t="s">
        <v>2879</v>
      </c>
      <c r="D1826" s="54">
        <v>100</v>
      </c>
      <c r="E1826" s="22">
        <f t="shared" si="29"/>
        <v>3104.0200000000041</v>
      </c>
    </row>
    <row r="1827" spans="1:5" x14ac:dyDescent="0.25">
      <c r="A1827" s="6">
        <v>44209</v>
      </c>
      <c r="B1827" s="59" t="s">
        <v>2102</v>
      </c>
      <c r="C1827" s="50">
        <v>3000</v>
      </c>
      <c r="E1827" s="22">
        <f t="shared" si="29"/>
        <v>6104.0200000000041</v>
      </c>
    </row>
    <row r="1828" spans="1:5" x14ac:dyDescent="0.25">
      <c r="A1828" s="6">
        <v>44209</v>
      </c>
      <c r="B1828" s="59" t="s">
        <v>2734</v>
      </c>
      <c r="C1828" s="50">
        <v>500</v>
      </c>
      <c r="E1828" s="22">
        <f t="shared" si="29"/>
        <v>6604.0200000000041</v>
      </c>
    </row>
    <row r="1829" spans="1:5" x14ac:dyDescent="0.25">
      <c r="A1829" s="6">
        <v>44209</v>
      </c>
      <c r="B1829" s="59" t="s">
        <v>2879</v>
      </c>
      <c r="D1829" s="54">
        <v>100</v>
      </c>
      <c r="E1829" s="22">
        <f t="shared" si="29"/>
        <v>6504.0200000000041</v>
      </c>
    </row>
    <row r="1830" spans="1:5" x14ac:dyDescent="0.25">
      <c r="A1830" s="6">
        <v>44209</v>
      </c>
      <c r="B1830" s="59" t="s">
        <v>2880</v>
      </c>
      <c r="D1830" s="54">
        <v>5000</v>
      </c>
      <c r="E1830" s="22">
        <f t="shared" si="29"/>
        <v>1504.0200000000041</v>
      </c>
    </row>
    <row r="1831" spans="1:5" x14ac:dyDescent="0.25">
      <c r="A1831" s="6">
        <v>44209</v>
      </c>
      <c r="B1831" s="59" t="s">
        <v>2881</v>
      </c>
      <c r="D1831" s="54">
        <v>100</v>
      </c>
      <c r="E1831" s="22">
        <f t="shared" si="29"/>
        <v>1404.0200000000041</v>
      </c>
    </row>
  </sheetData>
  <sortState xmlns:xlrd2="http://schemas.microsoft.com/office/spreadsheetml/2017/richdata2" ref="A639:D727">
    <sortCondition ref="A727"/>
  </sortState>
  <customSheetViews>
    <customSheetView guid="{A0CE3161-5061-442F-A27F-2BA55581F316}" scale="115">
      <pane ySplit="3" topLeftCell="A1818" activePane="bottomLeft" state="frozen"/>
      <selection pane="bottomLeft" activeCell="G2" sqref="G2"/>
      <pageMargins left="0.7" right="0.7" top="0.75" bottom="0.75" header="0.3" footer="0.3"/>
      <pageSetup paperSize="9" orientation="portrait" r:id="rId1"/>
    </customSheetView>
    <customSheetView guid="{2FF9BCA9-095C-4E73-9C86-2243907C0824}" scale="115">
      <pane ySplit="3" topLeftCell="A1818" activePane="bottomLeft" state="frozen"/>
      <selection pane="bottomLeft" activeCell="G2" sqref="G2"/>
      <pageMargins left="0.7" right="0.7" top="0.75" bottom="0.75" header="0.3" footer="0.3"/>
      <pageSetup paperSize="9" orientation="portrait" r:id="rId2"/>
    </customSheetView>
    <customSheetView guid="{EB31AAB7-3CD3-47EA-8FB3-E6304DCC89B3}" scale="115">
      <pane ySplit="3" topLeftCell="A1818" activePane="bottomLeft" state="frozen"/>
      <selection pane="bottomLeft" activeCell="G2" sqref="G2"/>
      <pageMargins left="0.7" right="0.7" top="0.75" bottom="0.75" header="0.3" footer="0.3"/>
      <pageSetup paperSize="9" orientation="portrait" r:id="rId3"/>
    </customSheetView>
    <customSheetView guid="{1459FC0D-58BA-4BEC-951C-298999986759}" scale="115">
      <pane ySplit="3" topLeftCell="A1818" activePane="bottomLeft" state="frozen"/>
      <selection pane="bottomLeft" activeCell="G2" sqref="G2"/>
      <pageMargins left="0.7" right="0.7" top="0.75" bottom="0.75" header="0.3" footer="0.3"/>
      <pageSetup paperSize="9" orientation="portrait" r:id="rId4"/>
    </customSheetView>
  </customSheetViews>
  <phoneticPr fontId="3" type="noConversion"/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L1552"/>
  <sheetViews>
    <sheetView zoomScaleNormal="100" workbookViewId="0">
      <pane ySplit="1" topLeftCell="A1534" activePane="bottomLeft" state="frozen"/>
      <selection pane="bottomLeft" activeCell="I1546" sqref="I1546"/>
    </sheetView>
  </sheetViews>
  <sheetFormatPr defaultColWidth="9.140625" defaultRowHeight="15.75" x14ac:dyDescent="0.25"/>
  <cols>
    <col min="1" max="1" width="8.85546875" style="148" customWidth="1"/>
    <col min="2" max="2" width="11.85546875" style="214" customWidth="1"/>
    <col min="3" max="3" width="7.28515625" style="217" customWidth="1"/>
    <col min="4" max="4" width="21.28515625" style="215" customWidth="1"/>
    <col min="5" max="5" width="10.28515625" style="215" customWidth="1"/>
    <col min="6" max="6" width="11.5703125" style="216" customWidth="1"/>
    <col min="7" max="7" width="9.5703125" style="214" customWidth="1"/>
    <col min="8" max="8" width="6" style="214" customWidth="1"/>
    <col min="9" max="9" width="14.42578125" style="217" customWidth="1"/>
    <col min="10" max="10" width="12.85546875" style="217" customWidth="1"/>
    <col min="11" max="11" width="10.42578125" style="214" customWidth="1"/>
    <col min="12" max="12" width="13.28515625" style="214" customWidth="1"/>
    <col min="13" max="13" width="12.42578125" style="214" customWidth="1"/>
    <col min="14" max="14" width="9.140625" style="214" customWidth="1"/>
    <col min="15" max="15" width="11.140625" style="214" customWidth="1"/>
    <col min="16" max="16" width="14" style="148" customWidth="1"/>
    <col min="17" max="16384" width="9.140625" style="148"/>
  </cols>
  <sheetData>
    <row r="1" spans="1:15" x14ac:dyDescent="0.25">
      <c r="A1" s="148" t="s">
        <v>2970</v>
      </c>
      <c r="B1" s="211" t="s">
        <v>476</v>
      </c>
      <c r="C1" s="213" t="s">
        <v>473</v>
      </c>
      <c r="D1" s="212" t="s">
        <v>29</v>
      </c>
      <c r="E1" s="212"/>
      <c r="F1" s="212" t="s">
        <v>1717</v>
      </c>
      <c r="G1" s="211" t="s">
        <v>479</v>
      </c>
      <c r="H1" s="211" t="s">
        <v>1620</v>
      </c>
      <c r="I1" s="213" t="s">
        <v>474</v>
      </c>
      <c r="J1" s="213" t="s">
        <v>475</v>
      </c>
      <c r="K1" s="232">
        <v>12</v>
      </c>
      <c r="L1" s="211">
        <v>330</v>
      </c>
      <c r="M1" s="211" t="s">
        <v>68</v>
      </c>
      <c r="N1" s="211" t="s">
        <v>477</v>
      </c>
      <c r="O1" s="214" t="s">
        <v>475</v>
      </c>
    </row>
    <row r="2" spans="1:15" x14ac:dyDescent="0.25">
      <c r="C2" s="217">
        <v>264</v>
      </c>
      <c r="D2" s="215" t="s">
        <v>491</v>
      </c>
      <c r="G2" s="148" t="s">
        <v>483</v>
      </c>
      <c r="K2" s="214" t="s">
        <v>53</v>
      </c>
      <c r="L2" s="214" t="s">
        <v>53</v>
      </c>
      <c r="M2" s="214" t="s">
        <v>53</v>
      </c>
      <c r="N2" s="214" t="s">
        <v>53</v>
      </c>
    </row>
    <row r="3" spans="1:15" x14ac:dyDescent="0.25">
      <c r="C3" s="217">
        <v>300</v>
      </c>
      <c r="D3" s="215" t="s">
        <v>492</v>
      </c>
      <c r="G3" s="148" t="s">
        <v>482</v>
      </c>
      <c r="K3" s="214" t="s">
        <v>53</v>
      </c>
      <c r="L3" s="214" t="s">
        <v>53</v>
      </c>
    </row>
    <row r="4" spans="1:15" x14ac:dyDescent="0.25">
      <c r="C4" s="217">
        <v>302</v>
      </c>
      <c r="D4" s="215" t="s">
        <v>493</v>
      </c>
      <c r="G4" s="148" t="s">
        <v>481</v>
      </c>
      <c r="K4" s="214" t="s">
        <v>53</v>
      </c>
      <c r="L4" s="214" t="s">
        <v>53</v>
      </c>
    </row>
    <row r="5" spans="1:15" x14ac:dyDescent="0.25">
      <c r="B5" s="218">
        <v>43106</v>
      </c>
      <c r="C5" s="217">
        <v>304</v>
      </c>
      <c r="D5" s="215" t="s">
        <v>494</v>
      </c>
      <c r="G5" s="148" t="s">
        <v>1650</v>
      </c>
      <c r="I5" s="217" t="s">
        <v>478</v>
      </c>
    </row>
    <row r="6" spans="1:15" x14ac:dyDescent="0.25">
      <c r="B6" s="218">
        <v>43116</v>
      </c>
      <c r="C6" s="217">
        <v>305</v>
      </c>
      <c r="D6" s="215" t="s">
        <v>495</v>
      </c>
      <c r="G6" s="148"/>
      <c r="I6" s="217" t="s">
        <v>1708</v>
      </c>
      <c r="J6" s="217" t="s">
        <v>1707</v>
      </c>
    </row>
    <row r="7" spans="1:15" x14ac:dyDescent="0.25">
      <c r="B7" s="218">
        <v>43116</v>
      </c>
      <c r="C7" s="217">
        <v>311</v>
      </c>
      <c r="D7" s="215" t="s">
        <v>496</v>
      </c>
      <c r="G7" s="148"/>
    </row>
    <row r="8" spans="1:15" x14ac:dyDescent="0.25">
      <c r="B8" s="218">
        <v>43116</v>
      </c>
      <c r="C8" s="217">
        <v>336</v>
      </c>
      <c r="D8" s="215" t="s">
        <v>497</v>
      </c>
      <c r="G8" s="148"/>
    </row>
    <row r="9" spans="1:15" x14ac:dyDescent="0.25">
      <c r="B9" s="218">
        <v>43117</v>
      </c>
      <c r="C9" s="217">
        <v>339</v>
      </c>
      <c r="D9" s="215" t="s">
        <v>498</v>
      </c>
      <c r="G9" s="148"/>
    </row>
    <row r="10" spans="1:15" x14ac:dyDescent="0.25">
      <c r="B10" s="218">
        <v>43157</v>
      </c>
      <c r="C10" s="217">
        <v>346</v>
      </c>
      <c r="D10" s="215" t="s">
        <v>499</v>
      </c>
      <c r="G10" s="148" t="s">
        <v>480</v>
      </c>
    </row>
    <row r="11" spans="1:15" x14ac:dyDescent="0.25">
      <c r="C11" s="217">
        <v>353</v>
      </c>
      <c r="D11" s="215" t="s">
        <v>500</v>
      </c>
      <c r="G11" s="148" t="s">
        <v>481</v>
      </c>
      <c r="I11" s="217" t="s">
        <v>1667</v>
      </c>
      <c r="J11" s="217" t="s">
        <v>1666</v>
      </c>
      <c r="N11" s="214" t="s">
        <v>66</v>
      </c>
    </row>
    <row r="12" spans="1:15" x14ac:dyDescent="0.25">
      <c r="B12" s="218">
        <v>43171</v>
      </c>
      <c r="C12" s="217">
        <v>356</v>
      </c>
      <c r="D12" s="215" t="s">
        <v>501</v>
      </c>
      <c r="G12" s="148"/>
    </row>
    <row r="13" spans="1:15" x14ac:dyDescent="0.25">
      <c r="B13" s="218">
        <v>43174</v>
      </c>
      <c r="C13" s="217">
        <v>357</v>
      </c>
      <c r="D13" s="215" t="s">
        <v>484</v>
      </c>
      <c r="G13" s="148" t="s">
        <v>480</v>
      </c>
      <c r="J13" s="217" t="s">
        <v>485</v>
      </c>
    </row>
    <row r="14" spans="1:15" x14ac:dyDescent="0.25">
      <c r="B14" s="218">
        <v>43174</v>
      </c>
      <c r="C14" s="217">
        <v>359</v>
      </c>
      <c r="D14" s="215" t="s">
        <v>486</v>
      </c>
      <c r="G14" s="148"/>
    </row>
    <row r="15" spans="1:15" x14ac:dyDescent="0.25">
      <c r="B15" s="218">
        <v>43178</v>
      </c>
      <c r="C15" s="217">
        <v>362</v>
      </c>
      <c r="D15" s="215" t="s">
        <v>487</v>
      </c>
      <c r="G15" s="148"/>
      <c r="J15" s="217" t="s">
        <v>488</v>
      </c>
    </row>
    <row r="16" spans="1:15" x14ac:dyDescent="0.25">
      <c r="B16" s="218">
        <v>43182</v>
      </c>
      <c r="C16" s="217">
        <v>366</v>
      </c>
      <c r="D16" s="215" t="s">
        <v>489</v>
      </c>
      <c r="G16" s="148"/>
      <c r="J16" s="217" t="s">
        <v>490</v>
      </c>
    </row>
    <row r="17" spans="3:10" x14ac:dyDescent="0.25">
      <c r="C17" s="217">
        <v>367</v>
      </c>
      <c r="D17" s="220" t="s">
        <v>521</v>
      </c>
      <c r="E17" s="220"/>
      <c r="F17" s="221"/>
      <c r="G17" s="148"/>
      <c r="I17" s="219"/>
      <c r="J17" s="219">
        <v>8709778351</v>
      </c>
    </row>
    <row r="18" spans="3:10" x14ac:dyDescent="0.25">
      <c r="C18" s="217">
        <v>368</v>
      </c>
      <c r="D18" s="220" t="s">
        <v>522</v>
      </c>
      <c r="E18" s="220"/>
      <c r="F18" s="221"/>
      <c r="G18" s="148"/>
      <c r="I18" s="219"/>
      <c r="J18" s="219">
        <v>8987909128</v>
      </c>
    </row>
    <row r="19" spans="3:10" x14ac:dyDescent="0.25">
      <c r="C19" s="217">
        <v>369</v>
      </c>
      <c r="D19" s="220" t="s">
        <v>523</v>
      </c>
      <c r="E19" s="220"/>
      <c r="F19" s="221"/>
      <c r="G19" s="148"/>
      <c r="I19" s="219"/>
      <c r="J19" s="219"/>
    </row>
    <row r="20" spans="3:10" x14ac:dyDescent="0.25">
      <c r="C20" s="217">
        <v>370</v>
      </c>
      <c r="D20" s="220" t="s">
        <v>524</v>
      </c>
      <c r="E20" s="220"/>
      <c r="F20" s="221"/>
      <c r="G20" s="148"/>
      <c r="I20" s="219"/>
      <c r="J20" s="219"/>
    </row>
    <row r="21" spans="3:10" x14ac:dyDescent="0.25">
      <c r="C21" s="217">
        <v>371</v>
      </c>
      <c r="D21" s="220" t="s">
        <v>525</v>
      </c>
      <c r="E21" s="220"/>
      <c r="F21" s="221"/>
      <c r="G21" s="148"/>
      <c r="I21" s="219"/>
      <c r="J21" s="219">
        <v>8271603334</v>
      </c>
    </row>
    <row r="22" spans="3:10" x14ac:dyDescent="0.25">
      <c r="C22" s="217">
        <v>373</v>
      </c>
      <c r="D22" s="220" t="s">
        <v>526</v>
      </c>
      <c r="E22" s="220"/>
      <c r="F22" s="221"/>
      <c r="G22" s="148"/>
      <c r="I22" s="219"/>
      <c r="J22" s="219">
        <v>7091997572</v>
      </c>
    </row>
    <row r="23" spans="3:10" x14ac:dyDescent="0.25">
      <c r="C23" s="217">
        <v>374</v>
      </c>
      <c r="D23" s="220" t="s">
        <v>101</v>
      </c>
      <c r="E23" s="220"/>
      <c r="F23" s="221"/>
      <c r="G23" s="148"/>
      <c r="I23" s="219">
        <v>927240431168</v>
      </c>
      <c r="J23" s="219"/>
    </row>
    <row r="24" spans="3:10" x14ac:dyDescent="0.25">
      <c r="C24" s="217">
        <v>375</v>
      </c>
      <c r="D24" s="220" t="s">
        <v>527</v>
      </c>
      <c r="E24" s="220"/>
      <c r="F24" s="221"/>
      <c r="G24" s="148"/>
      <c r="I24" s="219"/>
      <c r="J24" s="219"/>
    </row>
    <row r="25" spans="3:10" x14ac:dyDescent="0.25">
      <c r="C25" s="217">
        <v>376</v>
      </c>
      <c r="D25" s="220" t="s">
        <v>528</v>
      </c>
      <c r="E25" s="220"/>
      <c r="F25" s="221"/>
      <c r="G25" s="148"/>
      <c r="I25" s="219"/>
      <c r="J25" s="219"/>
    </row>
    <row r="26" spans="3:10" x14ac:dyDescent="0.25">
      <c r="C26" s="217">
        <v>378</v>
      </c>
      <c r="D26" s="220" t="s">
        <v>529</v>
      </c>
      <c r="E26" s="220"/>
      <c r="F26" s="221"/>
      <c r="G26" s="148"/>
      <c r="I26" s="219"/>
      <c r="J26" s="219"/>
    </row>
    <row r="27" spans="3:10" x14ac:dyDescent="0.25">
      <c r="C27" s="217">
        <v>383</v>
      </c>
      <c r="D27" s="220" t="s">
        <v>530</v>
      </c>
      <c r="E27" s="220"/>
      <c r="F27" s="221"/>
      <c r="G27" s="148"/>
      <c r="I27" s="219"/>
      <c r="J27" s="219">
        <v>9934182239</v>
      </c>
    </row>
    <row r="28" spans="3:10" x14ac:dyDescent="0.25">
      <c r="C28" s="217">
        <v>384</v>
      </c>
      <c r="D28" s="220" t="s">
        <v>531</v>
      </c>
      <c r="E28" s="220"/>
      <c r="F28" s="221"/>
      <c r="G28" s="148"/>
      <c r="I28" s="219"/>
      <c r="J28" s="219">
        <v>9060230821</v>
      </c>
    </row>
    <row r="29" spans="3:10" x14ac:dyDescent="0.25">
      <c r="C29" s="217">
        <v>385</v>
      </c>
      <c r="D29" s="220" t="s">
        <v>532</v>
      </c>
      <c r="E29" s="220"/>
      <c r="F29" s="221"/>
      <c r="G29" s="148"/>
      <c r="I29" s="219"/>
      <c r="J29" s="219">
        <v>8235004989</v>
      </c>
    </row>
    <row r="30" spans="3:10" x14ac:dyDescent="0.25">
      <c r="C30" s="217">
        <v>386</v>
      </c>
      <c r="D30" s="220" t="s">
        <v>533</v>
      </c>
      <c r="E30" s="220"/>
      <c r="F30" s="221"/>
      <c r="G30" s="148"/>
      <c r="I30" s="219"/>
      <c r="J30" s="219">
        <v>8092600148</v>
      </c>
    </row>
    <row r="31" spans="3:10" x14ac:dyDescent="0.25">
      <c r="C31" s="217">
        <v>387</v>
      </c>
      <c r="D31" s="220" t="s">
        <v>534</v>
      </c>
      <c r="E31" s="220"/>
      <c r="F31" s="221"/>
      <c r="G31" s="148"/>
      <c r="I31" s="219"/>
      <c r="J31" s="219">
        <v>8877025735</v>
      </c>
    </row>
    <row r="32" spans="3:10" x14ac:dyDescent="0.25">
      <c r="C32" s="217">
        <v>388</v>
      </c>
      <c r="D32" s="220" t="s">
        <v>535</v>
      </c>
      <c r="E32" s="220"/>
      <c r="F32" s="221"/>
      <c r="G32" s="148"/>
      <c r="I32" s="219"/>
      <c r="J32" s="219">
        <v>7209870436</v>
      </c>
    </row>
    <row r="33" spans="3:13" x14ac:dyDescent="0.25">
      <c r="C33" s="217">
        <v>389</v>
      </c>
      <c r="D33" s="220" t="s">
        <v>536</v>
      </c>
      <c r="E33" s="220"/>
      <c r="F33" s="221"/>
      <c r="G33" s="148"/>
      <c r="I33" s="219"/>
      <c r="J33" s="219">
        <v>7209704639</v>
      </c>
      <c r="K33" s="214" t="s">
        <v>66</v>
      </c>
      <c r="L33" s="214" t="s">
        <v>66</v>
      </c>
    </row>
    <row r="34" spans="3:13" x14ac:dyDescent="0.25">
      <c r="C34" s="217">
        <v>394</v>
      </c>
      <c r="D34" s="220" t="s">
        <v>537</v>
      </c>
      <c r="E34" s="220"/>
      <c r="F34" s="221"/>
      <c r="G34" s="148"/>
      <c r="I34" s="219"/>
      <c r="J34" s="219"/>
    </row>
    <row r="35" spans="3:13" x14ac:dyDescent="0.25">
      <c r="C35" s="217">
        <v>399</v>
      </c>
      <c r="D35" s="220" t="s">
        <v>539</v>
      </c>
      <c r="E35" s="220"/>
      <c r="F35" s="221"/>
      <c r="G35" s="148"/>
      <c r="I35" s="219"/>
      <c r="J35" s="219">
        <v>8092173343</v>
      </c>
    </row>
    <row r="36" spans="3:13" x14ac:dyDescent="0.25">
      <c r="C36" s="217">
        <v>401</v>
      </c>
      <c r="D36" s="220" t="s">
        <v>538</v>
      </c>
      <c r="E36" s="220"/>
      <c r="F36" s="221"/>
      <c r="G36" s="148"/>
      <c r="I36" s="219"/>
      <c r="J36" s="219">
        <v>8809234620</v>
      </c>
      <c r="K36" s="214" t="s">
        <v>66</v>
      </c>
      <c r="L36" s="214" t="s">
        <v>66</v>
      </c>
      <c r="M36" s="214" t="s">
        <v>66</v>
      </c>
    </row>
    <row r="37" spans="3:13" x14ac:dyDescent="0.25">
      <c r="C37" s="217">
        <v>414</v>
      </c>
      <c r="D37" s="220" t="s">
        <v>540</v>
      </c>
      <c r="E37" s="220"/>
      <c r="F37" s="221"/>
      <c r="G37" s="148"/>
      <c r="I37" s="219"/>
      <c r="J37" s="219"/>
    </row>
    <row r="38" spans="3:13" x14ac:dyDescent="0.25">
      <c r="C38" s="217">
        <v>451</v>
      </c>
      <c r="D38" s="220" t="s">
        <v>541</v>
      </c>
      <c r="E38" s="220"/>
      <c r="F38" s="221"/>
      <c r="G38" s="148"/>
      <c r="I38" s="219"/>
      <c r="J38" s="219"/>
    </row>
    <row r="39" spans="3:13" x14ac:dyDescent="0.25">
      <c r="C39" s="217">
        <v>456</v>
      </c>
      <c r="D39" s="220" t="s">
        <v>542</v>
      </c>
      <c r="E39" s="220"/>
      <c r="F39" s="221"/>
      <c r="G39" s="148"/>
      <c r="I39" s="219"/>
      <c r="J39" s="219"/>
    </row>
    <row r="40" spans="3:13" x14ac:dyDescent="0.25">
      <c r="C40" s="217">
        <v>458</v>
      </c>
      <c r="D40" s="220" t="s">
        <v>543</v>
      </c>
      <c r="E40" s="220"/>
      <c r="F40" s="221"/>
      <c r="G40" s="148"/>
      <c r="I40" s="219"/>
      <c r="J40" s="219"/>
    </row>
    <row r="41" spans="3:13" x14ac:dyDescent="0.25">
      <c r="C41" s="217">
        <v>459</v>
      </c>
      <c r="D41" s="220" t="s">
        <v>544</v>
      </c>
      <c r="E41" s="220"/>
      <c r="F41" s="221"/>
      <c r="G41" s="148"/>
      <c r="I41" s="219"/>
      <c r="J41" s="219"/>
    </row>
    <row r="42" spans="3:13" x14ac:dyDescent="0.25">
      <c r="C42" s="217">
        <v>475</v>
      </c>
      <c r="D42" s="220" t="s">
        <v>545</v>
      </c>
      <c r="E42" s="220"/>
      <c r="F42" s="221"/>
      <c r="G42" s="148"/>
      <c r="I42" s="219"/>
      <c r="J42" s="219"/>
    </row>
    <row r="43" spans="3:13" x14ac:dyDescent="0.25">
      <c r="C43" s="217">
        <v>476</v>
      </c>
      <c r="D43" s="220" t="s">
        <v>546</v>
      </c>
      <c r="E43" s="220"/>
      <c r="F43" s="221"/>
      <c r="G43" s="148"/>
      <c r="I43" s="219">
        <v>202977932732</v>
      </c>
      <c r="J43" s="219"/>
    </row>
    <row r="44" spans="3:13" x14ac:dyDescent="0.25">
      <c r="C44" s="217">
        <v>477</v>
      </c>
      <c r="D44" s="220" t="s">
        <v>547</v>
      </c>
      <c r="E44" s="220"/>
      <c r="F44" s="221"/>
      <c r="G44" s="148"/>
      <c r="I44" s="219"/>
      <c r="J44" s="219"/>
    </row>
    <row r="45" spans="3:13" x14ac:dyDescent="0.25">
      <c r="C45" s="217">
        <v>488</v>
      </c>
      <c r="D45" s="220" t="s">
        <v>548</v>
      </c>
      <c r="E45" s="220"/>
      <c r="F45" s="221"/>
      <c r="G45" s="148"/>
      <c r="I45" s="219">
        <v>724354845583</v>
      </c>
      <c r="J45" s="219">
        <v>9060547379</v>
      </c>
    </row>
    <row r="46" spans="3:13" x14ac:dyDescent="0.25">
      <c r="C46" s="217">
        <v>503</v>
      </c>
      <c r="D46" s="220" t="s">
        <v>33</v>
      </c>
      <c r="E46" s="220"/>
      <c r="F46" s="221"/>
      <c r="G46" s="148"/>
      <c r="I46" s="219">
        <v>731435964243</v>
      </c>
      <c r="J46" s="219"/>
    </row>
    <row r="47" spans="3:13" x14ac:dyDescent="0.25">
      <c r="C47" s="217">
        <v>504</v>
      </c>
      <c r="D47" s="220" t="s">
        <v>549</v>
      </c>
      <c r="E47" s="220"/>
      <c r="F47" s="221"/>
      <c r="G47" s="148"/>
      <c r="I47" s="219">
        <v>576293161966</v>
      </c>
      <c r="J47" s="219"/>
    </row>
    <row r="48" spans="3:13" x14ac:dyDescent="0.25">
      <c r="C48" s="217">
        <v>517</v>
      </c>
      <c r="D48" s="220" t="s">
        <v>36</v>
      </c>
      <c r="E48" s="220"/>
      <c r="F48" s="221"/>
      <c r="G48" s="148"/>
      <c r="I48" s="219">
        <v>423699481043</v>
      </c>
      <c r="J48" s="219">
        <v>8809409532</v>
      </c>
    </row>
    <row r="49" spans="3:12" x14ac:dyDescent="0.25">
      <c r="C49" s="217">
        <v>518</v>
      </c>
      <c r="D49" s="220" t="s">
        <v>550</v>
      </c>
      <c r="E49" s="220"/>
      <c r="F49" s="221"/>
      <c r="G49" s="148"/>
      <c r="I49" s="219">
        <v>417092564883</v>
      </c>
      <c r="J49" s="219"/>
      <c r="K49" s="214" t="s">
        <v>66</v>
      </c>
      <c r="L49" s="214" t="s">
        <v>66</v>
      </c>
    </row>
    <row r="50" spans="3:12" x14ac:dyDescent="0.25">
      <c r="C50" s="217">
        <v>526</v>
      </c>
      <c r="D50" s="220" t="s">
        <v>38</v>
      </c>
      <c r="E50" s="220"/>
      <c r="F50" s="221"/>
      <c r="G50" s="148"/>
      <c r="I50" s="219">
        <v>412074051647</v>
      </c>
      <c r="J50" s="219">
        <v>9234011403</v>
      </c>
    </row>
    <row r="51" spans="3:12" x14ac:dyDescent="0.25">
      <c r="C51" s="217">
        <v>527</v>
      </c>
      <c r="D51" s="220" t="s">
        <v>39</v>
      </c>
      <c r="E51" s="220"/>
      <c r="F51" s="221"/>
      <c r="G51" s="148"/>
      <c r="I51" s="219">
        <v>412153327436</v>
      </c>
      <c r="J51" s="219">
        <v>7979981167</v>
      </c>
    </row>
    <row r="52" spans="3:12" x14ac:dyDescent="0.25">
      <c r="C52" s="217">
        <v>532</v>
      </c>
      <c r="D52" s="220" t="s">
        <v>40</v>
      </c>
      <c r="E52" s="220"/>
      <c r="F52" s="221"/>
      <c r="G52" s="148"/>
      <c r="I52" s="219">
        <v>340550909635</v>
      </c>
      <c r="J52" s="219">
        <v>9931472073</v>
      </c>
    </row>
    <row r="53" spans="3:12" x14ac:dyDescent="0.25">
      <c r="C53" s="217">
        <v>533</v>
      </c>
      <c r="D53" s="220" t="s">
        <v>41</v>
      </c>
      <c r="E53" s="220"/>
      <c r="F53" s="221"/>
      <c r="G53" s="148"/>
      <c r="I53" s="219">
        <v>931326842950</v>
      </c>
      <c r="J53" s="219">
        <v>9279472061</v>
      </c>
    </row>
    <row r="54" spans="3:12" x14ac:dyDescent="0.25">
      <c r="C54" s="217">
        <v>534</v>
      </c>
      <c r="D54" s="220" t="s">
        <v>42</v>
      </c>
      <c r="E54" s="220"/>
      <c r="F54" s="221"/>
      <c r="G54" s="148"/>
      <c r="I54" s="219">
        <v>216434242478</v>
      </c>
      <c r="J54" s="219"/>
    </row>
    <row r="55" spans="3:12" x14ac:dyDescent="0.25">
      <c r="C55" s="217">
        <v>535</v>
      </c>
      <c r="D55" s="220" t="s">
        <v>43</v>
      </c>
      <c r="E55" s="220"/>
      <c r="F55" s="221"/>
      <c r="G55" s="148"/>
      <c r="I55" s="219">
        <v>296430780764</v>
      </c>
      <c r="J55" s="219">
        <v>7209525716</v>
      </c>
    </row>
    <row r="56" spans="3:12" x14ac:dyDescent="0.25">
      <c r="C56" s="217">
        <v>536</v>
      </c>
      <c r="D56" s="220" t="s">
        <v>551</v>
      </c>
      <c r="E56" s="220"/>
      <c r="F56" s="221"/>
      <c r="G56" s="148"/>
      <c r="I56" s="219">
        <v>834773776470</v>
      </c>
      <c r="J56" s="219">
        <v>9204707695</v>
      </c>
    </row>
    <row r="57" spans="3:12" x14ac:dyDescent="0.25">
      <c r="C57" s="217">
        <v>537</v>
      </c>
      <c r="D57" s="220" t="s">
        <v>45</v>
      </c>
      <c r="E57" s="220"/>
      <c r="F57" s="221"/>
      <c r="G57" s="148"/>
      <c r="I57" s="219">
        <v>898770625418</v>
      </c>
      <c r="J57" s="219">
        <v>8651634111</v>
      </c>
    </row>
    <row r="58" spans="3:12" x14ac:dyDescent="0.25">
      <c r="C58" s="217">
        <v>545</v>
      </c>
      <c r="D58" s="220" t="s">
        <v>52</v>
      </c>
      <c r="E58" s="220"/>
      <c r="F58" s="221"/>
      <c r="G58" s="148"/>
      <c r="I58" s="219">
        <v>886478773555</v>
      </c>
      <c r="J58" s="219">
        <v>9572923483</v>
      </c>
    </row>
    <row r="59" spans="3:12" x14ac:dyDescent="0.25">
      <c r="C59" s="217">
        <v>603</v>
      </c>
      <c r="D59" s="220" t="s">
        <v>552</v>
      </c>
      <c r="E59" s="220"/>
      <c r="F59" s="221"/>
      <c r="G59" s="148"/>
      <c r="I59" s="219"/>
      <c r="J59" s="219">
        <v>6205658028</v>
      </c>
    </row>
    <row r="60" spans="3:12" x14ac:dyDescent="0.25">
      <c r="C60" s="217">
        <v>608</v>
      </c>
      <c r="D60" s="220" t="s">
        <v>50</v>
      </c>
      <c r="E60" s="220"/>
      <c r="F60" s="221"/>
      <c r="G60" s="148"/>
      <c r="I60" s="219">
        <v>344029927236</v>
      </c>
      <c r="J60" s="219">
        <v>7061151401</v>
      </c>
    </row>
    <row r="61" spans="3:12" x14ac:dyDescent="0.25">
      <c r="C61" s="217">
        <v>609</v>
      </c>
      <c r="D61" s="220" t="s">
        <v>553</v>
      </c>
      <c r="E61" s="220"/>
      <c r="F61" s="221"/>
      <c r="G61" s="148"/>
      <c r="I61" s="219"/>
      <c r="J61" s="219"/>
    </row>
    <row r="62" spans="3:12" x14ac:dyDescent="0.25">
      <c r="C62" s="217">
        <v>617</v>
      </c>
      <c r="D62" s="220" t="s">
        <v>554</v>
      </c>
      <c r="E62" s="220"/>
      <c r="F62" s="221"/>
      <c r="G62" s="148"/>
      <c r="I62" s="219"/>
      <c r="J62" s="219">
        <v>9576851029</v>
      </c>
    </row>
    <row r="63" spans="3:12" x14ac:dyDescent="0.25">
      <c r="C63" s="217">
        <v>620</v>
      </c>
      <c r="D63" s="220" t="s">
        <v>555</v>
      </c>
      <c r="E63" s="220"/>
      <c r="F63" s="221"/>
      <c r="G63" s="148"/>
      <c r="I63" s="219"/>
      <c r="J63" s="219"/>
    </row>
    <row r="64" spans="3:12" x14ac:dyDescent="0.25">
      <c r="C64" s="217">
        <v>630</v>
      </c>
      <c r="D64" s="220" t="s">
        <v>556</v>
      </c>
      <c r="E64" s="220"/>
      <c r="F64" s="221"/>
      <c r="G64" s="148"/>
      <c r="I64" s="219">
        <v>288174197824</v>
      </c>
      <c r="J64" s="219">
        <v>7764887844</v>
      </c>
    </row>
    <row r="65" spans="3:12" x14ac:dyDescent="0.25">
      <c r="C65" s="217">
        <v>631</v>
      </c>
      <c r="D65" s="220" t="s">
        <v>557</v>
      </c>
      <c r="E65" s="220"/>
      <c r="F65" s="221"/>
      <c r="G65" s="148"/>
      <c r="I65" s="219">
        <v>427861508449</v>
      </c>
      <c r="J65" s="219">
        <v>7368900638</v>
      </c>
    </row>
    <row r="66" spans="3:12" x14ac:dyDescent="0.25">
      <c r="C66" s="217">
        <v>635</v>
      </c>
      <c r="D66" s="220" t="s">
        <v>558</v>
      </c>
      <c r="E66" s="220"/>
      <c r="F66" s="221"/>
      <c r="G66" s="148"/>
      <c r="I66" s="219">
        <v>542591450295</v>
      </c>
      <c r="J66" s="219">
        <v>8860735383</v>
      </c>
    </row>
    <row r="67" spans="3:12" x14ac:dyDescent="0.25">
      <c r="C67" s="217">
        <v>642</v>
      </c>
      <c r="D67" s="220" t="s">
        <v>559</v>
      </c>
      <c r="E67" s="220"/>
      <c r="F67" s="221"/>
      <c r="G67" s="148"/>
      <c r="I67" s="219">
        <v>743623451242</v>
      </c>
      <c r="J67" s="219">
        <v>6201227394</v>
      </c>
    </row>
    <row r="68" spans="3:12" x14ac:dyDescent="0.25">
      <c r="C68" s="217">
        <v>652</v>
      </c>
      <c r="D68" s="220" t="s">
        <v>560</v>
      </c>
      <c r="E68" s="220"/>
      <c r="F68" s="221"/>
      <c r="G68" s="148"/>
      <c r="I68" s="219">
        <v>671910882459</v>
      </c>
      <c r="J68" s="219">
        <v>7488075196</v>
      </c>
    </row>
    <row r="69" spans="3:12" x14ac:dyDescent="0.25">
      <c r="C69" s="217">
        <v>663</v>
      </c>
      <c r="D69" s="220" t="s">
        <v>561</v>
      </c>
      <c r="E69" s="220"/>
      <c r="F69" s="221"/>
      <c r="G69" s="148"/>
      <c r="I69" s="219">
        <v>428497844329</v>
      </c>
      <c r="J69" s="219">
        <v>9547154556</v>
      </c>
    </row>
    <row r="70" spans="3:12" x14ac:dyDescent="0.25">
      <c r="C70" s="217">
        <v>672</v>
      </c>
      <c r="D70" s="220" t="s">
        <v>132</v>
      </c>
      <c r="E70" s="220"/>
      <c r="F70" s="221"/>
      <c r="G70" s="148"/>
      <c r="I70" s="219">
        <v>983694244451</v>
      </c>
      <c r="J70" s="219">
        <v>9234950455</v>
      </c>
    </row>
    <row r="71" spans="3:12" x14ac:dyDescent="0.25">
      <c r="C71" s="217">
        <v>675</v>
      </c>
      <c r="D71" s="220" t="s">
        <v>562</v>
      </c>
      <c r="E71" s="220"/>
      <c r="F71" s="221"/>
      <c r="G71" s="148"/>
      <c r="I71" s="219">
        <v>238998459439</v>
      </c>
      <c r="J71" s="219">
        <v>7292826382</v>
      </c>
    </row>
    <row r="72" spans="3:12" x14ac:dyDescent="0.25">
      <c r="C72" s="217">
        <v>682</v>
      </c>
      <c r="D72" s="220" t="s">
        <v>564</v>
      </c>
      <c r="E72" s="220"/>
      <c r="F72" s="221"/>
      <c r="G72" s="148"/>
      <c r="I72" s="219">
        <v>536682524018</v>
      </c>
      <c r="J72" s="219">
        <v>7209915280</v>
      </c>
    </row>
    <row r="73" spans="3:12" x14ac:dyDescent="0.25">
      <c r="C73" s="217">
        <v>686</v>
      </c>
      <c r="D73" s="220" t="s">
        <v>563</v>
      </c>
      <c r="E73" s="220"/>
      <c r="F73" s="221"/>
      <c r="G73" s="148"/>
      <c r="I73" s="219">
        <v>563889910048</v>
      </c>
      <c r="J73" s="219">
        <v>8092286813</v>
      </c>
    </row>
    <row r="74" spans="3:12" x14ac:dyDescent="0.25">
      <c r="C74" s="217">
        <v>691</v>
      </c>
      <c r="D74" s="220" t="s">
        <v>565</v>
      </c>
      <c r="E74" s="220"/>
      <c r="F74" s="221"/>
      <c r="G74" s="148"/>
      <c r="I74" s="219">
        <v>690243895638</v>
      </c>
      <c r="J74" s="219">
        <v>8210808013</v>
      </c>
    </row>
    <row r="75" spans="3:12" x14ac:dyDescent="0.25">
      <c r="C75" s="217">
        <v>692</v>
      </c>
      <c r="D75" s="220" t="s">
        <v>566</v>
      </c>
      <c r="E75" s="220"/>
      <c r="F75" s="221"/>
      <c r="G75" s="148"/>
      <c r="I75" s="219">
        <v>364530062672</v>
      </c>
      <c r="J75" s="219"/>
    </row>
    <row r="76" spans="3:12" x14ac:dyDescent="0.25">
      <c r="C76" s="217">
        <v>693</v>
      </c>
      <c r="D76" s="220" t="s">
        <v>246</v>
      </c>
      <c r="E76" s="220"/>
      <c r="F76" s="221"/>
      <c r="G76" s="148"/>
      <c r="I76" s="219">
        <v>875229943210</v>
      </c>
      <c r="J76" s="219">
        <v>8969721943</v>
      </c>
      <c r="K76" s="214" t="s">
        <v>66</v>
      </c>
      <c r="L76" s="214" t="s">
        <v>66</v>
      </c>
    </row>
    <row r="77" spans="3:12" x14ac:dyDescent="0.25">
      <c r="C77" s="217">
        <v>701</v>
      </c>
      <c r="D77" s="220" t="s">
        <v>567</v>
      </c>
      <c r="E77" s="220"/>
      <c r="F77" s="221"/>
      <c r="G77" s="148"/>
      <c r="I77" s="219">
        <v>577001320354</v>
      </c>
      <c r="J77" s="219">
        <v>9263500926</v>
      </c>
    </row>
    <row r="78" spans="3:12" x14ac:dyDescent="0.25">
      <c r="C78" s="217">
        <v>710</v>
      </c>
      <c r="D78" s="220" t="s">
        <v>568</v>
      </c>
      <c r="E78" s="220"/>
      <c r="F78" s="221"/>
      <c r="G78" s="148"/>
      <c r="I78" s="219">
        <v>400495219991</v>
      </c>
      <c r="J78" s="219">
        <v>9931361887</v>
      </c>
    </row>
    <row r="79" spans="3:12" x14ac:dyDescent="0.25">
      <c r="C79" s="217">
        <v>725</v>
      </c>
      <c r="D79" s="220" t="s">
        <v>569</v>
      </c>
      <c r="E79" s="220"/>
      <c r="F79" s="221"/>
      <c r="G79" s="148"/>
      <c r="I79" s="219">
        <v>791154501974</v>
      </c>
      <c r="J79" s="219">
        <v>8434842956</v>
      </c>
    </row>
    <row r="80" spans="3:12" x14ac:dyDescent="0.25">
      <c r="C80" s="217">
        <v>729</v>
      </c>
      <c r="D80" s="220" t="s">
        <v>253</v>
      </c>
      <c r="E80" s="220"/>
      <c r="F80" s="221"/>
      <c r="G80" s="148"/>
      <c r="I80" s="219">
        <v>645378638386</v>
      </c>
      <c r="J80" s="219">
        <v>7488553379</v>
      </c>
    </row>
    <row r="81" spans="3:10" x14ac:dyDescent="0.25">
      <c r="C81" s="217">
        <v>730</v>
      </c>
      <c r="D81" s="220" t="s">
        <v>570</v>
      </c>
      <c r="E81" s="220"/>
      <c r="F81" s="221"/>
      <c r="G81" s="148"/>
      <c r="I81" s="219">
        <v>800424763883</v>
      </c>
      <c r="J81" s="219">
        <v>7209249819</v>
      </c>
    </row>
    <row r="82" spans="3:10" x14ac:dyDescent="0.25">
      <c r="C82" s="217">
        <v>737</v>
      </c>
      <c r="D82" s="220" t="s">
        <v>575</v>
      </c>
      <c r="E82" s="220"/>
      <c r="F82" s="221"/>
      <c r="G82" s="148"/>
      <c r="I82" s="219"/>
      <c r="J82" s="219"/>
    </row>
    <row r="83" spans="3:10" x14ac:dyDescent="0.25">
      <c r="C83" s="217">
        <v>738</v>
      </c>
      <c r="D83" s="220" t="s">
        <v>576</v>
      </c>
      <c r="E83" s="220"/>
      <c r="F83" s="221"/>
      <c r="G83" s="148"/>
      <c r="I83" s="219"/>
      <c r="J83" s="219"/>
    </row>
    <row r="84" spans="3:10" x14ac:dyDescent="0.25">
      <c r="C84" s="217">
        <v>743</v>
      </c>
      <c r="D84" s="220" t="s">
        <v>191</v>
      </c>
      <c r="E84" s="220"/>
      <c r="F84" s="221"/>
      <c r="G84" s="148"/>
      <c r="I84" s="219"/>
      <c r="J84" s="219"/>
    </row>
    <row r="85" spans="3:10" x14ac:dyDescent="0.25">
      <c r="C85" s="217">
        <v>755</v>
      </c>
      <c r="D85" s="220" t="s">
        <v>571</v>
      </c>
      <c r="E85" s="220"/>
      <c r="F85" s="221"/>
      <c r="G85" s="148"/>
      <c r="I85" s="219">
        <v>343532565639</v>
      </c>
      <c r="J85" s="219">
        <v>9123275378</v>
      </c>
    </row>
    <row r="86" spans="3:10" x14ac:dyDescent="0.25">
      <c r="C86" s="217">
        <v>757</v>
      </c>
      <c r="D86" s="220" t="s">
        <v>572</v>
      </c>
      <c r="E86" s="220"/>
      <c r="F86" s="221"/>
      <c r="G86" s="148"/>
      <c r="I86" s="219">
        <v>461985371951</v>
      </c>
      <c r="J86" s="219">
        <v>8677959513</v>
      </c>
    </row>
    <row r="87" spans="3:10" x14ac:dyDescent="0.25">
      <c r="C87" s="217">
        <v>760</v>
      </c>
      <c r="D87" s="220" t="s">
        <v>573</v>
      </c>
      <c r="E87" s="220"/>
      <c r="F87" s="221"/>
      <c r="G87" s="148"/>
      <c r="I87" s="219">
        <v>618469117317</v>
      </c>
      <c r="J87" s="219">
        <v>7061533847</v>
      </c>
    </row>
    <row r="88" spans="3:10" x14ac:dyDescent="0.25">
      <c r="C88" s="217">
        <v>761</v>
      </c>
      <c r="D88" s="220" t="s">
        <v>574</v>
      </c>
      <c r="E88" s="220"/>
      <c r="F88" s="221"/>
      <c r="G88" s="148"/>
      <c r="I88" s="219">
        <v>623774586366</v>
      </c>
      <c r="J88" s="219">
        <v>7586984459</v>
      </c>
    </row>
    <row r="89" spans="3:10" x14ac:dyDescent="0.25">
      <c r="C89" s="217">
        <v>765</v>
      </c>
      <c r="D89" s="220" t="s">
        <v>577</v>
      </c>
      <c r="E89" s="220"/>
      <c r="F89" s="221"/>
      <c r="G89" s="148"/>
      <c r="I89" s="219">
        <v>345936337700</v>
      </c>
      <c r="J89" s="219">
        <v>7586984459</v>
      </c>
    </row>
    <row r="90" spans="3:10" x14ac:dyDescent="0.25">
      <c r="C90" s="217">
        <v>766</v>
      </c>
      <c r="D90" s="220" t="s">
        <v>578</v>
      </c>
      <c r="E90" s="220"/>
      <c r="F90" s="221"/>
      <c r="G90" s="148"/>
      <c r="I90" s="219">
        <v>782606181847</v>
      </c>
      <c r="J90" s="219">
        <v>8207351848</v>
      </c>
    </row>
    <row r="91" spans="3:10" x14ac:dyDescent="0.25">
      <c r="C91" s="217">
        <v>767</v>
      </c>
      <c r="D91" s="220" t="s">
        <v>579</v>
      </c>
      <c r="E91" s="220"/>
      <c r="F91" s="221"/>
      <c r="G91" s="148"/>
      <c r="I91" s="219">
        <v>421314203571</v>
      </c>
      <c r="J91" s="219">
        <v>7970867850</v>
      </c>
    </row>
    <row r="92" spans="3:10" x14ac:dyDescent="0.25">
      <c r="C92" s="217">
        <v>768</v>
      </c>
      <c r="D92" s="220" t="s">
        <v>580</v>
      </c>
      <c r="E92" s="220"/>
      <c r="F92" s="221"/>
      <c r="G92" s="148"/>
      <c r="I92" s="219">
        <v>249234020000</v>
      </c>
      <c r="J92" s="219">
        <v>9122187552</v>
      </c>
    </row>
    <row r="93" spans="3:10" x14ac:dyDescent="0.25">
      <c r="C93" s="217">
        <v>769</v>
      </c>
      <c r="D93" s="220" t="s">
        <v>581</v>
      </c>
      <c r="E93" s="220"/>
      <c r="F93" s="221"/>
      <c r="G93" s="148"/>
      <c r="I93" s="219">
        <v>334297598867</v>
      </c>
      <c r="J93" s="219">
        <v>9204695909</v>
      </c>
    </row>
    <row r="94" spans="3:10" x14ac:dyDescent="0.25">
      <c r="C94" s="217">
        <v>770</v>
      </c>
      <c r="D94" s="220" t="s">
        <v>582</v>
      </c>
      <c r="E94" s="220"/>
      <c r="F94" s="221"/>
      <c r="G94" s="148"/>
      <c r="I94" s="219">
        <v>782657899612</v>
      </c>
      <c r="J94" s="219">
        <v>9031721398</v>
      </c>
    </row>
    <row r="95" spans="3:10" x14ac:dyDescent="0.25">
      <c r="C95" s="217">
        <v>771</v>
      </c>
      <c r="D95" s="220" t="s">
        <v>583</v>
      </c>
      <c r="E95" s="220"/>
      <c r="F95" s="221"/>
      <c r="G95" s="148"/>
      <c r="I95" s="219">
        <v>383956411124</v>
      </c>
      <c r="J95" s="219">
        <v>7764991432</v>
      </c>
    </row>
    <row r="96" spans="3:10" x14ac:dyDescent="0.25">
      <c r="C96" s="217">
        <v>772</v>
      </c>
      <c r="D96" s="220" t="s">
        <v>584</v>
      </c>
      <c r="E96" s="220"/>
      <c r="F96" s="221"/>
      <c r="G96" s="148"/>
      <c r="I96" s="219">
        <v>980180335163</v>
      </c>
      <c r="J96" s="219">
        <v>7061332900</v>
      </c>
    </row>
    <row r="97" spans="3:10" x14ac:dyDescent="0.25">
      <c r="C97" s="217">
        <v>773</v>
      </c>
      <c r="D97" s="220" t="s">
        <v>585</v>
      </c>
      <c r="E97" s="220"/>
      <c r="F97" s="221"/>
      <c r="G97" s="148"/>
      <c r="I97" s="219">
        <v>257391818118</v>
      </c>
      <c r="J97" s="219"/>
    </row>
    <row r="98" spans="3:10" x14ac:dyDescent="0.25">
      <c r="C98" s="217">
        <v>851</v>
      </c>
      <c r="D98" s="220" t="s">
        <v>586</v>
      </c>
      <c r="E98" s="220"/>
      <c r="F98" s="221"/>
      <c r="G98" s="148"/>
      <c r="I98" s="219">
        <v>262447420513</v>
      </c>
      <c r="J98" s="219">
        <v>8434145500</v>
      </c>
    </row>
    <row r="99" spans="3:10" x14ac:dyDescent="0.25">
      <c r="C99" s="217">
        <v>894</v>
      </c>
      <c r="D99" s="220" t="s">
        <v>587</v>
      </c>
      <c r="E99" s="220"/>
      <c r="F99" s="221"/>
      <c r="G99" s="148"/>
      <c r="I99" s="219"/>
      <c r="J99" s="219"/>
    </row>
    <row r="100" spans="3:10" x14ac:dyDescent="0.25">
      <c r="C100" s="217">
        <v>896</v>
      </c>
      <c r="D100" s="220" t="s">
        <v>588</v>
      </c>
      <c r="E100" s="220"/>
      <c r="F100" s="221"/>
      <c r="G100" s="148"/>
      <c r="I100" s="219">
        <v>268934236045</v>
      </c>
      <c r="J100" s="219">
        <v>8789598219</v>
      </c>
    </row>
    <row r="101" spans="3:10" x14ac:dyDescent="0.25">
      <c r="C101" s="217">
        <v>914</v>
      </c>
      <c r="D101" s="220" t="s">
        <v>589</v>
      </c>
      <c r="E101" s="220"/>
      <c r="F101" s="221"/>
      <c r="G101" s="148"/>
      <c r="I101" s="219">
        <v>203549715077</v>
      </c>
      <c r="J101" s="219">
        <v>9162327479</v>
      </c>
    </row>
    <row r="102" spans="3:10" x14ac:dyDescent="0.25">
      <c r="C102" s="217">
        <v>916</v>
      </c>
      <c r="D102" s="220" t="s">
        <v>255</v>
      </c>
      <c r="E102" s="220"/>
      <c r="F102" s="221"/>
      <c r="G102" s="148"/>
      <c r="I102" s="219">
        <v>996086388102</v>
      </c>
      <c r="J102" s="219">
        <v>7004909358</v>
      </c>
    </row>
    <row r="103" spans="3:10" x14ac:dyDescent="0.25">
      <c r="C103" s="217">
        <v>917</v>
      </c>
      <c r="D103" s="220" t="s">
        <v>590</v>
      </c>
      <c r="E103" s="220"/>
      <c r="F103" s="221"/>
      <c r="G103" s="148"/>
      <c r="I103" s="219">
        <v>408084263295</v>
      </c>
      <c r="J103" s="219">
        <v>6202326010</v>
      </c>
    </row>
    <row r="104" spans="3:10" x14ac:dyDescent="0.25">
      <c r="C104" s="217">
        <v>921</v>
      </c>
      <c r="D104" s="220" t="s">
        <v>260</v>
      </c>
      <c r="E104" s="220"/>
      <c r="F104" s="221"/>
      <c r="G104" s="148"/>
      <c r="I104" s="219">
        <v>603292725468</v>
      </c>
      <c r="J104" s="219">
        <v>9263632105</v>
      </c>
    </row>
    <row r="105" spans="3:10" x14ac:dyDescent="0.25">
      <c r="C105" s="217">
        <v>922</v>
      </c>
      <c r="D105" s="220" t="s">
        <v>591</v>
      </c>
      <c r="E105" s="220"/>
      <c r="F105" s="221"/>
      <c r="G105" s="148"/>
      <c r="I105" s="219">
        <v>577776566696</v>
      </c>
      <c r="J105" s="219">
        <v>7717778309</v>
      </c>
    </row>
    <row r="106" spans="3:10" x14ac:dyDescent="0.25">
      <c r="C106" s="217">
        <v>923</v>
      </c>
      <c r="D106" s="220" t="s">
        <v>592</v>
      </c>
      <c r="E106" s="220"/>
      <c r="F106" s="221"/>
      <c r="G106" s="148"/>
      <c r="I106" s="219">
        <v>924843698876</v>
      </c>
      <c r="J106" s="219">
        <v>7368044317</v>
      </c>
    </row>
    <row r="107" spans="3:10" x14ac:dyDescent="0.25">
      <c r="C107" s="217">
        <v>926</v>
      </c>
      <c r="D107" s="220" t="s">
        <v>593</v>
      </c>
      <c r="E107" s="220"/>
      <c r="F107" s="221"/>
      <c r="G107" s="148"/>
      <c r="I107" s="219">
        <v>718191812777</v>
      </c>
      <c r="J107" s="219">
        <v>9097585066</v>
      </c>
    </row>
    <row r="108" spans="3:10" x14ac:dyDescent="0.25">
      <c r="C108" s="217">
        <v>928</v>
      </c>
      <c r="D108" s="220" t="s">
        <v>594</v>
      </c>
      <c r="E108" s="220"/>
      <c r="F108" s="221"/>
      <c r="G108" s="148"/>
      <c r="I108" s="219">
        <v>793742954000</v>
      </c>
      <c r="J108" s="219">
        <v>7070287943</v>
      </c>
    </row>
    <row r="109" spans="3:10" x14ac:dyDescent="0.25">
      <c r="C109" s="217">
        <v>929</v>
      </c>
      <c r="D109" s="220" t="s">
        <v>595</v>
      </c>
      <c r="E109" s="220"/>
      <c r="F109" s="221"/>
      <c r="G109" s="148"/>
      <c r="I109" s="219">
        <v>466696079759</v>
      </c>
      <c r="J109" s="219">
        <v>9204976811</v>
      </c>
    </row>
    <row r="110" spans="3:10" x14ac:dyDescent="0.25">
      <c r="C110" s="217">
        <v>930</v>
      </c>
      <c r="D110" s="220" t="s">
        <v>279</v>
      </c>
      <c r="E110" s="220"/>
      <c r="F110" s="221"/>
      <c r="G110" s="148"/>
      <c r="I110" s="219">
        <v>287221248121</v>
      </c>
      <c r="J110" s="219">
        <v>9798657458</v>
      </c>
    </row>
    <row r="111" spans="3:10" x14ac:dyDescent="0.25">
      <c r="C111" s="217">
        <v>931</v>
      </c>
      <c r="D111" s="220" t="s">
        <v>596</v>
      </c>
      <c r="E111" s="220"/>
      <c r="F111" s="221"/>
      <c r="G111" s="148"/>
      <c r="I111" s="219">
        <v>917954525739</v>
      </c>
      <c r="J111" s="219">
        <v>8651954029</v>
      </c>
    </row>
    <row r="112" spans="3:10" x14ac:dyDescent="0.25">
      <c r="C112" s="217">
        <v>934</v>
      </c>
      <c r="D112" s="220" t="s">
        <v>287</v>
      </c>
      <c r="E112" s="220"/>
      <c r="F112" s="221"/>
      <c r="G112" s="148"/>
      <c r="I112" s="219">
        <v>893138744978</v>
      </c>
      <c r="J112" s="219">
        <v>7903697661</v>
      </c>
    </row>
    <row r="113" spans="3:13" x14ac:dyDescent="0.25">
      <c r="C113" s="217">
        <v>935</v>
      </c>
      <c r="D113" s="220" t="s">
        <v>286</v>
      </c>
      <c r="E113" s="220"/>
      <c r="F113" s="221"/>
      <c r="G113" s="148"/>
      <c r="I113" s="219">
        <v>706635215714</v>
      </c>
      <c r="J113" s="219">
        <v>6205971764</v>
      </c>
    </row>
    <row r="114" spans="3:13" x14ac:dyDescent="0.25">
      <c r="C114" s="217">
        <v>940</v>
      </c>
      <c r="D114" s="220" t="s">
        <v>597</v>
      </c>
      <c r="E114" s="220"/>
      <c r="F114" s="221"/>
      <c r="G114" s="148"/>
      <c r="I114" s="219">
        <v>479659624061</v>
      </c>
      <c r="J114" s="219">
        <v>8092201640</v>
      </c>
    </row>
    <row r="115" spans="3:13" x14ac:dyDescent="0.25">
      <c r="C115" s="217">
        <v>944</v>
      </c>
      <c r="D115" s="220" t="s">
        <v>598</v>
      </c>
      <c r="E115" s="220"/>
      <c r="F115" s="221"/>
      <c r="G115" s="148" t="s">
        <v>1617</v>
      </c>
      <c r="I115" s="219">
        <v>924289369584</v>
      </c>
      <c r="J115" s="219">
        <v>7079861101</v>
      </c>
      <c r="K115" s="214" t="s">
        <v>66</v>
      </c>
      <c r="L115" s="214" t="s">
        <v>66</v>
      </c>
    </row>
    <row r="116" spans="3:13" x14ac:dyDescent="0.25">
      <c r="C116" s="217">
        <v>960</v>
      </c>
      <c r="D116" s="220" t="s">
        <v>599</v>
      </c>
      <c r="E116" s="220"/>
      <c r="F116" s="221"/>
      <c r="G116" s="148"/>
      <c r="I116" s="219"/>
      <c r="J116" s="219"/>
    </row>
    <row r="117" spans="3:13" x14ac:dyDescent="0.25">
      <c r="C117" s="217">
        <v>964</v>
      </c>
      <c r="D117" s="220" t="s">
        <v>600</v>
      </c>
      <c r="E117" s="220"/>
      <c r="F117" s="221"/>
      <c r="G117" s="148"/>
      <c r="I117" s="219">
        <v>346527488542</v>
      </c>
      <c r="J117" s="219">
        <v>9334181654</v>
      </c>
      <c r="K117" s="214" t="s">
        <v>66</v>
      </c>
      <c r="L117" s="214" t="s">
        <v>66</v>
      </c>
    </row>
    <row r="118" spans="3:13" x14ac:dyDescent="0.25">
      <c r="C118" s="217">
        <v>966</v>
      </c>
      <c r="D118" s="220" t="s">
        <v>311</v>
      </c>
      <c r="E118" s="220"/>
      <c r="F118" s="221"/>
      <c r="G118" s="148"/>
      <c r="I118" s="219"/>
      <c r="J118" s="219"/>
    </row>
    <row r="119" spans="3:13" x14ac:dyDescent="0.25">
      <c r="C119" s="217">
        <v>969</v>
      </c>
      <c r="D119" s="220" t="s">
        <v>312</v>
      </c>
      <c r="E119" s="220"/>
      <c r="F119" s="221"/>
      <c r="G119" s="148"/>
      <c r="I119" s="219"/>
      <c r="J119" s="219"/>
    </row>
    <row r="120" spans="3:13" x14ac:dyDescent="0.25">
      <c r="C120" s="217">
        <v>984</v>
      </c>
      <c r="D120" s="220" t="s">
        <v>313</v>
      </c>
      <c r="E120" s="220"/>
      <c r="F120" s="221"/>
      <c r="G120" s="148"/>
      <c r="I120" s="219">
        <v>376938917717</v>
      </c>
      <c r="J120" s="219">
        <v>7004209776</v>
      </c>
      <c r="K120" s="214" t="s">
        <v>66</v>
      </c>
      <c r="M120" s="214">
        <v>5000</v>
      </c>
    </row>
    <row r="121" spans="3:13" x14ac:dyDescent="0.25">
      <c r="C121" s="217">
        <v>989</v>
      </c>
      <c r="D121" s="220" t="s">
        <v>601</v>
      </c>
      <c r="E121" s="220"/>
      <c r="F121" s="221"/>
      <c r="G121" s="148"/>
      <c r="I121" s="219">
        <v>629430596123</v>
      </c>
      <c r="J121" s="219">
        <v>7050312952</v>
      </c>
    </row>
    <row r="122" spans="3:13" x14ac:dyDescent="0.25">
      <c r="C122" s="217">
        <v>995</v>
      </c>
      <c r="D122" s="220" t="s">
        <v>602</v>
      </c>
      <c r="E122" s="220"/>
      <c r="F122" s="221"/>
      <c r="G122" s="148"/>
      <c r="I122" s="219">
        <v>318133820961</v>
      </c>
      <c r="J122" s="219">
        <v>9204112528</v>
      </c>
    </row>
    <row r="123" spans="3:13" x14ac:dyDescent="0.25">
      <c r="C123" s="217">
        <v>1005</v>
      </c>
      <c r="D123" s="220" t="s">
        <v>603</v>
      </c>
      <c r="E123" s="220"/>
      <c r="F123" s="221"/>
      <c r="G123" s="148"/>
      <c r="I123" s="219">
        <v>353896785197</v>
      </c>
      <c r="J123" s="219">
        <v>9031213781</v>
      </c>
    </row>
    <row r="124" spans="3:13" x14ac:dyDescent="0.25">
      <c r="C124" s="217">
        <v>1013</v>
      </c>
      <c r="D124" s="220" t="s">
        <v>604</v>
      </c>
      <c r="E124" s="220"/>
      <c r="F124" s="221"/>
      <c r="G124" s="148"/>
      <c r="I124" s="219">
        <v>309584736918</v>
      </c>
      <c r="J124" s="219">
        <v>8252012323</v>
      </c>
    </row>
    <row r="125" spans="3:13" x14ac:dyDescent="0.25">
      <c r="C125" s="217">
        <v>1014</v>
      </c>
      <c r="D125" s="220" t="s">
        <v>605</v>
      </c>
      <c r="E125" s="220"/>
      <c r="F125" s="221"/>
      <c r="G125" s="148"/>
      <c r="I125" s="219">
        <v>511328396516</v>
      </c>
      <c r="J125" s="219">
        <v>7903121089</v>
      </c>
    </row>
    <row r="126" spans="3:13" x14ac:dyDescent="0.25">
      <c r="C126" s="217">
        <v>1019</v>
      </c>
      <c r="D126" s="220" t="s">
        <v>606</v>
      </c>
      <c r="E126" s="220"/>
      <c r="F126" s="221"/>
      <c r="G126" s="148"/>
      <c r="I126" s="219">
        <v>944633431261</v>
      </c>
      <c r="J126" s="219">
        <v>9693731966</v>
      </c>
    </row>
    <row r="127" spans="3:13" x14ac:dyDescent="0.25">
      <c r="C127" s="217">
        <v>1020</v>
      </c>
      <c r="D127" s="220" t="s">
        <v>607</v>
      </c>
      <c r="E127" s="220"/>
      <c r="F127" s="221"/>
      <c r="G127" s="148"/>
      <c r="I127" s="219">
        <v>269052253006</v>
      </c>
      <c r="J127" s="219">
        <v>9110947409</v>
      </c>
    </row>
    <row r="128" spans="3:13" x14ac:dyDescent="0.25">
      <c r="C128" s="217">
        <v>1033</v>
      </c>
      <c r="D128" s="220" t="s">
        <v>608</v>
      </c>
      <c r="E128" s="220"/>
      <c r="F128" s="221"/>
      <c r="G128" s="148"/>
      <c r="I128" s="219">
        <v>793170096827</v>
      </c>
      <c r="J128" s="219">
        <v>7488419015</v>
      </c>
    </row>
    <row r="129" spans="3:10" x14ac:dyDescent="0.25">
      <c r="C129" s="217">
        <v>1034</v>
      </c>
      <c r="D129" s="220" t="s">
        <v>609</v>
      </c>
      <c r="E129" s="220"/>
      <c r="F129" s="221"/>
      <c r="G129" s="148"/>
      <c r="I129" s="219"/>
      <c r="J129" s="219"/>
    </row>
    <row r="130" spans="3:10" x14ac:dyDescent="0.25">
      <c r="C130" s="217">
        <v>1038</v>
      </c>
      <c r="D130" s="220" t="s">
        <v>611</v>
      </c>
      <c r="E130" s="220"/>
      <c r="F130" s="221"/>
      <c r="G130" s="148"/>
      <c r="I130" s="219">
        <v>546841229657</v>
      </c>
      <c r="J130" s="219"/>
    </row>
    <row r="131" spans="3:10" x14ac:dyDescent="0.25">
      <c r="C131" s="217">
        <v>1039</v>
      </c>
      <c r="D131" s="220" t="s">
        <v>610</v>
      </c>
      <c r="E131" s="220"/>
      <c r="F131" s="221"/>
      <c r="G131" s="148"/>
      <c r="I131" s="219"/>
      <c r="J131" s="219"/>
    </row>
    <row r="132" spans="3:10" x14ac:dyDescent="0.25">
      <c r="C132" s="217">
        <v>1054</v>
      </c>
      <c r="D132" s="220" t="s">
        <v>612</v>
      </c>
      <c r="E132" s="220"/>
      <c r="F132" s="221"/>
      <c r="G132" s="148"/>
      <c r="I132" s="219">
        <v>491633775866</v>
      </c>
      <c r="J132" s="219">
        <v>9431526395</v>
      </c>
    </row>
    <row r="133" spans="3:10" x14ac:dyDescent="0.25">
      <c r="C133" s="217">
        <v>1057</v>
      </c>
      <c r="D133" s="220" t="s">
        <v>330</v>
      </c>
      <c r="E133" s="220"/>
      <c r="F133" s="221"/>
      <c r="G133" s="148"/>
      <c r="I133" s="219"/>
      <c r="J133" s="219">
        <v>7209980122</v>
      </c>
    </row>
    <row r="134" spans="3:10" x14ac:dyDescent="0.25">
      <c r="C134" s="217">
        <v>1058</v>
      </c>
      <c r="D134" s="220" t="s">
        <v>331</v>
      </c>
      <c r="E134" s="220"/>
      <c r="F134" s="221"/>
      <c r="G134" s="148"/>
      <c r="I134" s="219">
        <v>795702194157</v>
      </c>
      <c r="J134" s="219">
        <v>7488940536</v>
      </c>
    </row>
    <row r="135" spans="3:10" x14ac:dyDescent="0.25">
      <c r="C135" s="217">
        <v>1059</v>
      </c>
      <c r="D135" s="220" t="s">
        <v>613</v>
      </c>
      <c r="E135" s="220"/>
      <c r="F135" s="221"/>
      <c r="G135" s="148"/>
      <c r="I135" s="219">
        <v>647642564623</v>
      </c>
      <c r="J135" s="219">
        <v>7759038609</v>
      </c>
    </row>
    <row r="136" spans="3:10" x14ac:dyDescent="0.25">
      <c r="C136" s="217">
        <v>1063</v>
      </c>
      <c r="D136" s="220" t="s">
        <v>614</v>
      </c>
      <c r="E136" s="220"/>
      <c r="F136" s="221"/>
      <c r="G136" s="148"/>
      <c r="I136" s="219">
        <v>480026548548</v>
      </c>
      <c r="J136" s="219">
        <v>9523472991</v>
      </c>
    </row>
    <row r="137" spans="3:10" x14ac:dyDescent="0.25">
      <c r="C137" s="217">
        <v>1067</v>
      </c>
      <c r="D137" s="220" t="s">
        <v>615</v>
      </c>
      <c r="E137" s="220"/>
      <c r="F137" s="221"/>
      <c r="G137" s="148"/>
      <c r="I137" s="219">
        <v>788463148624</v>
      </c>
      <c r="J137" s="219">
        <v>8271824846</v>
      </c>
    </row>
    <row r="138" spans="3:10" x14ac:dyDescent="0.25">
      <c r="C138" s="217">
        <v>1068</v>
      </c>
      <c r="D138" s="220" t="s">
        <v>616</v>
      </c>
      <c r="E138" s="220"/>
      <c r="F138" s="221"/>
      <c r="G138" s="148"/>
      <c r="I138" s="219">
        <v>393337722379</v>
      </c>
      <c r="J138" s="219"/>
    </row>
    <row r="139" spans="3:10" x14ac:dyDescent="0.25">
      <c r="C139" s="217">
        <v>1076</v>
      </c>
      <c r="D139" s="220" t="s">
        <v>617</v>
      </c>
      <c r="E139" s="220"/>
      <c r="F139" s="221"/>
      <c r="G139" s="148"/>
      <c r="I139" s="219">
        <v>541052357471</v>
      </c>
      <c r="J139" s="219"/>
    </row>
    <row r="140" spans="3:10" x14ac:dyDescent="0.25">
      <c r="C140" s="217">
        <v>1077</v>
      </c>
      <c r="D140" s="220" t="s">
        <v>618</v>
      </c>
      <c r="E140" s="220"/>
      <c r="F140" s="221"/>
      <c r="G140" s="148"/>
      <c r="I140" s="219"/>
      <c r="J140" s="219"/>
    </row>
    <row r="141" spans="3:10" x14ac:dyDescent="0.25">
      <c r="C141" s="217">
        <v>1099</v>
      </c>
      <c r="D141" s="220" t="s">
        <v>619</v>
      </c>
      <c r="E141" s="220"/>
      <c r="F141" s="221"/>
      <c r="G141" s="148"/>
      <c r="I141" s="219"/>
      <c r="J141" s="219"/>
    </row>
    <row r="142" spans="3:10" x14ac:dyDescent="0.25">
      <c r="C142" s="217">
        <v>1101</v>
      </c>
      <c r="D142" s="220" t="s">
        <v>620</v>
      </c>
      <c r="E142" s="220"/>
      <c r="F142" s="221"/>
      <c r="G142" s="148"/>
      <c r="I142" s="219">
        <v>576031597596</v>
      </c>
      <c r="J142" s="219">
        <v>620765592</v>
      </c>
    </row>
    <row r="143" spans="3:10" x14ac:dyDescent="0.25">
      <c r="C143" s="217">
        <v>1102</v>
      </c>
      <c r="D143" s="220" t="s">
        <v>621</v>
      </c>
      <c r="E143" s="220"/>
      <c r="F143" s="221"/>
      <c r="G143" s="148"/>
      <c r="I143" s="219"/>
      <c r="J143" s="219"/>
    </row>
    <row r="144" spans="3:10" x14ac:dyDescent="0.25">
      <c r="C144" s="217">
        <v>1103</v>
      </c>
      <c r="D144" s="220" t="s">
        <v>622</v>
      </c>
      <c r="E144" s="220"/>
      <c r="F144" s="221"/>
      <c r="G144" s="148"/>
      <c r="I144" s="219"/>
      <c r="J144" s="219"/>
    </row>
    <row r="145" spans="2:14" x14ac:dyDescent="0.25">
      <c r="C145" s="217">
        <v>1107</v>
      </c>
      <c r="D145" s="220" t="s">
        <v>246</v>
      </c>
      <c r="E145" s="220"/>
      <c r="F145" s="221"/>
      <c r="G145" s="148"/>
      <c r="I145" s="219">
        <v>663581583740</v>
      </c>
      <c r="J145" s="219">
        <v>7488535413</v>
      </c>
      <c r="K145" s="214" t="s">
        <v>53</v>
      </c>
      <c r="L145" s="214" t="s">
        <v>66</v>
      </c>
      <c r="M145" s="214" t="s">
        <v>66</v>
      </c>
      <c r="N145" s="214" t="s">
        <v>66</v>
      </c>
    </row>
    <row r="146" spans="2:14" x14ac:dyDescent="0.25">
      <c r="C146" s="217">
        <v>1111</v>
      </c>
      <c r="D146" s="220" t="s">
        <v>623</v>
      </c>
      <c r="E146" s="220"/>
      <c r="F146" s="221"/>
      <c r="G146" s="148"/>
      <c r="I146" s="219">
        <v>934050004580</v>
      </c>
      <c r="J146" s="219">
        <v>6203034658</v>
      </c>
      <c r="K146" s="214" t="s">
        <v>66</v>
      </c>
      <c r="L146" s="214" t="s">
        <v>66</v>
      </c>
    </row>
    <row r="147" spans="2:14" x14ac:dyDescent="0.25">
      <c r="C147" s="217">
        <v>1113</v>
      </c>
      <c r="D147" s="220" t="s">
        <v>624</v>
      </c>
      <c r="E147" s="220"/>
      <c r="F147" s="221"/>
      <c r="G147" s="148"/>
      <c r="I147" s="219">
        <v>711843671795</v>
      </c>
      <c r="J147" s="219">
        <v>9572457158</v>
      </c>
      <c r="K147" s="214" t="s">
        <v>66</v>
      </c>
      <c r="M147" s="214" t="s">
        <v>66</v>
      </c>
    </row>
    <row r="148" spans="2:14" x14ac:dyDescent="0.25">
      <c r="B148" s="218">
        <v>43874</v>
      </c>
      <c r="C148" s="217">
        <v>1114</v>
      </c>
      <c r="D148" s="220" t="s">
        <v>625</v>
      </c>
      <c r="E148" s="220"/>
      <c r="F148" s="221"/>
      <c r="G148" s="148"/>
      <c r="I148" s="219">
        <v>757178615421</v>
      </c>
      <c r="J148" s="219">
        <v>8102490894</v>
      </c>
      <c r="K148" s="214" t="s">
        <v>66</v>
      </c>
      <c r="L148" s="214" t="s">
        <v>66</v>
      </c>
    </row>
    <row r="149" spans="2:14" x14ac:dyDescent="0.25">
      <c r="C149" s="217">
        <v>1115</v>
      </c>
      <c r="D149" s="220" t="s">
        <v>626</v>
      </c>
      <c r="E149" s="220"/>
      <c r="F149" s="221"/>
      <c r="G149" s="148"/>
      <c r="I149" s="219">
        <v>812875985901</v>
      </c>
      <c r="J149" s="219">
        <v>9835552756</v>
      </c>
      <c r="K149" s="214" t="s">
        <v>66</v>
      </c>
      <c r="L149" s="214" t="s">
        <v>66</v>
      </c>
      <c r="N149" s="214" t="s">
        <v>66</v>
      </c>
    </row>
    <row r="150" spans="2:14" x14ac:dyDescent="0.25">
      <c r="C150" s="217">
        <v>1117</v>
      </c>
      <c r="D150" s="220" t="s">
        <v>627</v>
      </c>
      <c r="E150" s="220"/>
      <c r="F150" s="221"/>
      <c r="G150" s="148"/>
      <c r="I150" s="219">
        <v>464476925403</v>
      </c>
      <c r="J150" s="219">
        <v>9771542664</v>
      </c>
      <c r="K150" s="214" t="s">
        <v>66</v>
      </c>
      <c r="L150" s="214" t="s">
        <v>66</v>
      </c>
    </row>
    <row r="151" spans="2:14" x14ac:dyDescent="0.25">
      <c r="C151" s="217">
        <v>1123</v>
      </c>
      <c r="D151" s="220" t="s">
        <v>628</v>
      </c>
      <c r="E151" s="220"/>
      <c r="F151" s="221"/>
      <c r="G151" s="148"/>
      <c r="I151" s="219">
        <v>943536387920</v>
      </c>
      <c r="J151" s="219">
        <v>6202900720</v>
      </c>
      <c r="K151" s="214" t="s">
        <v>66</v>
      </c>
      <c r="L151" s="214" t="s">
        <v>66</v>
      </c>
    </row>
    <row r="152" spans="2:14" x14ac:dyDescent="0.25">
      <c r="C152" s="217">
        <v>1125</v>
      </c>
      <c r="D152" s="220" t="s">
        <v>629</v>
      </c>
      <c r="E152" s="220"/>
      <c r="F152" s="221"/>
      <c r="G152" s="148"/>
      <c r="I152" s="219">
        <v>320812956884</v>
      </c>
      <c r="J152" s="219"/>
    </row>
    <row r="153" spans="2:14" x14ac:dyDescent="0.25">
      <c r="C153" s="217">
        <v>1126</v>
      </c>
      <c r="D153" s="220" t="s">
        <v>630</v>
      </c>
      <c r="E153" s="220"/>
      <c r="F153" s="221"/>
      <c r="G153" s="148"/>
      <c r="I153" s="219">
        <v>396877752527</v>
      </c>
      <c r="J153" s="219">
        <v>6201319163</v>
      </c>
      <c r="K153" s="214" t="s">
        <v>66</v>
      </c>
      <c r="L153" s="214" t="s">
        <v>66</v>
      </c>
    </row>
    <row r="154" spans="2:14" x14ac:dyDescent="0.25">
      <c r="C154" s="217">
        <v>1127</v>
      </c>
      <c r="D154" s="220" t="s">
        <v>631</v>
      </c>
      <c r="E154" s="220"/>
      <c r="F154" s="221"/>
      <c r="G154" s="148"/>
      <c r="I154" s="219">
        <v>535564176759</v>
      </c>
      <c r="J154" s="219">
        <v>8434705239</v>
      </c>
    </row>
    <row r="155" spans="2:14" x14ac:dyDescent="0.25">
      <c r="C155" s="217">
        <v>1129</v>
      </c>
      <c r="D155" s="220" t="s">
        <v>632</v>
      </c>
      <c r="E155" s="220"/>
      <c r="F155" s="221"/>
      <c r="G155" s="148"/>
      <c r="I155" s="219">
        <v>973657681266</v>
      </c>
      <c r="J155" s="219">
        <v>7250604462</v>
      </c>
    </row>
    <row r="156" spans="2:14" x14ac:dyDescent="0.25">
      <c r="C156" s="217">
        <v>1130</v>
      </c>
      <c r="D156" s="220" t="s">
        <v>633</v>
      </c>
      <c r="E156" s="220"/>
      <c r="F156" s="221"/>
      <c r="G156" s="148"/>
      <c r="I156" s="219">
        <v>414982908001</v>
      </c>
      <c r="J156" s="219">
        <v>7352929995</v>
      </c>
      <c r="K156" s="214" t="s">
        <v>66</v>
      </c>
    </row>
    <row r="157" spans="2:14" x14ac:dyDescent="0.25">
      <c r="C157" s="217">
        <v>1131</v>
      </c>
      <c r="D157" s="220" t="s">
        <v>634</v>
      </c>
      <c r="E157" s="220"/>
      <c r="F157" s="221"/>
      <c r="G157" s="148"/>
      <c r="I157" s="219">
        <v>401583538171</v>
      </c>
      <c r="J157" s="219">
        <v>7209786317</v>
      </c>
      <c r="K157" s="214" t="s">
        <v>66</v>
      </c>
    </row>
    <row r="158" spans="2:14" x14ac:dyDescent="0.25">
      <c r="C158" s="217">
        <v>1134</v>
      </c>
      <c r="D158" s="220" t="s">
        <v>635</v>
      </c>
      <c r="E158" s="220"/>
      <c r="F158" s="221"/>
      <c r="G158" s="148"/>
      <c r="I158" s="219">
        <v>808372739693</v>
      </c>
      <c r="J158" s="219">
        <v>8084040650</v>
      </c>
    </row>
    <row r="159" spans="2:14" x14ac:dyDescent="0.25">
      <c r="C159" s="217">
        <v>1135</v>
      </c>
      <c r="D159" s="220" t="s">
        <v>636</v>
      </c>
      <c r="E159" s="220"/>
      <c r="F159" s="221"/>
      <c r="G159" s="148"/>
      <c r="I159" s="219"/>
      <c r="J159" s="219">
        <v>8102147187</v>
      </c>
    </row>
    <row r="160" spans="2:14" x14ac:dyDescent="0.25">
      <c r="C160" s="217">
        <v>1144</v>
      </c>
      <c r="D160" s="220" t="s">
        <v>637</v>
      </c>
      <c r="E160" s="220"/>
      <c r="F160" s="221"/>
      <c r="G160" s="148"/>
      <c r="I160" s="219"/>
      <c r="J160" s="219"/>
    </row>
    <row r="161" spans="2:11" x14ac:dyDescent="0.25">
      <c r="C161" s="217">
        <v>1145</v>
      </c>
      <c r="D161" s="220" t="s">
        <v>638</v>
      </c>
      <c r="E161" s="220"/>
      <c r="F161" s="221"/>
      <c r="G161" s="148"/>
      <c r="I161" s="219"/>
      <c r="J161" s="219"/>
    </row>
    <row r="162" spans="2:11" x14ac:dyDescent="0.25">
      <c r="C162" s="217">
        <v>1147</v>
      </c>
      <c r="D162" s="220" t="s">
        <v>639</v>
      </c>
      <c r="E162" s="220"/>
      <c r="F162" s="221"/>
      <c r="G162" s="148"/>
      <c r="I162" s="219">
        <v>992066667458</v>
      </c>
      <c r="J162" s="219">
        <v>7762938839</v>
      </c>
    </row>
    <row r="163" spans="2:11" x14ac:dyDescent="0.25">
      <c r="B163" s="218">
        <v>43911</v>
      </c>
      <c r="C163" s="217">
        <v>1152</v>
      </c>
      <c r="D163" s="220" t="s">
        <v>640</v>
      </c>
      <c r="E163" s="220"/>
      <c r="F163" s="221"/>
      <c r="G163" s="148"/>
      <c r="I163" s="219"/>
      <c r="J163" s="219"/>
    </row>
    <row r="164" spans="2:11" x14ac:dyDescent="0.25">
      <c r="B164" s="218">
        <v>43925</v>
      </c>
      <c r="C164" s="217">
        <v>1157</v>
      </c>
      <c r="D164" s="220" t="s">
        <v>641</v>
      </c>
      <c r="E164" s="220"/>
      <c r="F164" s="221"/>
      <c r="G164" s="148"/>
      <c r="I164" s="219">
        <v>595356099923</v>
      </c>
      <c r="J164" s="219">
        <v>9709262158</v>
      </c>
    </row>
    <row r="165" spans="2:11" x14ac:dyDescent="0.25">
      <c r="B165" s="218">
        <v>43927</v>
      </c>
      <c r="C165" s="217">
        <v>1159</v>
      </c>
      <c r="D165" s="220" t="s">
        <v>642</v>
      </c>
      <c r="E165" s="220"/>
      <c r="F165" s="221"/>
      <c r="G165" s="148"/>
      <c r="I165" s="219">
        <v>431983361524</v>
      </c>
      <c r="J165" s="219">
        <v>8706699036</v>
      </c>
    </row>
    <row r="166" spans="2:11" x14ac:dyDescent="0.25">
      <c r="B166" s="218">
        <v>43928</v>
      </c>
      <c r="C166" s="217">
        <v>1164</v>
      </c>
      <c r="D166" s="220" t="s">
        <v>643</v>
      </c>
      <c r="E166" s="220"/>
      <c r="F166" s="221"/>
      <c r="G166" s="148"/>
      <c r="I166" s="219">
        <v>680587092605</v>
      </c>
      <c r="J166" s="219">
        <v>7209962169</v>
      </c>
      <c r="K166" s="214" t="s">
        <v>66</v>
      </c>
    </row>
    <row r="167" spans="2:11" x14ac:dyDescent="0.25">
      <c r="B167" s="218">
        <v>43930</v>
      </c>
      <c r="C167" s="217">
        <v>1166</v>
      </c>
      <c r="D167" s="220" t="s">
        <v>644</v>
      </c>
      <c r="E167" s="220"/>
      <c r="F167" s="221"/>
      <c r="G167" s="148"/>
      <c r="I167" s="219">
        <v>375748530937</v>
      </c>
      <c r="J167" s="219"/>
    </row>
    <row r="168" spans="2:11" x14ac:dyDescent="0.25">
      <c r="B168" s="218">
        <v>43930</v>
      </c>
      <c r="C168" s="217">
        <v>1167</v>
      </c>
      <c r="D168" s="220" t="s">
        <v>645</v>
      </c>
      <c r="E168" s="220"/>
      <c r="F168" s="221"/>
      <c r="G168" s="148"/>
      <c r="I168" s="219">
        <v>952228841392</v>
      </c>
      <c r="J168" s="219">
        <v>8092307233</v>
      </c>
    </row>
    <row r="169" spans="2:11" x14ac:dyDescent="0.25">
      <c r="B169" s="218">
        <v>43930</v>
      </c>
      <c r="C169" s="217">
        <v>1168</v>
      </c>
      <c r="D169" s="220" t="s">
        <v>646</v>
      </c>
      <c r="E169" s="220"/>
      <c r="F169" s="221"/>
      <c r="G169" s="148"/>
      <c r="I169" s="219">
        <v>491788372949</v>
      </c>
      <c r="J169" s="219">
        <v>9234559793</v>
      </c>
    </row>
    <row r="170" spans="2:11" x14ac:dyDescent="0.25">
      <c r="B170" s="218">
        <v>43930</v>
      </c>
      <c r="C170" s="217">
        <v>1169</v>
      </c>
      <c r="D170" s="220" t="s">
        <v>564</v>
      </c>
      <c r="E170" s="220"/>
      <c r="F170" s="221"/>
      <c r="G170" s="148"/>
      <c r="I170" s="219">
        <v>852566709035</v>
      </c>
      <c r="J170" s="219">
        <v>7209978924</v>
      </c>
    </row>
    <row r="171" spans="2:11" x14ac:dyDescent="0.25">
      <c r="B171" s="218">
        <v>43931</v>
      </c>
      <c r="C171" s="217">
        <v>1179</v>
      </c>
      <c r="D171" s="220" t="s">
        <v>647</v>
      </c>
      <c r="E171" s="220"/>
      <c r="F171" s="221"/>
      <c r="G171" s="148"/>
      <c r="I171" s="219">
        <v>515721573707</v>
      </c>
      <c r="J171" s="219"/>
    </row>
    <row r="172" spans="2:11" x14ac:dyDescent="0.25">
      <c r="B172" s="218">
        <v>43931</v>
      </c>
      <c r="C172" s="217">
        <v>1181</v>
      </c>
      <c r="D172" s="220" t="s">
        <v>648</v>
      </c>
      <c r="E172" s="220"/>
      <c r="F172" s="221"/>
      <c r="G172" s="148"/>
      <c r="I172" s="219"/>
      <c r="J172" s="219"/>
    </row>
    <row r="173" spans="2:11" x14ac:dyDescent="0.25">
      <c r="B173" s="218">
        <v>43931</v>
      </c>
      <c r="C173" s="217">
        <v>1182</v>
      </c>
      <c r="D173" s="220" t="s">
        <v>649</v>
      </c>
      <c r="E173" s="220"/>
      <c r="F173" s="221"/>
      <c r="G173" s="148"/>
      <c r="I173" s="219"/>
      <c r="J173" s="219"/>
    </row>
    <row r="174" spans="2:11" x14ac:dyDescent="0.25">
      <c r="B174" s="218">
        <v>43931</v>
      </c>
      <c r="C174" s="217">
        <v>1183</v>
      </c>
      <c r="D174" s="220" t="s">
        <v>650</v>
      </c>
      <c r="E174" s="220"/>
      <c r="F174" s="221"/>
      <c r="G174" s="148"/>
      <c r="I174" s="219"/>
      <c r="J174" s="219">
        <v>9113454571</v>
      </c>
    </row>
    <row r="175" spans="2:11" x14ac:dyDescent="0.25">
      <c r="B175" s="218">
        <v>43931</v>
      </c>
      <c r="C175" s="217">
        <v>1184</v>
      </c>
      <c r="D175" s="220" t="s">
        <v>651</v>
      </c>
      <c r="E175" s="220"/>
      <c r="F175" s="221"/>
      <c r="G175" s="148"/>
      <c r="I175" s="219"/>
      <c r="J175" s="219">
        <v>8092339286</v>
      </c>
    </row>
    <row r="176" spans="2:11" x14ac:dyDescent="0.25">
      <c r="B176" s="218">
        <v>43931</v>
      </c>
      <c r="C176" s="217">
        <v>1185</v>
      </c>
      <c r="D176" s="220" t="s">
        <v>652</v>
      </c>
      <c r="E176" s="220"/>
      <c r="F176" s="221"/>
      <c r="G176" s="148"/>
      <c r="I176" s="219"/>
      <c r="J176" s="219"/>
    </row>
    <row r="177" spans="2:10" x14ac:dyDescent="0.25">
      <c r="B177" s="218">
        <v>43935</v>
      </c>
      <c r="C177" s="217">
        <v>1212</v>
      </c>
      <c r="D177" s="220" t="s">
        <v>653</v>
      </c>
      <c r="E177" s="220"/>
      <c r="F177" s="221"/>
      <c r="G177" s="148"/>
      <c r="I177" s="219">
        <v>216516591968</v>
      </c>
      <c r="J177" s="219"/>
    </row>
    <row r="178" spans="2:10" x14ac:dyDescent="0.25">
      <c r="B178" s="218">
        <v>43935</v>
      </c>
      <c r="C178" s="217">
        <v>1226</v>
      </c>
      <c r="D178" s="220" t="s">
        <v>654</v>
      </c>
      <c r="E178" s="220"/>
      <c r="F178" s="221"/>
      <c r="G178" s="148"/>
      <c r="I178" s="219">
        <v>572815144076</v>
      </c>
      <c r="J178" s="219">
        <v>8084708709</v>
      </c>
    </row>
    <row r="179" spans="2:10" x14ac:dyDescent="0.25">
      <c r="B179" s="218">
        <v>43935</v>
      </c>
      <c r="C179" s="217">
        <v>1228</v>
      </c>
      <c r="D179" s="220" t="s">
        <v>655</v>
      </c>
      <c r="E179" s="220"/>
      <c r="F179" s="221"/>
      <c r="G179" s="148"/>
      <c r="I179" s="219">
        <v>788540471635</v>
      </c>
      <c r="J179" s="219">
        <v>6202524668</v>
      </c>
    </row>
    <row r="180" spans="2:10" x14ac:dyDescent="0.25">
      <c r="B180" s="218">
        <v>43935</v>
      </c>
      <c r="C180" s="217">
        <v>1229</v>
      </c>
      <c r="D180" s="220" t="s">
        <v>656</v>
      </c>
      <c r="E180" s="220"/>
      <c r="F180" s="221"/>
      <c r="G180" s="148"/>
      <c r="I180" s="219">
        <v>539852797176</v>
      </c>
      <c r="J180" s="219">
        <v>8340588639</v>
      </c>
    </row>
    <row r="181" spans="2:10" x14ac:dyDescent="0.25">
      <c r="B181" s="218">
        <v>43936</v>
      </c>
      <c r="C181" s="217">
        <v>1232</v>
      </c>
      <c r="D181" s="220" t="s">
        <v>657</v>
      </c>
      <c r="E181" s="220"/>
      <c r="F181" s="221"/>
      <c r="G181" s="148"/>
      <c r="I181" s="219">
        <v>299260397632</v>
      </c>
      <c r="J181" s="219">
        <v>7319733055</v>
      </c>
    </row>
    <row r="182" spans="2:10" x14ac:dyDescent="0.25">
      <c r="B182" s="218">
        <v>43936</v>
      </c>
      <c r="C182" s="217">
        <v>1234</v>
      </c>
      <c r="D182" s="220" t="s">
        <v>658</v>
      </c>
      <c r="E182" s="220"/>
      <c r="F182" s="221"/>
      <c r="G182" s="148"/>
      <c r="I182" s="219">
        <v>300999874888</v>
      </c>
      <c r="J182" s="219">
        <v>7857020224</v>
      </c>
    </row>
    <row r="183" spans="2:10" x14ac:dyDescent="0.25">
      <c r="B183" s="218">
        <v>43936</v>
      </c>
      <c r="C183" s="217">
        <v>1236</v>
      </c>
      <c r="D183" s="220" t="s">
        <v>659</v>
      </c>
      <c r="E183" s="220"/>
      <c r="F183" s="221"/>
      <c r="G183" s="148"/>
      <c r="I183" s="219">
        <v>749220225262</v>
      </c>
      <c r="J183" s="219">
        <v>7050490036</v>
      </c>
    </row>
    <row r="184" spans="2:10" x14ac:dyDescent="0.25">
      <c r="B184" s="218">
        <v>43936</v>
      </c>
      <c r="C184" s="217">
        <v>1237</v>
      </c>
      <c r="D184" s="220" t="s">
        <v>660</v>
      </c>
      <c r="E184" s="220"/>
      <c r="F184" s="221"/>
      <c r="G184" s="148" t="s">
        <v>1677</v>
      </c>
      <c r="I184" s="219">
        <v>556035443700</v>
      </c>
      <c r="J184" s="219">
        <v>9304675025</v>
      </c>
    </row>
    <row r="185" spans="2:10" x14ac:dyDescent="0.25">
      <c r="B185" s="218">
        <v>43936</v>
      </c>
      <c r="C185" s="217">
        <v>1238</v>
      </c>
      <c r="D185" s="220" t="s">
        <v>661</v>
      </c>
      <c r="E185" s="220"/>
      <c r="F185" s="221"/>
      <c r="G185" s="148"/>
      <c r="I185" s="219">
        <v>736608713269</v>
      </c>
      <c r="J185" s="219">
        <v>9708668937</v>
      </c>
    </row>
    <row r="186" spans="2:10" x14ac:dyDescent="0.25">
      <c r="B186" s="218">
        <v>43936</v>
      </c>
      <c r="C186" s="217">
        <v>1239</v>
      </c>
      <c r="D186" s="220" t="s">
        <v>662</v>
      </c>
      <c r="E186" s="220"/>
      <c r="F186" s="221"/>
      <c r="G186" s="148"/>
      <c r="I186" s="219">
        <v>633194665913</v>
      </c>
      <c r="J186" s="219">
        <v>8521090352</v>
      </c>
    </row>
    <row r="187" spans="2:10" x14ac:dyDescent="0.25">
      <c r="B187" s="218">
        <v>43936</v>
      </c>
      <c r="C187" s="217">
        <v>1240</v>
      </c>
      <c r="D187" s="220" t="s">
        <v>663</v>
      </c>
      <c r="E187" s="220"/>
      <c r="F187" s="221"/>
      <c r="G187" s="148"/>
      <c r="I187" s="219">
        <v>281399456837</v>
      </c>
      <c r="J187" s="219">
        <v>8340350871</v>
      </c>
    </row>
    <row r="188" spans="2:10" x14ac:dyDescent="0.25">
      <c r="B188" s="218">
        <v>43936</v>
      </c>
      <c r="C188" s="217">
        <v>1241</v>
      </c>
      <c r="D188" s="220" t="s">
        <v>665</v>
      </c>
      <c r="E188" s="220"/>
      <c r="F188" s="221"/>
      <c r="G188" s="148"/>
      <c r="I188" s="219">
        <v>902961704976</v>
      </c>
      <c r="J188" s="219">
        <v>9852391147</v>
      </c>
    </row>
    <row r="189" spans="2:10" x14ac:dyDescent="0.25">
      <c r="B189" s="218">
        <v>43936</v>
      </c>
      <c r="C189" s="217">
        <v>1242</v>
      </c>
      <c r="D189" s="220" t="s">
        <v>664</v>
      </c>
      <c r="E189" s="220"/>
      <c r="F189" s="221"/>
      <c r="G189" s="148"/>
      <c r="I189" s="219">
        <v>743471829053</v>
      </c>
      <c r="J189" s="219"/>
    </row>
    <row r="190" spans="2:10" x14ac:dyDescent="0.25">
      <c r="B190" s="218">
        <v>43937</v>
      </c>
      <c r="C190" s="217">
        <v>1249</v>
      </c>
      <c r="D190" s="220" t="s">
        <v>666</v>
      </c>
      <c r="E190" s="220"/>
      <c r="F190" s="221"/>
      <c r="G190" s="148"/>
      <c r="I190" s="219">
        <v>820842479445</v>
      </c>
      <c r="J190" s="219">
        <v>8083558968</v>
      </c>
    </row>
    <row r="191" spans="2:10" x14ac:dyDescent="0.25">
      <c r="B191" s="218">
        <v>43937</v>
      </c>
      <c r="C191" s="217">
        <v>1250</v>
      </c>
      <c r="D191" s="220" t="s">
        <v>667</v>
      </c>
      <c r="E191" s="220"/>
      <c r="F191" s="221"/>
      <c r="G191" s="148"/>
      <c r="I191" s="219">
        <v>699769052344</v>
      </c>
      <c r="J191" s="219"/>
    </row>
    <row r="192" spans="2:10" x14ac:dyDescent="0.25">
      <c r="B192" s="218">
        <v>43937</v>
      </c>
      <c r="C192" s="217">
        <v>1251</v>
      </c>
      <c r="D192" s="220" t="s">
        <v>668</v>
      </c>
      <c r="E192" s="220"/>
      <c r="F192" s="221"/>
      <c r="G192" s="148"/>
      <c r="I192" s="219">
        <v>791802131358</v>
      </c>
      <c r="J192" s="219">
        <v>9570121244</v>
      </c>
    </row>
    <row r="193" spans="2:14" x14ac:dyDescent="0.25">
      <c r="B193" s="218">
        <v>43937</v>
      </c>
      <c r="C193" s="217">
        <v>1254</v>
      </c>
      <c r="D193" s="220" t="s">
        <v>669</v>
      </c>
      <c r="E193" s="220"/>
      <c r="F193" s="221"/>
      <c r="G193" s="148"/>
      <c r="I193" s="219">
        <v>237946563885</v>
      </c>
      <c r="J193" s="219">
        <v>7488927596</v>
      </c>
    </row>
    <row r="194" spans="2:14" x14ac:dyDescent="0.25">
      <c r="B194" s="218">
        <v>43937</v>
      </c>
      <c r="C194" s="217">
        <v>1256</v>
      </c>
      <c r="D194" s="220" t="s">
        <v>670</v>
      </c>
      <c r="E194" s="220"/>
      <c r="F194" s="221"/>
      <c r="G194" s="148"/>
      <c r="I194" s="219">
        <v>956984615158</v>
      </c>
      <c r="J194" s="219">
        <v>8797319767</v>
      </c>
    </row>
    <row r="195" spans="2:14" x14ac:dyDescent="0.25">
      <c r="B195" s="218">
        <v>43937</v>
      </c>
      <c r="C195" s="217">
        <v>1258</v>
      </c>
      <c r="D195" s="220" t="s">
        <v>671</v>
      </c>
      <c r="E195" s="220"/>
      <c r="F195" s="221"/>
      <c r="G195" s="148"/>
      <c r="I195" s="219">
        <v>576031597596</v>
      </c>
      <c r="J195" s="219">
        <v>9279260095</v>
      </c>
    </row>
    <row r="196" spans="2:14" x14ac:dyDescent="0.25">
      <c r="B196" s="218">
        <v>43937</v>
      </c>
      <c r="C196" s="217">
        <v>1261</v>
      </c>
      <c r="D196" s="220" t="s">
        <v>672</v>
      </c>
      <c r="E196" s="220"/>
      <c r="F196" s="221"/>
      <c r="G196" s="148"/>
      <c r="I196" s="219">
        <v>742077425965</v>
      </c>
      <c r="J196" s="219">
        <v>7379583291</v>
      </c>
    </row>
    <row r="197" spans="2:14" x14ac:dyDescent="0.25">
      <c r="B197" s="218">
        <v>43937</v>
      </c>
      <c r="C197" s="217">
        <v>1263</v>
      </c>
      <c r="D197" s="220" t="s">
        <v>673</v>
      </c>
      <c r="E197" s="220"/>
      <c r="F197" s="221"/>
      <c r="G197" s="148"/>
      <c r="I197" s="219">
        <v>333864245589</v>
      </c>
      <c r="J197" s="219">
        <v>7004965335</v>
      </c>
    </row>
    <row r="198" spans="2:14" x14ac:dyDescent="0.25">
      <c r="B198" s="218">
        <v>43938</v>
      </c>
      <c r="C198" s="217">
        <v>1272</v>
      </c>
      <c r="D198" s="220" t="s">
        <v>674</v>
      </c>
      <c r="E198" s="220"/>
      <c r="F198" s="221"/>
      <c r="G198" s="148"/>
      <c r="I198" s="219">
        <v>483590717308</v>
      </c>
      <c r="J198" s="219">
        <v>9204373219</v>
      </c>
    </row>
    <row r="199" spans="2:14" x14ac:dyDescent="0.25">
      <c r="B199" s="218">
        <v>43938</v>
      </c>
      <c r="C199" s="217">
        <v>1275</v>
      </c>
      <c r="D199" s="220" t="s">
        <v>675</v>
      </c>
      <c r="E199" s="220"/>
      <c r="F199" s="221"/>
      <c r="G199" s="148"/>
      <c r="I199" s="219">
        <v>937075675698</v>
      </c>
      <c r="J199" s="219">
        <v>9934946357</v>
      </c>
    </row>
    <row r="200" spans="2:14" x14ac:dyDescent="0.25">
      <c r="B200" s="218">
        <v>43938</v>
      </c>
      <c r="C200" s="217">
        <v>1276</v>
      </c>
      <c r="D200" s="220" t="s">
        <v>676</v>
      </c>
      <c r="E200" s="220"/>
      <c r="F200" s="221"/>
      <c r="G200" s="148"/>
      <c r="I200" s="219">
        <v>379563297786</v>
      </c>
      <c r="J200" s="219">
        <v>7206497570</v>
      </c>
    </row>
    <row r="201" spans="2:14" x14ac:dyDescent="0.25">
      <c r="B201" s="218">
        <v>43938</v>
      </c>
      <c r="C201" s="217">
        <v>1279</v>
      </c>
      <c r="D201" s="220" t="s">
        <v>677</v>
      </c>
      <c r="E201" s="220"/>
      <c r="F201" s="221"/>
      <c r="G201" s="148"/>
      <c r="I201" s="219">
        <v>311206830033</v>
      </c>
      <c r="J201" s="219"/>
    </row>
    <row r="202" spans="2:14" x14ac:dyDescent="0.25">
      <c r="B202" s="218">
        <v>43938</v>
      </c>
      <c r="C202" s="217">
        <v>1280</v>
      </c>
      <c r="D202" s="220" t="s">
        <v>678</v>
      </c>
      <c r="E202" s="220"/>
      <c r="F202" s="221"/>
      <c r="G202" s="148"/>
      <c r="I202" s="219">
        <v>665228644610</v>
      </c>
      <c r="J202" s="219">
        <v>8434700160</v>
      </c>
    </row>
    <row r="203" spans="2:14" x14ac:dyDescent="0.25">
      <c r="B203" s="218">
        <v>43938</v>
      </c>
      <c r="C203" s="217">
        <v>1282</v>
      </c>
      <c r="D203" s="220" t="s">
        <v>679</v>
      </c>
      <c r="E203" s="220"/>
      <c r="F203" s="221"/>
      <c r="G203" s="148"/>
      <c r="I203" s="219">
        <v>572753591149</v>
      </c>
      <c r="J203" s="219">
        <v>8092402403</v>
      </c>
    </row>
    <row r="204" spans="2:14" x14ac:dyDescent="0.25">
      <c r="B204" s="218">
        <v>43938</v>
      </c>
      <c r="C204" s="217">
        <v>1286</v>
      </c>
      <c r="D204" s="220" t="s">
        <v>680</v>
      </c>
      <c r="E204" s="220"/>
      <c r="F204" s="221"/>
      <c r="G204" s="148"/>
      <c r="I204" s="219">
        <v>401739609807</v>
      </c>
      <c r="J204" s="219">
        <v>7050195042</v>
      </c>
    </row>
    <row r="205" spans="2:14" x14ac:dyDescent="0.25">
      <c r="B205" s="218">
        <v>43938</v>
      </c>
      <c r="C205" s="217">
        <v>1290</v>
      </c>
      <c r="D205" s="220" t="s">
        <v>681</v>
      </c>
      <c r="E205" s="220"/>
      <c r="F205" s="221"/>
      <c r="G205" s="148"/>
      <c r="I205" s="219">
        <v>439507827970</v>
      </c>
      <c r="J205" s="219">
        <v>9693949599</v>
      </c>
      <c r="N205" s="214" t="s">
        <v>2965</v>
      </c>
    </row>
    <row r="206" spans="2:14" x14ac:dyDescent="0.25">
      <c r="B206" s="218">
        <v>43938</v>
      </c>
      <c r="C206" s="217">
        <v>1292</v>
      </c>
      <c r="D206" s="220" t="s">
        <v>682</v>
      </c>
      <c r="E206" s="220"/>
      <c r="F206" s="221"/>
      <c r="G206" s="148"/>
      <c r="I206" s="219">
        <v>643862303002</v>
      </c>
      <c r="J206" s="219">
        <v>8210431967</v>
      </c>
    </row>
    <row r="207" spans="2:14" x14ac:dyDescent="0.25">
      <c r="B207" s="218">
        <v>43938</v>
      </c>
      <c r="C207" s="217">
        <v>1295</v>
      </c>
      <c r="D207" s="220" t="s">
        <v>683</v>
      </c>
      <c r="E207" s="220"/>
      <c r="F207" s="221"/>
      <c r="G207" s="148"/>
      <c r="I207" s="219">
        <v>698012813946</v>
      </c>
      <c r="J207" s="219">
        <v>8409954513</v>
      </c>
    </row>
    <row r="208" spans="2:14" x14ac:dyDescent="0.25">
      <c r="B208" s="218">
        <v>43938</v>
      </c>
      <c r="C208" s="217">
        <v>1298</v>
      </c>
      <c r="D208" s="220" t="s">
        <v>684</v>
      </c>
      <c r="E208" s="220"/>
      <c r="F208" s="221"/>
      <c r="G208" s="148"/>
      <c r="I208" s="219">
        <v>665831406572</v>
      </c>
      <c r="J208" s="219"/>
    </row>
    <row r="209" spans="2:10" x14ac:dyDescent="0.25">
      <c r="B209" s="218">
        <v>43939</v>
      </c>
      <c r="C209" s="217">
        <v>1306</v>
      </c>
      <c r="D209" s="220" t="s">
        <v>687</v>
      </c>
      <c r="E209" s="220"/>
      <c r="F209" s="221"/>
      <c r="G209" s="148"/>
      <c r="I209" s="219">
        <v>512061635538</v>
      </c>
      <c r="J209" s="219">
        <v>6202644238</v>
      </c>
    </row>
    <row r="210" spans="2:10" x14ac:dyDescent="0.25">
      <c r="B210" s="218">
        <v>43939</v>
      </c>
      <c r="C210" s="217">
        <v>1307</v>
      </c>
      <c r="D210" s="220" t="s">
        <v>686</v>
      </c>
      <c r="E210" s="220"/>
      <c r="F210" s="221"/>
      <c r="G210" s="148"/>
      <c r="I210" s="219">
        <v>239849076610</v>
      </c>
      <c r="J210" s="219">
        <v>8861552600</v>
      </c>
    </row>
    <row r="211" spans="2:10" x14ac:dyDescent="0.25">
      <c r="B211" s="218">
        <v>43939</v>
      </c>
      <c r="C211" s="217">
        <v>1309</v>
      </c>
      <c r="D211" s="220" t="s">
        <v>685</v>
      </c>
      <c r="E211" s="220"/>
      <c r="F211" s="221"/>
      <c r="G211" s="148"/>
      <c r="I211" s="219">
        <v>466847371272</v>
      </c>
      <c r="J211" s="219">
        <v>7739230189</v>
      </c>
    </row>
    <row r="212" spans="2:10" x14ac:dyDescent="0.25">
      <c r="B212" s="218">
        <v>43939</v>
      </c>
      <c r="C212" s="217">
        <v>1311</v>
      </c>
      <c r="D212" s="220" t="s">
        <v>688</v>
      </c>
      <c r="E212" s="220"/>
      <c r="F212" s="221"/>
      <c r="G212" s="148"/>
      <c r="I212" s="219">
        <v>840695623541</v>
      </c>
      <c r="J212" s="219">
        <v>9905664678</v>
      </c>
    </row>
    <row r="213" spans="2:10" x14ac:dyDescent="0.25">
      <c r="B213" s="218">
        <v>43939</v>
      </c>
      <c r="C213" s="217">
        <v>1312</v>
      </c>
      <c r="D213" s="220" t="s">
        <v>689</v>
      </c>
      <c r="E213" s="220"/>
      <c r="F213" s="221"/>
      <c r="G213" s="148"/>
      <c r="I213" s="219">
        <v>486381129702</v>
      </c>
      <c r="J213" s="219">
        <v>7209444763</v>
      </c>
    </row>
    <row r="214" spans="2:10" x14ac:dyDescent="0.25">
      <c r="B214" s="218">
        <v>43939</v>
      </c>
      <c r="C214" s="217">
        <v>1313</v>
      </c>
      <c r="D214" s="220" t="s">
        <v>668</v>
      </c>
      <c r="E214" s="220"/>
      <c r="F214" s="221"/>
      <c r="G214" s="148"/>
      <c r="I214" s="219">
        <v>264851200423</v>
      </c>
      <c r="J214" s="219">
        <v>9162165527</v>
      </c>
    </row>
    <row r="215" spans="2:10" x14ac:dyDescent="0.25">
      <c r="B215" s="218">
        <v>43939</v>
      </c>
      <c r="C215" s="217">
        <v>1315</v>
      </c>
      <c r="D215" s="220" t="s">
        <v>718</v>
      </c>
      <c r="E215" s="220"/>
      <c r="F215" s="221"/>
      <c r="G215" s="148"/>
      <c r="I215" s="219">
        <v>416427178761</v>
      </c>
      <c r="J215" s="219">
        <v>9334985926</v>
      </c>
    </row>
    <row r="216" spans="2:10" x14ac:dyDescent="0.25">
      <c r="B216" s="218">
        <v>43939</v>
      </c>
      <c r="C216" s="217">
        <v>1317</v>
      </c>
      <c r="D216" s="220" t="s">
        <v>690</v>
      </c>
      <c r="E216" s="220"/>
      <c r="F216" s="221"/>
      <c r="G216" s="148"/>
      <c r="I216" s="219">
        <v>334941829238</v>
      </c>
      <c r="J216" s="219">
        <v>7488497053</v>
      </c>
    </row>
    <row r="217" spans="2:10" x14ac:dyDescent="0.25">
      <c r="B217" s="218">
        <v>43939</v>
      </c>
      <c r="C217" s="217">
        <v>1319</v>
      </c>
      <c r="D217" s="220" t="s">
        <v>691</v>
      </c>
      <c r="E217" s="220"/>
      <c r="F217" s="221"/>
      <c r="G217" s="148"/>
      <c r="I217" s="219">
        <v>677983970445</v>
      </c>
      <c r="J217" s="219">
        <v>8002668157</v>
      </c>
    </row>
    <row r="218" spans="2:10" x14ac:dyDescent="0.25">
      <c r="B218" s="218">
        <v>43939</v>
      </c>
      <c r="C218" s="217">
        <v>1320</v>
      </c>
      <c r="D218" s="220" t="s">
        <v>692</v>
      </c>
      <c r="E218" s="220"/>
      <c r="F218" s="221"/>
      <c r="G218" s="148"/>
      <c r="I218" s="219">
        <v>658764880549</v>
      </c>
      <c r="J218" s="219">
        <v>8797940075</v>
      </c>
    </row>
    <row r="219" spans="2:10" x14ac:dyDescent="0.25">
      <c r="B219" s="218">
        <v>43939</v>
      </c>
      <c r="C219" s="217">
        <v>1322</v>
      </c>
      <c r="D219" s="220" t="s">
        <v>693</v>
      </c>
      <c r="E219" s="220"/>
      <c r="F219" s="221"/>
      <c r="G219" s="148"/>
      <c r="I219" s="219">
        <v>253754366918</v>
      </c>
      <c r="J219" s="219">
        <v>7070054556</v>
      </c>
    </row>
    <row r="220" spans="2:10" x14ac:dyDescent="0.25">
      <c r="B220" s="218">
        <v>43939</v>
      </c>
      <c r="C220" s="217">
        <v>1326</v>
      </c>
      <c r="D220" s="220" t="s">
        <v>719</v>
      </c>
      <c r="E220" s="220"/>
      <c r="F220" s="221"/>
      <c r="G220" s="148"/>
      <c r="I220" s="219">
        <v>448866445330</v>
      </c>
      <c r="J220" s="219">
        <v>9279468532</v>
      </c>
    </row>
    <row r="221" spans="2:10" x14ac:dyDescent="0.25">
      <c r="B221" s="218">
        <v>43939</v>
      </c>
      <c r="C221" s="217">
        <v>1327</v>
      </c>
      <c r="D221" s="220" t="s">
        <v>694</v>
      </c>
      <c r="E221" s="220"/>
      <c r="F221" s="221"/>
      <c r="G221" s="148"/>
      <c r="I221" s="219">
        <v>516084611605</v>
      </c>
      <c r="J221" s="219">
        <v>9508109510</v>
      </c>
    </row>
    <row r="222" spans="2:10" x14ac:dyDescent="0.25">
      <c r="B222" s="218">
        <v>43939</v>
      </c>
      <c r="C222" s="217">
        <v>1329</v>
      </c>
      <c r="D222" s="220" t="s">
        <v>695</v>
      </c>
      <c r="E222" s="220"/>
      <c r="F222" s="221"/>
      <c r="G222" s="148"/>
      <c r="I222" s="219">
        <v>354345283794</v>
      </c>
      <c r="J222" s="219">
        <v>6204075275</v>
      </c>
    </row>
    <row r="223" spans="2:10" x14ac:dyDescent="0.25">
      <c r="B223" s="218">
        <v>43939</v>
      </c>
      <c r="C223" s="217">
        <v>1331</v>
      </c>
      <c r="D223" s="220" t="s">
        <v>696</v>
      </c>
      <c r="E223" s="220"/>
      <c r="F223" s="221"/>
      <c r="G223" s="148"/>
      <c r="I223" s="219">
        <v>909628220391</v>
      </c>
      <c r="J223" s="219">
        <v>8969479009</v>
      </c>
    </row>
    <row r="224" spans="2:10" x14ac:dyDescent="0.25">
      <c r="B224" s="218">
        <v>43939</v>
      </c>
      <c r="C224" s="217">
        <v>1332</v>
      </c>
      <c r="D224" s="220" t="s">
        <v>709</v>
      </c>
      <c r="E224" s="220"/>
      <c r="F224" s="221"/>
      <c r="G224" s="148"/>
      <c r="I224" s="219">
        <v>900362792482</v>
      </c>
      <c r="J224" s="219">
        <v>7992338651</v>
      </c>
    </row>
    <row r="225" spans="2:10" x14ac:dyDescent="0.25">
      <c r="B225" s="218">
        <v>43939</v>
      </c>
      <c r="C225" s="217">
        <v>1334</v>
      </c>
      <c r="D225" s="220" t="s">
        <v>710</v>
      </c>
      <c r="E225" s="220"/>
      <c r="F225" s="221"/>
      <c r="G225" s="148"/>
      <c r="I225" s="219">
        <v>546576587960</v>
      </c>
      <c r="J225" s="219">
        <v>6299327742</v>
      </c>
    </row>
    <row r="226" spans="2:10" x14ac:dyDescent="0.25">
      <c r="B226" s="218">
        <v>43939</v>
      </c>
      <c r="C226" s="217">
        <v>1336</v>
      </c>
      <c r="D226" s="220" t="s">
        <v>711</v>
      </c>
      <c r="E226" s="220"/>
      <c r="F226" s="221"/>
      <c r="G226" s="148"/>
      <c r="I226" s="219">
        <v>752158589014</v>
      </c>
      <c r="J226" s="219">
        <v>8873500209</v>
      </c>
    </row>
    <row r="227" spans="2:10" x14ac:dyDescent="0.25">
      <c r="B227" s="218">
        <v>43939</v>
      </c>
      <c r="C227" s="217">
        <v>1337</v>
      </c>
      <c r="D227" s="220" t="s">
        <v>712</v>
      </c>
      <c r="E227" s="220"/>
      <c r="F227" s="221"/>
      <c r="G227" s="148"/>
      <c r="I227" s="219">
        <v>977200166369</v>
      </c>
      <c r="J227" s="219">
        <v>8092438900</v>
      </c>
    </row>
    <row r="228" spans="2:10" x14ac:dyDescent="0.25">
      <c r="B228" s="218">
        <v>43939</v>
      </c>
      <c r="C228" s="217">
        <v>1339</v>
      </c>
      <c r="D228" s="220" t="s">
        <v>713</v>
      </c>
      <c r="E228" s="220"/>
      <c r="F228" s="221"/>
      <c r="G228" s="148"/>
      <c r="I228" s="219">
        <v>329140062284</v>
      </c>
      <c r="J228" s="219">
        <v>6203359628</v>
      </c>
    </row>
    <row r="229" spans="2:10" x14ac:dyDescent="0.25">
      <c r="B229" s="218">
        <v>43939</v>
      </c>
      <c r="C229" s="217">
        <v>1342</v>
      </c>
      <c r="D229" s="220" t="s">
        <v>714</v>
      </c>
      <c r="E229" s="220"/>
      <c r="F229" s="221"/>
      <c r="G229" s="148"/>
      <c r="I229" s="219">
        <v>247370416356</v>
      </c>
      <c r="J229" s="219">
        <v>7633966747</v>
      </c>
    </row>
    <row r="230" spans="2:10" x14ac:dyDescent="0.25">
      <c r="B230" s="218">
        <v>43939</v>
      </c>
      <c r="C230" s="217">
        <v>1343</v>
      </c>
      <c r="D230" s="220" t="s">
        <v>43</v>
      </c>
      <c r="E230" s="220"/>
      <c r="F230" s="221"/>
      <c r="G230" s="148"/>
      <c r="I230" s="219">
        <v>571449897800</v>
      </c>
      <c r="J230" s="219">
        <v>7209660967</v>
      </c>
    </row>
    <row r="231" spans="2:10" x14ac:dyDescent="0.25">
      <c r="B231" s="218">
        <v>43939</v>
      </c>
      <c r="C231" s="217">
        <v>1345</v>
      </c>
      <c r="D231" s="220" t="s">
        <v>715</v>
      </c>
      <c r="E231" s="220"/>
      <c r="F231" s="221"/>
      <c r="G231" s="148"/>
      <c r="I231" s="219">
        <v>980617938649</v>
      </c>
      <c r="J231" s="219">
        <v>9304588126</v>
      </c>
    </row>
    <row r="232" spans="2:10" x14ac:dyDescent="0.25">
      <c r="B232" s="218">
        <v>43939</v>
      </c>
      <c r="C232" s="217">
        <v>1347</v>
      </c>
      <c r="D232" s="220" t="s">
        <v>716</v>
      </c>
      <c r="E232" s="220"/>
      <c r="F232" s="221"/>
      <c r="G232" s="148"/>
      <c r="I232" s="219">
        <v>784024983785</v>
      </c>
      <c r="J232" s="219">
        <v>8469399355</v>
      </c>
    </row>
    <row r="233" spans="2:10" x14ac:dyDescent="0.25">
      <c r="B233" s="218">
        <v>43939</v>
      </c>
      <c r="C233" s="217">
        <v>1348</v>
      </c>
      <c r="D233" s="220" t="s">
        <v>717</v>
      </c>
      <c r="E233" s="220"/>
      <c r="F233" s="221"/>
      <c r="G233" s="148"/>
      <c r="I233" s="219">
        <v>575095788761</v>
      </c>
      <c r="J233" s="219">
        <v>9334985926</v>
      </c>
    </row>
    <row r="234" spans="2:10" x14ac:dyDescent="0.25">
      <c r="B234" s="218">
        <v>43939</v>
      </c>
      <c r="C234" s="217">
        <v>1349</v>
      </c>
      <c r="D234" s="220" t="s">
        <v>697</v>
      </c>
      <c r="E234" s="220"/>
      <c r="F234" s="221"/>
      <c r="G234" s="148"/>
      <c r="I234" s="219">
        <v>312017625423</v>
      </c>
      <c r="J234" s="219">
        <v>7209532047</v>
      </c>
    </row>
    <row r="235" spans="2:10" x14ac:dyDescent="0.25">
      <c r="B235" s="218">
        <v>43939</v>
      </c>
      <c r="C235" s="217">
        <v>1351</v>
      </c>
      <c r="D235" s="220" t="s">
        <v>698</v>
      </c>
      <c r="E235" s="220"/>
      <c r="F235" s="221"/>
      <c r="G235" s="148"/>
      <c r="I235" s="219">
        <v>532699195692</v>
      </c>
      <c r="J235" s="219">
        <v>9234394529</v>
      </c>
    </row>
    <row r="236" spans="2:10" x14ac:dyDescent="0.25">
      <c r="B236" s="218">
        <v>43939</v>
      </c>
      <c r="C236" s="217">
        <v>1354</v>
      </c>
      <c r="D236" s="220" t="s">
        <v>699</v>
      </c>
      <c r="E236" s="220"/>
      <c r="F236" s="221"/>
      <c r="G236" s="148"/>
      <c r="I236" s="219">
        <v>323267091000</v>
      </c>
      <c r="J236" s="219">
        <v>8235232604</v>
      </c>
    </row>
    <row r="237" spans="2:10" x14ac:dyDescent="0.25">
      <c r="B237" s="218">
        <v>43939</v>
      </c>
      <c r="C237" s="217">
        <v>1357</v>
      </c>
      <c r="D237" s="220" t="s">
        <v>700</v>
      </c>
      <c r="E237" s="220"/>
      <c r="F237" s="221"/>
      <c r="G237" s="148"/>
      <c r="I237" s="219">
        <v>792254326797</v>
      </c>
      <c r="J237" s="219">
        <v>7808466709</v>
      </c>
    </row>
    <row r="238" spans="2:10" x14ac:dyDescent="0.25">
      <c r="B238" s="218">
        <v>43939</v>
      </c>
      <c r="C238" s="217">
        <v>1358</v>
      </c>
      <c r="D238" s="220" t="s">
        <v>701</v>
      </c>
      <c r="E238" s="220"/>
      <c r="F238" s="221"/>
      <c r="G238" s="148"/>
      <c r="I238" s="219">
        <v>409255063604</v>
      </c>
      <c r="J238" s="219">
        <v>7488925533</v>
      </c>
    </row>
    <row r="239" spans="2:10" x14ac:dyDescent="0.25">
      <c r="B239" s="218">
        <v>43939</v>
      </c>
      <c r="C239" s="217">
        <v>1360</v>
      </c>
      <c r="D239" s="220" t="s">
        <v>702</v>
      </c>
      <c r="E239" s="220"/>
      <c r="F239" s="221"/>
      <c r="G239" s="148"/>
      <c r="I239" s="219">
        <v>938346257146</v>
      </c>
      <c r="J239" s="219">
        <v>8210267942</v>
      </c>
    </row>
    <row r="240" spans="2:10" x14ac:dyDescent="0.25">
      <c r="B240" s="218">
        <v>43939</v>
      </c>
      <c r="C240" s="217">
        <v>1361</v>
      </c>
      <c r="D240" s="220" t="s">
        <v>703</v>
      </c>
      <c r="E240" s="220"/>
      <c r="F240" s="221"/>
      <c r="G240" s="148"/>
      <c r="I240" s="219">
        <v>653213992239</v>
      </c>
      <c r="J240" s="219">
        <v>7260821524</v>
      </c>
    </row>
    <row r="241" spans="2:10" x14ac:dyDescent="0.25">
      <c r="B241" s="218">
        <v>43939</v>
      </c>
      <c r="C241" s="217">
        <v>1363</v>
      </c>
      <c r="D241" s="220" t="s">
        <v>704</v>
      </c>
      <c r="E241" s="220"/>
      <c r="F241" s="221"/>
      <c r="G241" s="148"/>
      <c r="I241" s="219">
        <v>998041181622</v>
      </c>
      <c r="J241" s="219">
        <v>6204597241</v>
      </c>
    </row>
    <row r="242" spans="2:10" x14ac:dyDescent="0.25">
      <c r="B242" s="218">
        <v>43939</v>
      </c>
      <c r="C242" s="217">
        <v>1364</v>
      </c>
      <c r="D242" s="220" t="s">
        <v>705</v>
      </c>
      <c r="E242" s="220"/>
      <c r="F242" s="221"/>
      <c r="G242" s="148"/>
      <c r="I242" s="219">
        <v>245052082388</v>
      </c>
      <c r="J242" s="219">
        <v>6201575916</v>
      </c>
    </row>
    <row r="243" spans="2:10" x14ac:dyDescent="0.25">
      <c r="B243" s="218">
        <v>43939</v>
      </c>
      <c r="C243" s="217">
        <v>1367</v>
      </c>
      <c r="D243" s="220" t="s">
        <v>706</v>
      </c>
      <c r="E243" s="220"/>
      <c r="F243" s="221"/>
      <c r="G243" s="148"/>
      <c r="I243" s="219">
        <v>659916455683</v>
      </c>
      <c r="J243" s="219">
        <v>9263162318</v>
      </c>
    </row>
    <row r="244" spans="2:10" x14ac:dyDescent="0.25">
      <c r="B244" s="218">
        <v>43939</v>
      </c>
      <c r="C244" s="217">
        <v>1367</v>
      </c>
      <c r="D244" s="220" t="s">
        <v>706</v>
      </c>
      <c r="E244" s="220"/>
      <c r="F244" s="221"/>
      <c r="G244" s="148"/>
      <c r="I244" s="219">
        <v>659916455683</v>
      </c>
      <c r="J244" s="219">
        <v>9263162318</v>
      </c>
    </row>
    <row r="245" spans="2:10" x14ac:dyDescent="0.25">
      <c r="B245" s="218">
        <v>43939</v>
      </c>
      <c r="C245" s="217">
        <v>1369</v>
      </c>
      <c r="D245" s="220" t="s">
        <v>707</v>
      </c>
      <c r="E245" s="220"/>
      <c r="F245" s="221"/>
      <c r="G245" s="148"/>
      <c r="I245" s="219">
        <v>613392065346</v>
      </c>
      <c r="J245" s="219">
        <v>9263853469</v>
      </c>
    </row>
    <row r="246" spans="2:10" x14ac:dyDescent="0.25">
      <c r="B246" s="218">
        <v>43939</v>
      </c>
      <c r="C246" s="217">
        <v>1369</v>
      </c>
      <c r="D246" s="220" t="s">
        <v>707</v>
      </c>
      <c r="E246" s="220"/>
      <c r="F246" s="221"/>
      <c r="G246" s="148"/>
      <c r="I246" s="219">
        <v>613392065346</v>
      </c>
      <c r="J246" s="219">
        <v>9263853469</v>
      </c>
    </row>
    <row r="247" spans="2:10" x14ac:dyDescent="0.25">
      <c r="B247" s="218">
        <v>43939</v>
      </c>
      <c r="C247" s="217">
        <v>1370</v>
      </c>
      <c r="D247" s="220" t="s">
        <v>708</v>
      </c>
      <c r="E247" s="220"/>
      <c r="F247" s="221"/>
      <c r="G247" s="148"/>
      <c r="I247" s="219">
        <v>323363754539</v>
      </c>
      <c r="J247" s="219">
        <v>8092116186</v>
      </c>
    </row>
    <row r="248" spans="2:10" x14ac:dyDescent="0.25">
      <c r="B248" s="218">
        <v>43939</v>
      </c>
      <c r="C248" s="217">
        <v>1372</v>
      </c>
      <c r="D248" s="220" t="s">
        <v>37</v>
      </c>
      <c r="E248" s="220"/>
      <c r="F248" s="221"/>
      <c r="G248" s="148"/>
      <c r="I248" s="219">
        <v>989154501529</v>
      </c>
      <c r="J248" s="219"/>
    </row>
    <row r="249" spans="2:10" x14ac:dyDescent="0.25">
      <c r="B249" s="214" t="s">
        <v>1621</v>
      </c>
      <c r="C249" s="217">
        <v>1398</v>
      </c>
      <c r="D249" s="220" t="s">
        <v>720</v>
      </c>
      <c r="E249" s="220"/>
      <c r="F249" s="221"/>
      <c r="G249" s="148"/>
      <c r="I249" s="219">
        <v>781112932017</v>
      </c>
      <c r="J249" s="219">
        <v>7903697661</v>
      </c>
    </row>
    <row r="250" spans="2:10" x14ac:dyDescent="0.25">
      <c r="B250" s="214" t="s">
        <v>1621</v>
      </c>
      <c r="C250" s="217">
        <v>1399</v>
      </c>
      <c r="D250" s="220" t="s">
        <v>721</v>
      </c>
      <c r="E250" s="220"/>
      <c r="F250" s="221"/>
      <c r="G250" s="148"/>
      <c r="I250" s="219">
        <v>219475141497</v>
      </c>
      <c r="J250" s="219">
        <v>9234405170</v>
      </c>
    </row>
    <row r="251" spans="2:10" x14ac:dyDescent="0.25">
      <c r="B251" s="214" t="s">
        <v>1621</v>
      </c>
      <c r="C251" s="217">
        <v>1400</v>
      </c>
      <c r="D251" s="220" t="s">
        <v>722</v>
      </c>
      <c r="E251" s="220"/>
      <c r="F251" s="221"/>
      <c r="G251" s="148"/>
      <c r="I251" s="219">
        <v>637715227701</v>
      </c>
      <c r="J251" s="219">
        <v>8797779940</v>
      </c>
    </row>
    <row r="252" spans="2:10" x14ac:dyDescent="0.25">
      <c r="B252" s="214" t="s">
        <v>1621</v>
      </c>
      <c r="C252" s="217">
        <v>1401</v>
      </c>
      <c r="D252" s="220" t="s">
        <v>585</v>
      </c>
      <c r="E252" s="220"/>
      <c r="F252" s="221"/>
      <c r="G252" s="148"/>
      <c r="I252" s="219">
        <v>950715483393</v>
      </c>
      <c r="J252" s="219">
        <v>70339892239</v>
      </c>
    </row>
    <row r="253" spans="2:10" x14ac:dyDescent="0.25">
      <c r="B253" s="214" t="s">
        <v>1621</v>
      </c>
      <c r="C253" s="217">
        <v>1403</v>
      </c>
      <c r="D253" s="220" t="s">
        <v>723</v>
      </c>
      <c r="E253" s="220"/>
      <c r="F253" s="221"/>
      <c r="G253" s="148"/>
      <c r="I253" s="219">
        <v>804165847068</v>
      </c>
      <c r="J253" s="219">
        <v>8102503670</v>
      </c>
    </row>
    <row r="254" spans="2:10" x14ac:dyDescent="0.25">
      <c r="B254" s="214" t="s">
        <v>1621</v>
      </c>
      <c r="C254" s="217">
        <v>1404</v>
      </c>
      <c r="D254" s="220" t="s">
        <v>724</v>
      </c>
      <c r="E254" s="220"/>
      <c r="F254" s="221"/>
      <c r="G254" s="148"/>
      <c r="I254" s="219">
        <v>319177572918</v>
      </c>
      <c r="J254" s="219">
        <v>8102503670</v>
      </c>
    </row>
    <row r="255" spans="2:10" x14ac:dyDescent="0.25">
      <c r="B255" s="214" t="s">
        <v>1621</v>
      </c>
      <c r="C255" s="217">
        <v>1405</v>
      </c>
      <c r="D255" s="220" t="s">
        <v>725</v>
      </c>
      <c r="E255" s="220"/>
      <c r="F255" s="221"/>
      <c r="G255" s="148"/>
      <c r="I255" s="219">
        <v>915907994880</v>
      </c>
      <c r="J255" s="219">
        <v>9504333554</v>
      </c>
    </row>
    <row r="256" spans="2:10" x14ac:dyDescent="0.25">
      <c r="B256" s="214" t="s">
        <v>1621</v>
      </c>
      <c r="C256" s="217">
        <v>1406</v>
      </c>
      <c r="D256" s="220" t="s">
        <v>726</v>
      </c>
      <c r="E256" s="220"/>
      <c r="F256" s="221"/>
      <c r="G256" s="148"/>
      <c r="I256" s="219">
        <v>451158110297</v>
      </c>
      <c r="J256" s="219">
        <v>8114582110</v>
      </c>
    </row>
    <row r="257" spans="2:14" x14ac:dyDescent="0.25">
      <c r="B257" s="214" t="s">
        <v>1621</v>
      </c>
      <c r="C257" s="217">
        <v>1408</v>
      </c>
      <c r="D257" s="220" t="s">
        <v>727</v>
      </c>
      <c r="E257" s="220"/>
      <c r="F257" s="221"/>
      <c r="G257" s="148"/>
      <c r="I257" s="219">
        <v>245416195765</v>
      </c>
      <c r="J257" s="219">
        <v>6201275149</v>
      </c>
    </row>
    <row r="258" spans="2:14" x14ac:dyDescent="0.25">
      <c r="B258" s="214" t="s">
        <v>1621</v>
      </c>
      <c r="C258" s="217">
        <v>1409</v>
      </c>
      <c r="D258" s="220" t="s">
        <v>728</v>
      </c>
      <c r="E258" s="220"/>
      <c r="F258" s="221"/>
      <c r="G258" s="148"/>
      <c r="I258" s="219">
        <v>323930623873</v>
      </c>
      <c r="J258" s="219">
        <v>7546054325</v>
      </c>
      <c r="N258" s="214" t="s">
        <v>53</v>
      </c>
    </row>
    <row r="259" spans="2:14" x14ac:dyDescent="0.25">
      <c r="B259" s="214" t="s">
        <v>1621</v>
      </c>
      <c r="C259" s="217">
        <v>1412</v>
      </c>
      <c r="D259" s="220" t="s">
        <v>729</v>
      </c>
      <c r="E259" s="220"/>
      <c r="F259" s="221"/>
      <c r="G259" s="148"/>
      <c r="I259" s="219">
        <v>658523773887</v>
      </c>
      <c r="J259" s="219">
        <v>7004011366</v>
      </c>
    </row>
    <row r="260" spans="2:14" x14ac:dyDescent="0.25">
      <c r="B260" s="214" t="s">
        <v>1621</v>
      </c>
      <c r="C260" s="217">
        <v>1413</v>
      </c>
      <c r="D260" s="220" t="s">
        <v>730</v>
      </c>
      <c r="E260" s="220"/>
      <c r="F260" s="221"/>
      <c r="G260" s="148"/>
      <c r="I260" s="219">
        <v>951575699516</v>
      </c>
      <c r="J260" s="219">
        <v>9097136766</v>
      </c>
    </row>
    <row r="261" spans="2:14" x14ac:dyDescent="0.25">
      <c r="B261" s="214" t="s">
        <v>1621</v>
      </c>
      <c r="C261" s="217">
        <v>1414</v>
      </c>
      <c r="D261" s="220" t="s">
        <v>731</v>
      </c>
      <c r="E261" s="220"/>
      <c r="F261" s="221"/>
      <c r="G261" s="148"/>
      <c r="I261" s="219">
        <v>277638922709</v>
      </c>
      <c r="J261" s="219">
        <v>8797591636</v>
      </c>
    </row>
    <row r="262" spans="2:14" x14ac:dyDescent="0.25">
      <c r="B262" s="214" t="s">
        <v>1621</v>
      </c>
      <c r="C262" s="217">
        <v>1415</v>
      </c>
      <c r="D262" s="220" t="s">
        <v>732</v>
      </c>
      <c r="E262" s="220"/>
      <c r="F262" s="221"/>
      <c r="G262" s="148"/>
      <c r="I262" s="219">
        <v>294416614163</v>
      </c>
      <c r="J262" s="219">
        <v>8092278258</v>
      </c>
    </row>
    <row r="263" spans="2:14" x14ac:dyDescent="0.25">
      <c r="B263" s="214" t="s">
        <v>1621</v>
      </c>
      <c r="C263" s="217">
        <v>1417</v>
      </c>
      <c r="D263" s="220" t="s">
        <v>733</v>
      </c>
      <c r="E263" s="220"/>
      <c r="F263" s="221"/>
      <c r="G263" s="148"/>
      <c r="I263" s="219">
        <v>647818809943</v>
      </c>
      <c r="J263" s="219">
        <v>91335566716</v>
      </c>
    </row>
    <row r="264" spans="2:14" x14ac:dyDescent="0.25">
      <c r="B264" s="214" t="s">
        <v>1621</v>
      </c>
      <c r="C264" s="217">
        <v>1419</v>
      </c>
      <c r="D264" s="220" t="s">
        <v>734</v>
      </c>
      <c r="E264" s="220"/>
      <c r="F264" s="221"/>
      <c r="G264" s="148"/>
      <c r="I264" s="219">
        <v>569284458530</v>
      </c>
      <c r="J264" s="219">
        <v>6206750858</v>
      </c>
    </row>
    <row r="265" spans="2:14" x14ac:dyDescent="0.25">
      <c r="B265" s="214" t="s">
        <v>1621</v>
      </c>
      <c r="C265" s="217">
        <v>1420</v>
      </c>
      <c r="D265" s="220" t="s">
        <v>735</v>
      </c>
      <c r="E265" s="220"/>
      <c r="F265" s="221"/>
      <c r="G265" s="148"/>
      <c r="I265" s="219">
        <v>434797232323</v>
      </c>
      <c r="J265" s="219">
        <v>8271860168</v>
      </c>
    </row>
    <row r="266" spans="2:14" x14ac:dyDescent="0.25">
      <c r="B266" s="214" t="s">
        <v>1621</v>
      </c>
      <c r="C266" s="217">
        <v>1421</v>
      </c>
      <c r="D266" s="220" t="s">
        <v>736</v>
      </c>
      <c r="E266" s="220"/>
      <c r="F266" s="221"/>
      <c r="G266" s="148"/>
      <c r="I266" s="219">
        <v>211653245046</v>
      </c>
      <c r="J266" s="219">
        <v>9835983164</v>
      </c>
    </row>
    <row r="267" spans="2:14" x14ac:dyDescent="0.25">
      <c r="B267" s="214" t="s">
        <v>1621</v>
      </c>
      <c r="C267" s="217">
        <v>1423</v>
      </c>
      <c r="D267" s="220" t="s">
        <v>737</v>
      </c>
      <c r="E267" s="220"/>
      <c r="F267" s="221"/>
      <c r="G267" s="148"/>
      <c r="I267" s="219">
        <v>654462093672</v>
      </c>
      <c r="J267" s="219">
        <v>7903829348</v>
      </c>
    </row>
    <row r="268" spans="2:14" x14ac:dyDescent="0.25">
      <c r="B268" s="214" t="s">
        <v>1621</v>
      </c>
      <c r="C268" s="217">
        <v>1424</v>
      </c>
      <c r="D268" s="220" t="s">
        <v>738</v>
      </c>
      <c r="E268" s="220"/>
      <c r="F268" s="221"/>
      <c r="G268" s="148"/>
      <c r="I268" s="219">
        <v>456238645702</v>
      </c>
      <c r="J268" s="219">
        <v>8809593090</v>
      </c>
    </row>
    <row r="269" spans="2:14" x14ac:dyDescent="0.25">
      <c r="B269" s="214" t="s">
        <v>1621</v>
      </c>
      <c r="C269" s="217">
        <v>1426</v>
      </c>
      <c r="D269" s="220" t="s">
        <v>739</v>
      </c>
      <c r="E269" s="220"/>
      <c r="F269" s="221"/>
      <c r="G269" s="148"/>
      <c r="I269" s="219">
        <v>555065263525</v>
      </c>
      <c r="J269" s="219">
        <v>7667578778</v>
      </c>
    </row>
    <row r="270" spans="2:14" x14ac:dyDescent="0.25">
      <c r="B270" s="214" t="s">
        <v>1621</v>
      </c>
      <c r="C270" s="217">
        <v>1428</v>
      </c>
      <c r="D270" s="220" t="s">
        <v>740</v>
      </c>
      <c r="E270" s="220"/>
      <c r="F270" s="221"/>
      <c r="G270" s="148"/>
      <c r="I270" s="219">
        <v>950633188102</v>
      </c>
      <c r="J270" s="219"/>
    </row>
    <row r="271" spans="2:14" x14ac:dyDescent="0.25">
      <c r="B271" s="214" t="s">
        <v>1621</v>
      </c>
      <c r="C271" s="217">
        <v>1429</v>
      </c>
      <c r="D271" s="220" t="s">
        <v>741</v>
      </c>
      <c r="E271" s="220"/>
      <c r="F271" s="221"/>
      <c r="G271" s="148"/>
      <c r="I271" s="219">
        <v>752751296151</v>
      </c>
      <c r="J271" s="219">
        <v>8825102958</v>
      </c>
    </row>
    <row r="272" spans="2:14" x14ac:dyDescent="0.25">
      <c r="B272" s="214" t="s">
        <v>1621</v>
      </c>
      <c r="C272" s="217">
        <v>1431</v>
      </c>
      <c r="D272" s="220" t="s">
        <v>742</v>
      </c>
      <c r="E272" s="220"/>
      <c r="F272" s="221"/>
      <c r="G272" s="148"/>
      <c r="I272" s="219">
        <v>854788042144</v>
      </c>
      <c r="J272" s="219">
        <v>6200119464</v>
      </c>
    </row>
    <row r="273" spans="2:10" x14ac:dyDescent="0.25">
      <c r="B273" s="214" t="s">
        <v>1621</v>
      </c>
      <c r="C273" s="217">
        <v>1433</v>
      </c>
      <c r="D273" s="220" t="s">
        <v>743</v>
      </c>
      <c r="E273" s="220"/>
      <c r="F273" s="221"/>
      <c r="G273" s="148"/>
      <c r="I273" s="219">
        <v>296815898192</v>
      </c>
      <c r="J273" s="219">
        <v>8292195466</v>
      </c>
    </row>
    <row r="274" spans="2:10" x14ac:dyDescent="0.25">
      <c r="B274" s="214" t="s">
        <v>1621</v>
      </c>
      <c r="C274" s="217">
        <v>1435</v>
      </c>
      <c r="D274" s="220" t="s">
        <v>744</v>
      </c>
      <c r="E274" s="220"/>
      <c r="F274" s="221"/>
      <c r="G274" s="148"/>
      <c r="I274" s="219">
        <v>496059537298</v>
      </c>
      <c r="J274" s="219">
        <v>9431320401</v>
      </c>
    </row>
    <row r="275" spans="2:10" x14ac:dyDescent="0.25">
      <c r="B275" s="214" t="s">
        <v>1621</v>
      </c>
      <c r="C275" s="217">
        <v>1436</v>
      </c>
      <c r="D275" s="220" t="s">
        <v>745</v>
      </c>
      <c r="E275" s="220"/>
      <c r="F275" s="221"/>
      <c r="G275" s="148"/>
      <c r="I275" s="219">
        <v>928885327436</v>
      </c>
      <c r="J275" s="219">
        <v>7295815713</v>
      </c>
    </row>
    <row r="276" spans="2:10" x14ac:dyDescent="0.25">
      <c r="B276" s="214" t="s">
        <v>1621</v>
      </c>
      <c r="C276" s="217">
        <v>1439</v>
      </c>
      <c r="D276" s="220" t="s">
        <v>746</v>
      </c>
      <c r="E276" s="220"/>
      <c r="F276" s="221"/>
      <c r="G276" s="148"/>
      <c r="I276" s="219">
        <v>990026878348</v>
      </c>
      <c r="J276" s="219">
        <v>8340362589</v>
      </c>
    </row>
    <row r="277" spans="2:10" x14ac:dyDescent="0.25">
      <c r="B277" s="214" t="s">
        <v>1621</v>
      </c>
      <c r="C277" s="217">
        <v>1441</v>
      </c>
      <c r="D277" s="220" t="s">
        <v>747</v>
      </c>
      <c r="E277" s="220"/>
      <c r="F277" s="221"/>
      <c r="G277" s="148"/>
      <c r="I277" s="219">
        <v>282411407996</v>
      </c>
      <c r="J277" s="219">
        <v>7667514325</v>
      </c>
    </row>
    <row r="278" spans="2:10" x14ac:dyDescent="0.25">
      <c r="B278" s="214" t="s">
        <v>1621</v>
      </c>
      <c r="C278" s="217">
        <v>1442</v>
      </c>
      <c r="D278" s="220" t="s">
        <v>748</v>
      </c>
      <c r="E278" s="220"/>
      <c r="F278" s="221"/>
      <c r="G278" s="148"/>
      <c r="I278" s="219">
        <v>648054173265</v>
      </c>
      <c r="J278" s="219">
        <v>7295815713</v>
      </c>
    </row>
    <row r="279" spans="2:10" x14ac:dyDescent="0.25">
      <c r="B279" s="214" t="s">
        <v>1621</v>
      </c>
      <c r="C279" s="217">
        <v>1445</v>
      </c>
      <c r="D279" s="220" t="s">
        <v>749</v>
      </c>
      <c r="E279" s="220"/>
      <c r="F279" s="221"/>
      <c r="G279" s="148"/>
      <c r="I279" s="219">
        <v>477234993172</v>
      </c>
      <c r="J279" s="219">
        <v>7349895796</v>
      </c>
    </row>
    <row r="280" spans="2:10" x14ac:dyDescent="0.25">
      <c r="B280" s="214" t="s">
        <v>1621</v>
      </c>
      <c r="C280" s="217">
        <v>1446</v>
      </c>
      <c r="D280" s="220" t="s">
        <v>750</v>
      </c>
      <c r="E280" s="220"/>
      <c r="F280" s="221"/>
      <c r="G280" s="148"/>
      <c r="I280" s="219">
        <v>693673473018</v>
      </c>
      <c r="J280" s="219">
        <v>8235356149</v>
      </c>
    </row>
    <row r="281" spans="2:10" x14ac:dyDescent="0.25">
      <c r="B281" s="214" t="s">
        <v>1621</v>
      </c>
      <c r="C281" s="217">
        <v>1448</v>
      </c>
      <c r="D281" s="220" t="s">
        <v>751</v>
      </c>
      <c r="E281" s="220"/>
      <c r="F281" s="221"/>
      <c r="G281" s="148"/>
      <c r="I281" s="219">
        <v>951248930061</v>
      </c>
      <c r="J281" s="219">
        <v>8936871128</v>
      </c>
    </row>
    <row r="282" spans="2:10" x14ac:dyDescent="0.25">
      <c r="B282" s="214" t="s">
        <v>1621</v>
      </c>
      <c r="C282" s="217">
        <v>1451</v>
      </c>
      <c r="D282" s="220" t="s">
        <v>752</v>
      </c>
      <c r="E282" s="220"/>
      <c r="F282" s="221"/>
      <c r="G282" s="148"/>
      <c r="I282" s="219">
        <v>583841757565</v>
      </c>
      <c r="J282" s="219">
        <v>7909063958</v>
      </c>
    </row>
    <row r="283" spans="2:10" x14ac:dyDescent="0.25">
      <c r="B283" s="218">
        <v>43942</v>
      </c>
      <c r="C283" s="217">
        <v>1453</v>
      </c>
      <c r="D283" s="220" t="s">
        <v>754</v>
      </c>
      <c r="E283" s="220"/>
      <c r="F283" s="221"/>
      <c r="G283" s="148"/>
      <c r="I283" s="219"/>
      <c r="J283" s="219"/>
    </row>
    <row r="284" spans="2:10" x14ac:dyDescent="0.25">
      <c r="B284" s="218">
        <v>43942</v>
      </c>
      <c r="C284" s="217">
        <v>1456</v>
      </c>
      <c r="D284" s="220" t="s">
        <v>755</v>
      </c>
      <c r="E284" s="220"/>
      <c r="F284" s="221"/>
      <c r="G284" s="148"/>
      <c r="I284" s="219"/>
      <c r="J284" s="219"/>
    </row>
    <row r="285" spans="2:10" x14ac:dyDescent="0.25">
      <c r="B285" s="218">
        <v>43942</v>
      </c>
      <c r="C285" s="217">
        <v>1457</v>
      </c>
      <c r="D285" s="220" t="s">
        <v>756</v>
      </c>
      <c r="E285" s="220"/>
      <c r="F285" s="221"/>
      <c r="G285" s="148"/>
      <c r="I285" s="219"/>
      <c r="J285" s="219"/>
    </row>
    <row r="286" spans="2:10" x14ac:dyDescent="0.25">
      <c r="C286" s="217">
        <v>1457</v>
      </c>
      <c r="D286" s="220" t="s">
        <v>773</v>
      </c>
      <c r="E286" s="220"/>
      <c r="F286" s="221"/>
      <c r="G286" s="148"/>
      <c r="I286" s="219">
        <v>905053653021</v>
      </c>
      <c r="J286" s="219">
        <v>8092303017</v>
      </c>
    </row>
    <row r="287" spans="2:10" x14ac:dyDescent="0.25">
      <c r="B287" s="218">
        <v>43942</v>
      </c>
      <c r="C287" s="217">
        <v>1459</v>
      </c>
      <c r="D287" s="220" t="s">
        <v>757</v>
      </c>
      <c r="E287" s="220"/>
      <c r="F287" s="221"/>
      <c r="G287" s="148"/>
      <c r="I287" s="219">
        <v>946086020725</v>
      </c>
      <c r="J287" s="219">
        <v>9031905035</v>
      </c>
    </row>
    <row r="288" spans="2:10" x14ac:dyDescent="0.25">
      <c r="B288" s="218">
        <v>43942</v>
      </c>
      <c r="C288" s="217">
        <v>1461</v>
      </c>
      <c r="D288" s="220" t="s">
        <v>758</v>
      </c>
      <c r="E288" s="220"/>
      <c r="F288" s="221"/>
      <c r="G288" s="148"/>
      <c r="I288" s="219"/>
      <c r="J288" s="219"/>
    </row>
    <row r="289" spans="2:14" x14ac:dyDescent="0.25">
      <c r="B289" s="218">
        <v>43942</v>
      </c>
      <c r="C289" s="217">
        <v>1462</v>
      </c>
      <c r="D289" s="220" t="s">
        <v>759</v>
      </c>
      <c r="E289" s="220"/>
      <c r="F289" s="221"/>
      <c r="G289" s="148"/>
      <c r="I289" s="219">
        <v>804486359969</v>
      </c>
      <c r="J289" s="219">
        <v>7209584843</v>
      </c>
    </row>
    <row r="290" spans="2:14" x14ac:dyDescent="0.25">
      <c r="B290" s="218">
        <v>43942</v>
      </c>
      <c r="C290" s="217">
        <v>1464</v>
      </c>
      <c r="D290" s="220" t="s">
        <v>760</v>
      </c>
      <c r="E290" s="220"/>
      <c r="F290" s="221"/>
      <c r="G290" s="148"/>
      <c r="I290" s="219"/>
      <c r="J290" s="219"/>
    </row>
    <row r="291" spans="2:14" x14ac:dyDescent="0.25">
      <c r="B291" s="218">
        <v>43942</v>
      </c>
      <c r="C291" s="217">
        <v>1466</v>
      </c>
      <c r="D291" s="220" t="s">
        <v>761</v>
      </c>
      <c r="E291" s="220"/>
      <c r="F291" s="221"/>
      <c r="G291" s="148"/>
      <c r="I291" s="219"/>
      <c r="J291" s="219"/>
    </row>
    <row r="292" spans="2:14" x14ac:dyDescent="0.25">
      <c r="B292" s="218">
        <v>43942</v>
      </c>
      <c r="C292" s="217">
        <v>1468</v>
      </c>
      <c r="D292" s="220" t="s">
        <v>762</v>
      </c>
      <c r="E292" s="220"/>
      <c r="F292" s="221"/>
      <c r="G292" s="148"/>
      <c r="I292" s="219">
        <v>369141857281</v>
      </c>
      <c r="J292" s="219"/>
    </row>
    <row r="293" spans="2:14" x14ac:dyDescent="0.25">
      <c r="B293" s="218">
        <v>43942</v>
      </c>
      <c r="C293" s="217">
        <v>1470</v>
      </c>
      <c r="D293" s="220" t="s">
        <v>763</v>
      </c>
      <c r="E293" s="220"/>
      <c r="F293" s="221"/>
      <c r="G293" s="148"/>
      <c r="I293" s="219"/>
      <c r="J293" s="219"/>
    </row>
    <row r="294" spans="2:14" x14ac:dyDescent="0.25">
      <c r="B294" s="218">
        <v>43942</v>
      </c>
      <c r="C294" s="217">
        <v>1471</v>
      </c>
      <c r="D294" s="220" t="s">
        <v>764</v>
      </c>
      <c r="E294" s="220"/>
      <c r="F294" s="221"/>
      <c r="G294" s="148"/>
      <c r="I294" s="219"/>
      <c r="J294" s="219"/>
    </row>
    <row r="295" spans="2:14" x14ac:dyDescent="0.25">
      <c r="B295" s="218">
        <v>43942</v>
      </c>
      <c r="C295" s="217">
        <v>1473</v>
      </c>
      <c r="D295" s="220" t="s">
        <v>765</v>
      </c>
      <c r="E295" s="220"/>
      <c r="F295" s="221"/>
      <c r="G295" s="148" t="s">
        <v>1671</v>
      </c>
      <c r="H295" s="214">
        <v>500</v>
      </c>
      <c r="I295" s="219">
        <v>330207183236</v>
      </c>
      <c r="J295" s="219">
        <v>8936012595</v>
      </c>
      <c r="N295" s="214" t="s">
        <v>66</v>
      </c>
    </row>
    <row r="296" spans="2:14" x14ac:dyDescent="0.25">
      <c r="B296" s="218">
        <v>43942</v>
      </c>
      <c r="C296" s="217">
        <v>1475</v>
      </c>
      <c r="D296" s="220" t="s">
        <v>766</v>
      </c>
      <c r="E296" s="220"/>
      <c r="F296" s="221"/>
      <c r="G296" s="148" t="s">
        <v>1671</v>
      </c>
      <c r="H296" s="214">
        <v>500</v>
      </c>
      <c r="I296" s="219">
        <v>355904278084</v>
      </c>
      <c r="J296" s="219">
        <v>8789704557</v>
      </c>
      <c r="N296" s="214" t="s">
        <v>66</v>
      </c>
    </row>
    <row r="297" spans="2:14" x14ac:dyDescent="0.25">
      <c r="B297" s="218">
        <v>43942</v>
      </c>
      <c r="C297" s="217">
        <v>1477</v>
      </c>
      <c r="D297" s="220" t="s">
        <v>767</v>
      </c>
      <c r="E297" s="220"/>
      <c r="F297" s="221"/>
      <c r="G297" s="148"/>
      <c r="H297" s="214">
        <v>500</v>
      </c>
      <c r="I297" s="219"/>
      <c r="J297" s="219"/>
    </row>
    <row r="298" spans="2:14" x14ac:dyDescent="0.25">
      <c r="B298" s="218">
        <v>43942</v>
      </c>
      <c r="C298" s="217">
        <v>1479</v>
      </c>
      <c r="D298" s="220" t="s">
        <v>768</v>
      </c>
      <c r="E298" s="220"/>
      <c r="F298" s="221"/>
      <c r="G298" s="148"/>
      <c r="I298" s="219"/>
      <c r="J298" s="219"/>
    </row>
    <row r="299" spans="2:14" x14ac:dyDescent="0.25">
      <c r="B299" s="218">
        <v>43942</v>
      </c>
      <c r="C299" s="217">
        <v>1482</v>
      </c>
      <c r="D299" s="220" t="s">
        <v>769</v>
      </c>
      <c r="E299" s="220"/>
      <c r="F299" s="221"/>
      <c r="G299" s="148"/>
      <c r="I299" s="219"/>
      <c r="J299" s="219"/>
    </row>
    <row r="300" spans="2:14" x14ac:dyDescent="0.25">
      <c r="B300" s="218">
        <v>43942</v>
      </c>
      <c r="C300" s="217">
        <v>1484</v>
      </c>
      <c r="D300" s="220" t="s">
        <v>770</v>
      </c>
      <c r="E300" s="220"/>
      <c r="F300" s="221"/>
      <c r="G300" s="148"/>
      <c r="I300" s="219"/>
      <c r="J300" s="219"/>
    </row>
    <row r="301" spans="2:14" x14ac:dyDescent="0.25">
      <c r="B301" s="218">
        <v>43942</v>
      </c>
      <c r="C301" s="217">
        <v>1486</v>
      </c>
      <c r="D301" s="220" t="s">
        <v>771</v>
      </c>
      <c r="E301" s="220"/>
      <c r="F301" s="221"/>
      <c r="G301" s="148"/>
      <c r="I301" s="219">
        <v>277515867017</v>
      </c>
      <c r="J301" s="219">
        <v>7209787688</v>
      </c>
    </row>
    <row r="302" spans="2:14" x14ac:dyDescent="0.25">
      <c r="B302" s="218">
        <v>43942</v>
      </c>
      <c r="C302" s="217">
        <v>1488</v>
      </c>
      <c r="D302" s="220" t="s">
        <v>772</v>
      </c>
      <c r="E302" s="220"/>
      <c r="F302" s="221"/>
      <c r="G302" s="148"/>
      <c r="I302" s="219">
        <v>580593383164</v>
      </c>
      <c r="J302" s="219">
        <v>8540847269</v>
      </c>
    </row>
    <row r="303" spans="2:14" x14ac:dyDescent="0.25">
      <c r="B303" s="218">
        <v>43942</v>
      </c>
      <c r="C303" s="217">
        <v>1490</v>
      </c>
      <c r="D303" s="220" t="s">
        <v>635</v>
      </c>
      <c r="E303" s="220"/>
      <c r="F303" s="221"/>
      <c r="G303" s="148"/>
      <c r="I303" s="219"/>
      <c r="J303" s="219"/>
    </row>
    <row r="304" spans="2:14" x14ac:dyDescent="0.25">
      <c r="B304" s="218">
        <v>43943</v>
      </c>
      <c r="C304" s="217">
        <v>1499</v>
      </c>
      <c r="D304" s="220" t="s">
        <v>774</v>
      </c>
      <c r="E304" s="220"/>
      <c r="F304" s="221"/>
      <c r="G304" s="148"/>
      <c r="I304" s="219">
        <v>401409500429</v>
      </c>
      <c r="J304" s="219">
        <v>9801615690</v>
      </c>
    </row>
    <row r="305" spans="2:10" x14ac:dyDescent="0.25">
      <c r="B305" s="218">
        <v>43943</v>
      </c>
      <c r="C305" s="217">
        <v>1500</v>
      </c>
      <c r="D305" s="220" t="s">
        <v>780</v>
      </c>
      <c r="E305" s="220"/>
      <c r="F305" s="221"/>
      <c r="G305" s="148"/>
      <c r="I305" s="219">
        <v>308747404117</v>
      </c>
      <c r="J305" s="219">
        <v>7870281986</v>
      </c>
    </row>
    <row r="306" spans="2:10" x14ac:dyDescent="0.25">
      <c r="B306" s="218">
        <v>43943</v>
      </c>
      <c r="C306" s="217">
        <v>1501</v>
      </c>
      <c r="D306" s="220" t="s">
        <v>775</v>
      </c>
      <c r="E306" s="220"/>
      <c r="F306" s="221"/>
      <c r="G306" s="148"/>
      <c r="I306" s="219">
        <v>921110718493</v>
      </c>
      <c r="J306" s="219">
        <v>7209801225</v>
      </c>
    </row>
    <row r="307" spans="2:10" x14ac:dyDescent="0.25">
      <c r="B307" s="218">
        <v>43943</v>
      </c>
      <c r="C307" s="217">
        <v>1502</v>
      </c>
      <c r="D307" s="220" t="s">
        <v>776</v>
      </c>
      <c r="E307" s="220"/>
      <c r="F307" s="221"/>
      <c r="G307" s="148"/>
      <c r="I307" s="219">
        <v>636730367931</v>
      </c>
      <c r="J307" s="219">
        <v>9534148477</v>
      </c>
    </row>
    <row r="308" spans="2:10" x14ac:dyDescent="0.25">
      <c r="B308" s="218">
        <v>43943</v>
      </c>
      <c r="C308" s="217">
        <v>1503</v>
      </c>
      <c r="D308" s="220" t="s">
        <v>777</v>
      </c>
      <c r="E308" s="220"/>
      <c r="F308" s="221"/>
      <c r="G308" s="148"/>
      <c r="I308" s="219">
        <v>652362941682</v>
      </c>
      <c r="J308" s="219">
        <v>8709525197</v>
      </c>
    </row>
    <row r="309" spans="2:10" x14ac:dyDescent="0.25">
      <c r="B309" s="218">
        <v>43943</v>
      </c>
      <c r="C309" s="217">
        <v>1504</v>
      </c>
      <c r="D309" s="220" t="s">
        <v>778</v>
      </c>
      <c r="E309" s="220"/>
      <c r="F309" s="221"/>
      <c r="G309" s="148"/>
      <c r="I309" s="219">
        <v>813050393553</v>
      </c>
      <c r="J309" s="219">
        <v>7070955899</v>
      </c>
    </row>
    <row r="310" spans="2:10" x14ac:dyDescent="0.25">
      <c r="B310" s="218">
        <v>43943</v>
      </c>
      <c r="C310" s="217">
        <v>1505</v>
      </c>
      <c r="D310" s="220" t="s">
        <v>779</v>
      </c>
      <c r="E310" s="220"/>
      <c r="F310" s="221"/>
      <c r="G310" s="148"/>
      <c r="I310" s="219">
        <v>464569722436</v>
      </c>
      <c r="J310" s="219">
        <v>8580241064</v>
      </c>
    </row>
    <row r="311" spans="2:10" x14ac:dyDescent="0.25">
      <c r="B311" s="218">
        <v>43943</v>
      </c>
      <c r="C311" s="217">
        <v>1508</v>
      </c>
      <c r="D311" s="220" t="s">
        <v>781</v>
      </c>
      <c r="E311" s="220"/>
      <c r="F311" s="221"/>
      <c r="G311" s="148"/>
      <c r="I311" s="219">
        <v>765426375169</v>
      </c>
      <c r="J311" s="219">
        <v>9708022268</v>
      </c>
    </row>
    <row r="312" spans="2:10" x14ac:dyDescent="0.25">
      <c r="B312" s="218">
        <v>43943</v>
      </c>
      <c r="C312" s="217">
        <v>1509</v>
      </c>
      <c r="D312" s="220" t="s">
        <v>782</v>
      </c>
      <c r="E312" s="220"/>
      <c r="F312" s="221"/>
      <c r="G312" s="148"/>
      <c r="I312" s="219">
        <v>208093639454</v>
      </c>
      <c r="J312" s="219">
        <v>9709347756</v>
      </c>
    </row>
    <row r="313" spans="2:10" x14ac:dyDescent="0.25">
      <c r="B313" s="218">
        <v>43943</v>
      </c>
      <c r="C313" s="217">
        <v>1510</v>
      </c>
      <c r="D313" s="220" t="s">
        <v>783</v>
      </c>
      <c r="E313" s="220"/>
      <c r="F313" s="221"/>
      <c r="G313" s="148"/>
      <c r="I313" s="219">
        <v>682679020558</v>
      </c>
      <c r="J313" s="219">
        <v>8789113547</v>
      </c>
    </row>
    <row r="314" spans="2:10" x14ac:dyDescent="0.25">
      <c r="B314" s="218">
        <v>43943</v>
      </c>
      <c r="C314" s="217">
        <v>1511</v>
      </c>
      <c r="D314" s="220" t="s">
        <v>784</v>
      </c>
      <c r="E314" s="220"/>
      <c r="F314" s="221"/>
      <c r="G314" s="148"/>
      <c r="I314" s="219">
        <v>755609849085</v>
      </c>
      <c r="J314" s="219">
        <v>6200117529</v>
      </c>
    </row>
    <row r="315" spans="2:10" x14ac:dyDescent="0.25">
      <c r="B315" s="218">
        <v>43943</v>
      </c>
      <c r="C315" s="217">
        <v>1513</v>
      </c>
      <c r="D315" s="220" t="s">
        <v>785</v>
      </c>
      <c r="E315" s="220"/>
      <c r="F315" s="221"/>
      <c r="G315" s="148"/>
      <c r="I315" s="219">
        <v>511852896466</v>
      </c>
      <c r="J315" s="219">
        <v>9504115577</v>
      </c>
    </row>
    <row r="316" spans="2:10" x14ac:dyDescent="0.25">
      <c r="B316" s="218">
        <v>43943</v>
      </c>
      <c r="C316" s="217">
        <v>1514</v>
      </c>
      <c r="D316" s="220" t="s">
        <v>786</v>
      </c>
      <c r="E316" s="220"/>
      <c r="F316" s="221"/>
      <c r="G316" s="148"/>
      <c r="I316" s="219">
        <v>421553023356</v>
      </c>
      <c r="J316" s="219">
        <v>9162546757</v>
      </c>
    </row>
    <row r="317" spans="2:10" x14ac:dyDescent="0.25">
      <c r="B317" s="218">
        <v>43943</v>
      </c>
      <c r="C317" s="217">
        <v>1516</v>
      </c>
      <c r="D317" s="220" t="s">
        <v>787</v>
      </c>
      <c r="E317" s="220"/>
      <c r="F317" s="221"/>
      <c r="G317" s="148"/>
      <c r="I317" s="219">
        <v>337837753875</v>
      </c>
      <c r="J317" s="219">
        <v>7209782324</v>
      </c>
    </row>
    <row r="318" spans="2:10" x14ac:dyDescent="0.25">
      <c r="B318" s="218">
        <v>43943</v>
      </c>
      <c r="C318" s="217">
        <v>1518</v>
      </c>
      <c r="D318" s="220" t="s">
        <v>788</v>
      </c>
      <c r="E318" s="220"/>
      <c r="F318" s="221"/>
      <c r="G318" s="148"/>
      <c r="I318" s="219">
        <v>614411907887</v>
      </c>
      <c r="J318" s="219">
        <v>9693547843</v>
      </c>
    </row>
    <row r="319" spans="2:10" x14ac:dyDescent="0.25">
      <c r="B319" s="218">
        <v>43943</v>
      </c>
      <c r="C319" s="217">
        <v>1523</v>
      </c>
      <c r="D319" s="220" t="s">
        <v>789</v>
      </c>
      <c r="E319" s="220"/>
      <c r="F319" s="221"/>
      <c r="G319" s="148"/>
      <c r="I319" s="219">
        <v>585114490109</v>
      </c>
      <c r="J319" s="219">
        <v>6206363107</v>
      </c>
    </row>
    <row r="320" spans="2:10" x14ac:dyDescent="0.25">
      <c r="B320" s="218">
        <v>43943</v>
      </c>
      <c r="C320" s="217">
        <v>1527</v>
      </c>
      <c r="D320" s="220" t="s">
        <v>790</v>
      </c>
      <c r="E320" s="220"/>
      <c r="F320" s="221"/>
      <c r="G320" s="148"/>
      <c r="I320" s="219">
        <v>494571832312</v>
      </c>
      <c r="J320" s="219">
        <v>8674950261</v>
      </c>
    </row>
    <row r="321" spans="2:12" x14ac:dyDescent="0.25">
      <c r="B321" s="218">
        <v>43943</v>
      </c>
      <c r="C321" s="217">
        <v>1528</v>
      </c>
      <c r="D321" s="220" t="s">
        <v>791</v>
      </c>
      <c r="E321" s="220"/>
      <c r="F321" s="221"/>
      <c r="G321" s="148"/>
      <c r="I321" s="219">
        <v>249425959647</v>
      </c>
      <c r="J321" s="219">
        <v>7979906718</v>
      </c>
    </row>
    <row r="322" spans="2:12" x14ac:dyDescent="0.25">
      <c r="B322" s="218">
        <v>43943</v>
      </c>
      <c r="C322" s="217">
        <v>1530</v>
      </c>
      <c r="D322" s="220" t="s">
        <v>792</v>
      </c>
      <c r="E322" s="220"/>
      <c r="F322" s="221"/>
      <c r="G322" s="148"/>
      <c r="I322" s="219">
        <v>323438773069</v>
      </c>
      <c r="J322" s="219">
        <v>9279494534</v>
      </c>
    </row>
    <row r="323" spans="2:12" x14ac:dyDescent="0.25">
      <c r="B323" s="218">
        <v>43943</v>
      </c>
      <c r="C323" s="217">
        <v>1531</v>
      </c>
      <c r="D323" s="220" t="s">
        <v>753</v>
      </c>
      <c r="E323" s="220"/>
      <c r="F323" s="221"/>
      <c r="G323" s="148"/>
      <c r="I323" s="219">
        <v>870357558515</v>
      </c>
      <c r="J323" s="219">
        <v>9931802939</v>
      </c>
    </row>
    <row r="324" spans="2:12" x14ac:dyDescent="0.25">
      <c r="B324" s="218">
        <v>43943</v>
      </c>
      <c r="C324" s="217">
        <v>1531</v>
      </c>
      <c r="D324" s="220" t="s">
        <v>753</v>
      </c>
      <c r="E324" s="220"/>
      <c r="F324" s="221"/>
      <c r="G324" s="148"/>
      <c r="I324" s="219">
        <v>870357558515</v>
      </c>
      <c r="J324" s="219">
        <v>9931802939</v>
      </c>
    </row>
    <row r="325" spans="2:12" x14ac:dyDescent="0.25">
      <c r="B325" s="218">
        <v>43943</v>
      </c>
      <c r="C325" s="217">
        <v>1533</v>
      </c>
      <c r="D325" s="220" t="s">
        <v>793</v>
      </c>
      <c r="E325" s="220"/>
      <c r="F325" s="221"/>
      <c r="G325" s="148"/>
      <c r="I325" s="219">
        <v>384809460416</v>
      </c>
      <c r="J325" s="219">
        <v>8797935601</v>
      </c>
    </row>
    <row r="326" spans="2:12" x14ac:dyDescent="0.25">
      <c r="B326" s="218">
        <v>43943</v>
      </c>
      <c r="C326" s="217">
        <v>1535</v>
      </c>
      <c r="D326" s="220" t="s">
        <v>794</v>
      </c>
      <c r="E326" s="220"/>
      <c r="F326" s="221"/>
      <c r="G326" s="148"/>
      <c r="I326" s="219">
        <v>892278551590</v>
      </c>
      <c r="J326" s="219">
        <v>9199462458</v>
      </c>
    </row>
    <row r="327" spans="2:12" x14ac:dyDescent="0.25">
      <c r="B327" s="218">
        <v>43943</v>
      </c>
      <c r="C327" s="217">
        <v>1538</v>
      </c>
      <c r="D327" s="220" t="s">
        <v>795</v>
      </c>
      <c r="E327" s="220"/>
      <c r="F327" s="221"/>
      <c r="G327" s="148"/>
      <c r="I327" s="219">
        <v>704688647438</v>
      </c>
      <c r="J327" s="219">
        <v>7903830136</v>
      </c>
    </row>
    <row r="328" spans="2:12" x14ac:dyDescent="0.25">
      <c r="B328" s="218">
        <v>43943</v>
      </c>
      <c r="C328" s="217">
        <v>1539</v>
      </c>
      <c r="D328" s="220" t="s">
        <v>796</v>
      </c>
      <c r="E328" s="220"/>
      <c r="F328" s="221"/>
      <c r="G328" s="148"/>
      <c r="I328" s="219">
        <v>573091473414</v>
      </c>
      <c r="J328" s="219">
        <v>8757991916</v>
      </c>
    </row>
    <row r="329" spans="2:12" x14ac:dyDescent="0.25">
      <c r="B329" s="218">
        <v>43943</v>
      </c>
      <c r="C329" s="217">
        <v>1540</v>
      </c>
      <c r="D329" s="220" t="s">
        <v>797</v>
      </c>
      <c r="E329" s="220"/>
      <c r="F329" s="221"/>
      <c r="G329" s="148"/>
      <c r="I329" s="219">
        <v>366216000536</v>
      </c>
      <c r="J329" s="219">
        <v>9031906291</v>
      </c>
    </row>
    <row r="330" spans="2:12" x14ac:dyDescent="0.25">
      <c r="B330" s="218">
        <v>43943</v>
      </c>
      <c r="C330" s="217">
        <v>1543</v>
      </c>
      <c r="D330" s="220" t="s">
        <v>798</v>
      </c>
      <c r="E330" s="220"/>
      <c r="F330" s="221"/>
      <c r="G330" s="148"/>
      <c r="I330" s="219">
        <v>974602448920</v>
      </c>
      <c r="J330" s="219">
        <v>9304538696</v>
      </c>
    </row>
    <row r="331" spans="2:12" x14ac:dyDescent="0.25">
      <c r="B331" s="218">
        <v>43943</v>
      </c>
      <c r="C331" s="217">
        <v>1544</v>
      </c>
      <c r="D331" s="220" t="s">
        <v>799</v>
      </c>
      <c r="E331" s="220"/>
      <c r="F331" s="221"/>
      <c r="G331" s="148"/>
      <c r="I331" s="219">
        <v>990015357573</v>
      </c>
      <c r="J331" s="219">
        <v>8092028595</v>
      </c>
    </row>
    <row r="332" spans="2:12" x14ac:dyDescent="0.25">
      <c r="B332" s="218">
        <v>43943</v>
      </c>
      <c r="C332" s="217">
        <v>1549</v>
      </c>
      <c r="D332" s="220" t="s">
        <v>800</v>
      </c>
      <c r="E332" s="220"/>
      <c r="F332" s="221"/>
      <c r="G332" s="148"/>
      <c r="I332" s="219">
        <v>227038804553</v>
      </c>
      <c r="J332" s="219">
        <v>7485067169</v>
      </c>
    </row>
    <row r="333" spans="2:12" x14ac:dyDescent="0.25">
      <c r="B333" s="218">
        <v>43943</v>
      </c>
      <c r="C333" s="217">
        <v>1552</v>
      </c>
      <c r="D333" s="220" t="s">
        <v>801</v>
      </c>
      <c r="E333" s="220"/>
      <c r="F333" s="221"/>
      <c r="G333" s="148" t="s">
        <v>1778</v>
      </c>
      <c r="I333" s="219">
        <v>498468088612</v>
      </c>
      <c r="J333" s="219">
        <v>9263458852</v>
      </c>
      <c r="L333" s="218">
        <v>44016</v>
      </c>
    </row>
    <row r="334" spans="2:12" x14ac:dyDescent="0.25">
      <c r="B334" s="218">
        <v>43943</v>
      </c>
      <c r="C334" s="217">
        <v>1555</v>
      </c>
      <c r="D334" s="220" t="s">
        <v>802</v>
      </c>
      <c r="E334" s="220"/>
      <c r="F334" s="221"/>
      <c r="G334" s="148"/>
      <c r="I334" s="219">
        <v>233068088612</v>
      </c>
      <c r="J334" s="219">
        <v>9135877532</v>
      </c>
    </row>
    <row r="335" spans="2:12" x14ac:dyDescent="0.25">
      <c r="B335" s="218">
        <v>43943</v>
      </c>
      <c r="C335" s="217">
        <v>1558</v>
      </c>
      <c r="D335" s="220" t="s">
        <v>803</v>
      </c>
      <c r="E335" s="220"/>
      <c r="F335" s="221"/>
      <c r="G335" s="148"/>
      <c r="I335" s="219">
        <v>314913502092</v>
      </c>
      <c r="J335" s="219">
        <v>9931723895</v>
      </c>
    </row>
    <row r="336" spans="2:12" x14ac:dyDescent="0.25">
      <c r="B336" s="218">
        <v>43943</v>
      </c>
      <c r="C336" s="217">
        <v>1559</v>
      </c>
      <c r="D336" s="220" t="s">
        <v>804</v>
      </c>
      <c r="E336" s="220"/>
      <c r="F336" s="221"/>
      <c r="G336" s="148"/>
      <c r="I336" s="219">
        <v>977741520865</v>
      </c>
      <c r="J336" s="219">
        <v>9262673895</v>
      </c>
    </row>
    <row r="337" spans="2:10" x14ac:dyDescent="0.25">
      <c r="B337" s="218">
        <v>43943</v>
      </c>
      <c r="C337" s="217">
        <v>1560</v>
      </c>
      <c r="D337" s="220" t="s">
        <v>631</v>
      </c>
      <c r="E337" s="220"/>
      <c r="F337" s="221"/>
      <c r="G337" s="148"/>
      <c r="I337" s="219">
        <v>739528574762</v>
      </c>
      <c r="J337" s="219">
        <v>7903858875</v>
      </c>
    </row>
    <row r="338" spans="2:10" x14ac:dyDescent="0.25">
      <c r="B338" s="218">
        <v>43943</v>
      </c>
      <c r="C338" s="217">
        <v>1561</v>
      </c>
      <c r="D338" s="220" t="s">
        <v>805</v>
      </c>
      <c r="E338" s="220"/>
      <c r="F338" s="221"/>
      <c r="G338" s="148"/>
      <c r="I338" s="219">
        <v>403100192332</v>
      </c>
      <c r="J338" s="219">
        <v>7903029789</v>
      </c>
    </row>
    <row r="339" spans="2:10" x14ac:dyDescent="0.25">
      <c r="B339" s="218">
        <v>43943</v>
      </c>
      <c r="C339" s="217">
        <v>1563</v>
      </c>
      <c r="D339" s="220" t="s">
        <v>806</v>
      </c>
      <c r="E339" s="220"/>
      <c r="F339" s="221"/>
      <c r="G339" s="148"/>
      <c r="I339" s="219">
        <v>522932609844</v>
      </c>
      <c r="J339" s="219">
        <v>6201691486</v>
      </c>
    </row>
    <row r="340" spans="2:10" x14ac:dyDescent="0.25">
      <c r="B340" s="218">
        <v>43943</v>
      </c>
      <c r="C340" s="217">
        <v>1564</v>
      </c>
      <c r="D340" s="220" t="s">
        <v>807</v>
      </c>
      <c r="E340" s="220"/>
      <c r="F340" s="221"/>
      <c r="G340" s="148"/>
      <c r="I340" s="219">
        <v>632347033441</v>
      </c>
      <c r="J340" s="219">
        <v>6206544462</v>
      </c>
    </row>
    <row r="341" spans="2:10" x14ac:dyDescent="0.25">
      <c r="B341" s="218">
        <v>44035</v>
      </c>
      <c r="C341" s="217">
        <v>1568</v>
      </c>
      <c r="D341" s="220" t="s">
        <v>808</v>
      </c>
      <c r="E341" s="220"/>
      <c r="F341" s="221"/>
      <c r="G341" s="148"/>
      <c r="I341" s="219">
        <v>424581778670</v>
      </c>
      <c r="J341" s="219">
        <v>8102033882</v>
      </c>
    </row>
    <row r="342" spans="2:10" x14ac:dyDescent="0.25">
      <c r="B342" s="218">
        <v>44035</v>
      </c>
      <c r="C342" s="217">
        <v>1569</v>
      </c>
      <c r="D342" s="220" t="s">
        <v>809</v>
      </c>
      <c r="E342" s="220"/>
      <c r="F342" s="221"/>
      <c r="G342" s="148"/>
      <c r="I342" s="219">
        <v>289452896503</v>
      </c>
      <c r="J342" s="219">
        <v>8434701798</v>
      </c>
    </row>
    <row r="343" spans="2:10" x14ac:dyDescent="0.25">
      <c r="B343" s="218">
        <v>44035</v>
      </c>
      <c r="C343" s="217">
        <v>1570</v>
      </c>
      <c r="D343" s="220" t="s">
        <v>810</v>
      </c>
      <c r="E343" s="220"/>
      <c r="F343" s="221"/>
      <c r="G343" s="148"/>
      <c r="I343" s="219">
        <v>594931727772</v>
      </c>
      <c r="J343" s="219">
        <v>7209634139</v>
      </c>
    </row>
    <row r="344" spans="2:10" x14ac:dyDescent="0.25">
      <c r="B344" s="218">
        <v>44035</v>
      </c>
      <c r="C344" s="217">
        <v>1572</v>
      </c>
      <c r="D344" s="220" t="s">
        <v>811</v>
      </c>
      <c r="E344" s="220"/>
      <c r="F344" s="221"/>
      <c r="G344" s="148"/>
      <c r="I344" s="219">
        <v>604151281775</v>
      </c>
      <c r="J344" s="219">
        <v>809261053</v>
      </c>
    </row>
    <row r="345" spans="2:10" x14ac:dyDescent="0.25">
      <c r="B345" s="218">
        <v>44035</v>
      </c>
      <c r="C345" s="217">
        <v>1573</v>
      </c>
      <c r="D345" s="220" t="s">
        <v>812</v>
      </c>
      <c r="E345" s="220"/>
      <c r="F345" s="221"/>
      <c r="G345" s="148"/>
      <c r="I345" s="219">
        <v>220713032834</v>
      </c>
      <c r="J345" s="219">
        <v>9097560723</v>
      </c>
    </row>
    <row r="346" spans="2:10" x14ac:dyDescent="0.25">
      <c r="B346" s="218">
        <v>44035</v>
      </c>
      <c r="C346" s="217">
        <v>1575</v>
      </c>
      <c r="D346" s="220" t="s">
        <v>813</v>
      </c>
      <c r="E346" s="220"/>
      <c r="F346" s="221"/>
      <c r="G346" s="148"/>
      <c r="I346" s="219">
        <v>577108604497</v>
      </c>
      <c r="J346" s="219">
        <v>9931502728</v>
      </c>
    </row>
    <row r="347" spans="2:10" x14ac:dyDescent="0.25">
      <c r="B347" s="218">
        <v>44035</v>
      </c>
      <c r="C347" s="217">
        <v>1577</v>
      </c>
      <c r="D347" s="220" t="s">
        <v>814</v>
      </c>
      <c r="E347" s="220"/>
      <c r="F347" s="221"/>
      <c r="G347" s="148"/>
      <c r="I347" s="219">
        <v>705074125128</v>
      </c>
      <c r="J347" s="219">
        <v>6202271270</v>
      </c>
    </row>
    <row r="348" spans="2:10" x14ac:dyDescent="0.25">
      <c r="B348" s="218">
        <v>44035</v>
      </c>
      <c r="C348" s="217">
        <v>1578</v>
      </c>
      <c r="D348" s="220" t="s">
        <v>815</v>
      </c>
      <c r="E348" s="220"/>
      <c r="F348" s="221"/>
      <c r="G348" s="148"/>
      <c r="I348" s="219">
        <v>439084605457</v>
      </c>
      <c r="J348" s="219">
        <v>7909030352</v>
      </c>
    </row>
    <row r="349" spans="2:10" x14ac:dyDescent="0.25">
      <c r="B349" s="218">
        <v>44035</v>
      </c>
      <c r="C349" s="217">
        <v>1580</v>
      </c>
      <c r="D349" s="220" t="s">
        <v>816</v>
      </c>
      <c r="E349" s="220"/>
      <c r="F349" s="221"/>
      <c r="G349" s="148"/>
      <c r="I349" s="219">
        <v>564684837594</v>
      </c>
      <c r="J349" s="219">
        <v>6200618967</v>
      </c>
    </row>
    <row r="350" spans="2:10" x14ac:dyDescent="0.25">
      <c r="B350" s="218">
        <v>44035</v>
      </c>
      <c r="C350" s="217">
        <v>1582</v>
      </c>
      <c r="D350" s="220" t="s">
        <v>817</v>
      </c>
      <c r="E350" s="220"/>
      <c r="F350" s="221"/>
      <c r="G350" s="148"/>
      <c r="I350" s="219">
        <v>281757786467</v>
      </c>
      <c r="J350" s="219">
        <v>6202438417</v>
      </c>
    </row>
    <row r="351" spans="2:10" x14ac:dyDescent="0.25">
      <c r="B351" s="218">
        <v>44035</v>
      </c>
      <c r="C351" s="217">
        <v>1584</v>
      </c>
      <c r="D351" s="220" t="s">
        <v>818</v>
      </c>
      <c r="E351" s="220"/>
      <c r="F351" s="221"/>
      <c r="G351" s="148"/>
      <c r="I351" s="219">
        <v>354102936863</v>
      </c>
      <c r="J351" s="219">
        <v>9631473782</v>
      </c>
    </row>
    <row r="352" spans="2:10" x14ac:dyDescent="0.25">
      <c r="B352" s="218">
        <v>44035</v>
      </c>
      <c r="C352" s="217">
        <v>1585</v>
      </c>
      <c r="D352" s="220" t="s">
        <v>819</v>
      </c>
      <c r="E352" s="220"/>
      <c r="F352" s="221"/>
      <c r="G352" s="148"/>
      <c r="I352" s="219">
        <v>682978880181</v>
      </c>
      <c r="J352" s="219">
        <v>7992351176</v>
      </c>
    </row>
    <row r="353" spans="2:10" x14ac:dyDescent="0.25">
      <c r="B353" s="218">
        <v>44035</v>
      </c>
      <c r="C353" s="217">
        <v>1586</v>
      </c>
      <c r="D353" s="220" t="s">
        <v>820</v>
      </c>
      <c r="E353" s="220"/>
      <c r="F353" s="221"/>
      <c r="G353" s="148"/>
      <c r="I353" s="219">
        <v>904527034977</v>
      </c>
      <c r="J353" s="219">
        <v>7763884551</v>
      </c>
    </row>
    <row r="354" spans="2:10" x14ac:dyDescent="0.25">
      <c r="B354" s="218">
        <v>44035</v>
      </c>
      <c r="C354" s="217">
        <v>1587</v>
      </c>
      <c r="D354" s="220" t="s">
        <v>821</v>
      </c>
      <c r="E354" s="220"/>
      <c r="F354" s="221"/>
      <c r="G354" s="148"/>
      <c r="I354" s="219">
        <v>596052930052</v>
      </c>
      <c r="J354" s="219">
        <v>7992351176</v>
      </c>
    </row>
    <row r="355" spans="2:10" x14ac:dyDescent="0.25">
      <c r="B355" s="218">
        <v>44035</v>
      </c>
      <c r="C355" s="217">
        <v>1589</v>
      </c>
      <c r="D355" s="220" t="s">
        <v>822</v>
      </c>
      <c r="E355" s="220"/>
      <c r="F355" s="221"/>
      <c r="G355" s="148"/>
      <c r="I355" s="219">
        <v>283521996492</v>
      </c>
      <c r="J355" s="219">
        <v>9334797919</v>
      </c>
    </row>
    <row r="356" spans="2:10" x14ac:dyDescent="0.25">
      <c r="B356" s="218">
        <v>44035</v>
      </c>
      <c r="C356" s="217">
        <v>1591</v>
      </c>
      <c r="D356" s="220" t="s">
        <v>823</v>
      </c>
      <c r="E356" s="220"/>
      <c r="F356" s="221"/>
      <c r="G356" s="148"/>
      <c r="I356" s="219">
        <v>957417226742</v>
      </c>
      <c r="J356" s="219">
        <v>9304690362</v>
      </c>
    </row>
    <row r="357" spans="2:10" x14ac:dyDescent="0.25">
      <c r="B357" s="218">
        <v>44035</v>
      </c>
      <c r="C357" s="217">
        <v>1593</v>
      </c>
      <c r="D357" s="220" t="s">
        <v>824</v>
      </c>
      <c r="E357" s="220"/>
      <c r="F357" s="221"/>
      <c r="G357" s="148"/>
      <c r="I357" s="219">
        <v>821733423993</v>
      </c>
      <c r="J357" s="219">
        <v>8340798659</v>
      </c>
    </row>
    <row r="358" spans="2:10" x14ac:dyDescent="0.25">
      <c r="B358" s="218">
        <v>44035</v>
      </c>
      <c r="C358" s="217">
        <v>1595</v>
      </c>
      <c r="D358" s="220" t="s">
        <v>825</v>
      </c>
      <c r="E358" s="220"/>
      <c r="F358" s="221"/>
      <c r="G358" s="148"/>
      <c r="I358" s="219">
        <v>544069093384</v>
      </c>
      <c r="J358" s="219">
        <v>7319634292</v>
      </c>
    </row>
    <row r="359" spans="2:10" x14ac:dyDescent="0.25">
      <c r="B359" s="218">
        <v>44035</v>
      </c>
      <c r="C359" s="217">
        <v>1596</v>
      </c>
      <c r="D359" s="220" t="s">
        <v>826</v>
      </c>
      <c r="E359" s="220"/>
      <c r="F359" s="221"/>
      <c r="G359" s="148"/>
      <c r="I359" s="219">
        <v>539357763425</v>
      </c>
      <c r="J359" s="219">
        <v>8292996345</v>
      </c>
    </row>
    <row r="360" spans="2:10" x14ac:dyDescent="0.25">
      <c r="B360" s="218">
        <v>44035</v>
      </c>
      <c r="C360" s="217">
        <v>1597</v>
      </c>
      <c r="D360" s="220" t="s">
        <v>827</v>
      </c>
      <c r="E360" s="220"/>
      <c r="F360" s="221"/>
      <c r="G360" s="148"/>
      <c r="I360" s="219">
        <v>407430407231</v>
      </c>
      <c r="J360" s="219">
        <v>7070361149</v>
      </c>
    </row>
    <row r="361" spans="2:10" x14ac:dyDescent="0.25">
      <c r="B361" s="218">
        <v>44035</v>
      </c>
      <c r="C361" s="217">
        <v>1601</v>
      </c>
      <c r="D361" s="220" t="s">
        <v>828</v>
      </c>
      <c r="E361" s="220"/>
      <c r="F361" s="221"/>
      <c r="G361" s="148"/>
      <c r="I361" s="219">
        <v>586031319285</v>
      </c>
      <c r="J361" s="219">
        <v>7209811286</v>
      </c>
    </row>
    <row r="362" spans="2:10" x14ac:dyDescent="0.25">
      <c r="B362" s="218">
        <v>44035</v>
      </c>
      <c r="C362" s="217">
        <v>1604</v>
      </c>
      <c r="D362" s="220" t="s">
        <v>829</v>
      </c>
      <c r="E362" s="220"/>
      <c r="F362" s="221"/>
      <c r="G362" s="148"/>
      <c r="I362" s="219">
        <v>661757075927</v>
      </c>
      <c r="J362" s="219">
        <v>8085371471</v>
      </c>
    </row>
    <row r="363" spans="2:10" x14ac:dyDescent="0.25">
      <c r="B363" s="218">
        <v>44035</v>
      </c>
      <c r="C363" s="217">
        <v>1607</v>
      </c>
      <c r="D363" s="220" t="s">
        <v>830</v>
      </c>
      <c r="E363" s="220"/>
      <c r="F363" s="221"/>
      <c r="G363" s="148"/>
      <c r="I363" s="219">
        <v>895036514842</v>
      </c>
      <c r="J363" s="219">
        <v>8434668600</v>
      </c>
    </row>
    <row r="364" spans="2:10" x14ac:dyDescent="0.25">
      <c r="B364" s="218">
        <v>44035</v>
      </c>
      <c r="C364" s="217">
        <v>1611</v>
      </c>
      <c r="D364" s="220" t="s">
        <v>831</v>
      </c>
      <c r="E364" s="220"/>
      <c r="F364" s="221"/>
      <c r="G364" s="148"/>
      <c r="I364" s="219">
        <v>993703146843</v>
      </c>
      <c r="J364" s="219">
        <v>7631045059</v>
      </c>
    </row>
    <row r="365" spans="2:10" x14ac:dyDescent="0.25">
      <c r="B365" s="218">
        <v>44035</v>
      </c>
      <c r="C365" s="217">
        <v>1613</v>
      </c>
      <c r="D365" s="220" t="s">
        <v>832</v>
      </c>
      <c r="E365" s="220"/>
      <c r="F365" s="221"/>
      <c r="G365" s="148"/>
      <c r="I365" s="219">
        <v>376505639200</v>
      </c>
      <c r="J365" s="219">
        <v>8210600370</v>
      </c>
    </row>
    <row r="366" spans="2:10" x14ac:dyDescent="0.25">
      <c r="B366" s="218">
        <v>44035</v>
      </c>
      <c r="C366" s="217">
        <v>1614</v>
      </c>
      <c r="D366" s="220" t="s">
        <v>833</v>
      </c>
      <c r="E366" s="220"/>
      <c r="F366" s="221"/>
      <c r="G366" s="148"/>
      <c r="I366" s="219">
        <v>989347235912</v>
      </c>
      <c r="J366" s="219">
        <v>9534168330</v>
      </c>
    </row>
    <row r="367" spans="2:10" x14ac:dyDescent="0.25">
      <c r="B367" s="218">
        <v>44035</v>
      </c>
      <c r="C367" s="217">
        <v>1617</v>
      </c>
      <c r="D367" s="220" t="s">
        <v>834</v>
      </c>
      <c r="E367" s="220"/>
      <c r="F367" s="221"/>
      <c r="G367" s="148"/>
      <c r="I367" s="219">
        <v>754616887829</v>
      </c>
      <c r="J367" s="219">
        <v>9801461096</v>
      </c>
    </row>
    <row r="368" spans="2:10" x14ac:dyDescent="0.25">
      <c r="B368" s="218">
        <v>44035</v>
      </c>
      <c r="C368" s="217">
        <v>1618</v>
      </c>
      <c r="D368" s="220" t="s">
        <v>835</v>
      </c>
      <c r="E368" s="220"/>
      <c r="F368" s="221"/>
      <c r="G368" s="148"/>
      <c r="I368" s="219">
        <v>845441065834</v>
      </c>
      <c r="J368" s="219"/>
    </row>
    <row r="369" spans="2:10" x14ac:dyDescent="0.25">
      <c r="B369" s="218">
        <v>44035</v>
      </c>
      <c r="C369" s="217">
        <v>1621</v>
      </c>
      <c r="D369" s="220" t="s">
        <v>836</v>
      </c>
      <c r="E369" s="220"/>
      <c r="F369" s="221"/>
      <c r="G369" s="148"/>
      <c r="I369" s="219">
        <v>566872755513</v>
      </c>
      <c r="J369" s="219">
        <v>7484999452</v>
      </c>
    </row>
    <row r="370" spans="2:10" x14ac:dyDescent="0.25">
      <c r="B370" s="218">
        <v>44035</v>
      </c>
      <c r="C370" s="217">
        <v>1623</v>
      </c>
      <c r="D370" s="220" t="s">
        <v>837</v>
      </c>
      <c r="E370" s="220"/>
      <c r="F370" s="221"/>
      <c r="G370" s="148"/>
      <c r="I370" s="219">
        <v>635147495907</v>
      </c>
      <c r="J370" s="219">
        <v>9031707650</v>
      </c>
    </row>
    <row r="371" spans="2:10" x14ac:dyDescent="0.25">
      <c r="B371" s="218">
        <v>44035</v>
      </c>
      <c r="C371" s="217">
        <v>1624</v>
      </c>
      <c r="D371" s="220" t="s">
        <v>838</v>
      </c>
      <c r="E371" s="220"/>
      <c r="F371" s="221"/>
      <c r="G371" s="148"/>
      <c r="I371" s="219">
        <v>790878048420</v>
      </c>
      <c r="J371" s="219">
        <v>8210233172</v>
      </c>
    </row>
    <row r="372" spans="2:10" x14ac:dyDescent="0.25">
      <c r="B372" s="218">
        <v>44035</v>
      </c>
      <c r="C372" s="217">
        <v>1627</v>
      </c>
      <c r="D372" s="220" t="s">
        <v>839</v>
      </c>
      <c r="E372" s="220"/>
      <c r="F372" s="221"/>
      <c r="G372" s="148"/>
      <c r="I372" s="219">
        <v>378886779760</v>
      </c>
      <c r="J372" s="219">
        <v>7004478788</v>
      </c>
    </row>
    <row r="373" spans="2:10" x14ac:dyDescent="0.25">
      <c r="B373" s="218">
        <v>44035</v>
      </c>
      <c r="C373" s="217">
        <v>1628</v>
      </c>
      <c r="D373" s="220" t="s">
        <v>825</v>
      </c>
      <c r="E373" s="220"/>
      <c r="F373" s="221"/>
      <c r="G373" s="148"/>
      <c r="I373" s="219">
        <v>832037656794</v>
      </c>
      <c r="J373" s="219">
        <v>7992380825</v>
      </c>
    </row>
    <row r="374" spans="2:10" x14ac:dyDescent="0.25">
      <c r="B374" s="218">
        <v>44035</v>
      </c>
      <c r="C374" s="217">
        <v>1630</v>
      </c>
      <c r="D374" s="220" t="s">
        <v>840</v>
      </c>
      <c r="E374" s="220"/>
      <c r="F374" s="221"/>
      <c r="G374" s="148"/>
      <c r="I374" s="219">
        <v>498085116803</v>
      </c>
      <c r="J374" s="219">
        <v>9031394432</v>
      </c>
    </row>
    <row r="375" spans="2:10" x14ac:dyDescent="0.25">
      <c r="B375" s="218">
        <v>44035</v>
      </c>
      <c r="C375" s="217">
        <v>1632</v>
      </c>
      <c r="D375" s="220" t="s">
        <v>841</v>
      </c>
      <c r="E375" s="220"/>
      <c r="F375" s="221"/>
      <c r="G375" s="148"/>
      <c r="I375" s="219">
        <v>327306672293</v>
      </c>
      <c r="J375" s="219">
        <v>6204294669</v>
      </c>
    </row>
    <row r="376" spans="2:10" x14ac:dyDescent="0.25">
      <c r="B376" s="218">
        <v>44035</v>
      </c>
      <c r="C376" s="217">
        <v>1634</v>
      </c>
      <c r="D376" s="220" t="s">
        <v>842</v>
      </c>
      <c r="E376" s="220"/>
      <c r="F376" s="221"/>
      <c r="G376" s="148"/>
      <c r="I376" s="219">
        <v>674051947991</v>
      </c>
      <c r="J376" s="219">
        <v>8102125251</v>
      </c>
    </row>
    <row r="377" spans="2:10" x14ac:dyDescent="0.25">
      <c r="B377" s="218">
        <v>44035</v>
      </c>
      <c r="C377" s="217">
        <v>1636</v>
      </c>
      <c r="D377" s="220" t="s">
        <v>843</v>
      </c>
      <c r="E377" s="220"/>
      <c r="F377" s="221"/>
      <c r="G377" s="148"/>
      <c r="I377" s="219">
        <v>515605391576</v>
      </c>
      <c r="J377" s="219">
        <v>7543854789</v>
      </c>
    </row>
    <row r="378" spans="2:10" x14ac:dyDescent="0.25">
      <c r="B378" s="218">
        <v>44035</v>
      </c>
      <c r="C378" s="217">
        <v>1637</v>
      </c>
      <c r="D378" s="220" t="s">
        <v>648</v>
      </c>
      <c r="E378" s="220"/>
      <c r="F378" s="221"/>
      <c r="G378" s="148"/>
      <c r="I378" s="219">
        <v>822665888234</v>
      </c>
      <c r="J378" s="219">
        <v>6206918113</v>
      </c>
    </row>
    <row r="379" spans="2:10" x14ac:dyDescent="0.25">
      <c r="B379" s="218">
        <v>44035</v>
      </c>
      <c r="C379" s="217">
        <v>1640</v>
      </c>
      <c r="D379" s="220" t="s">
        <v>844</v>
      </c>
      <c r="E379" s="220"/>
      <c r="F379" s="221"/>
      <c r="G379" s="148"/>
      <c r="I379" s="219">
        <v>248875698064</v>
      </c>
      <c r="J379" s="219">
        <v>7209950245</v>
      </c>
    </row>
    <row r="380" spans="2:10" x14ac:dyDescent="0.25">
      <c r="B380" s="218">
        <v>44035</v>
      </c>
      <c r="C380" s="217">
        <v>1642</v>
      </c>
      <c r="D380" s="220" t="s">
        <v>845</v>
      </c>
      <c r="E380" s="220"/>
      <c r="F380" s="221"/>
      <c r="G380" s="148"/>
      <c r="I380" s="219">
        <v>233109851203</v>
      </c>
      <c r="J380" s="219">
        <v>8002726662</v>
      </c>
    </row>
    <row r="381" spans="2:10" x14ac:dyDescent="0.25">
      <c r="B381" s="218">
        <v>44035</v>
      </c>
      <c r="C381" s="217">
        <v>1643</v>
      </c>
      <c r="D381" s="220" t="s">
        <v>846</v>
      </c>
      <c r="E381" s="220"/>
      <c r="F381" s="221"/>
      <c r="G381" s="148"/>
      <c r="I381" s="219">
        <v>879171434005</v>
      </c>
      <c r="J381" s="219">
        <v>7209442966</v>
      </c>
    </row>
    <row r="382" spans="2:10" x14ac:dyDescent="0.25">
      <c r="B382" s="218">
        <v>44035</v>
      </c>
      <c r="C382" s="217">
        <v>1645</v>
      </c>
      <c r="D382" s="220" t="s">
        <v>847</v>
      </c>
      <c r="E382" s="220"/>
      <c r="F382" s="221"/>
      <c r="G382" s="148"/>
      <c r="I382" s="219">
        <v>806709981013</v>
      </c>
      <c r="J382" s="219">
        <v>7488096552</v>
      </c>
    </row>
    <row r="383" spans="2:10" x14ac:dyDescent="0.25">
      <c r="B383" s="218">
        <v>43947</v>
      </c>
      <c r="C383" s="217">
        <v>1748</v>
      </c>
      <c r="D383" s="220" t="s">
        <v>850</v>
      </c>
      <c r="E383" s="220"/>
      <c r="F383" s="221"/>
      <c r="G383" s="148"/>
      <c r="I383" s="219">
        <v>326800394889</v>
      </c>
      <c r="J383" s="219">
        <v>628786302</v>
      </c>
    </row>
    <row r="384" spans="2:10" x14ac:dyDescent="0.25">
      <c r="B384" s="218">
        <v>43947</v>
      </c>
      <c r="C384" s="217">
        <v>1749</v>
      </c>
      <c r="D384" s="220" t="s">
        <v>851</v>
      </c>
      <c r="E384" s="220"/>
      <c r="F384" s="221"/>
      <c r="G384" s="148"/>
      <c r="I384" s="219">
        <v>946705384200</v>
      </c>
      <c r="J384" s="219">
        <v>8797831300</v>
      </c>
    </row>
    <row r="385" spans="2:10" x14ac:dyDescent="0.25">
      <c r="B385" s="218">
        <v>43947</v>
      </c>
      <c r="C385" s="217">
        <v>1750</v>
      </c>
      <c r="D385" s="220" t="s">
        <v>852</v>
      </c>
      <c r="E385" s="220"/>
      <c r="F385" s="221"/>
      <c r="G385" s="148"/>
      <c r="I385" s="219">
        <v>486957609307</v>
      </c>
      <c r="J385" s="219">
        <v>9798733091</v>
      </c>
    </row>
    <row r="386" spans="2:10" x14ac:dyDescent="0.25">
      <c r="B386" s="218">
        <v>43947</v>
      </c>
      <c r="C386" s="217">
        <v>1753</v>
      </c>
      <c r="D386" s="220" t="s">
        <v>853</v>
      </c>
      <c r="E386" s="220"/>
      <c r="F386" s="221"/>
      <c r="G386" s="148"/>
      <c r="I386" s="219">
        <v>635475006790</v>
      </c>
      <c r="J386" s="219">
        <v>9113752676</v>
      </c>
    </row>
    <row r="387" spans="2:10" x14ac:dyDescent="0.25">
      <c r="B387" s="218">
        <v>43947</v>
      </c>
      <c r="C387" s="217">
        <v>1754</v>
      </c>
      <c r="D387" s="220" t="s">
        <v>854</v>
      </c>
      <c r="E387" s="220"/>
      <c r="F387" s="221"/>
      <c r="G387" s="148"/>
      <c r="I387" s="219">
        <v>880158244280</v>
      </c>
      <c r="J387" s="219">
        <v>8002279102</v>
      </c>
    </row>
    <row r="388" spans="2:10" x14ac:dyDescent="0.25">
      <c r="B388" s="218">
        <v>43947</v>
      </c>
      <c r="C388" s="217">
        <v>1755</v>
      </c>
      <c r="D388" s="220" t="s">
        <v>759</v>
      </c>
      <c r="E388" s="220"/>
      <c r="F388" s="221"/>
      <c r="G388" s="148"/>
      <c r="I388" s="219">
        <v>201197697084</v>
      </c>
      <c r="J388" s="219">
        <v>9162536654</v>
      </c>
    </row>
    <row r="389" spans="2:10" x14ac:dyDescent="0.25">
      <c r="B389" s="218">
        <v>43947</v>
      </c>
      <c r="C389" s="217">
        <v>1756</v>
      </c>
      <c r="D389" s="220" t="s">
        <v>855</v>
      </c>
      <c r="E389" s="220"/>
      <c r="F389" s="221"/>
      <c r="G389" s="148"/>
      <c r="I389" s="219">
        <v>637737535690</v>
      </c>
      <c r="J389" s="219">
        <v>8210926195</v>
      </c>
    </row>
    <row r="390" spans="2:10" x14ac:dyDescent="0.25">
      <c r="B390" s="218">
        <v>43947</v>
      </c>
      <c r="C390" s="217">
        <v>1758</v>
      </c>
      <c r="D390" s="220" t="s">
        <v>856</v>
      </c>
      <c r="E390" s="220"/>
      <c r="F390" s="221"/>
      <c r="G390" s="148"/>
      <c r="I390" s="219">
        <v>637737535690</v>
      </c>
      <c r="J390" s="219">
        <v>8210926195</v>
      </c>
    </row>
    <row r="391" spans="2:10" x14ac:dyDescent="0.25">
      <c r="B391" s="218">
        <v>43947</v>
      </c>
      <c r="C391" s="217">
        <v>1760</v>
      </c>
      <c r="D391" s="220" t="s">
        <v>824</v>
      </c>
      <c r="E391" s="220"/>
      <c r="F391" s="221"/>
      <c r="G391" s="148"/>
      <c r="I391" s="219">
        <v>458917656899</v>
      </c>
      <c r="J391" s="219">
        <v>9279734621</v>
      </c>
    </row>
    <row r="392" spans="2:10" x14ac:dyDescent="0.25">
      <c r="B392" s="218">
        <v>43947</v>
      </c>
      <c r="C392" s="217">
        <v>1761</v>
      </c>
      <c r="D392" s="220" t="s">
        <v>676</v>
      </c>
      <c r="E392" s="220"/>
      <c r="F392" s="221"/>
      <c r="G392" s="148"/>
      <c r="I392" s="219">
        <v>321029701406</v>
      </c>
      <c r="J392" s="219">
        <v>8092633008</v>
      </c>
    </row>
    <row r="393" spans="2:10" x14ac:dyDescent="0.25">
      <c r="B393" s="218">
        <v>43947</v>
      </c>
      <c r="C393" s="217">
        <v>1764</v>
      </c>
      <c r="D393" s="220" t="s">
        <v>857</v>
      </c>
      <c r="E393" s="220"/>
      <c r="F393" s="221"/>
      <c r="G393" s="148"/>
      <c r="I393" s="219">
        <v>632043571594</v>
      </c>
      <c r="J393" s="219">
        <v>9031039676</v>
      </c>
    </row>
    <row r="394" spans="2:10" x14ac:dyDescent="0.25">
      <c r="B394" s="218">
        <v>43947</v>
      </c>
      <c r="C394" s="217">
        <v>1766</v>
      </c>
      <c r="D394" s="220" t="s">
        <v>858</v>
      </c>
      <c r="E394" s="220"/>
      <c r="F394" s="221"/>
      <c r="G394" s="148"/>
      <c r="I394" s="219">
        <v>737227718327</v>
      </c>
      <c r="J394" s="219">
        <v>8797792618</v>
      </c>
    </row>
    <row r="395" spans="2:10" x14ac:dyDescent="0.25">
      <c r="B395" s="218">
        <v>43947</v>
      </c>
      <c r="C395" s="217">
        <v>1767</v>
      </c>
      <c r="D395" s="220" t="s">
        <v>859</v>
      </c>
      <c r="E395" s="220"/>
      <c r="F395" s="221"/>
      <c r="G395" s="148"/>
      <c r="I395" s="219">
        <v>635894582944</v>
      </c>
      <c r="J395" s="219">
        <v>7667871768</v>
      </c>
    </row>
    <row r="396" spans="2:10" x14ac:dyDescent="0.25">
      <c r="B396" s="218">
        <v>43947</v>
      </c>
      <c r="C396" s="217">
        <v>1768</v>
      </c>
      <c r="D396" s="220" t="s">
        <v>2987</v>
      </c>
      <c r="E396" s="220"/>
      <c r="F396" s="221"/>
      <c r="G396" s="148"/>
      <c r="I396" s="219">
        <v>571063450038</v>
      </c>
      <c r="J396" s="219">
        <v>6200455335</v>
      </c>
    </row>
    <row r="397" spans="2:10" x14ac:dyDescent="0.25">
      <c r="B397" s="218">
        <v>43947</v>
      </c>
      <c r="C397" s="217">
        <v>1770</v>
      </c>
      <c r="D397" s="220" t="s">
        <v>860</v>
      </c>
      <c r="E397" s="220"/>
      <c r="F397" s="221"/>
      <c r="G397" s="148"/>
      <c r="I397" s="219">
        <v>343683505314</v>
      </c>
      <c r="J397" s="219">
        <v>7209830554</v>
      </c>
    </row>
    <row r="398" spans="2:10" x14ac:dyDescent="0.25">
      <c r="B398" s="218">
        <v>43947</v>
      </c>
      <c r="C398" s="217">
        <v>1772</v>
      </c>
      <c r="D398" s="220" t="s">
        <v>861</v>
      </c>
      <c r="E398" s="220"/>
      <c r="F398" s="221"/>
      <c r="G398" s="148"/>
      <c r="I398" s="219">
        <v>566148522530</v>
      </c>
      <c r="J398" s="219">
        <v>6201299769</v>
      </c>
    </row>
    <row r="399" spans="2:10" x14ac:dyDescent="0.25">
      <c r="B399" s="218">
        <v>43947</v>
      </c>
      <c r="C399" s="217">
        <v>1773</v>
      </c>
      <c r="D399" s="220" t="s">
        <v>862</v>
      </c>
      <c r="E399" s="220"/>
      <c r="F399" s="221"/>
      <c r="G399" s="148"/>
      <c r="I399" s="219">
        <v>253348677354</v>
      </c>
      <c r="J399" s="219">
        <v>9263310602</v>
      </c>
    </row>
    <row r="400" spans="2:10" x14ac:dyDescent="0.25">
      <c r="B400" s="218">
        <v>43947</v>
      </c>
      <c r="C400" s="217">
        <v>1778</v>
      </c>
      <c r="D400" s="220" t="s">
        <v>863</v>
      </c>
      <c r="E400" s="220"/>
      <c r="F400" s="221"/>
      <c r="G400" s="148"/>
      <c r="I400" s="219">
        <v>676484077570</v>
      </c>
      <c r="J400" s="219">
        <v>7061499610</v>
      </c>
    </row>
    <row r="401" spans="2:10" x14ac:dyDescent="0.25">
      <c r="B401" s="218">
        <v>43947</v>
      </c>
      <c r="C401" s="217">
        <v>1779</v>
      </c>
      <c r="D401" s="220" t="s">
        <v>864</v>
      </c>
      <c r="E401" s="220"/>
      <c r="F401" s="221"/>
      <c r="G401" s="148"/>
      <c r="I401" s="219">
        <v>498289958527</v>
      </c>
      <c r="J401" s="219">
        <v>8434501140</v>
      </c>
    </row>
    <row r="402" spans="2:10" x14ac:dyDescent="0.25">
      <c r="B402" s="218">
        <v>43947</v>
      </c>
      <c r="C402" s="217">
        <v>1781</v>
      </c>
      <c r="D402" s="220" t="s">
        <v>865</v>
      </c>
      <c r="E402" s="220"/>
      <c r="F402" s="221"/>
      <c r="G402" s="148"/>
      <c r="I402" s="219">
        <v>235182880101</v>
      </c>
      <c r="J402" s="219">
        <v>9031904908</v>
      </c>
    </row>
    <row r="403" spans="2:10" x14ac:dyDescent="0.25">
      <c r="B403" s="218">
        <v>43947</v>
      </c>
      <c r="C403" s="217">
        <v>1782</v>
      </c>
      <c r="D403" s="220" t="s">
        <v>866</v>
      </c>
      <c r="E403" s="220"/>
      <c r="F403" s="221"/>
      <c r="G403" s="148"/>
      <c r="I403" s="219">
        <v>438628180076</v>
      </c>
      <c r="J403" s="219">
        <v>9110936837</v>
      </c>
    </row>
    <row r="404" spans="2:10" x14ac:dyDescent="0.25">
      <c r="B404" s="218">
        <v>43947</v>
      </c>
      <c r="C404" s="217">
        <v>1783</v>
      </c>
      <c r="D404" s="220" t="s">
        <v>867</v>
      </c>
      <c r="E404" s="220"/>
      <c r="F404" s="221"/>
      <c r="G404" s="148"/>
      <c r="I404" s="219">
        <v>579359010621</v>
      </c>
      <c r="J404" s="219">
        <v>9263598198</v>
      </c>
    </row>
    <row r="405" spans="2:10" x14ac:dyDescent="0.25">
      <c r="B405" s="218">
        <v>43947</v>
      </c>
      <c r="C405" s="217">
        <v>1784</v>
      </c>
      <c r="D405" s="220" t="s">
        <v>868</v>
      </c>
      <c r="E405" s="220"/>
      <c r="F405" s="221"/>
      <c r="G405" s="148"/>
      <c r="I405" s="219">
        <v>341303224393</v>
      </c>
      <c r="J405" s="219">
        <v>7261026600</v>
      </c>
    </row>
    <row r="406" spans="2:10" x14ac:dyDescent="0.25">
      <c r="B406" s="218">
        <v>43947</v>
      </c>
      <c r="C406" s="217">
        <v>1785</v>
      </c>
      <c r="D406" s="220" t="s">
        <v>869</v>
      </c>
      <c r="E406" s="220"/>
      <c r="F406" s="221"/>
      <c r="G406" s="148"/>
      <c r="I406" s="219">
        <v>869888900269</v>
      </c>
      <c r="J406" s="219">
        <v>9234334855</v>
      </c>
    </row>
    <row r="407" spans="2:10" x14ac:dyDescent="0.25">
      <c r="B407" s="218">
        <v>43947</v>
      </c>
      <c r="C407" s="217">
        <v>1787</v>
      </c>
      <c r="D407" s="220" t="s">
        <v>870</v>
      </c>
      <c r="E407" s="220"/>
      <c r="F407" s="221"/>
      <c r="G407" s="148"/>
      <c r="I407" s="219">
        <v>507427141286</v>
      </c>
      <c r="J407" s="219">
        <v>9234275322</v>
      </c>
    </row>
    <row r="408" spans="2:10" x14ac:dyDescent="0.25">
      <c r="B408" s="218">
        <v>43947</v>
      </c>
      <c r="C408" s="217">
        <v>1788</v>
      </c>
      <c r="D408" s="220" t="s">
        <v>871</v>
      </c>
      <c r="E408" s="220"/>
      <c r="F408" s="221"/>
      <c r="G408" s="148"/>
      <c r="I408" s="219">
        <v>549445410835</v>
      </c>
      <c r="J408" s="219">
        <v>6204980169</v>
      </c>
    </row>
    <row r="409" spans="2:10" x14ac:dyDescent="0.25">
      <c r="B409" s="218">
        <v>43947</v>
      </c>
      <c r="C409" s="217">
        <v>1789</v>
      </c>
      <c r="D409" s="220" t="s">
        <v>872</v>
      </c>
      <c r="E409" s="220"/>
      <c r="F409" s="221"/>
      <c r="G409" s="148"/>
      <c r="I409" s="219">
        <v>326739420269</v>
      </c>
      <c r="J409" s="219">
        <v>9534009898</v>
      </c>
    </row>
    <row r="410" spans="2:10" x14ac:dyDescent="0.25">
      <c r="B410" s="218">
        <v>43947</v>
      </c>
      <c r="C410" s="217">
        <v>1791</v>
      </c>
      <c r="D410" s="220" t="s">
        <v>873</v>
      </c>
      <c r="E410" s="220"/>
      <c r="F410" s="221"/>
      <c r="G410" s="148"/>
      <c r="I410" s="219">
        <v>569629558465</v>
      </c>
      <c r="J410" s="219">
        <v>8709352781</v>
      </c>
    </row>
    <row r="411" spans="2:10" x14ac:dyDescent="0.25">
      <c r="B411" s="218">
        <v>43947</v>
      </c>
      <c r="C411" s="217">
        <v>1792</v>
      </c>
      <c r="D411" s="220" t="s">
        <v>874</v>
      </c>
      <c r="E411" s="220"/>
      <c r="F411" s="221"/>
      <c r="G411" s="148"/>
      <c r="I411" s="219">
        <v>902447556352</v>
      </c>
      <c r="J411" s="219">
        <v>7634890531</v>
      </c>
    </row>
    <row r="412" spans="2:10" x14ac:dyDescent="0.25">
      <c r="B412" s="218">
        <v>43947</v>
      </c>
      <c r="C412" s="217">
        <v>1793</v>
      </c>
      <c r="D412" s="220" t="s">
        <v>875</v>
      </c>
      <c r="E412" s="220"/>
      <c r="F412" s="221"/>
      <c r="G412" s="148"/>
      <c r="I412" s="219">
        <v>218961621758</v>
      </c>
      <c r="J412" s="219">
        <v>6202277408</v>
      </c>
    </row>
    <row r="413" spans="2:10" x14ac:dyDescent="0.25">
      <c r="B413" s="218">
        <v>43947</v>
      </c>
      <c r="C413" s="217">
        <v>1795</v>
      </c>
      <c r="D413" s="220" t="s">
        <v>876</v>
      </c>
      <c r="E413" s="220"/>
      <c r="F413" s="221"/>
      <c r="G413" s="148"/>
      <c r="I413" s="219">
        <v>225097594017</v>
      </c>
      <c r="J413" s="219">
        <v>7091556658</v>
      </c>
    </row>
    <row r="414" spans="2:10" x14ac:dyDescent="0.25">
      <c r="B414" s="218">
        <v>43947</v>
      </c>
      <c r="C414" s="217">
        <v>1798</v>
      </c>
      <c r="D414" s="220" t="s">
        <v>877</v>
      </c>
      <c r="E414" s="220"/>
      <c r="F414" s="221"/>
      <c r="G414" s="148"/>
      <c r="I414" s="219">
        <v>240859792944</v>
      </c>
      <c r="J414" s="219">
        <v>7488587795</v>
      </c>
    </row>
    <row r="415" spans="2:10" x14ac:dyDescent="0.25">
      <c r="B415" s="218">
        <v>43947</v>
      </c>
      <c r="C415" s="217">
        <v>1800</v>
      </c>
      <c r="D415" s="220" t="s">
        <v>878</v>
      </c>
      <c r="E415" s="220"/>
      <c r="F415" s="221"/>
      <c r="G415" s="148"/>
      <c r="I415" s="219">
        <v>482179472553</v>
      </c>
      <c r="J415" s="219">
        <v>9304174094</v>
      </c>
    </row>
    <row r="416" spans="2:10" x14ac:dyDescent="0.25">
      <c r="B416" s="218">
        <v>43947</v>
      </c>
      <c r="C416" s="217">
        <v>1801</v>
      </c>
      <c r="D416" s="220" t="s">
        <v>879</v>
      </c>
      <c r="E416" s="220"/>
      <c r="F416" s="221"/>
      <c r="G416" s="148"/>
      <c r="I416" s="219">
        <v>907940899415</v>
      </c>
      <c r="J416" s="219">
        <v>8936066644</v>
      </c>
    </row>
    <row r="417" spans="2:10" x14ac:dyDescent="0.25">
      <c r="B417" s="218">
        <v>43947</v>
      </c>
      <c r="C417" s="217">
        <v>1802</v>
      </c>
      <c r="D417" s="220" t="s">
        <v>880</v>
      </c>
      <c r="E417" s="220"/>
      <c r="F417" s="221"/>
      <c r="G417" s="148"/>
      <c r="I417" s="219">
        <v>675098182636</v>
      </c>
      <c r="J417" s="219">
        <v>7319799947</v>
      </c>
    </row>
    <row r="418" spans="2:10" x14ac:dyDescent="0.25">
      <c r="B418" s="218">
        <v>43947</v>
      </c>
      <c r="C418" s="217">
        <v>1803</v>
      </c>
      <c r="D418" s="220" t="s">
        <v>881</v>
      </c>
      <c r="E418" s="220"/>
      <c r="F418" s="221"/>
      <c r="G418" s="148"/>
      <c r="I418" s="219">
        <v>357864424408</v>
      </c>
      <c r="J418" s="219">
        <v>7631019420</v>
      </c>
    </row>
    <row r="419" spans="2:10" x14ac:dyDescent="0.25">
      <c r="B419" s="218">
        <v>43947</v>
      </c>
      <c r="C419" s="217">
        <v>1805</v>
      </c>
      <c r="D419" s="220" t="s">
        <v>882</v>
      </c>
      <c r="E419" s="220"/>
      <c r="F419" s="221"/>
      <c r="G419" s="148"/>
      <c r="I419" s="219">
        <v>530732425118</v>
      </c>
      <c r="J419" s="219">
        <v>9931128012</v>
      </c>
    </row>
    <row r="420" spans="2:10" x14ac:dyDescent="0.25">
      <c r="B420" s="218">
        <v>43947</v>
      </c>
      <c r="C420" s="217">
        <v>1806</v>
      </c>
      <c r="D420" s="220" t="s">
        <v>883</v>
      </c>
      <c r="E420" s="220"/>
      <c r="F420" s="221"/>
      <c r="G420" s="148"/>
      <c r="I420" s="219">
        <v>280102643382</v>
      </c>
      <c r="J420" s="219">
        <v>6205277263</v>
      </c>
    </row>
    <row r="421" spans="2:10" x14ac:dyDescent="0.25">
      <c r="B421" s="218">
        <v>43947</v>
      </c>
      <c r="C421" s="217">
        <v>1808</v>
      </c>
      <c r="D421" s="220" t="s">
        <v>884</v>
      </c>
      <c r="E421" s="220"/>
      <c r="F421" s="221"/>
      <c r="G421" s="148"/>
      <c r="I421" s="219">
        <v>737211675644</v>
      </c>
      <c r="J421" s="219">
        <v>6206341184</v>
      </c>
    </row>
    <row r="422" spans="2:10" x14ac:dyDescent="0.25">
      <c r="B422" s="218">
        <v>43947</v>
      </c>
      <c r="C422" s="217">
        <v>1809</v>
      </c>
      <c r="D422" s="220" t="s">
        <v>885</v>
      </c>
      <c r="E422" s="220"/>
      <c r="F422" s="221"/>
      <c r="G422" s="148"/>
      <c r="I422" s="219">
        <v>547485080433</v>
      </c>
      <c r="J422" s="219">
        <v>9693032138</v>
      </c>
    </row>
    <row r="423" spans="2:10" x14ac:dyDescent="0.25">
      <c r="B423" s="218">
        <v>43947</v>
      </c>
      <c r="C423" s="217">
        <v>1811</v>
      </c>
      <c r="D423" s="220" t="s">
        <v>886</v>
      </c>
      <c r="E423" s="220"/>
      <c r="F423" s="221"/>
      <c r="G423" s="148"/>
      <c r="I423" s="219">
        <v>667836656645</v>
      </c>
      <c r="J423" s="219">
        <v>7783001927</v>
      </c>
    </row>
    <row r="424" spans="2:10" x14ac:dyDescent="0.25">
      <c r="B424" s="218">
        <v>43947</v>
      </c>
      <c r="C424" s="217">
        <v>1813</v>
      </c>
      <c r="D424" s="220" t="s">
        <v>887</v>
      </c>
      <c r="E424" s="220"/>
      <c r="F424" s="221"/>
      <c r="G424" s="148"/>
      <c r="I424" s="219">
        <v>434346673675</v>
      </c>
      <c r="J424" s="219">
        <v>7903823498</v>
      </c>
    </row>
    <row r="425" spans="2:10" x14ac:dyDescent="0.25">
      <c r="B425" s="218">
        <v>43947</v>
      </c>
      <c r="C425" s="217">
        <v>1814</v>
      </c>
      <c r="D425" s="220" t="s">
        <v>888</v>
      </c>
      <c r="E425" s="220"/>
      <c r="F425" s="221"/>
      <c r="G425" s="148"/>
      <c r="I425" s="219">
        <v>516091699031</v>
      </c>
      <c r="J425" s="219">
        <v>8092588421</v>
      </c>
    </row>
    <row r="426" spans="2:10" x14ac:dyDescent="0.25">
      <c r="B426" s="218">
        <v>43947</v>
      </c>
      <c r="C426" s="217">
        <v>1815</v>
      </c>
      <c r="D426" s="220" t="s">
        <v>650</v>
      </c>
      <c r="E426" s="220"/>
      <c r="F426" s="221"/>
      <c r="G426" s="148"/>
      <c r="I426" s="219">
        <v>541787460245</v>
      </c>
      <c r="J426" s="219">
        <v>6201321813</v>
      </c>
    </row>
    <row r="427" spans="2:10" x14ac:dyDescent="0.25">
      <c r="B427" s="218">
        <v>43947</v>
      </c>
      <c r="C427" s="217">
        <v>1816</v>
      </c>
      <c r="D427" s="220" t="s">
        <v>889</v>
      </c>
      <c r="E427" s="220"/>
      <c r="F427" s="221"/>
      <c r="G427" s="148"/>
      <c r="I427" s="219">
        <v>972624755250</v>
      </c>
      <c r="J427" s="219">
        <v>9031139124</v>
      </c>
    </row>
    <row r="428" spans="2:10" x14ac:dyDescent="0.25">
      <c r="B428" s="218">
        <v>43947</v>
      </c>
      <c r="C428" s="217">
        <v>1817</v>
      </c>
      <c r="D428" s="220" t="s">
        <v>890</v>
      </c>
      <c r="E428" s="220"/>
      <c r="F428" s="221"/>
      <c r="G428" s="148"/>
      <c r="I428" s="219">
        <v>828203399148</v>
      </c>
      <c r="J428" s="219">
        <v>8210662155</v>
      </c>
    </row>
    <row r="429" spans="2:10" x14ac:dyDescent="0.25">
      <c r="B429" s="218">
        <v>43947</v>
      </c>
      <c r="C429" s="217">
        <v>1819</v>
      </c>
      <c r="D429" s="220" t="s">
        <v>891</v>
      </c>
      <c r="E429" s="220"/>
      <c r="F429" s="221"/>
      <c r="G429" s="148"/>
      <c r="I429" s="219">
        <v>888546216474</v>
      </c>
      <c r="J429" s="219">
        <v>9631423170</v>
      </c>
    </row>
    <row r="430" spans="2:10" x14ac:dyDescent="0.25">
      <c r="B430" s="218">
        <v>43947</v>
      </c>
      <c r="C430" s="217">
        <v>1820</v>
      </c>
      <c r="D430" s="220" t="s">
        <v>892</v>
      </c>
      <c r="E430" s="220"/>
      <c r="F430" s="221"/>
      <c r="G430" s="148"/>
      <c r="I430" s="219">
        <v>404238027508</v>
      </c>
      <c r="J430" s="219">
        <v>6202145788</v>
      </c>
    </row>
    <row r="431" spans="2:10" x14ac:dyDescent="0.25">
      <c r="B431" s="218">
        <v>43947</v>
      </c>
      <c r="C431" s="217">
        <v>1822</v>
      </c>
      <c r="D431" s="220" t="s">
        <v>893</v>
      </c>
      <c r="E431" s="220"/>
      <c r="F431" s="221"/>
      <c r="G431" s="148"/>
      <c r="I431" s="219">
        <v>849242889909</v>
      </c>
      <c r="J431" s="219">
        <v>7061650748</v>
      </c>
    </row>
    <row r="432" spans="2:10" x14ac:dyDescent="0.25">
      <c r="B432" s="218">
        <v>43947</v>
      </c>
      <c r="C432" s="217">
        <v>1824</v>
      </c>
      <c r="D432" s="220" t="s">
        <v>894</v>
      </c>
      <c r="E432" s="220"/>
      <c r="F432" s="221"/>
      <c r="G432" s="148"/>
      <c r="I432" s="219">
        <v>614624378365</v>
      </c>
      <c r="J432" s="219">
        <v>8187929668</v>
      </c>
    </row>
    <row r="433" spans="2:10" x14ac:dyDescent="0.25">
      <c r="B433" s="218">
        <v>43947</v>
      </c>
      <c r="C433" s="217">
        <v>1825</v>
      </c>
      <c r="D433" s="220" t="s">
        <v>895</v>
      </c>
      <c r="E433" s="220"/>
      <c r="F433" s="221"/>
      <c r="G433" s="148"/>
      <c r="I433" s="219">
        <v>318903552013</v>
      </c>
      <c r="J433" s="219">
        <v>6205032210</v>
      </c>
    </row>
    <row r="434" spans="2:10" x14ac:dyDescent="0.25">
      <c r="B434" s="218">
        <v>43947</v>
      </c>
      <c r="C434" s="217">
        <v>1827</v>
      </c>
      <c r="D434" s="220" t="s">
        <v>896</v>
      </c>
      <c r="E434" s="220"/>
      <c r="F434" s="221"/>
      <c r="G434" s="148"/>
      <c r="I434" s="219">
        <v>747973061469</v>
      </c>
      <c r="J434" s="219">
        <v>8581065810</v>
      </c>
    </row>
    <row r="435" spans="2:10" x14ac:dyDescent="0.25">
      <c r="B435" s="218">
        <v>43947</v>
      </c>
      <c r="C435" s="217">
        <v>1828</v>
      </c>
      <c r="D435" s="220" t="s">
        <v>897</v>
      </c>
      <c r="E435" s="220"/>
      <c r="F435" s="221"/>
      <c r="G435" s="148"/>
      <c r="I435" s="219">
        <v>207964434700</v>
      </c>
      <c r="J435" s="219">
        <v>9334168030</v>
      </c>
    </row>
    <row r="436" spans="2:10" x14ac:dyDescent="0.25">
      <c r="B436" s="218">
        <v>43947</v>
      </c>
      <c r="C436" s="217">
        <v>1829</v>
      </c>
      <c r="D436" s="220" t="s">
        <v>647</v>
      </c>
      <c r="E436" s="220"/>
      <c r="F436" s="221"/>
      <c r="G436" s="148"/>
      <c r="I436" s="219">
        <v>598702594282</v>
      </c>
      <c r="J436" s="219">
        <v>8340781943</v>
      </c>
    </row>
    <row r="437" spans="2:10" x14ac:dyDescent="0.25">
      <c r="B437" s="218">
        <v>43947</v>
      </c>
      <c r="C437" s="217">
        <v>1830</v>
      </c>
      <c r="D437" s="220" t="s">
        <v>898</v>
      </c>
      <c r="E437" s="220"/>
      <c r="F437" s="221"/>
      <c r="G437" s="148" t="s">
        <v>1640</v>
      </c>
      <c r="H437" s="214">
        <v>100</v>
      </c>
      <c r="I437" s="219">
        <v>469742898575</v>
      </c>
      <c r="J437" s="219">
        <v>9709971371</v>
      </c>
    </row>
    <row r="438" spans="2:10" x14ac:dyDescent="0.25">
      <c r="B438" s="218">
        <v>43947</v>
      </c>
      <c r="C438" s="217">
        <v>1831</v>
      </c>
      <c r="D438" s="220" t="s">
        <v>899</v>
      </c>
      <c r="E438" s="220"/>
      <c r="F438" s="221"/>
      <c r="G438" s="148"/>
      <c r="I438" s="219">
        <v>686699936281</v>
      </c>
      <c r="J438" s="219">
        <v>7033988520</v>
      </c>
    </row>
    <row r="439" spans="2:10" x14ac:dyDescent="0.25">
      <c r="B439" s="218">
        <v>43947</v>
      </c>
      <c r="C439" s="217">
        <v>1833</v>
      </c>
      <c r="D439" s="220" t="s">
        <v>900</v>
      </c>
      <c r="E439" s="220"/>
      <c r="F439" s="221"/>
      <c r="G439" s="148"/>
      <c r="I439" s="219">
        <v>524475760976</v>
      </c>
      <c r="J439" s="219">
        <v>8809363682</v>
      </c>
    </row>
    <row r="440" spans="2:10" x14ac:dyDescent="0.25">
      <c r="B440" s="218">
        <v>43947</v>
      </c>
      <c r="C440" s="217">
        <v>1834</v>
      </c>
      <c r="D440" s="220" t="s">
        <v>901</v>
      </c>
      <c r="E440" s="220"/>
      <c r="F440" s="221"/>
      <c r="G440" s="148"/>
      <c r="I440" s="219">
        <v>499965185785</v>
      </c>
      <c r="J440" s="219">
        <v>8340191227</v>
      </c>
    </row>
    <row r="441" spans="2:10" x14ac:dyDescent="0.25">
      <c r="B441" s="218">
        <v>43947</v>
      </c>
      <c r="C441" s="217">
        <v>1849</v>
      </c>
      <c r="D441" s="220" t="s">
        <v>902</v>
      </c>
      <c r="E441" s="220"/>
      <c r="F441" s="221"/>
      <c r="G441" s="148"/>
      <c r="I441" s="219">
        <v>794084530690</v>
      </c>
      <c r="J441" s="219">
        <v>8092687141</v>
      </c>
    </row>
    <row r="442" spans="2:10" x14ac:dyDescent="0.25">
      <c r="B442" s="218">
        <v>43947</v>
      </c>
      <c r="C442" s="217">
        <v>1850</v>
      </c>
      <c r="D442" s="220" t="s">
        <v>843</v>
      </c>
      <c r="E442" s="220"/>
      <c r="F442" s="221"/>
      <c r="G442" s="148"/>
      <c r="I442" s="219">
        <v>759809858126</v>
      </c>
      <c r="J442" s="219">
        <v>8210711404</v>
      </c>
    </row>
    <row r="443" spans="2:10" x14ac:dyDescent="0.25">
      <c r="B443" s="218">
        <v>43947</v>
      </c>
      <c r="C443" s="217">
        <v>1852</v>
      </c>
      <c r="D443" s="220" t="s">
        <v>903</v>
      </c>
      <c r="E443" s="220"/>
      <c r="F443" s="221"/>
      <c r="G443" s="148"/>
      <c r="I443" s="219">
        <v>448401703782</v>
      </c>
      <c r="J443" s="219">
        <v>9204544384</v>
      </c>
    </row>
    <row r="444" spans="2:10" x14ac:dyDescent="0.25">
      <c r="B444" s="218">
        <v>43947</v>
      </c>
      <c r="C444" s="217">
        <v>1854</v>
      </c>
      <c r="D444" s="220" t="s">
        <v>681</v>
      </c>
      <c r="E444" s="220"/>
      <c r="F444" s="221"/>
      <c r="G444" s="148"/>
      <c r="I444" s="219">
        <v>238944716492</v>
      </c>
      <c r="J444" s="219">
        <v>9102332598</v>
      </c>
    </row>
    <row r="445" spans="2:10" x14ac:dyDescent="0.25">
      <c r="B445" s="218">
        <v>43947</v>
      </c>
      <c r="C445" s="217">
        <v>1855</v>
      </c>
      <c r="D445" s="220" t="s">
        <v>904</v>
      </c>
      <c r="E445" s="220"/>
      <c r="F445" s="221"/>
      <c r="G445" s="148"/>
      <c r="I445" s="219">
        <v>514253321012</v>
      </c>
      <c r="J445" s="219">
        <v>6299163170</v>
      </c>
    </row>
    <row r="446" spans="2:10" x14ac:dyDescent="0.25">
      <c r="B446" s="218">
        <v>43947</v>
      </c>
      <c r="C446" s="217">
        <v>1863</v>
      </c>
      <c r="D446" s="220" t="s">
        <v>905</v>
      </c>
      <c r="E446" s="220"/>
      <c r="F446" s="221"/>
      <c r="G446" s="148"/>
      <c r="I446" s="219">
        <v>922243414872</v>
      </c>
      <c r="J446" s="219">
        <v>9470577899</v>
      </c>
    </row>
    <row r="447" spans="2:10" x14ac:dyDescent="0.25">
      <c r="B447" s="218">
        <v>43950</v>
      </c>
      <c r="C447" s="217">
        <v>1881</v>
      </c>
      <c r="D447" s="220" t="s">
        <v>555</v>
      </c>
      <c r="E447" s="220"/>
      <c r="F447" s="221"/>
      <c r="G447" s="148"/>
      <c r="I447" s="219">
        <v>369534862105</v>
      </c>
      <c r="J447" s="219">
        <v>7631310395</v>
      </c>
    </row>
    <row r="448" spans="2:10" x14ac:dyDescent="0.25">
      <c r="B448" s="218">
        <v>43950</v>
      </c>
      <c r="C448" s="217">
        <v>1882</v>
      </c>
      <c r="D448" s="220" t="s">
        <v>906</v>
      </c>
      <c r="E448" s="220"/>
      <c r="F448" s="221"/>
      <c r="G448" s="148"/>
      <c r="I448" s="219">
        <v>302606578732</v>
      </c>
      <c r="J448" s="219">
        <v>6202447176</v>
      </c>
    </row>
    <row r="449" spans="2:10" x14ac:dyDescent="0.25">
      <c r="B449" s="218">
        <v>43950</v>
      </c>
      <c r="C449" s="217">
        <v>1883</v>
      </c>
      <c r="D449" s="220" t="s">
        <v>907</v>
      </c>
      <c r="E449" s="220"/>
      <c r="F449" s="221"/>
      <c r="G449" s="148"/>
      <c r="I449" s="219">
        <v>563649948732</v>
      </c>
      <c r="J449" s="219">
        <v>6202880322</v>
      </c>
    </row>
    <row r="450" spans="2:10" x14ac:dyDescent="0.25">
      <c r="B450" s="218">
        <v>43950</v>
      </c>
      <c r="C450" s="217">
        <v>1884</v>
      </c>
      <c r="D450" s="220" t="s">
        <v>908</v>
      </c>
      <c r="E450" s="220"/>
      <c r="F450" s="221"/>
      <c r="G450" s="148"/>
      <c r="I450" s="219">
        <v>944868120015</v>
      </c>
      <c r="J450" s="219">
        <v>6203393305</v>
      </c>
    </row>
    <row r="451" spans="2:10" x14ac:dyDescent="0.25">
      <c r="B451" s="218">
        <v>43950</v>
      </c>
      <c r="C451" s="217">
        <v>1885</v>
      </c>
      <c r="D451" s="220" t="s">
        <v>909</v>
      </c>
      <c r="E451" s="220"/>
      <c r="F451" s="221"/>
      <c r="G451" s="148"/>
      <c r="I451" s="219">
        <v>782108220861</v>
      </c>
      <c r="J451" s="219">
        <v>7209261340</v>
      </c>
    </row>
    <row r="452" spans="2:10" x14ac:dyDescent="0.25">
      <c r="B452" s="218">
        <v>43950</v>
      </c>
      <c r="C452" s="217">
        <v>1886</v>
      </c>
      <c r="D452" s="220" t="s">
        <v>910</v>
      </c>
      <c r="E452" s="220"/>
      <c r="F452" s="221"/>
      <c r="G452" s="148"/>
      <c r="I452" s="219">
        <v>551940226738</v>
      </c>
      <c r="J452" s="219">
        <v>6204332120</v>
      </c>
    </row>
    <row r="453" spans="2:10" x14ac:dyDescent="0.25">
      <c r="B453" s="218">
        <v>43950</v>
      </c>
      <c r="C453" s="217">
        <v>1887</v>
      </c>
      <c r="D453" s="220" t="s">
        <v>911</v>
      </c>
      <c r="E453" s="220"/>
      <c r="F453" s="221"/>
      <c r="G453" s="148"/>
      <c r="I453" s="219">
        <v>206279528373</v>
      </c>
      <c r="J453" s="219">
        <v>7209600112</v>
      </c>
    </row>
    <row r="454" spans="2:10" x14ac:dyDescent="0.25">
      <c r="B454" s="218">
        <v>43950</v>
      </c>
      <c r="C454" s="217">
        <v>1888</v>
      </c>
      <c r="D454" s="220" t="s">
        <v>912</v>
      </c>
      <c r="E454" s="220"/>
      <c r="F454" s="221"/>
      <c r="G454" s="148"/>
      <c r="I454" s="219">
        <v>904711874590</v>
      </c>
      <c r="J454" s="219">
        <v>9279723559</v>
      </c>
    </row>
    <row r="455" spans="2:10" x14ac:dyDescent="0.25">
      <c r="B455" s="218">
        <v>43950</v>
      </c>
      <c r="C455" s="217">
        <v>1889</v>
      </c>
      <c r="D455" s="220" t="s">
        <v>913</v>
      </c>
      <c r="E455" s="220"/>
      <c r="F455" s="221"/>
      <c r="G455" s="148"/>
      <c r="I455" s="219">
        <v>814601190923</v>
      </c>
      <c r="J455" s="219">
        <v>6204375061</v>
      </c>
    </row>
    <row r="456" spans="2:10" x14ac:dyDescent="0.25">
      <c r="B456" s="218">
        <v>43950</v>
      </c>
      <c r="C456" s="217">
        <v>1890</v>
      </c>
      <c r="D456" s="220" t="s">
        <v>914</v>
      </c>
      <c r="E456" s="220"/>
      <c r="F456" s="222">
        <v>32294</v>
      </c>
      <c r="G456" s="148"/>
      <c r="I456" s="219">
        <v>824547016499</v>
      </c>
      <c r="J456" s="219">
        <v>8235232493</v>
      </c>
    </row>
    <row r="457" spans="2:10" x14ac:dyDescent="0.25">
      <c r="B457" s="218">
        <v>43950</v>
      </c>
      <c r="C457" s="217">
        <v>1891</v>
      </c>
      <c r="D457" s="220" t="s">
        <v>915</v>
      </c>
      <c r="E457" s="220"/>
      <c r="F457" s="221"/>
      <c r="G457" s="148"/>
      <c r="I457" s="219">
        <v>602718601875</v>
      </c>
      <c r="J457" s="219">
        <v>9031398273</v>
      </c>
    </row>
    <row r="458" spans="2:10" x14ac:dyDescent="0.25">
      <c r="B458" s="218">
        <v>43950</v>
      </c>
      <c r="C458" s="217">
        <v>1892</v>
      </c>
      <c r="D458" s="220" t="s">
        <v>916</v>
      </c>
      <c r="E458" s="220"/>
      <c r="F458" s="221"/>
      <c r="G458" s="148"/>
      <c r="I458" s="219">
        <v>670590102714</v>
      </c>
      <c r="J458" s="219">
        <v>7992286091</v>
      </c>
    </row>
    <row r="459" spans="2:10" x14ac:dyDescent="0.25">
      <c r="B459" s="218">
        <v>43950</v>
      </c>
      <c r="C459" s="217">
        <v>1893</v>
      </c>
      <c r="D459" s="220" t="s">
        <v>917</v>
      </c>
      <c r="E459" s="220"/>
      <c r="F459" s="221"/>
      <c r="G459" s="148"/>
      <c r="I459" s="219">
        <v>813149910276</v>
      </c>
      <c r="J459" s="219">
        <v>8797673970</v>
      </c>
    </row>
    <row r="460" spans="2:10" x14ac:dyDescent="0.25">
      <c r="B460" s="218">
        <v>43950</v>
      </c>
      <c r="C460" s="217">
        <v>1894</v>
      </c>
      <c r="D460" s="220" t="s">
        <v>918</v>
      </c>
      <c r="E460" s="220"/>
      <c r="F460" s="221"/>
      <c r="G460" s="148"/>
      <c r="I460" s="219">
        <v>528333402344</v>
      </c>
      <c r="J460" s="219">
        <v>8228811777</v>
      </c>
    </row>
    <row r="461" spans="2:10" x14ac:dyDescent="0.25">
      <c r="B461" s="218">
        <v>43950</v>
      </c>
      <c r="C461" s="217">
        <v>1895</v>
      </c>
      <c r="D461" s="220" t="s">
        <v>919</v>
      </c>
      <c r="E461" s="220"/>
      <c r="F461" s="221"/>
      <c r="G461" s="148"/>
      <c r="I461" s="219">
        <v>986017332826</v>
      </c>
      <c r="J461" s="219">
        <v>9934072904</v>
      </c>
    </row>
    <row r="462" spans="2:10" x14ac:dyDescent="0.25">
      <c r="B462" s="218">
        <v>43950</v>
      </c>
      <c r="C462" s="217">
        <v>1898</v>
      </c>
      <c r="D462" s="220" t="s">
        <v>920</v>
      </c>
      <c r="E462" s="220"/>
      <c r="F462" s="221"/>
      <c r="G462" s="148"/>
      <c r="I462" s="219">
        <v>801981226057</v>
      </c>
      <c r="J462" s="219">
        <v>7979780632</v>
      </c>
    </row>
    <row r="463" spans="2:10" x14ac:dyDescent="0.25">
      <c r="B463" s="218">
        <v>43950</v>
      </c>
      <c r="C463" s="217" t="s">
        <v>2962</v>
      </c>
      <c r="D463" s="220" t="s">
        <v>921</v>
      </c>
      <c r="E463" s="220"/>
      <c r="F463" s="221"/>
      <c r="G463" s="148"/>
      <c r="I463" s="219">
        <v>824835928365</v>
      </c>
      <c r="J463" s="219">
        <v>7654999370</v>
      </c>
    </row>
    <row r="464" spans="2:10" x14ac:dyDescent="0.25">
      <c r="B464" s="218">
        <v>43950</v>
      </c>
      <c r="C464" s="217">
        <v>1901</v>
      </c>
      <c r="D464" s="220" t="s">
        <v>922</v>
      </c>
      <c r="E464" s="220"/>
      <c r="F464" s="221"/>
      <c r="G464" s="148"/>
      <c r="I464" s="219">
        <v>316753576350</v>
      </c>
      <c r="J464" s="219">
        <v>8235656203</v>
      </c>
    </row>
    <row r="465" spans="2:10" x14ac:dyDescent="0.25">
      <c r="B465" s="218">
        <v>43950</v>
      </c>
      <c r="C465" s="217">
        <v>1902</v>
      </c>
      <c r="D465" s="220" t="s">
        <v>681</v>
      </c>
      <c r="E465" s="220"/>
      <c r="F465" s="221"/>
      <c r="G465" s="148"/>
      <c r="I465" s="219">
        <v>496875950301</v>
      </c>
      <c r="J465" s="219">
        <v>6203004262</v>
      </c>
    </row>
    <row r="466" spans="2:10" x14ac:dyDescent="0.25">
      <c r="B466" s="218">
        <v>43950</v>
      </c>
      <c r="C466" s="217">
        <v>1903</v>
      </c>
      <c r="D466" s="220" t="s">
        <v>923</v>
      </c>
      <c r="E466" s="220"/>
      <c r="F466" s="221"/>
      <c r="G466" s="148"/>
      <c r="I466" s="219">
        <v>848605168978</v>
      </c>
      <c r="J466" s="219">
        <v>6200014906</v>
      </c>
    </row>
    <row r="467" spans="2:10" x14ac:dyDescent="0.25">
      <c r="B467" s="218">
        <v>43950</v>
      </c>
      <c r="C467" s="217">
        <v>1905</v>
      </c>
      <c r="D467" s="220" t="s">
        <v>924</v>
      </c>
      <c r="E467" s="220"/>
      <c r="F467" s="221"/>
      <c r="G467" s="148"/>
      <c r="I467" s="219">
        <v>437704291016</v>
      </c>
      <c r="J467" s="219">
        <v>9835075551</v>
      </c>
    </row>
    <row r="468" spans="2:10" x14ac:dyDescent="0.25">
      <c r="B468" s="218">
        <v>43950</v>
      </c>
      <c r="C468" s="217">
        <v>1906</v>
      </c>
      <c r="D468" s="220" t="s">
        <v>925</v>
      </c>
      <c r="E468" s="220"/>
      <c r="F468" s="221"/>
      <c r="G468" s="148"/>
      <c r="I468" s="219">
        <v>288472849283</v>
      </c>
      <c r="J468" s="219">
        <v>6205505607</v>
      </c>
    </row>
    <row r="469" spans="2:10" x14ac:dyDescent="0.25">
      <c r="B469" s="218">
        <v>43950</v>
      </c>
      <c r="C469" s="217">
        <v>1909</v>
      </c>
      <c r="D469" s="220" t="s">
        <v>926</v>
      </c>
      <c r="E469" s="220"/>
      <c r="F469" s="221"/>
      <c r="G469" s="148"/>
      <c r="I469" s="219">
        <v>352013366619</v>
      </c>
      <c r="J469" s="219">
        <v>9263293122</v>
      </c>
    </row>
    <row r="470" spans="2:10" x14ac:dyDescent="0.25">
      <c r="B470" s="218">
        <v>43950</v>
      </c>
      <c r="C470" s="217">
        <v>1910</v>
      </c>
      <c r="D470" s="220" t="s">
        <v>927</v>
      </c>
      <c r="E470" s="220"/>
      <c r="F470" s="221"/>
      <c r="G470" s="148"/>
      <c r="I470" s="219">
        <v>859311970886</v>
      </c>
      <c r="J470" s="219">
        <v>9334450932</v>
      </c>
    </row>
    <row r="471" spans="2:10" x14ac:dyDescent="0.25">
      <c r="B471" s="218">
        <v>43950</v>
      </c>
      <c r="C471" s="217">
        <v>1911</v>
      </c>
      <c r="D471" s="220" t="s">
        <v>928</v>
      </c>
      <c r="E471" s="220"/>
      <c r="F471" s="221"/>
      <c r="G471" s="148"/>
      <c r="I471" s="219">
        <v>829093807207</v>
      </c>
      <c r="J471" s="219">
        <v>7061889052</v>
      </c>
    </row>
    <row r="472" spans="2:10" x14ac:dyDescent="0.25">
      <c r="B472" s="218">
        <v>43950</v>
      </c>
      <c r="C472" s="217">
        <v>1912</v>
      </c>
      <c r="D472" s="220" t="s">
        <v>929</v>
      </c>
      <c r="E472" s="220"/>
      <c r="F472" s="221"/>
      <c r="G472" s="148"/>
      <c r="I472" s="219">
        <v>855081206111</v>
      </c>
      <c r="J472" s="219">
        <v>9931335897</v>
      </c>
    </row>
    <row r="473" spans="2:10" x14ac:dyDescent="0.25">
      <c r="B473" s="218">
        <v>43950</v>
      </c>
      <c r="C473" s="217">
        <v>1913</v>
      </c>
      <c r="D473" s="220" t="s">
        <v>930</v>
      </c>
      <c r="E473" s="220"/>
      <c r="F473" s="221"/>
      <c r="G473" s="148"/>
      <c r="I473" s="219">
        <v>926001873104</v>
      </c>
      <c r="J473" s="219">
        <v>8102353096</v>
      </c>
    </row>
    <row r="474" spans="2:10" x14ac:dyDescent="0.25">
      <c r="B474" s="218">
        <v>43950</v>
      </c>
      <c r="C474" s="217">
        <v>1914</v>
      </c>
      <c r="D474" s="220" t="s">
        <v>931</v>
      </c>
      <c r="E474" s="220"/>
      <c r="F474" s="221"/>
      <c r="G474" s="148"/>
      <c r="I474" s="219">
        <v>849881497235</v>
      </c>
      <c r="J474" s="219">
        <v>9263349780</v>
      </c>
    </row>
    <row r="475" spans="2:10" x14ac:dyDescent="0.25">
      <c r="B475" s="218">
        <v>43950</v>
      </c>
      <c r="C475" s="217">
        <v>1915</v>
      </c>
      <c r="D475" s="220" t="s">
        <v>932</v>
      </c>
      <c r="E475" s="220"/>
      <c r="F475" s="221"/>
      <c r="G475" s="148"/>
      <c r="I475" s="219">
        <v>929198334745</v>
      </c>
      <c r="J475" s="219">
        <v>6203534989</v>
      </c>
    </row>
    <row r="476" spans="2:10" x14ac:dyDescent="0.25">
      <c r="B476" s="218">
        <v>43950</v>
      </c>
      <c r="C476" s="217">
        <v>1916</v>
      </c>
      <c r="D476" s="220" t="s">
        <v>933</v>
      </c>
      <c r="E476" s="220"/>
      <c r="F476" s="221"/>
      <c r="G476" s="148"/>
      <c r="I476" s="219">
        <v>386265767939</v>
      </c>
      <c r="J476" s="219">
        <v>9801828792</v>
      </c>
    </row>
    <row r="477" spans="2:10" x14ac:dyDescent="0.25">
      <c r="B477" s="218">
        <v>43950</v>
      </c>
      <c r="C477" s="217">
        <v>1917</v>
      </c>
      <c r="D477" s="220" t="s">
        <v>934</v>
      </c>
      <c r="E477" s="220"/>
      <c r="F477" s="221"/>
      <c r="G477" s="148"/>
      <c r="I477" s="219">
        <v>367417751235</v>
      </c>
      <c r="J477" s="219">
        <v>6200258754</v>
      </c>
    </row>
    <row r="478" spans="2:10" x14ac:dyDescent="0.25">
      <c r="B478" s="218">
        <v>43951</v>
      </c>
      <c r="C478" s="217">
        <v>1920</v>
      </c>
      <c r="D478" s="220" t="s">
        <v>935</v>
      </c>
      <c r="E478" s="220"/>
      <c r="F478" s="221"/>
      <c r="G478" s="148"/>
      <c r="I478" s="219">
        <v>583254842817</v>
      </c>
      <c r="J478" s="219">
        <v>7209392491</v>
      </c>
    </row>
    <row r="479" spans="2:10" x14ac:dyDescent="0.25">
      <c r="B479" s="218">
        <v>43951</v>
      </c>
      <c r="C479" s="217">
        <v>1921</v>
      </c>
      <c r="D479" s="220" t="s">
        <v>936</v>
      </c>
      <c r="E479" s="220"/>
      <c r="F479" s="221"/>
      <c r="G479" s="148"/>
      <c r="I479" s="219">
        <v>883760543340</v>
      </c>
      <c r="J479" s="219">
        <v>7903007733</v>
      </c>
    </row>
    <row r="480" spans="2:10" x14ac:dyDescent="0.25">
      <c r="B480" s="218">
        <v>43951</v>
      </c>
      <c r="C480" s="217">
        <v>1922</v>
      </c>
      <c r="D480" s="220" t="s">
        <v>937</v>
      </c>
      <c r="E480" s="220"/>
      <c r="F480" s="221"/>
      <c r="G480" s="148"/>
      <c r="I480" s="219">
        <v>937209851866</v>
      </c>
      <c r="J480" s="219">
        <v>8797582019</v>
      </c>
    </row>
    <row r="481" spans="2:10" x14ac:dyDescent="0.25">
      <c r="B481" s="218">
        <v>43951</v>
      </c>
      <c r="C481" s="217">
        <v>1925</v>
      </c>
      <c r="D481" s="220" t="s">
        <v>938</v>
      </c>
      <c r="E481" s="220"/>
      <c r="F481" s="221"/>
      <c r="G481" s="148"/>
      <c r="I481" s="219">
        <v>642846787844</v>
      </c>
      <c r="J481" s="219">
        <v>6206278090</v>
      </c>
    </row>
    <row r="482" spans="2:10" x14ac:dyDescent="0.25">
      <c r="B482" s="218">
        <v>43951</v>
      </c>
      <c r="C482" s="217">
        <v>1926</v>
      </c>
      <c r="D482" s="220" t="s">
        <v>939</v>
      </c>
      <c r="E482" s="220"/>
      <c r="F482" s="221"/>
      <c r="G482" s="148"/>
      <c r="I482" s="219">
        <v>733628405667</v>
      </c>
      <c r="J482" s="219">
        <v>7292895380</v>
      </c>
    </row>
    <row r="483" spans="2:10" x14ac:dyDescent="0.25">
      <c r="B483" s="218">
        <v>43951</v>
      </c>
      <c r="C483" s="217">
        <v>1928</v>
      </c>
      <c r="D483" s="220" t="s">
        <v>940</v>
      </c>
      <c r="E483" s="220"/>
      <c r="F483" s="221"/>
      <c r="G483" s="148"/>
      <c r="I483" s="219">
        <v>732390096456</v>
      </c>
      <c r="J483" s="219">
        <v>7667508287</v>
      </c>
    </row>
    <row r="484" spans="2:10" x14ac:dyDescent="0.25">
      <c r="B484" s="218">
        <v>43951</v>
      </c>
      <c r="C484" s="217">
        <v>1929</v>
      </c>
      <c r="D484" s="220" t="s">
        <v>941</v>
      </c>
      <c r="E484" s="220"/>
      <c r="F484" s="221"/>
      <c r="G484" s="148"/>
      <c r="I484" s="219">
        <v>558705760491</v>
      </c>
      <c r="J484" s="219">
        <v>8287867176</v>
      </c>
    </row>
    <row r="485" spans="2:10" x14ac:dyDescent="0.25">
      <c r="B485" s="218">
        <v>43951</v>
      </c>
      <c r="C485" s="217">
        <v>1930</v>
      </c>
      <c r="D485" s="220" t="s">
        <v>942</v>
      </c>
      <c r="E485" s="220"/>
      <c r="F485" s="221"/>
      <c r="G485" s="148"/>
      <c r="I485" s="219">
        <v>711264824019</v>
      </c>
      <c r="J485" s="219">
        <v>6207188708</v>
      </c>
    </row>
    <row r="486" spans="2:10" x14ac:dyDescent="0.25">
      <c r="B486" s="218">
        <v>43951</v>
      </c>
      <c r="C486" s="217">
        <v>1931</v>
      </c>
      <c r="D486" s="220" t="s">
        <v>943</v>
      </c>
      <c r="E486" s="220"/>
      <c r="F486" s="221"/>
      <c r="G486" s="148"/>
      <c r="I486" s="219">
        <v>533361030897</v>
      </c>
      <c r="J486" s="219">
        <v>9525112613</v>
      </c>
    </row>
    <row r="487" spans="2:10" x14ac:dyDescent="0.25">
      <c r="B487" s="218">
        <v>43951</v>
      </c>
      <c r="C487" s="217">
        <v>1932</v>
      </c>
      <c r="D487" s="220" t="s">
        <v>944</v>
      </c>
      <c r="E487" s="220"/>
      <c r="F487" s="221"/>
      <c r="G487" s="148"/>
      <c r="I487" s="219">
        <v>710819724554</v>
      </c>
      <c r="J487" s="219">
        <v>7250264131</v>
      </c>
    </row>
    <row r="488" spans="2:10" x14ac:dyDescent="0.25">
      <c r="B488" s="218">
        <v>43951</v>
      </c>
      <c r="C488" s="217">
        <v>1934</v>
      </c>
      <c r="D488" s="220" t="s">
        <v>945</v>
      </c>
      <c r="E488" s="220"/>
      <c r="F488" s="221"/>
      <c r="G488" s="148"/>
      <c r="I488" s="219">
        <v>587114735304</v>
      </c>
      <c r="J488" s="219">
        <v>9060980476</v>
      </c>
    </row>
    <row r="489" spans="2:10" x14ac:dyDescent="0.25">
      <c r="B489" s="218">
        <v>43951</v>
      </c>
      <c r="C489" s="217">
        <v>1938</v>
      </c>
      <c r="D489" s="220" t="s">
        <v>946</v>
      </c>
      <c r="E489" s="220"/>
      <c r="F489" s="221"/>
      <c r="G489" s="148"/>
      <c r="I489" s="219">
        <v>269330515527</v>
      </c>
      <c r="J489" s="219">
        <v>8434646898</v>
      </c>
    </row>
    <row r="490" spans="2:10" x14ac:dyDescent="0.25">
      <c r="B490" s="218">
        <v>43951</v>
      </c>
      <c r="C490" s="217">
        <v>1940</v>
      </c>
      <c r="D490" s="220" t="s">
        <v>947</v>
      </c>
      <c r="E490" s="220"/>
      <c r="F490" s="221"/>
      <c r="G490" s="148"/>
      <c r="I490" s="219">
        <v>795734482810</v>
      </c>
      <c r="J490" s="219">
        <v>7557755037</v>
      </c>
    </row>
    <row r="491" spans="2:10" x14ac:dyDescent="0.25">
      <c r="B491" s="218">
        <v>43951</v>
      </c>
      <c r="C491" s="217">
        <v>1942</v>
      </c>
      <c r="D491" s="220" t="s">
        <v>948</v>
      </c>
      <c r="E491" s="220"/>
      <c r="F491" s="221"/>
      <c r="G491" s="148"/>
      <c r="I491" s="219">
        <v>745196993630</v>
      </c>
      <c r="J491" s="219">
        <v>8710039497</v>
      </c>
    </row>
    <row r="492" spans="2:10" x14ac:dyDescent="0.25">
      <c r="B492" s="218">
        <v>43951</v>
      </c>
      <c r="C492" s="217">
        <v>1944</v>
      </c>
      <c r="D492" s="220" t="s">
        <v>949</v>
      </c>
      <c r="E492" s="220"/>
      <c r="F492" s="221"/>
      <c r="G492" s="148"/>
      <c r="I492" s="219">
        <v>771549676955</v>
      </c>
      <c r="J492" s="219">
        <v>9123479082</v>
      </c>
    </row>
    <row r="493" spans="2:10" x14ac:dyDescent="0.25">
      <c r="B493" s="218">
        <v>43951</v>
      </c>
      <c r="C493" s="217">
        <v>1945</v>
      </c>
      <c r="D493" s="220" t="s">
        <v>950</v>
      </c>
      <c r="E493" s="220"/>
      <c r="F493" s="221"/>
      <c r="G493" s="148"/>
      <c r="I493" s="219">
        <v>836739775875</v>
      </c>
      <c r="J493" s="219">
        <v>6205908083</v>
      </c>
    </row>
    <row r="494" spans="2:10" x14ac:dyDescent="0.25">
      <c r="B494" s="218">
        <v>43951</v>
      </c>
      <c r="C494" s="217">
        <v>1947</v>
      </c>
      <c r="D494" s="220" t="s">
        <v>951</v>
      </c>
      <c r="E494" s="220"/>
      <c r="F494" s="221"/>
      <c r="G494" s="148"/>
      <c r="I494" s="219">
        <v>281119035669</v>
      </c>
      <c r="J494" s="219">
        <v>8709357819</v>
      </c>
    </row>
    <row r="495" spans="2:10" x14ac:dyDescent="0.25">
      <c r="B495" s="218">
        <v>43951</v>
      </c>
      <c r="C495" s="217">
        <v>1948</v>
      </c>
      <c r="D495" s="220" t="s">
        <v>952</v>
      </c>
      <c r="E495" s="220"/>
      <c r="F495" s="221"/>
      <c r="G495" s="148"/>
      <c r="I495" s="219">
        <v>241119806512</v>
      </c>
      <c r="J495" s="219">
        <v>6205771614</v>
      </c>
    </row>
    <row r="496" spans="2:10" x14ac:dyDescent="0.25">
      <c r="B496" s="218">
        <v>43951</v>
      </c>
      <c r="C496" s="217">
        <v>1950</v>
      </c>
      <c r="D496" s="220" t="s">
        <v>953</v>
      </c>
      <c r="E496" s="220"/>
      <c r="F496" s="221"/>
      <c r="G496" s="148"/>
      <c r="I496" s="219">
        <v>803357444164</v>
      </c>
      <c r="J496" s="219">
        <v>8271187781</v>
      </c>
    </row>
    <row r="497" spans="2:10" x14ac:dyDescent="0.25">
      <c r="B497" s="218">
        <v>43951</v>
      </c>
      <c r="C497" s="217">
        <v>1953</v>
      </c>
      <c r="D497" s="220" t="s">
        <v>954</v>
      </c>
      <c r="E497" s="220"/>
      <c r="F497" s="221"/>
      <c r="G497" s="148" t="s">
        <v>1648</v>
      </c>
      <c r="H497" s="214">
        <v>100</v>
      </c>
      <c r="I497" s="219">
        <v>973798727377</v>
      </c>
      <c r="J497" s="219">
        <v>6203365885</v>
      </c>
    </row>
    <row r="498" spans="2:10" x14ac:dyDescent="0.25">
      <c r="B498" s="218">
        <v>43951</v>
      </c>
      <c r="C498" s="217">
        <v>1954</v>
      </c>
      <c r="D498" s="220" t="s">
        <v>955</v>
      </c>
      <c r="E498" s="220"/>
      <c r="F498" s="221"/>
      <c r="G498" s="148" t="s">
        <v>1647</v>
      </c>
      <c r="H498" s="214">
        <v>100</v>
      </c>
      <c r="I498" s="219">
        <v>629735817332</v>
      </c>
      <c r="J498" s="219">
        <v>6205471371</v>
      </c>
    </row>
    <row r="499" spans="2:10" x14ac:dyDescent="0.25">
      <c r="B499" s="218">
        <v>43951</v>
      </c>
      <c r="C499" s="217">
        <v>1957</v>
      </c>
      <c r="D499" s="220" t="s">
        <v>956</v>
      </c>
      <c r="E499" s="220"/>
      <c r="F499" s="221"/>
      <c r="G499" s="148"/>
      <c r="I499" s="219">
        <v>216132883459</v>
      </c>
      <c r="J499" s="219">
        <v>9955362241</v>
      </c>
    </row>
    <row r="500" spans="2:10" x14ac:dyDescent="0.25">
      <c r="B500" s="218">
        <v>43951</v>
      </c>
      <c r="C500" s="217">
        <v>1958</v>
      </c>
      <c r="D500" s="220" t="s">
        <v>957</v>
      </c>
      <c r="E500" s="220"/>
      <c r="F500" s="221"/>
      <c r="G500" s="148"/>
      <c r="I500" s="219">
        <v>556871851256</v>
      </c>
      <c r="J500" s="219">
        <v>7033628673</v>
      </c>
    </row>
    <row r="501" spans="2:10" x14ac:dyDescent="0.25">
      <c r="B501" s="218">
        <v>43951</v>
      </c>
      <c r="C501" s="217">
        <v>1959</v>
      </c>
      <c r="D501" s="220" t="s">
        <v>958</v>
      </c>
      <c r="E501" s="220"/>
      <c r="F501" s="221"/>
      <c r="G501" s="148"/>
      <c r="I501" s="219">
        <v>979491639513</v>
      </c>
      <c r="J501" s="219">
        <v>8340239496</v>
      </c>
    </row>
    <row r="502" spans="2:10" x14ac:dyDescent="0.25">
      <c r="B502" s="218">
        <v>43951</v>
      </c>
      <c r="C502" s="217">
        <v>1961</v>
      </c>
      <c r="D502" s="220" t="s">
        <v>959</v>
      </c>
      <c r="E502" s="220"/>
      <c r="F502" s="221"/>
      <c r="G502" s="148"/>
      <c r="I502" s="219">
        <v>612060912293</v>
      </c>
      <c r="J502" s="219">
        <v>8092658128</v>
      </c>
    </row>
    <row r="503" spans="2:10" x14ac:dyDescent="0.25">
      <c r="B503" s="218">
        <v>43951</v>
      </c>
      <c r="C503" s="217">
        <v>1962</v>
      </c>
      <c r="D503" s="220" t="s">
        <v>960</v>
      </c>
      <c r="E503" s="220"/>
      <c r="F503" s="221"/>
      <c r="G503" s="148"/>
      <c r="I503" s="219">
        <v>915622950926</v>
      </c>
      <c r="J503" s="219">
        <v>9334619959</v>
      </c>
    </row>
    <row r="504" spans="2:10" x14ac:dyDescent="0.25">
      <c r="B504" s="218">
        <v>43951</v>
      </c>
      <c r="C504" s="217">
        <v>1964</v>
      </c>
      <c r="D504" s="220" t="s">
        <v>961</v>
      </c>
      <c r="E504" s="220"/>
      <c r="F504" s="221"/>
      <c r="G504" s="148"/>
      <c r="I504" s="219">
        <v>234936487611</v>
      </c>
      <c r="J504" s="219">
        <v>8409371937</v>
      </c>
    </row>
    <row r="505" spans="2:10" x14ac:dyDescent="0.25">
      <c r="B505" s="218">
        <v>43951</v>
      </c>
      <c r="C505" s="217">
        <v>1965</v>
      </c>
      <c r="D505" s="220" t="s">
        <v>962</v>
      </c>
      <c r="E505" s="220"/>
      <c r="F505" s="221"/>
      <c r="G505" s="148"/>
      <c r="I505" s="219">
        <v>524673640030</v>
      </c>
      <c r="J505" s="219">
        <v>8271187781</v>
      </c>
    </row>
    <row r="506" spans="2:10" x14ac:dyDescent="0.25">
      <c r="B506" s="218">
        <v>43951</v>
      </c>
      <c r="C506" s="217">
        <v>1966</v>
      </c>
      <c r="D506" s="220" t="s">
        <v>963</v>
      </c>
      <c r="E506" s="220"/>
      <c r="F506" s="221"/>
      <c r="G506" s="148"/>
      <c r="I506" s="219">
        <v>762795781974</v>
      </c>
      <c r="J506" s="219">
        <v>7488085286</v>
      </c>
    </row>
    <row r="507" spans="2:10" x14ac:dyDescent="0.25">
      <c r="B507" s="218">
        <v>43951</v>
      </c>
      <c r="C507" s="217">
        <v>1967</v>
      </c>
      <c r="D507" s="220" t="s">
        <v>964</v>
      </c>
      <c r="E507" s="220"/>
      <c r="F507" s="221"/>
      <c r="G507" s="148"/>
      <c r="I507" s="219">
        <v>960651688540</v>
      </c>
      <c r="J507" s="219">
        <v>6205495182</v>
      </c>
    </row>
    <row r="508" spans="2:10" x14ac:dyDescent="0.25">
      <c r="B508" s="218">
        <v>43951</v>
      </c>
      <c r="C508" s="217">
        <v>1969</v>
      </c>
      <c r="D508" s="220" t="s">
        <v>965</v>
      </c>
      <c r="E508" s="220"/>
      <c r="F508" s="221"/>
      <c r="G508" s="148"/>
      <c r="I508" s="219">
        <v>364246031314</v>
      </c>
      <c r="J508" s="219">
        <v>7209648621</v>
      </c>
    </row>
    <row r="509" spans="2:10" x14ac:dyDescent="0.25">
      <c r="B509" s="218">
        <v>43951</v>
      </c>
      <c r="C509" s="217">
        <v>1971</v>
      </c>
      <c r="D509" s="220" t="s">
        <v>966</v>
      </c>
      <c r="E509" s="220"/>
      <c r="F509" s="221"/>
      <c r="G509" s="148"/>
      <c r="I509" s="219">
        <v>200329089928</v>
      </c>
      <c r="J509" s="219">
        <v>9693188030</v>
      </c>
    </row>
    <row r="510" spans="2:10" x14ac:dyDescent="0.25">
      <c r="B510" s="218">
        <v>43951</v>
      </c>
      <c r="C510" s="217">
        <v>1972</v>
      </c>
      <c r="D510" s="220" t="s">
        <v>967</v>
      </c>
      <c r="E510" s="220"/>
      <c r="F510" s="221"/>
      <c r="G510" s="148"/>
      <c r="I510" s="219">
        <v>928358407057</v>
      </c>
      <c r="J510" s="219">
        <v>7488385720</v>
      </c>
    </row>
    <row r="511" spans="2:10" x14ac:dyDescent="0.25">
      <c r="B511" s="218">
        <v>43951</v>
      </c>
      <c r="C511" s="217">
        <v>1973</v>
      </c>
      <c r="D511" s="220" t="s">
        <v>968</v>
      </c>
      <c r="E511" s="220"/>
      <c r="F511" s="221"/>
      <c r="G511" s="148"/>
      <c r="I511" s="219">
        <v>347377946289</v>
      </c>
      <c r="J511" s="219">
        <v>8674803069</v>
      </c>
    </row>
    <row r="512" spans="2:10" x14ac:dyDescent="0.25">
      <c r="B512" s="218">
        <v>43951</v>
      </c>
      <c r="C512" s="217">
        <v>1975</v>
      </c>
      <c r="D512" s="220" t="s">
        <v>969</v>
      </c>
      <c r="E512" s="220"/>
      <c r="F512" s="221"/>
      <c r="G512" s="148"/>
      <c r="I512" s="219">
        <v>976670000389</v>
      </c>
      <c r="J512" s="219">
        <v>7209980860</v>
      </c>
    </row>
    <row r="513" spans="2:10" x14ac:dyDescent="0.25">
      <c r="B513" s="218">
        <v>43951</v>
      </c>
      <c r="C513" s="217">
        <v>1976</v>
      </c>
      <c r="D513" s="220" t="s">
        <v>970</v>
      </c>
      <c r="E513" s="220"/>
      <c r="F513" s="221"/>
      <c r="G513" s="148"/>
      <c r="I513" s="219">
        <v>837820579195</v>
      </c>
      <c r="J513" s="219">
        <v>9204267336</v>
      </c>
    </row>
    <row r="514" spans="2:10" x14ac:dyDescent="0.25">
      <c r="B514" s="218">
        <v>43951</v>
      </c>
      <c r="C514" s="217">
        <v>1977</v>
      </c>
      <c r="D514" s="220" t="s">
        <v>971</v>
      </c>
      <c r="E514" s="220"/>
      <c r="F514" s="221"/>
      <c r="G514" s="148"/>
      <c r="I514" s="219">
        <v>207286705333</v>
      </c>
      <c r="J514" s="219">
        <v>9204024939</v>
      </c>
    </row>
    <row r="515" spans="2:10" x14ac:dyDescent="0.25">
      <c r="B515" s="218">
        <v>43951</v>
      </c>
      <c r="C515" s="217">
        <v>1978</v>
      </c>
      <c r="D515" s="220" t="s">
        <v>972</v>
      </c>
      <c r="E515" s="220"/>
      <c r="F515" s="221"/>
      <c r="G515" s="148"/>
      <c r="I515" s="219">
        <v>787741946794</v>
      </c>
      <c r="J515" s="219">
        <v>7209469367</v>
      </c>
    </row>
    <row r="516" spans="2:10" x14ac:dyDescent="0.25">
      <c r="B516" s="218">
        <v>43951</v>
      </c>
      <c r="C516" s="217">
        <v>1979</v>
      </c>
      <c r="D516" s="223" t="s">
        <v>973</v>
      </c>
      <c r="E516" s="223"/>
      <c r="F516" s="224"/>
      <c r="G516" s="148" t="s">
        <v>1626</v>
      </c>
      <c r="H516" s="214">
        <v>100</v>
      </c>
      <c r="I516" s="219">
        <v>663941280372</v>
      </c>
      <c r="J516" s="219">
        <v>7079945884</v>
      </c>
    </row>
    <row r="517" spans="2:10" x14ac:dyDescent="0.25">
      <c r="B517" s="218">
        <v>43951</v>
      </c>
      <c r="C517" s="217">
        <v>1980</v>
      </c>
      <c r="D517" s="220" t="s">
        <v>974</v>
      </c>
      <c r="E517" s="220"/>
      <c r="F517" s="221"/>
      <c r="G517" s="148"/>
      <c r="I517" s="219">
        <v>286696859789</v>
      </c>
      <c r="J517" s="219">
        <v>9031907145</v>
      </c>
    </row>
    <row r="518" spans="2:10" x14ac:dyDescent="0.25">
      <c r="B518" s="218">
        <v>43951</v>
      </c>
      <c r="C518" s="217">
        <v>1981</v>
      </c>
      <c r="D518" s="220" t="s">
        <v>975</v>
      </c>
      <c r="E518" s="220"/>
      <c r="F518" s="221"/>
      <c r="G518" s="148"/>
      <c r="I518" s="219">
        <v>974679783820</v>
      </c>
      <c r="J518" s="219">
        <v>7209119953</v>
      </c>
    </row>
    <row r="519" spans="2:10" x14ac:dyDescent="0.25">
      <c r="B519" s="218">
        <v>43951</v>
      </c>
      <c r="C519" s="217">
        <v>1982</v>
      </c>
      <c r="D519" s="220" t="s">
        <v>976</v>
      </c>
      <c r="E519" s="220"/>
      <c r="F519" s="221"/>
      <c r="G519" s="148"/>
      <c r="I519" s="219">
        <v>430482847778</v>
      </c>
      <c r="J519" s="219">
        <v>9199343945</v>
      </c>
    </row>
    <row r="520" spans="2:10" x14ac:dyDescent="0.25">
      <c r="B520" s="218">
        <v>43951</v>
      </c>
      <c r="C520" s="217">
        <v>1983</v>
      </c>
      <c r="D520" s="220" t="s">
        <v>977</v>
      </c>
      <c r="E520" s="220"/>
      <c r="F520" s="221"/>
      <c r="G520" s="148"/>
      <c r="I520" s="219">
        <v>347439870394</v>
      </c>
      <c r="J520" s="219">
        <v>8987706330</v>
      </c>
    </row>
    <row r="521" spans="2:10" x14ac:dyDescent="0.25">
      <c r="B521" s="218">
        <v>43951</v>
      </c>
      <c r="C521" s="217">
        <v>1984</v>
      </c>
      <c r="D521" s="220" t="s">
        <v>978</v>
      </c>
      <c r="E521" s="220"/>
      <c r="F521" s="221"/>
      <c r="G521" s="148"/>
      <c r="I521" s="219">
        <v>227055289305</v>
      </c>
      <c r="J521" s="219">
        <v>9304176990</v>
      </c>
    </row>
    <row r="522" spans="2:10" x14ac:dyDescent="0.25">
      <c r="B522" s="218">
        <v>43951</v>
      </c>
      <c r="C522" s="217">
        <v>1985</v>
      </c>
      <c r="D522" s="220" t="s">
        <v>979</v>
      </c>
      <c r="E522" s="220"/>
      <c r="F522" s="221"/>
      <c r="G522" s="148"/>
      <c r="I522" s="219">
        <v>782796089823</v>
      </c>
      <c r="J522" s="219">
        <v>9693813410</v>
      </c>
    </row>
    <row r="523" spans="2:10" x14ac:dyDescent="0.25">
      <c r="B523" s="218">
        <v>43951</v>
      </c>
      <c r="C523" s="217">
        <v>1987</v>
      </c>
      <c r="D523" s="220" t="s">
        <v>980</v>
      </c>
      <c r="E523" s="220"/>
      <c r="F523" s="221"/>
      <c r="G523" s="148"/>
      <c r="I523" s="219">
        <v>660793307466</v>
      </c>
      <c r="J523" s="219">
        <v>9097401134</v>
      </c>
    </row>
    <row r="524" spans="2:10" x14ac:dyDescent="0.25">
      <c r="B524" s="218">
        <v>43951</v>
      </c>
      <c r="C524" s="217">
        <v>1988</v>
      </c>
      <c r="D524" s="220" t="s">
        <v>981</v>
      </c>
      <c r="E524" s="220"/>
      <c r="F524" s="221"/>
      <c r="G524" s="148"/>
      <c r="I524" s="219">
        <v>984136936604</v>
      </c>
      <c r="J524" s="219">
        <v>7209302446</v>
      </c>
    </row>
    <row r="525" spans="2:10" x14ac:dyDescent="0.25">
      <c r="B525" s="218">
        <v>43951</v>
      </c>
      <c r="C525" s="217">
        <v>1990</v>
      </c>
      <c r="D525" s="220" t="s">
        <v>982</v>
      </c>
      <c r="E525" s="220"/>
      <c r="F525" s="221"/>
      <c r="G525" s="148"/>
      <c r="I525" s="219">
        <v>415350622310</v>
      </c>
      <c r="J525" s="219">
        <v>9835489204</v>
      </c>
    </row>
    <row r="526" spans="2:10" x14ac:dyDescent="0.25">
      <c r="B526" s="218">
        <v>43951</v>
      </c>
      <c r="C526" s="217">
        <v>1992</v>
      </c>
      <c r="D526" s="220" t="s">
        <v>983</v>
      </c>
      <c r="E526" s="220"/>
      <c r="F526" s="221"/>
      <c r="G526" s="148"/>
      <c r="I526" s="219">
        <v>264042345817</v>
      </c>
      <c r="J526" s="219">
        <v>9534028993</v>
      </c>
    </row>
    <row r="527" spans="2:10" x14ac:dyDescent="0.25">
      <c r="B527" s="218">
        <v>43951</v>
      </c>
      <c r="C527" s="217">
        <v>1993</v>
      </c>
      <c r="D527" s="220" t="s">
        <v>984</v>
      </c>
      <c r="E527" s="220"/>
      <c r="F527" s="221"/>
      <c r="G527" s="148"/>
      <c r="I527" s="219">
        <v>488933052093</v>
      </c>
      <c r="J527" s="219">
        <v>9102726810</v>
      </c>
    </row>
    <row r="528" spans="2:10" x14ac:dyDescent="0.25">
      <c r="B528" s="218">
        <v>43951</v>
      </c>
      <c r="C528" s="217">
        <v>1995</v>
      </c>
      <c r="D528" s="220" t="s">
        <v>985</v>
      </c>
      <c r="E528" s="220"/>
      <c r="F528" s="221"/>
      <c r="G528" s="148"/>
      <c r="I528" s="219">
        <v>617076971578</v>
      </c>
      <c r="J528" s="219">
        <v>9608327198</v>
      </c>
    </row>
    <row r="529" spans="2:11" x14ac:dyDescent="0.25">
      <c r="B529" s="218">
        <v>43951</v>
      </c>
      <c r="C529" s="217">
        <v>1998</v>
      </c>
      <c r="D529" s="220" t="s">
        <v>986</v>
      </c>
      <c r="E529" s="220"/>
      <c r="F529" s="221"/>
      <c r="G529" s="148"/>
      <c r="I529" s="219">
        <v>458476873340</v>
      </c>
      <c r="J529" s="219">
        <v>9939889613</v>
      </c>
    </row>
    <row r="530" spans="2:11" x14ac:dyDescent="0.25">
      <c r="B530" s="218">
        <v>43951</v>
      </c>
      <c r="C530" s="217">
        <v>1999</v>
      </c>
      <c r="D530" s="220" t="s">
        <v>987</v>
      </c>
      <c r="E530" s="220"/>
      <c r="F530" s="221"/>
      <c r="G530" s="148"/>
      <c r="I530" s="219">
        <v>541993911117</v>
      </c>
      <c r="J530" s="219">
        <v>9304534774</v>
      </c>
    </row>
    <row r="531" spans="2:11" x14ac:dyDescent="0.25">
      <c r="B531" s="218">
        <v>43951</v>
      </c>
      <c r="C531" s="217">
        <v>2002</v>
      </c>
      <c r="D531" s="220" t="s">
        <v>988</v>
      </c>
      <c r="E531" s="220"/>
      <c r="F531" s="221"/>
      <c r="G531" s="148"/>
      <c r="I531" s="219">
        <v>997812458497</v>
      </c>
      <c r="J531" s="219">
        <v>7352712391</v>
      </c>
    </row>
    <row r="532" spans="2:11" x14ac:dyDescent="0.25">
      <c r="B532" s="218">
        <v>43951</v>
      </c>
      <c r="C532" s="217">
        <v>2003</v>
      </c>
      <c r="D532" s="220" t="s">
        <v>989</v>
      </c>
      <c r="E532" s="220"/>
      <c r="F532" s="221"/>
      <c r="G532" s="148"/>
      <c r="I532" s="219">
        <v>472271152169</v>
      </c>
      <c r="J532" s="219">
        <v>9507188627</v>
      </c>
    </row>
    <row r="533" spans="2:11" x14ac:dyDescent="0.25">
      <c r="B533" s="218">
        <v>43951</v>
      </c>
      <c r="C533" s="217">
        <v>2006</v>
      </c>
      <c r="D533" s="220" t="s">
        <v>990</v>
      </c>
      <c r="E533" s="220"/>
      <c r="F533" s="221"/>
      <c r="G533" s="148" t="s">
        <v>1648</v>
      </c>
      <c r="I533" s="219">
        <v>781860773386</v>
      </c>
      <c r="J533" s="219">
        <v>9608327198</v>
      </c>
      <c r="K533" s="218">
        <v>44000</v>
      </c>
    </row>
    <row r="534" spans="2:11" x14ac:dyDescent="0.25">
      <c r="B534" s="218">
        <v>43951</v>
      </c>
      <c r="C534" s="217">
        <v>2009</v>
      </c>
      <c r="D534" s="220" t="s">
        <v>991</v>
      </c>
      <c r="E534" s="220"/>
      <c r="F534" s="221"/>
      <c r="G534" s="148"/>
      <c r="I534" s="219">
        <v>426044324964</v>
      </c>
      <c r="J534" s="219">
        <v>9031335800</v>
      </c>
    </row>
    <row r="535" spans="2:11" x14ac:dyDescent="0.25">
      <c r="B535" s="218">
        <v>43951</v>
      </c>
      <c r="C535" s="217">
        <v>2010</v>
      </c>
      <c r="D535" s="220" t="s">
        <v>992</v>
      </c>
      <c r="E535" s="220"/>
      <c r="F535" s="221"/>
      <c r="G535" s="148"/>
      <c r="I535" s="219">
        <v>942973982382</v>
      </c>
      <c r="J535" s="219">
        <v>8789680880</v>
      </c>
    </row>
    <row r="536" spans="2:11" x14ac:dyDescent="0.25">
      <c r="B536" s="218">
        <v>43951</v>
      </c>
      <c r="C536" s="217">
        <v>2012</v>
      </c>
      <c r="D536" s="220" t="s">
        <v>993</v>
      </c>
      <c r="E536" s="220"/>
      <c r="F536" s="221"/>
      <c r="G536" s="148"/>
      <c r="I536" s="219">
        <v>550004379785</v>
      </c>
      <c r="J536" s="219">
        <v>8797590067</v>
      </c>
    </row>
    <row r="537" spans="2:11" x14ac:dyDescent="0.25">
      <c r="B537" s="218">
        <v>43951</v>
      </c>
      <c r="C537" s="217">
        <v>2013</v>
      </c>
      <c r="D537" s="220" t="s">
        <v>994</v>
      </c>
      <c r="E537" s="220"/>
      <c r="F537" s="221"/>
      <c r="G537" s="148"/>
      <c r="I537" s="219">
        <v>278849792561</v>
      </c>
      <c r="J537" s="219">
        <v>7209249441</v>
      </c>
    </row>
    <row r="538" spans="2:11" x14ac:dyDescent="0.25">
      <c r="B538" s="218">
        <v>43952</v>
      </c>
      <c r="C538" s="217">
        <v>2023</v>
      </c>
      <c r="D538" s="220" t="s">
        <v>995</v>
      </c>
      <c r="E538" s="220"/>
      <c r="F538" s="221"/>
      <c r="G538" s="148"/>
      <c r="I538" s="219">
        <v>427127003355</v>
      </c>
      <c r="J538" s="219">
        <v>930467489</v>
      </c>
    </row>
    <row r="539" spans="2:11" x14ac:dyDescent="0.25">
      <c r="B539" s="218">
        <v>43952</v>
      </c>
      <c r="C539" s="217">
        <v>2024</v>
      </c>
      <c r="D539" s="220" t="s">
        <v>996</v>
      </c>
      <c r="E539" s="220"/>
      <c r="F539" s="221"/>
      <c r="G539" s="148"/>
      <c r="I539" s="219">
        <v>997519604512</v>
      </c>
      <c r="J539" s="219">
        <v>9123103571</v>
      </c>
    </row>
    <row r="540" spans="2:11" x14ac:dyDescent="0.25">
      <c r="B540" s="218">
        <v>43952</v>
      </c>
      <c r="C540" s="217">
        <v>2025</v>
      </c>
      <c r="D540" s="220" t="s">
        <v>997</v>
      </c>
      <c r="E540" s="220"/>
      <c r="F540" s="221"/>
      <c r="G540" s="148"/>
      <c r="I540" s="219">
        <v>982511804615</v>
      </c>
      <c r="J540" s="219">
        <v>8092673271</v>
      </c>
    </row>
    <row r="541" spans="2:11" x14ac:dyDescent="0.25">
      <c r="B541" s="218">
        <v>43952</v>
      </c>
      <c r="C541" s="217">
        <v>2026</v>
      </c>
      <c r="D541" s="220" t="s">
        <v>998</v>
      </c>
      <c r="E541" s="220"/>
      <c r="F541" s="221"/>
      <c r="G541" s="148"/>
      <c r="I541" s="219">
        <v>849235899142</v>
      </c>
      <c r="J541" s="219">
        <v>748891798</v>
      </c>
    </row>
    <row r="542" spans="2:11" x14ac:dyDescent="0.25">
      <c r="B542" s="218">
        <v>43952</v>
      </c>
      <c r="C542" s="217">
        <v>2027</v>
      </c>
      <c r="D542" s="220" t="s">
        <v>843</v>
      </c>
      <c r="E542" s="220"/>
      <c r="F542" s="221"/>
      <c r="G542" s="148"/>
      <c r="I542" s="219">
        <v>229766218947</v>
      </c>
      <c r="J542" s="219">
        <v>7209442927</v>
      </c>
    </row>
    <row r="543" spans="2:11" x14ac:dyDescent="0.25">
      <c r="B543" s="218">
        <v>43952</v>
      </c>
      <c r="C543" s="217">
        <v>2028</v>
      </c>
      <c r="D543" s="220" t="s">
        <v>999</v>
      </c>
      <c r="E543" s="220"/>
      <c r="F543" s="221"/>
      <c r="G543" s="148"/>
      <c r="I543" s="219">
        <v>959560945730</v>
      </c>
      <c r="J543" s="219">
        <v>8092703035</v>
      </c>
    </row>
    <row r="544" spans="2:11" x14ac:dyDescent="0.25">
      <c r="B544" s="218">
        <v>43952</v>
      </c>
      <c r="C544" s="217">
        <v>2029</v>
      </c>
      <c r="D544" s="220" t="s">
        <v>1000</v>
      </c>
      <c r="E544" s="220"/>
      <c r="F544" s="221"/>
      <c r="G544" s="148"/>
      <c r="I544" s="219">
        <v>972024883185</v>
      </c>
      <c r="J544" s="219">
        <v>9905055987</v>
      </c>
    </row>
    <row r="545" spans="2:10" x14ac:dyDescent="0.25">
      <c r="B545" s="218">
        <v>43952</v>
      </c>
      <c r="C545" s="217">
        <v>2030</v>
      </c>
      <c r="D545" s="220" t="s">
        <v>1001</v>
      </c>
      <c r="E545" s="220"/>
      <c r="F545" s="221"/>
      <c r="G545" s="148"/>
      <c r="I545" s="219">
        <v>972639239659</v>
      </c>
      <c r="J545" s="219">
        <v>6396496308</v>
      </c>
    </row>
    <row r="546" spans="2:10" x14ac:dyDescent="0.25">
      <c r="B546" s="218">
        <v>43952</v>
      </c>
      <c r="C546" s="217">
        <v>2032</v>
      </c>
      <c r="D546" s="220" t="s">
        <v>1002</v>
      </c>
      <c r="E546" s="220"/>
      <c r="F546" s="221"/>
      <c r="G546" s="148"/>
      <c r="I546" s="219">
        <v>208187618091</v>
      </c>
      <c r="J546" s="219">
        <v>9334882577</v>
      </c>
    </row>
    <row r="547" spans="2:10" x14ac:dyDescent="0.25">
      <c r="B547" s="218">
        <v>43952</v>
      </c>
      <c r="C547" s="217">
        <v>2033</v>
      </c>
      <c r="D547" s="220" t="s">
        <v>1003</v>
      </c>
      <c r="E547" s="220"/>
      <c r="F547" s="221"/>
      <c r="G547" s="148"/>
      <c r="I547" s="219">
        <v>300567091569</v>
      </c>
      <c r="J547" s="219">
        <v>8789894681</v>
      </c>
    </row>
    <row r="548" spans="2:10" x14ac:dyDescent="0.25">
      <c r="B548" s="218">
        <v>43952</v>
      </c>
      <c r="C548" s="217">
        <v>2037</v>
      </c>
      <c r="D548" s="220" t="s">
        <v>1004</v>
      </c>
      <c r="E548" s="220"/>
      <c r="F548" s="221"/>
      <c r="G548" s="148"/>
      <c r="I548" s="219">
        <v>726127257415</v>
      </c>
      <c r="J548" s="219">
        <v>6200678165</v>
      </c>
    </row>
    <row r="549" spans="2:10" x14ac:dyDescent="0.25">
      <c r="B549" s="218">
        <v>43952</v>
      </c>
      <c r="C549" s="217">
        <v>2038</v>
      </c>
      <c r="D549" s="220" t="s">
        <v>1005</v>
      </c>
      <c r="E549" s="220"/>
      <c r="F549" s="221"/>
      <c r="G549" s="148"/>
      <c r="I549" s="219">
        <v>926185582379</v>
      </c>
      <c r="J549" s="219">
        <v>7209836937</v>
      </c>
    </row>
    <row r="550" spans="2:10" x14ac:dyDescent="0.25">
      <c r="B550" s="218">
        <v>43952</v>
      </c>
      <c r="C550" s="217">
        <v>2040</v>
      </c>
      <c r="D550" s="220" t="s">
        <v>1006</v>
      </c>
      <c r="E550" s="220"/>
      <c r="F550" s="221"/>
      <c r="G550" s="148"/>
      <c r="I550" s="219">
        <v>271348460395</v>
      </c>
      <c r="J550" s="219">
        <v>8521178538</v>
      </c>
    </row>
    <row r="551" spans="2:10" x14ac:dyDescent="0.25">
      <c r="B551" s="218">
        <v>43952</v>
      </c>
      <c r="C551" s="217">
        <v>2042</v>
      </c>
      <c r="D551" s="220" t="s">
        <v>1007</v>
      </c>
      <c r="E551" s="220"/>
      <c r="F551" s="221"/>
      <c r="G551" s="148"/>
      <c r="I551" s="219">
        <v>416059324874</v>
      </c>
      <c r="J551" s="219">
        <v>8210035066</v>
      </c>
    </row>
    <row r="552" spans="2:10" x14ac:dyDescent="0.25">
      <c r="B552" s="218">
        <v>43952</v>
      </c>
      <c r="C552" s="217">
        <v>2044</v>
      </c>
      <c r="D552" s="220" t="s">
        <v>1008</v>
      </c>
      <c r="E552" s="220"/>
      <c r="F552" s="221"/>
      <c r="G552" s="148"/>
      <c r="I552" s="219">
        <v>241974562804</v>
      </c>
      <c r="J552" s="219">
        <v>9523123610</v>
      </c>
    </row>
    <row r="553" spans="2:10" x14ac:dyDescent="0.25">
      <c r="B553" s="218">
        <v>43952</v>
      </c>
      <c r="C553" s="217">
        <v>2045</v>
      </c>
      <c r="D553" s="220" t="s">
        <v>1009</v>
      </c>
      <c r="E553" s="220"/>
      <c r="F553" s="221"/>
      <c r="G553" s="148"/>
      <c r="I553" s="219">
        <v>484735426915</v>
      </c>
      <c r="J553" s="219">
        <v>6204964723</v>
      </c>
    </row>
    <row r="554" spans="2:10" x14ac:dyDescent="0.25">
      <c r="B554" s="218">
        <v>43952</v>
      </c>
      <c r="C554" s="217">
        <v>2046</v>
      </c>
      <c r="D554" s="220" t="s">
        <v>1010</v>
      </c>
      <c r="E554" s="220"/>
      <c r="F554" s="221"/>
      <c r="G554" s="148"/>
      <c r="I554" s="219">
        <v>306414605632</v>
      </c>
      <c r="J554" s="219">
        <v>6204069239</v>
      </c>
    </row>
    <row r="555" spans="2:10" x14ac:dyDescent="0.25">
      <c r="B555" s="218">
        <v>43952</v>
      </c>
      <c r="C555" s="217">
        <v>2048</v>
      </c>
      <c r="D555" s="220" t="s">
        <v>1011</v>
      </c>
      <c r="E555" s="220"/>
      <c r="F555" s="221"/>
      <c r="G555" s="148"/>
      <c r="I555" s="219">
        <v>996399062261</v>
      </c>
      <c r="J555" s="219">
        <v>9279375236</v>
      </c>
    </row>
    <row r="556" spans="2:10" x14ac:dyDescent="0.25">
      <c r="B556" s="218">
        <v>43952</v>
      </c>
      <c r="C556" s="217">
        <v>2049</v>
      </c>
      <c r="D556" s="220" t="s">
        <v>1012</v>
      </c>
      <c r="E556" s="220"/>
      <c r="F556" s="221"/>
      <c r="G556" s="148"/>
      <c r="I556" s="219">
        <v>908937667205</v>
      </c>
      <c r="J556" s="219">
        <v>7209288061</v>
      </c>
    </row>
    <row r="557" spans="2:10" x14ac:dyDescent="0.25">
      <c r="B557" s="218">
        <v>43956</v>
      </c>
      <c r="C557" s="217">
        <v>2049</v>
      </c>
      <c r="D557" s="220" t="s">
        <v>1166</v>
      </c>
      <c r="E557" s="220"/>
      <c r="F557" s="221"/>
      <c r="G557" s="148"/>
      <c r="I557" s="219">
        <v>739388084029</v>
      </c>
      <c r="J557" s="219">
        <v>7903011662</v>
      </c>
    </row>
    <row r="558" spans="2:10" x14ac:dyDescent="0.25">
      <c r="B558" s="218">
        <v>43952</v>
      </c>
      <c r="C558" s="217">
        <v>2051</v>
      </c>
      <c r="D558" s="220" t="s">
        <v>1013</v>
      </c>
      <c r="E558" s="220"/>
      <c r="F558" s="221"/>
      <c r="G558" s="148"/>
      <c r="I558" s="219">
        <v>332292694228</v>
      </c>
      <c r="J558" s="219">
        <v>7209643045</v>
      </c>
    </row>
    <row r="559" spans="2:10" x14ac:dyDescent="0.25">
      <c r="B559" s="218">
        <v>43952</v>
      </c>
      <c r="C559" s="217">
        <v>2053</v>
      </c>
      <c r="D559" s="220" t="s">
        <v>1014</v>
      </c>
      <c r="E559" s="220"/>
      <c r="F559" s="221"/>
      <c r="G559" s="148"/>
      <c r="I559" s="219">
        <v>544827056449</v>
      </c>
      <c r="J559" s="219">
        <v>6204179903</v>
      </c>
    </row>
    <row r="560" spans="2:10" x14ac:dyDescent="0.25">
      <c r="B560" s="218">
        <v>43952</v>
      </c>
      <c r="C560" s="217">
        <v>2054</v>
      </c>
      <c r="D560" s="223" t="s">
        <v>1015</v>
      </c>
      <c r="E560" s="223"/>
      <c r="F560" s="224"/>
      <c r="G560" s="148" t="s">
        <v>1674</v>
      </c>
      <c r="H560" s="214">
        <v>100</v>
      </c>
      <c r="I560" s="219">
        <v>738953520841</v>
      </c>
      <c r="J560" s="219">
        <v>7667213918</v>
      </c>
    </row>
    <row r="561" spans="2:10" x14ac:dyDescent="0.25">
      <c r="B561" s="218">
        <v>43952</v>
      </c>
      <c r="C561" s="217">
        <v>2056</v>
      </c>
      <c r="D561" s="220" t="s">
        <v>1016</v>
      </c>
      <c r="E561" s="220"/>
      <c r="F561" s="221"/>
      <c r="G561" s="148"/>
      <c r="I561" s="219">
        <v>805639489317</v>
      </c>
      <c r="J561" s="219">
        <v>8709878295</v>
      </c>
    </row>
    <row r="562" spans="2:10" x14ac:dyDescent="0.25">
      <c r="B562" s="218">
        <v>43952</v>
      </c>
      <c r="C562" s="217">
        <v>2058</v>
      </c>
      <c r="D562" s="220" t="s">
        <v>1017</v>
      </c>
      <c r="E562" s="220"/>
      <c r="F562" s="221"/>
      <c r="G562" s="148"/>
      <c r="I562" s="219">
        <v>805639489317</v>
      </c>
      <c r="J562" s="219">
        <v>9031967169</v>
      </c>
    </row>
    <row r="563" spans="2:10" x14ac:dyDescent="0.25">
      <c r="B563" s="218">
        <v>43952</v>
      </c>
      <c r="C563" s="217">
        <v>2060</v>
      </c>
      <c r="D563" s="220" t="s">
        <v>1018</v>
      </c>
      <c r="E563" s="220"/>
      <c r="F563" s="221"/>
      <c r="G563" s="148"/>
      <c r="I563" s="219">
        <v>360905424356</v>
      </c>
      <c r="J563" s="219">
        <v>7209736439</v>
      </c>
    </row>
    <row r="564" spans="2:10" x14ac:dyDescent="0.25">
      <c r="B564" s="218">
        <v>43952</v>
      </c>
      <c r="C564" s="217">
        <v>2062</v>
      </c>
      <c r="D564" s="220" t="s">
        <v>1019</v>
      </c>
      <c r="E564" s="220"/>
      <c r="F564" s="221"/>
      <c r="G564" s="148"/>
      <c r="I564" s="219">
        <v>939074305608</v>
      </c>
      <c r="J564" s="219">
        <v>9905184352</v>
      </c>
    </row>
    <row r="565" spans="2:10" x14ac:dyDescent="0.25">
      <c r="B565" s="218">
        <v>43952</v>
      </c>
      <c r="C565" s="217">
        <v>2063</v>
      </c>
      <c r="D565" s="220" t="s">
        <v>1020</v>
      </c>
      <c r="E565" s="220"/>
      <c r="F565" s="221"/>
      <c r="G565" s="148"/>
      <c r="I565" s="219">
        <v>304466677444</v>
      </c>
      <c r="J565" s="219">
        <v>6200878149</v>
      </c>
    </row>
    <row r="566" spans="2:10" x14ac:dyDescent="0.25">
      <c r="B566" s="218">
        <v>43952</v>
      </c>
      <c r="C566" s="217">
        <v>2064</v>
      </c>
      <c r="D566" s="220" t="s">
        <v>1021</v>
      </c>
      <c r="E566" s="220"/>
      <c r="F566" s="221"/>
      <c r="G566" s="148"/>
      <c r="I566" s="219">
        <v>250519254274</v>
      </c>
      <c r="J566" s="219">
        <v>6207538624</v>
      </c>
    </row>
    <row r="567" spans="2:10" x14ac:dyDescent="0.25">
      <c r="B567" s="218">
        <v>43952</v>
      </c>
      <c r="C567" s="217">
        <v>2066</v>
      </c>
      <c r="D567" s="220" t="s">
        <v>1022</v>
      </c>
      <c r="E567" s="220"/>
      <c r="F567" s="221"/>
      <c r="G567" s="148"/>
      <c r="I567" s="219">
        <v>335909636600</v>
      </c>
      <c r="J567" s="219"/>
    </row>
    <row r="568" spans="2:10" x14ac:dyDescent="0.25">
      <c r="B568" s="218">
        <v>43952</v>
      </c>
      <c r="C568" s="217">
        <v>2068</v>
      </c>
      <c r="D568" s="220" t="s">
        <v>966</v>
      </c>
      <c r="E568" s="220"/>
      <c r="F568" s="221"/>
      <c r="G568" s="148"/>
      <c r="I568" s="219">
        <v>734458555826</v>
      </c>
      <c r="J568" s="219">
        <v>9110971263</v>
      </c>
    </row>
    <row r="569" spans="2:10" x14ac:dyDescent="0.25">
      <c r="B569" s="218">
        <v>43952</v>
      </c>
      <c r="C569" s="217">
        <v>2069</v>
      </c>
      <c r="D569" s="220" t="s">
        <v>1023</v>
      </c>
      <c r="E569" s="220"/>
      <c r="F569" s="221"/>
      <c r="G569" s="148"/>
      <c r="I569" s="219">
        <v>251715995571</v>
      </c>
      <c r="J569" s="219">
        <v>7488948181</v>
      </c>
    </row>
    <row r="570" spans="2:10" x14ac:dyDescent="0.25">
      <c r="B570" s="218">
        <v>43952</v>
      </c>
      <c r="C570" s="217">
        <v>2071</v>
      </c>
      <c r="D570" s="220" t="s">
        <v>767</v>
      </c>
      <c r="E570" s="220"/>
      <c r="F570" s="221"/>
      <c r="G570" s="148"/>
      <c r="I570" s="219">
        <v>733446693365</v>
      </c>
      <c r="J570" s="219"/>
    </row>
    <row r="571" spans="2:10" x14ac:dyDescent="0.25">
      <c r="B571" s="218">
        <v>43952</v>
      </c>
      <c r="C571" s="217">
        <v>2072</v>
      </c>
      <c r="D571" s="220" t="s">
        <v>1024</v>
      </c>
      <c r="E571" s="220"/>
      <c r="F571" s="221"/>
      <c r="G571" s="148"/>
      <c r="H571" s="214">
        <v>100</v>
      </c>
      <c r="I571" s="219">
        <v>728266218614</v>
      </c>
      <c r="J571" s="219">
        <v>9507632763</v>
      </c>
    </row>
    <row r="572" spans="2:10" x14ac:dyDescent="0.25">
      <c r="B572" s="218">
        <v>43952</v>
      </c>
      <c r="C572" s="217">
        <v>2073</v>
      </c>
      <c r="D572" s="220" t="s">
        <v>1025</v>
      </c>
      <c r="E572" s="220"/>
      <c r="F572" s="221"/>
      <c r="G572" s="148"/>
      <c r="I572" s="219">
        <v>761780012369</v>
      </c>
      <c r="J572" s="219">
        <v>9162908841</v>
      </c>
    </row>
    <row r="573" spans="2:10" x14ac:dyDescent="0.25">
      <c r="B573" s="218">
        <v>43952</v>
      </c>
      <c r="C573" s="217">
        <v>2076</v>
      </c>
      <c r="D573" s="220" t="s">
        <v>1026</v>
      </c>
      <c r="E573" s="220"/>
      <c r="F573" s="221"/>
      <c r="G573" s="148" t="s">
        <v>1671</v>
      </c>
      <c r="H573" s="225">
        <v>500</v>
      </c>
      <c r="I573" s="219">
        <v>805569426994</v>
      </c>
      <c r="J573" s="219">
        <v>7209989738</v>
      </c>
    </row>
    <row r="574" spans="2:10" x14ac:dyDescent="0.25">
      <c r="B574" s="218">
        <v>43952</v>
      </c>
      <c r="C574" s="217">
        <v>2077</v>
      </c>
      <c r="D574" s="220" t="s">
        <v>1027</v>
      </c>
      <c r="E574" s="220"/>
      <c r="F574" s="221"/>
      <c r="G574" s="148"/>
      <c r="I574" s="219">
        <v>928559646678</v>
      </c>
      <c r="J574" s="219">
        <v>6200076880</v>
      </c>
    </row>
    <row r="575" spans="2:10" x14ac:dyDescent="0.25">
      <c r="B575" s="218">
        <v>43952</v>
      </c>
      <c r="C575" s="217">
        <v>2080</v>
      </c>
      <c r="D575" s="220" t="s">
        <v>1028</v>
      </c>
      <c r="E575" s="220"/>
      <c r="F575" s="221"/>
      <c r="G575" s="148"/>
      <c r="I575" s="219">
        <v>792592146427</v>
      </c>
      <c r="J575" s="219"/>
    </row>
    <row r="576" spans="2:10" x14ac:dyDescent="0.25">
      <c r="B576" s="218">
        <v>43952</v>
      </c>
      <c r="C576" s="217">
        <v>2081</v>
      </c>
      <c r="D576" s="220" t="s">
        <v>1029</v>
      </c>
      <c r="E576" s="220"/>
      <c r="F576" s="221"/>
      <c r="G576" s="148" t="s">
        <v>1648</v>
      </c>
      <c r="H576" s="214">
        <v>100</v>
      </c>
      <c r="I576" s="219">
        <v>473751660536</v>
      </c>
      <c r="J576" s="219">
        <v>8709734623</v>
      </c>
    </row>
    <row r="577" spans="2:14" x14ac:dyDescent="0.25">
      <c r="B577" s="218">
        <v>43952</v>
      </c>
      <c r="C577" s="217">
        <v>2086</v>
      </c>
      <c r="D577" s="220" t="s">
        <v>1030</v>
      </c>
      <c r="E577" s="220"/>
      <c r="F577" s="221"/>
      <c r="G577" s="148"/>
      <c r="I577" s="219">
        <v>865260557176</v>
      </c>
      <c r="J577" s="219">
        <v>7209807805</v>
      </c>
    </row>
    <row r="578" spans="2:14" x14ac:dyDescent="0.25">
      <c r="B578" s="218">
        <v>43952</v>
      </c>
      <c r="C578" s="217">
        <v>2087</v>
      </c>
      <c r="D578" s="220" t="s">
        <v>1031</v>
      </c>
      <c r="E578" s="220"/>
      <c r="F578" s="221"/>
      <c r="G578" s="148"/>
      <c r="I578" s="219">
        <v>335751890563</v>
      </c>
      <c r="J578" s="219">
        <v>8092278084</v>
      </c>
    </row>
    <row r="579" spans="2:14" x14ac:dyDescent="0.25">
      <c r="B579" s="218">
        <v>43952</v>
      </c>
      <c r="C579" s="217">
        <v>2089</v>
      </c>
      <c r="D579" s="220" t="s">
        <v>1032</v>
      </c>
      <c r="E579" s="220"/>
      <c r="F579" s="221"/>
      <c r="G579" s="148"/>
      <c r="I579" s="219">
        <v>665647879469</v>
      </c>
      <c r="J579" s="219"/>
    </row>
    <row r="580" spans="2:14" x14ac:dyDescent="0.25">
      <c r="B580" s="218">
        <v>43952</v>
      </c>
      <c r="C580" s="217">
        <v>2092</v>
      </c>
      <c r="D580" s="220" t="s">
        <v>1033</v>
      </c>
      <c r="E580" s="220"/>
      <c r="F580" s="221"/>
      <c r="G580" s="148"/>
      <c r="I580" s="219">
        <v>468700484819</v>
      </c>
      <c r="J580" s="219">
        <v>7858092082</v>
      </c>
    </row>
    <row r="581" spans="2:14" x14ac:dyDescent="0.25">
      <c r="B581" s="218">
        <v>43952</v>
      </c>
      <c r="C581" s="217">
        <v>2095</v>
      </c>
      <c r="D581" s="220" t="s">
        <v>1034</v>
      </c>
      <c r="E581" s="220"/>
      <c r="F581" s="221"/>
      <c r="G581" s="148"/>
      <c r="I581" s="219">
        <v>254710267780</v>
      </c>
      <c r="J581" s="219">
        <v>9097181187</v>
      </c>
    </row>
    <row r="582" spans="2:14" x14ac:dyDescent="0.25">
      <c r="B582" s="218">
        <v>43952</v>
      </c>
      <c r="C582" s="217">
        <v>2097</v>
      </c>
      <c r="D582" s="220" t="s">
        <v>1035</v>
      </c>
      <c r="E582" s="220"/>
      <c r="F582" s="221"/>
      <c r="G582" s="148"/>
      <c r="I582" s="219">
        <v>201732259520</v>
      </c>
      <c r="J582" s="219">
        <v>6204740245</v>
      </c>
    </row>
    <row r="583" spans="2:14" x14ac:dyDescent="0.25">
      <c r="B583" s="218">
        <v>43952</v>
      </c>
      <c r="C583" s="217">
        <v>2098</v>
      </c>
      <c r="D583" s="220" t="s">
        <v>1036</v>
      </c>
      <c r="E583" s="220"/>
      <c r="F583" s="221"/>
      <c r="G583" s="148" t="s">
        <v>1626</v>
      </c>
      <c r="H583" s="214">
        <v>200</v>
      </c>
      <c r="I583" s="219">
        <v>297173620774</v>
      </c>
      <c r="J583" s="219">
        <v>7209950247</v>
      </c>
      <c r="N583" s="214" t="s">
        <v>66</v>
      </c>
    </row>
    <row r="584" spans="2:14" x14ac:dyDescent="0.25">
      <c r="B584" s="218">
        <v>43952</v>
      </c>
      <c r="C584" s="217">
        <v>2100</v>
      </c>
      <c r="D584" s="220" t="s">
        <v>1037</v>
      </c>
      <c r="E584" s="220"/>
      <c r="F584" s="221"/>
      <c r="G584" s="148"/>
      <c r="I584" s="219">
        <v>697403822884</v>
      </c>
      <c r="J584" s="219">
        <v>8092635915</v>
      </c>
    </row>
    <row r="585" spans="2:14" x14ac:dyDescent="0.25">
      <c r="B585" s="218">
        <v>43952</v>
      </c>
      <c r="C585" s="217">
        <v>2101</v>
      </c>
      <c r="D585" s="220" t="s">
        <v>1038</v>
      </c>
      <c r="E585" s="220"/>
      <c r="F585" s="221"/>
      <c r="G585" s="148"/>
      <c r="I585" s="219">
        <v>641257898393</v>
      </c>
      <c r="J585" s="219">
        <v>7970808598</v>
      </c>
    </row>
    <row r="586" spans="2:14" x14ac:dyDescent="0.25">
      <c r="B586" s="218">
        <v>43952</v>
      </c>
      <c r="C586" s="217">
        <v>2103</v>
      </c>
      <c r="D586" s="220" t="s">
        <v>1039</v>
      </c>
      <c r="E586" s="220"/>
      <c r="F586" s="221"/>
      <c r="G586" s="148"/>
      <c r="I586" s="219">
        <v>622256646972</v>
      </c>
      <c r="J586" s="219">
        <v>8294845081</v>
      </c>
    </row>
    <row r="587" spans="2:14" x14ac:dyDescent="0.25">
      <c r="B587" s="218">
        <v>43952</v>
      </c>
      <c r="C587" s="217">
        <v>2104</v>
      </c>
      <c r="D587" s="220" t="s">
        <v>1040</v>
      </c>
      <c r="E587" s="220"/>
      <c r="F587" s="221"/>
      <c r="G587" s="148"/>
      <c r="I587" s="219">
        <v>495885166893</v>
      </c>
      <c r="J587" s="219">
        <v>9835210670</v>
      </c>
    </row>
    <row r="588" spans="2:14" x14ac:dyDescent="0.25">
      <c r="B588" s="218">
        <v>43952</v>
      </c>
      <c r="C588" s="217">
        <v>2106</v>
      </c>
      <c r="D588" s="220" t="s">
        <v>1041</v>
      </c>
      <c r="E588" s="220"/>
      <c r="F588" s="221"/>
      <c r="G588" s="148"/>
      <c r="I588" s="219">
        <v>419855043752</v>
      </c>
      <c r="J588" s="219">
        <v>6207331890</v>
      </c>
    </row>
    <row r="589" spans="2:14" x14ac:dyDescent="0.25">
      <c r="B589" s="218">
        <v>43952</v>
      </c>
      <c r="C589" s="217">
        <v>2107</v>
      </c>
      <c r="D589" s="220" t="s">
        <v>1042</v>
      </c>
      <c r="E589" s="220"/>
      <c r="F589" s="221"/>
      <c r="G589" s="148"/>
      <c r="I589" s="219">
        <v>729887709937</v>
      </c>
      <c r="J589" s="219">
        <v>8092329900</v>
      </c>
    </row>
    <row r="590" spans="2:14" x14ac:dyDescent="0.25">
      <c r="B590" s="218">
        <v>43952</v>
      </c>
      <c r="C590" s="217">
        <v>2108</v>
      </c>
      <c r="D590" s="220" t="s">
        <v>1043</v>
      </c>
      <c r="E590" s="220"/>
      <c r="F590" s="221"/>
      <c r="G590" s="148"/>
      <c r="I590" s="219">
        <v>299736633206</v>
      </c>
      <c r="J590" s="219">
        <v>7050146812</v>
      </c>
    </row>
    <row r="591" spans="2:14" x14ac:dyDescent="0.25">
      <c r="B591" s="218">
        <v>43952</v>
      </c>
      <c r="C591" s="217">
        <v>2110</v>
      </c>
      <c r="D591" s="220" t="s">
        <v>1044</v>
      </c>
      <c r="E591" s="220"/>
      <c r="F591" s="221"/>
      <c r="G591" s="148"/>
      <c r="I591" s="219">
        <v>395569403206</v>
      </c>
      <c r="J591" s="219">
        <v>9631533112</v>
      </c>
    </row>
    <row r="592" spans="2:14" x14ac:dyDescent="0.25">
      <c r="B592" s="218">
        <v>43952</v>
      </c>
      <c r="C592" s="217">
        <v>2113</v>
      </c>
      <c r="D592" s="220" t="s">
        <v>1045</v>
      </c>
      <c r="E592" s="220"/>
      <c r="F592" s="221"/>
      <c r="G592" s="148"/>
      <c r="I592" s="219">
        <v>962591728990</v>
      </c>
      <c r="J592" s="219">
        <v>7488634417</v>
      </c>
    </row>
    <row r="593" spans="2:11" x14ac:dyDescent="0.25">
      <c r="B593" s="218">
        <v>43952</v>
      </c>
      <c r="C593" s="217">
        <v>2116</v>
      </c>
      <c r="D593" s="220" t="s">
        <v>1046</v>
      </c>
      <c r="E593" s="220"/>
      <c r="F593" s="221"/>
      <c r="G593" s="148"/>
      <c r="I593" s="219">
        <v>368751199111</v>
      </c>
      <c r="J593" s="219">
        <v>8084203663</v>
      </c>
    </row>
    <row r="594" spans="2:11" x14ac:dyDescent="0.25">
      <c r="B594" s="218">
        <v>43952</v>
      </c>
      <c r="C594" s="217">
        <v>2117</v>
      </c>
      <c r="D594" s="220" t="s">
        <v>1047</v>
      </c>
      <c r="E594" s="220"/>
      <c r="F594" s="221"/>
      <c r="G594" s="148"/>
      <c r="I594" s="219">
        <v>543106446248</v>
      </c>
      <c r="J594" s="219">
        <v>8092167790</v>
      </c>
    </row>
    <row r="595" spans="2:11" x14ac:dyDescent="0.25">
      <c r="B595" s="218">
        <v>43952</v>
      </c>
      <c r="C595" s="217">
        <v>2120</v>
      </c>
      <c r="D595" s="220" t="s">
        <v>1048</v>
      </c>
      <c r="E595" s="220"/>
      <c r="F595" s="221"/>
      <c r="G595" s="148"/>
      <c r="I595" s="219">
        <v>973471090606</v>
      </c>
      <c r="J595" s="219">
        <v>7541886351</v>
      </c>
    </row>
    <row r="596" spans="2:11" x14ac:dyDescent="0.25">
      <c r="B596" s="218">
        <v>43952</v>
      </c>
      <c r="C596" s="217">
        <v>2122</v>
      </c>
      <c r="D596" s="220" t="s">
        <v>1049</v>
      </c>
      <c r="E596" s="220"/>
      <c r="F596" s="221"/>
      <c r="G596" s="148" t="s">
        <v>1800</v>
      </c>
      <c r="H596" s="214">
        <v>100</v>
      </c>
      <c r="I596" s="219">
        <v>254823514670</v>
      </c>
      <c r="J596" s="219">
        <v>8235306713</v>
      </c>
      <c r="K596" s="218">
        <v>44019</v>
      </c>
    </row>
    <row r="597" spans="2:11" x14ac:dyDescent="0.25">
      <c r="B597" s="218">
        <v>43964</v>
      </c>
      <c r="C597" s="217">
        <v>2123</v>
      </c>
      <c r="D597" s="220" t="s">
        <v>1457</v>
      </c>
      <c r="E597" s="220"/>
      <c r="F597" s="221"/>
      <c r="G597" s="148"/>
      <c r="I597" s="219">
        <v>314356120779</v>
      </c>
      <c r="J597" s="219">
        <v>8789763720</v>
      </c>
    </row>
    <row r="598" spans="2:11" x14ac:dyDescent="0.25">
      <c r="B598" s="218">
        <v>43953</v>
      </c>
      <c r="C598" s="217">
        <v>2137</v>
      </c>
      <c r="D598" s="220" t="s">
        <v>1050</v>
      </c>
      <c r="E598" s="220"/>
      <c r="F598" s="221"/>
      <c r="G598" s="148"/>
      <c r="I598" s="219">
        <v>770838923910</v>
      </c>
      <c r="J598" s="219">
        <v>9939326148</v>
      </c>
    </row>
    <row r="599" spans="2:11" x14ac:dyDescent="0.25">
      <c r="B599" s="218">
        <v>43953</v>
      </c>
      <c r="C599" s="217">
        <v>2138</v>
      </c>
      <c r="D599" s="220" t="s">
        <v>1051</v>
      </c>
      <c r="E599" s="220"/>
      <c r="F599" s="221"/>
      <c r="G599" s="148"/>
      <c r="I599" s="219">
        <v>496964844842</v>
      </c>
      <c r="J599" s="219">
        <v>9801375784</v>
      </c>
    </row>
    <row r="600" spans="2:11" x14ac:dyDescent="0.25">
      <c r="B600" s="218">
        <v>43953</v>
      </c>
      <c r="C600" s="217">
        <v>2139</v>
      </c>
      <c r="D600" s="220" t="s">
        <v>1052</v>
      </c>
      <c r="E600" s="220"/>
      <c r="F600" s="221"/>
      <c r="G600" s="148"/>
      <c r="I600" s="219">
        <v>413729529119</v>
      </c>
      <c r="J600" s="219">
        <v>8092239141</v>
      </c>
    </row>
    <row r="601" spans="2:11" x14ac:dyDescent="0.25">
      <c r="B601" s="218">
        <v>43953</v>
      </c>
      <c r="C601" s="217">
        <v>2140</v>
      </c>
      <c r="D601" s="220" t="s">
        <v>1053</v>
      </c>
      <c r="E601" s="220"/>
      <c r="F601" s="221"/>
      <c r="G601" s="148"/>
      <c r="I601" s="219">
        <v>950803490049</v>
      </c>
      <c r="J601" s="219">
        <v>8603784990</v>
      </c>
    </row>
    <row r="602" spans="2:11" x14ac:dyDescent="0.25">
      <c r="B602" s="218">
        <v>43953</v>
      </c>
      <c r="C602" s="217">
        <v>2142</v>
      </c>
      <c r="D602" s="220" t="s">
        <v>1054</v>
      </c>
      <c r="E602" s="220"/>
      <c r="F602" s="221"/>
      <c r="G602" s="148"/>
      <c r="I602" s="219">
        <v>49797776494</v>
      </c>
      <c r="J602" s="219">
        <v>8292653600</v>
      </c>
    </row>
    <row r="603" spans="2:11" x14ac:dyDescent="0.25">
      <c r="B603" s="218">
        <v>43953</v>
      </c>
      <c r="C603" s="217">
        <v>2144</v>
      </c>
      <c r="D603" s="220" t="s">
        <v>1055</v>
      </c>
      <c r="E603" s="220"/>
      <c r="F603" s="221"/>
      <c r="G603" s="148"/>
      <c r="I603" s="219">
        <v>74213471596</v>
      </c>
      <c r="J603" s="219">
        <v>9798242452</v>
      </c>
    </row>
    <row r="604" spans="2:11" x14ac:dyDescent="0.25">
      <c r="B604" s="218">
        <v>43953</v>
      </c>
      <c r="C604" s="217">
        <v>2145</v>
      </c>
      <c r="D604" s="220" t="s">
        <v>1056</v>
      </c>
      <c r="E604" s="220"/>
      <c r="F604" s="221"/>
      <c r="G604" s="148"/>
      <c r="I604" s="219">
        <v>305628001597</v>
      </c>
      <c r="J604" s="219">
        <v>8340526922</v>
      </c>
    </row>
    <row r="605" spans="2:11" x14ac:dyDescent="0.25">
      <c r="B605" s="218">
        <v>43953</v>
      </c>
      <c r="C605" s="217">
        <v>2148</v>
      </c>
      <c r="D605" s="220" t="s">
        <v>1057</v>
      </c>
      <c r="E605" s="220"/>
      <c r="F605" s="221"/>
      <c r="G605" s="148"/>
      <c r="I605" s="219">
        <v>673586699210</v>
      </c>
      <c r="J605" s="219">
        <v>9234080674</v>
      </c>
    </row>
    <row r="606" spans="2:11" x14ac:dyDescent="0.25">
      <c r="B606" s="218">
        <v>43953</v>
      </c>
      <c r="C606" s="217">
        <v>2149</v>
      </c>
      <c r="D606" s="220" t="s">
        <v>1058</v>
      </c>
      <c r="E606" s="220"/>
      <c r="F606" s="221"/>
      <c r="G606" s="148" t="s">
        <v>1636</v>
      </c>
      <c r="H606" s="214">
        <v>100</v>
      </c>
      <c r="I606" s="219">
        <v>454912848930</v>
      </c>
      <c r="J606" s="219">
        <v>7366992662</v>
      </c>
    </row>
    <row r="607" spans="2:11" x14ac:dyDescent="0.25">
      <c r="B607" s="218">
        <v>43953</v>
      </c>
      <c r="C607" s="217">
        <v>2150</v>
      </c>
      <c r="D607" s="220" t="s">
        <v>1059</v>
      </c>
      <c r="E607" s="220"/>
      <c r="F607" s="221"/>
      <c r="G607" s="148"/>
      <c r="I607" s="219">
        <v>942740487182</v>
      </c>
      <c r="J607" s="219">
        <v>8271939533</v>
      </c>
    </row>
    <row r="608" spans="2:11" x14ac:dyDescent="0.25">
      <c r="B608" s="218">
        <v>43953</v>
      </c>
      <c r="C608" s="217">
        <v>2152</v>
      </c>
      <c r="D608" s="220" t="s">
        <v>1060</v>
      </c>
      <c r="E608" s="220"/>
      <c r="F608" s="221"/>
      <c r="G608" s="148"/>
      <c r="I608" s="219">
        <v>764712336750</v>
      </c>
      <c r="J608" s="219">
        <v>8271939433</v>
      </c>
    </row>
    <row r="609" spans="2:14" x14ac:dyDescent="0.25">
      <c r="B609" s="218">
        <v>43953</v>
      </c>
      <c r="C609" s="217">
        <v>2153</v>
      </c>
      <c r="D609" s="220" t="s">
        <v>1061</v>
      </c>
      <c r="E609" s="220"/>
      <c r="F609" s="221"/>
      <c r="G609" s="148"/>
      <c r="I609" s="219">
        <v>965812663981</v>
      </c>
      <c r="J609" s="219">
        <v>9204023243</v>
      </c>
    </row>
    <row r="610" spans="2:14" x14ac:dyDescent="0.25">
      <c r="B610" s="218">
        <v>43953</v>
      </c>
      <c r="C610" s="217">
        <v>2154</v>
      </c>
      <c r="D610" s="220" t="s">
        <v>1062</v>
      </c>
      <c r="E610" s="220"/>
      <c r="F610" s="221"/>
      <c r="G610" s="148"/>
      <c r="I610" s="219">
        <v>581709644826</v>
      </c>
      <c r="J610" s="219">
        <v>9931497810</v>
      </c>
    </row>
    <row r="611" spans="2:14" x14ac:dyDescent="0.25">
      <c r="B611" s="218">
        <v>43953</v>
      </c>
      <c r="C611" s="217">
        <v>2155</v>
      </c>
      <c r="D611" s="220" t="s">
        <v>1063</v>
      </c>
      <c r="E611" s="220"/>
      <c r="F611" s="221"/>
      <c r="G611" s="148"/>
      <c r="I611" s="219">
        <v>865260557176</v>
      </c>
      <c r="J611" s="219">
        <v>8936002138</v>
      </c>
    </row>
    <row r="612" spans="2:14" x14ac:dyDescent="0.25">
      <c r="B612" s="218">
        <v>43953</v>
      </c>
      <c r="C612" s="217">
        <v>2157</v>
      </c>
      <c r="D612" s="220" t="s">
        <v>1064</v>
      </c>
      <c r="E612" s="220"/>
      <c r="F612" s="221"/>
      <c r="G612" s="148"/>
      <c r="I612" s="219">
        <v>359797836012</v>
      </c>
      <c r="J612" s="219">
        <v>9608554537</v>
      </c>
      <c r="N612" s="214" t="s">
        <v>66</v>
      </c>
    </row>
    <row r="613" spans="2:14" x14ac:dyDescent="0.25">
      <c r="B613" s="218">
        <v>43953</v>
      </c>
      <c r="C613" s="217">
        <v>2158</v>
      </c>
      <c r="D613" s="220" t="s">
        <v>1022</v>
      </c>
      <c r="E613" s="220"/>
      <c r="F613" s="221"/>
      <c r="G613" s="148"/>
      <c r="I613" s="219">
        <v>229797738251</v>
      </c>
      <c r="J613" s="219">
        <v>9798107227</v>
      </c>
    </row>
    <row r="614" spans="2:14" x14ac:dyDescent="0.25">
      <c r="B614" s="218">
        <v>43953</v>
      </c>
      <c r="C614" s="217">
        <v>2159</v>
      </c>
      <c r="D614" s="220" t="s">
        <v>1065</v>
      </c>
      <c r="E614" s="220"/>
      <c r="F614" s="221"/>
      <c r="G614" s="148"/>
      <c r="I614" s="219">
        <v>640558569118</v>
      </c>
      <c r="J614" s="219">
        <v>7488854614</v>
      </c>
    </row>
    <row r="615" spans="2:14" x14ac:dyDescent="0.25">
      <c r="B615" s="218">
        <v>43953</v>
      </c>
      <c r="C615" s="217">
        <v>2160</v>
      </c>
      <c r="D615" s="220" t="s">
        <v>1066</v>
      </c>
      <c r="E615" s="220"/>
      <c r="F615" s="221"/>
      <c r="G615" s="148"/>
      <c r="I615" s="219">
        <v>763507775144</v>
      </c>
      <c r="J615" s="219">
        <v>7004627154</v>
      </c>
    </row>
    <row r="616" spans="2:14" x14ac:dyDescent="0.25">
      <c r="B616" s="218">
        <v>43953</v>
      </c>
      <c r="C616" s="217">
        <v>2162</v>
      </c>
      <c r="D616" s="220" t="s">
        <v>1067</v>
      </c>
      <c r="E616" s="220"/>
      <c r="F616" s="221"/>
      <c r="G616" s="148"/>
      <c r="I616" s="219">
        <v>451883144510</v>
      </c>
      <c r="J616" s="219">
        <v>9931335849</v>
      </c>
    </row>
    <row r="617" spans="2:14" x14ac:dyDescent="0.25">
      <c r="B617" s="218">
        <v>43953</v>
      </c>
      <c r="C617" s="217">
        <v>2164</v>
      </c>
      <c r="D617" s="220" t="s">
        <v>1068</v>
      </c>
      <c r="E617" s="220"/>
      <c r="F617" s="221"/>
      <c r="G617" s="148"/>
      <c r="I617" s="219">
        <v>390995136156</v>
      </c>
      <c r="J617" s="219">
        <v>9879356210</v>
      </c>
    </row>
    <row r="618" spans="2:14" x14ac:dyDescent="0.25">
      <c r="B618" s="218">
        <v>43953</v>
      </c>
      <c r="C618" s="217">
        <v>2166</v>
      </c>
      <c r="D618" s="220" t="s">
        <v>1069</v>
      </c>
      <c r="E618" s="220"/>
      <c r="F618" s="221"/>
      <c r="G618" s="148"/>
      <c r="H618" s="214">
        <v>100</v>
      </c>
      <c r="I618" s="219">
        <v>473293236091</v>
      </c>
      <c r="J618" s="219">
        <v>9204211833</v>
      </c>
    </row>
    <row r="619" spans="2:14" x14ac:dyDescent="0.25">
      <c r="B619" s="218">
        <v>43953</v>
      </c>
      <c r="C619" s="217">
        <v>2170</v>
      </c>
      <c r="D619" s="220" t="s">
        <v>1070</v>
      </c>
      <c r="E619" s="220"/>
      <c r="F619" s="221"/>
      <c r="G619" s="148"/>
      <c r="I619" s="219">
        <v>546150440525</v>
      </c>
      <c r="J619" s="219">
        <v>9263945385</v>
      </c>
    </row>
    <row r="620" spans="2:14" x14ac:dyDescent="0.25">
      <c r="B620" s="218">
        <v>43953</v>
      </c>
      <c r="C620" s="217">
        <v>2171</v>
      </c>
      <c r="D620" s="220" t="s">
        <v>1071</v>
      </c>
      <c r="E620" s="220"/>
      <c r="F620" s="221"/>
      <c r="G620" s="148"/>
      <c r="I620" s="219">
        <v>368923440151</v>
      </c>
      <c r="J620" s="219">
        <v>6203091749</v>
      </c>
    </row>
    <row r="621" spans="2:14" x14ac:dyDescent="0.25">
      <c r="B621" s="218">
        <v>43953</v>
      </c>
      <c r="C621" s="217">
        <v>2173</v>
      </c>
      <c r="D621" s="220" t="s">
        <v>1072</v>
      </c>
      <c r="E621" s="220"/>
      <c r="F621" s="221"/>
      <c r="G621" s="148"/>
      <c r="I621" s="219">
        <v>703956808789</v>
      </c>
      <c r="J621" s="219">
        <v>8016007280</v>
      </c>
    </row>
    <row r="622" spans="2:14" x14ac:dyDescent="0.25">
      <c r="B622" s="218">
        <v>43953</v>
      </c>
      <c r="C622" s="217">
        <v>2175</v>
      </c>
      <c r="D622" s="220" t="s">
        <v>1073</v>
      </c>
      <c r="E622" s="220"/>
      <c r="F622" s="221"/>
      <c r="G622" s="148"/>
      <c r="I622" s="219">
        <v>319438063187</v>
      </c>
      <c r="J622" s="219">
        <v>8292406002</v>
      </c>
    </row>
    <row r="623" spans="2:14" x14ac:dyDescent="0.25">
      <c r="B623" s="218">
        <v>43953</v>
      </c>
      <c r="C623" s="217">
        <v>2176</v>
      </c>
      <c r="D623" s="220" t="s">
        <v>1074</v>
      </c>
      <c r="E623" s="220"/>
      <c r="F623" s="221"/>
      <c r="G623" s="148"/>
      <c r="I623" s="219">
        <v>887536133447</v>
      </c>
      <c r="J623" s="219">
        <v>9934080998</v>
      </c>
    </row>
    <row r="624" spans="2:14" x14ac:dyDescent="0.25">
      <c r="B624" s="218">
        <v>43953</v>
      </c>
      <c r="C624" s="217">
        <v>2177</v>
      </c>
      <c r="D624" s="220" t="s">
        <v>1075</v>
      </c>
      <c r="E624" s="220"/>
      <c r="F624" s="221"/>
      <c r="G624" s="148"/>
      <c r="I624" s="219">
        <v>249295429555</v>
      </c>
      <c r="J624" s="219">
        <v>7209420095</v>
      </c>
    </row>
    <row r="625" spans="2:10" x14ac:dyDescent="0.25">
      <c r="B625" s="218">
        <v>43953</v>
      </c>
      <c r="C625" s="217">
        <v>2179</v>
      </c>
      <c r="D625" s="220" t="s">
        <v>1076</v>
      </c>
      <c r="E625" s="220"/>
      <c r="F625" s="221"/>
      <c r="G625" s="148"/>
      <c r="I625" s="219">
        <v>705659475395</v>
      </c>
      <c r="J625" s="219">
        <v>6201711478</v>
      </c>
    </row>
    <row r="626" spans="2:10" x14ac:dyDescent="0.25">
      <c r="B626" s="218">
        <v>43953</v>
      </c>
      <c r="C626" s="217">
        <v>2180</v>
      </c>
      <c r="D626" s="220" t="s">
        <v>1077</v>
      </c>
      <c r="E626" s="220"/>
      <c r="F626" s="221"/>
      <c r="G626" s="148"/>
      <c r="I626" s="219">
        <v>423626198539</v>
      </c>
      <c r="J626" s="219">
        <v>9798193621</v>
      </c>
    </row>
    <row r="627" spans="2:10" x14ac:dyDescent="0.25">
      <c r="B627" s="218">
        <v>43953</v>
      </c>
      <c r="C627" s="217">
        <v>2182</v>
      </c>
      <c r="D627" s="220" t="s">
        <v>1078</v>
      </c>
      <c r="E627" s="220"/>
      <c r="F627" s="221"/>
      <c r="G627" s="148"/>
      <c r="I627" s="219">
        <v>289842238534</v>
      </c>
      <c r="J627" s="219">
        <v>8092451827</v>
      </c>
    </row>
    <row r="628" spans="2:10" x14ac:dyDescent="0.25">
      <c r="B628" s="218">
        <v>43953</v>
      </c>
      <c r="C628" s="217">
        <v>2184</v>
      </c>
      <c r="D628" s="220" t="s">
        <v>1079</v>
      </c>
      <c r="E628" s="220"/>
      <c r="F628" s="221"/>
      <c r="G628" s="148"/>
      <c r="I628" s="219">
        <v>975960463098</v>
      </c>
      <c r="J628" s="219">
        <v>7209980660</v>
      </c>
    </row>
    <row r="629" spans="2:10" x14ac:dyDescent="0.25">
      <c r="B629" s="218">
        <v>43953</v>
      </c>
      <c r="C629" s="217">
        <v>2187</v>
      </c>
      <c r="D629" s="220" t="s">
        <v>1080</v>
      </c>
      <c r="E629" s="220"/>
      <c r="F629" s="221"/>
      <c r="G629" s="148"/>
      <c r="I629" s="219">
        <v>482268377838</v>
      </c>
      <c r="J629" s="219">
        <v>9110173932</v>
      </c>
    </row>
    <row r="630" spans="2:10" x14ac:dyDescent="0.25">
      <c r="B630" s="218">
        <v>43953</v>
      </c>
      <c r="C630" s="217">
        <v>2188</v>
      </c>
      <c r="D630" s="220" t="s">
        <v>1081</v>
      </c>
      <c r="E630" s="220"/>
      <c r="F630" s="221"/>
      <c r="G630" s="148"/>
      <c r="I630" s="219">
        <v>694310176905</v>
      </c>
      <c r="J630" s="219">
        <v>8340526922</v>
      </c>
    </row>
    <row r="631" spans="2:10" x14ac:dyDescent="0.25">
      <c r="B631" s="218">
        <v>43953</v>
      </c>
      <c r="C631" s="217">
        <v>2189</v>
      </c>
      <c r="D631" s="220" t="s">
        <v>1082</v>
      </c>
      <c r="E631" s="220"/>
      <c r="F631" s="221"/>
      <c r="G631" s="148"/>
      <c r="I631" s="219">
        <v>908037318297</v>
      </c>
      <c r="J631" s="219">
        <v>6201399787</v>
      </c>
    </row>
    <row r="632" spans="2:10" x14ac:dyDescent="0.25">
      <c r="B632" s="218">
        <v>43953</v>
      </c>
      <c r="C632" s="217">
        <v>2191</v>
      </c>
      <c r="D632" s="220" t="s">
        <v>1083</v>
      </c>
      <c r="E632" s="220"/>
      <c r="F632" s="221"/>
      <c r="G632" s="148"/>
      <c r="I632" s="219">
        <v>78874650335</v>
      </c>
      <c r="J632" s="219">
        <v>9204938870</v>
      </c>
    </row>
    <row r="633" spans="2:10" x14ac:dyDescent="0.25">
      <c r="B633" s="218">
        <v>43953</v>
      </c>
      <c r="C633" s="217">
        <v>2199</v>
      </c>
      <c r="D633" s="220" t="s">
        <v>1084</v>
      </c>
      <c r="E633" s="220"/>
      <c r="F633" s="221"/>
      <c r="G633" s="148"/>
      <c r="I633" s="219">
        <v>395066897842</v>
      </c>
      <c r="J633" s="219">
        <v>9123238826</v>
      </c>
    </row>
    <row r="634" spans="2:10" x14ac:dyDescent="0.25">
      <c r="B634" s="218">
        <v>43953</v>
      </c>
      <c r="C634" s="217">
        <v>2200</v>
      </c>
      <c r="D634" s="220" t="s">
        <v>1085</v>
      </c>
      <c r="E634" s="220"/>
      <c r="F634" s="221"/>
      <c r="G634" s="148"/>
      <c r="I634" s="219">
        <v>230731383406</v>
      </c>
      <c r="J634" s="219">
        <v>8676052347</v>
      </c>
    </row>
    <row r="635" spans="2:10" x14ac:dyDescent="0.25">
      <c r="B635" s="218">
        <v>43953</v>
      </c>
      <c r="C635" s="217">
        <v>2202</v>
      </c>
      <c r="D635" s="220" t="s">
        <v>1086</v>
      </c>
      <c r="E635" s="220"/>
      <c r="F635" s="221"/>
      <c r="G635" s="148"/>
      <c r="I635" s="219">
        <v>855018887985</v>
      </c>
      <c r="J635" s="219">
        <v>7295914524</v>
      </c>
    </row>
    <row r="636" spans="2:10" x14ac:dyDescent="0.25">
      <c r="B636" s="218">
        <v>43953</v>
      </c>
      <c r="C636" s="217">
        <v>2204</v>
      </c>
      <c r="D636" s="220" t="s">
        <v>1087</v>
      </c>
      <c r="E636" s="220"/>
      <c r="F636" s="221"/>
      <c r="G636" s="148"/>
      <c r="I636" s="219">
        <v>219251846468</v>
      </c>
      <c r="J636" s="219">
        <v>9304342307</v>
      </c>
    </row>
    <row r="637" spans="2:10" x14ac:dyDescent="0.25">
      <c r="B637" s="218">
        <v>43953</v>
      </c>
      <c r="C637" s="217">
        <v>2206</v>
      </c>
      <c r="D637" s="220" t="s">
        <v>1088</v>
      </c>
      <c r="E637" s="220"/>
      <c r="F637" s="221"/>
      <c r="G637" s="148"/>
      <c r="I637" s="219">
        <v>845263578326</v>
      </c>
      <c r="J637" s="219">
        <v>9955796483</v>
      </c>
    </row>
    <row r="638" spans="2:10" x14ac:dyDescent="0.25">
      <c r="B638" s="218">
        <v>43953</v>
      </c>
      <c r="C638" s="217">
        <v>2207</v>
      </c>
      <c r="D638" s="220" t="s">
        <v>1089</v>
      </c>
      <c r="E638" s="220"/>
      <c r="F638" s="221"/>
      <c r="G638" s="148"/>
      <c r="I638" s="219">
        <v>534995324336</v>
      </c>
      <c r="J638" s="219">
        <v>9771931727</v>
      </c>
    </row>
    <row r="639" spans="2:10" x14ac:dyDescent="0.25">
      <c r="B639" s="218">
        <v>43953</v>
      </c>
      <c r="C639" s="217">
        <v>2214</v>
      </c>
      <c r="D639" s="220" t="s">
        <v>707</v>
      </c>
      <c r="E639" s="220"/>
      <c r="F639" s="221"/>
      <c r="G639" s="148"/>
      <c r="I639" s="219">
        <v>534995324336</v>
      </c>
      <c r="J639" s="219">
        <v>7667753274</v>
      </c>
    </row>
    <row r="640" spans="2:10" x14ac:dyDescent="0.25">
      <c r="B640" s="218">
        <v>43953</v>
      </c>
      <c r="C640" s="217">
        <v>2216</v>
      </c>
      <c r="D640" s="220" t="s">
        <v>1090</v>
      </c>
      <c r="E640" s="220"/>
      <c r="F640" s="221"/>
      <c r="G640" s="148"/>
      <c r="I640" s="219">
        <v>665730733227</v>
      </c>
      <c r="J640" s="219">
        <v>9570066907</v>
      </c>
    </row>
    <row r="641" spans="2:10" x14ac:dyDescent="0.25">
      <c r="B641" s="218">
        <v>43953</v>
      </c>
      <c r="C641" s="217">
        <v>2217</v>
      </c>
      <c r="D641" s="220" t="s">
        <v>1091</v>
      </c>
      <c r="E641" s="220"/>
      <c r="F641" s="221"/>
      <c r="G641" s="148"/>
      <c r="I641" s="219">
        <v>829126545680</v>
      </c>
      <c r="J641" s="219">
        <v>7209801203</v>
      </c>
    </row>
    <row r="642" spans="2:10" x14ac:dyDescent="0.25">
      <c r="B642" s="218">
        <v>43953</v>
      </c>
      <c r="C642" s="217">
        <v>2219</v>
      </c>
      <c r="D642" s="220" t="s">
        <v>1092</v>
      </c>
      <c r="E642" s="220"/>
      <c r="F642" s="221"/>
      <c r="G642" s="148"/>
      <c r="I642" s="219">
        <v>477703310605</v>
      </c>
      <c r="J642" s="219">
        <v>8603404038</v>
      </c>
    </row>
    <row r="643" spans="2:10" x14ac:dyDescent="0.25">
      <c r="B643" s="218">
        <v>43953</v>
      </c>
      <c r="C643" s="217">
        <v>2220</v>
      </c>
      <c r="D643" s="220" t="s">
        <v>1093</v>
      </c>
      <c r="E643" s="220"/>
      <c r="F643" s="221"/>
      <c r="G643" s="148"/>
      <c r="I643" s="219">
        <v>643890968162</v>
      </c>
      <c r="J643" s="219">
        <v>9334304584</v>
      </c>
    </row>
    <row r="644" spans="2:10" x14ac:dyDescent="0.25">
      <c r="B644" s="218">
        <v>43953</v>
      </c>
      <c r="C644" s="217">
        <v>2222</v>
      </c>
      <c r="D644" s="220" t="s">
        <v>1094</v>
      </c>
      <c r="E644" s="220"/>
      <c r="F644" s="221"/>
      <c r="G644" s="148"/>
      <c r="I644" s="219">
        <v>990571065681</v>
      </c>
      <c r="J644" s="219">
        <v>9279014811</v>
      </c>
    </row>
    <row r="645" spans="2:10" x14ac:dyDescent="0.25">
      <c r="B645" s="218">
        <v>43953</v>
      </c>
      <c r="C645" s="217">
        <v>2224</v>
      </c>
      <c r="D645" s="220" t="s">
        <v>1095</v>
      </c>
      <c r="E645" s="220"/>
      <c r="F645" s="221"/>
      <c r="G645" s="148"/>
      <c r="I645" s="219">
        <v>314036086797</v>
      </c>
      <c r="J645" s="219">
        <v>9204581190</v>
      </c>
    </row>
    <row r="646" spans="2:10" x14ac:dyDescent="0.25">
      <c r="B646" s="218">
        <v>43953</v>
      </c>
      <c r="C646" s="217">
        <v>2225</v>
      </c>
      <c r="D646" s="220" t="s">
        <v>1096</v>
      </c>
      <c r="E646" s="220"/>
      <c r="F646" s="221"/>
      <c r="G646" s="148"/>
      <c r="I646" s="219">
        <v>545379568351</v>
      </c>
      <c r="J646" s="219">
        <v>9798707227</v>
      </c>
    </row>
    <row r="647" spans="2:10" x14ac:dyDescent="0.25">
      <c r="B647" s="218">
        <v>43953</v>
      </c>
      <c r="C647" s="217">
        <v>2227</v>
      </c>
      <c r="D647" s="220" t="s">
        <v>1097</v>
      </c>
      <c r="E647" s="220"/>
      <c r="F647" s="221"/>
      <c r="G647" s="148"/>
      <c r="I647" s="219">
        <v>616316547546</v>
      </c>
      <c r="J647" s="219">
        <v>9771125157</v>
      </c>
    </row>
    <row r="648" spans="2:10" x14ac:dyDescent="0.25">
      <c r="B648" s="218">
        <v>43953</v>
      </c>
      <c r="C648" s="217">
        <v>2229</v>
      </c>
      <c r="D648" s="220" t="s">
        <v>1098</v>
      </c>
      <c r="E648" s="220"/>
      <c r="F648" s="221"/>
      <c r="G648" s="148" t="s">
        <v>1640</v>
      </c>
      <c r="H648" s="214">
        <v>100</v>
      </c>
      <c r="I648" s="219">
        <v>217508571201</v>
      </c>
      <c r="J648" s="219">
        <v>8789454995</v>
      </c>
    </row>
    <row r="649" spans="2:10" x14ac:dyDescent="0.25">
      <c r="B649" s="218">
        <v>43953</v>
      </c>
      <c r="C649" s="217">
        <v>2230</v>
      </c>
      <c r="D649" s="220" t="s">
        <v>1099</v>
      </c>
      <c r="E649" s="220"/>
      <c r="F649" s="221"/>
      <c r="G649" s="148" t="s">
        <v>1646</v>
      </c>
      <c r="H649" s="214">
        <v>100</v>
      </c>
      <c r="I649" s="219">
        <v>592002381703</v>
      </c>
      <c r="J649" s="219">
        <v>7070944876</v>
      </c>
    </row>
    <row r="650" spans="2:10" x14ac:dyDescent="0.25">
      <c r="B650" s="218">
        <v>43953</v>
      </c>
      <c r="C650" s="217">
        <v>2232</v>
      </c>
      <c r="D650" s="220" t="s">
        <v>1100</v>
      </c>
      <c r="E650" s="220"/>
      <c r="F650" s="221"/>
      <c r="G650" s="148"/>
      <c r="I650" s="219">
        <v>266043470538</v>
      </c>
      <c r="J650" s="219">
        <v>7295017463</v>
      </c>
    </row>
    <row r="651" spans="2:10" x14ac:dyDescent="0.25">
      <c r="B651" s="218">
        <v>43953</v>
      </c>
      <c r="C651" s="217">
        <v>2233</v>
      </c>
      <c r="D651" s="220" t="s">
        <v>1101</v>
      </c>
      <c r="E651" s="220"/>
      <c r="F651" s="221"/>
      <c r="G651" s="148"/>
      <c r="I651" s="219">
        <v>819046344761</v>
      </c>
      <c r="J651" s="219">
        <v>7061487356</v>
      </c>
    </row>
    <row r="652" spans="2:10" x14ac:dyDescent="0.25">
      <c r="B652" s="218">
        <v>43953</v>
      </c>
      <c r="C652" s="217">
        <v>2234</v>
      </c>
      <c r="D652" s="220" t="s">
        <v>1102</v>
      </c>
      <c r="E652" s="220"/>
      <c r="F652" s="221"/>
      <c r="G652" s="148"/>
      <c r="I652" s="219">
        <v>595668861149</v>
      </c>
      <c r="J652" s="219">
        <v>8102216446</v>
      </c>
    </row>
    <row r="653" spans="2:10" x14ac:dyDescent="0.25">
      <c r="B653" s="218">
        <v>43953</v>
      </c>
      <c r="C653" s="217">
        <v>2237</v>
      </c>
      <c r="D653" s="220" t="s">
        <v>1103</v>
      </c>
      <c r="E653" s="220"/>
      <c r="F653" s="221"/>
      <c r="G653" s="148"/>
      <c r="I653" s="219">
        <v>791868061230</v>
      </c>
      <c r="J653" s="219">
        <v>8294041757</v>
      </c>
    </row>
    <row r="654" spans="2:10" x14ac:dyDescent="0.25">
      <c r="B654" s="218">
        <v>43953</v>
      </c>
      <c r="C654" s="217">
        <v>2238</v>
      </c>
      <c r="D654" s="220" t="s">
        <v>1104</v>
      </c>
      <c r="E654" s="220"/>
      <c r="F654" s="221"/>
      <c r="G654" s="148"/>
      <c r="I654" s="219">
        <v>731939836135</v>
      </c>
      <c r="J654" s="219">
        <v>7209755547</v>
      </c>
    </row>
    <row r="655" spans="2:10" x14ac:dyDescent="0.25">
      <c r="B655" s="218">
        <v>43953</v>
      </c>
      <c r="C655" s="217">
        <v>2240</v>
      </c>
      <c r="D655" s="220" t="s">
        <v>1105</v>
      </c>
      <c r="E655" s="220"/>
      <c r="F655" s="221"/>
      <c r="G655" s="148"/>
      <c r="I655" s="219">
        <v>993365059266</v>
      </c>
      <c r="J655" s="219">
        <v>7930746995</v>
      </c>
    </row>
    <row r="656" spans="2:10" x14ac:dyDescent="0.25">
      <c r="B656" s="218">
        <v>43953</v>
      </c>
      <c r="C656" s="217">
        <v>2242</v>
      </c>
      <c r="D656" s="220" t="s">
        <v>1106</v>
      </c>
      <c r="E656" s="220"/>
      <c r="F656" s="221"/>
      <c r="G656" s="148"/>
      <c r="I656" s="219">
        <v>732949575435</v>
      </c>
      <c r="J656" s="219">
        <v>9771913810</v>
      </c>
    </row>
    <row r="657" spans="2:10" x14ac:dyDescent="0.25">
      <c r="B657" s="218">
        <v>43953</v>
      </c>
      <c r="C657" s="217">
        <v>2243</v>
      </c>
      <c r="D657" s="220" t="s">
        <v>1107</v>
      </c>
      <c r="E657" s="220"/>
      <c r="F657" s="221"/>
      <c r="G657" s="148"/>
      <c r="I657" s="219">
        <v>709612615405</v>
      </c>
      <c r="J657" s="219">
        <v>6206866164</v>
      </c>
    </row>
    <row r="658" spans="2:10" x14ac:dyDescent="0.25">
      <c r="B658" s="218">
        <v>43953</v>
      </c>
      <c r="C658" s="217">
        <v>2244</v>
      </c>
      <c r="D658" s="220" t="s">
        <v>1108</v>
      </c>
      <c r="E658" s="220"/>
      <c r="F658" s="221"/>
      <c r="G658" s="148"/>
      <c r="I658" s="219">
        <v>870702445066</v>
      </c>
      <c r="J658" s="219">
        <v>8603860150</v>
      </c>
    </row>
    <row r="659" spans="2:10" x14ac:dyDescent="0.25">
      <c r="B659" s="218">
        <v>43953</v>
      </c>
      <c r="C659" s="217">
        <v>2246</v>
      </c>
      <c r="D659" s="220" t="s">
        <v>1109</v>
      </c>
      <c r="E659" s="220"/>
      <c r="F659" s="221"/>
      <c r="G659" s="148"/>
      <c r="I659" s="219">
        <v>415602445066</v>
      </c>
      <c r="J659" s="219">
        <v>6287860223</v>
      </c>
    </row>
    <row r="660" spans="2:10" x14ac:dyDescent="0.25">
      <c r="B660" s="218">
        <v>43953</v>
      </c>
      <c r="C660" s="217">
        <v>2247</v>
      </c>
      <c r="D660" s="220" t="s">
        <v>1110</v>
      </c>
      <c r="E660" s="220"/>
      <c r="F660" s="221"/>
      <c r="G660" s="148"/>
      <c r="I660" s="219">
        <v>469488754674</v>
      </c>
      <c r="J660" s="219">
        <v>6206199041</v>
      </c>
    </row>
    <row r="661" spans="2:10" x14ac:dyDescent="0.25">
      <c r="B661" s="218">
        <v>43953</v>
      </c>
      <c r="C661" s="217">
        <v>2248</v>
      </c>
      <c r="D661" s="220" t="s">
        <v>1111</v>
      </c>
      <c r="E661" s="220"/>
      <c r="F661" s="221"/>
      <c r="G661" s="148"/>
      <c r="I661" s="219">
        <v>588989421194</v>
      </c>
      <c r="J661" s="219">
        <v>9204090193</v>
      </c>
    </row>
    <row r="662" spans="2:10" x14ac:dyDescent="0.25">
      <c r="B662" s="218">
        <v>43953</v>
      </c>
      <c r="C662" s="217">
        <v>2250</v>
      </c>
      <c r="D662" s="220" t="s">
        <v>1112</v>
      </c>
      <c r="E662" s="220"/>
      <c r="F662" s="221"/>
      <c r="G662" s="148"/>
      <c r="I662" s="219">
        <v>765397301192</v>
      </c>
      <c r="J662" s="219">
        <v>9334721757</v>
      </c>
    </row>
    <row r="663" spans="2:10" x14ac:dyDescent="0.25">
      <c r="B663" s="218">
        <v>43953</v>
      </c>
      <c r="C663" s="217">
        <v>2251</v>
      </c>
      <c r="D663" s="220" t="s">
        <v>1113</v>
      </c>
      <c r="E663" s="220"/>
      <c r="F663" s="221"/>
      <c r="G663" s="148"/>
      <c r="I663" s="219">
        <v>854076584099</v>
      </c>
      <c r="J663" s="219">
        <v>9199402340</v>
      </c>
    </row>
    <row r="664" spans="2:10" x14ac:dyDescent="0.25">
      <c r="B664" s="218">
        <v>43953</v>
      </c>
      <c r="C664" s="217">
        <v>2252</v>
      </c>
      <c r="D664" s="220" t="s">
        <v>1114</v>
      </c>
      <c r="E664" s="220"/>
      <c r="F664" s="221"/>
      <c r="G664" s="148"/>
      <c r="I664" s="219">
        <v>361902997459</v>
      </c>
      <c r="J664" s="219">
        <v>8434700159</v>
      </c>
    </row>
    <row r="665" spans="2:10" x14ac:dyDescent="0.25">
      <c r="B665" s="218">
        <v>43953</v>
      </c>
      <c r="C665" s="217">
        <v>2253</v>
      </c>
      <c r="D665" s="220" t="s">
        <v>1115</v>
      </c>
      <c r="E665" s="220"/>
      <c r="F665" s="221"/>
      <c r="G665" s="148"/>
      <c r="I665" s="219">
        <v>623370420286</v>
      </c>
      <c r="J665" s="219">
        <v>9801523824</v>
      </c>
    </row>
    <row r="666" spans="2:10" x14ac:dyDescent="0.25">
      <c r="B666" s="218">
        <v>43953</v>
      </c>
      <c r="C666" s="217">
        <v>2254</v>
      </c>
      <c r="D666" s="220" t="s">
        <v>1116</v>
      </c>
      <c r="E666" s="220"/>
      <c r="F666" s="221"/>
      <c r="G666" s="148"/>
      <c r="I666" s="219">
        <v>648377395071</v>
      </c>
      <c r="J666" s="219">
        <v>8789552082</v>
      </c>
    </row>
    <row r="667" spans="2:10" x14ac:dyDescent="0.25">
      <c r="B667" s="218">
        <v>43953</v>
      </c>
      <c r="C667" s="217">
        <v>2255</v>
      </c>
      <c r="D667" s="220" t="s">
        <v>1117</v>
      </c>
      <c r="E667" s="220"/>
      <c r="F667" s="221"/>
      <c r="G667" s="148"/>
      <c r="I667" s="219">
        <v>324435737315</v>
      </c>
      <c r="J667" s="219">
        <v>8789552082</v>
      </c>
    </row>
    <row r="668" spans="2:10" x14ac:dyDescent="0.25">
      <c r="B668" s="218">
        <v>43955</v>
      </c>
      <c r="C668" s="217">
        <v>2279</v>
      </c>
      <c r="D668" s="220" t="s">
        <v>1118</v>
      </c>
      <c r="E668" s="220"/>
      <c r="F668" s="221"/>
      <c r="G668" s="148"/>
      <c r="I668" s="219">
        <v>716665174904</v>
      </c>
      <c r="J668" s="219">
        <v>8603615973</v>
      </c>
    </row>
    <row r="669" spans="2:10" x14ac:dyDescent="0.25">
      <c r="B669" s="218">
        <v>43955</v>
      </c>
      <c r="C669" s="217">
        <v>2282</v>
      </c>
      <c r="D669" s="220" t="s">
        <v>1119</v>
      </c>
      <c r="E669" s="220"/>
      <c r="F669" s="221"/>
      <c r="G669" s="148"/>
      <c r="I669" s="219">
        <v>943580741713</v>
      </c>
      <c r="J669" s="219">
        <v>8092563715</v>
      </c>
    </row>
    <row r="670" spans="2:10" x14ac:dyDescent="0.25">
      <c r="B670" s="218">
        <v>43955</v>
      </c>
      <c r="C670" s="217">
        <v>2283</v>
      </c>
      <c r="D670" s="220" t="s">
        <v>1120</v>
      </c>
      <c r="E670" s="220"/>
      <c r="F670" s="221"/>
      <c r="G670" s="148"/>
      <c r="I670" s="219">
        <v>846908001670</v>
      </c>
      <c r="J670" s="219">
        <v>834773213</v>
      </c>
    </row>
    <row r="671" spans="2:10" x14ac:dyDescent="0.25">
      <c r="B671" s="218">
        <v>43955</v>
      </c>
      <c r="C671" s="217">
        <v>2285</v>
      </c>
      <c r="D671" s="220" t="s">
        <v>1121</v>
      </c>
      <c r="E671" s="220"/>
      <c r="F671" s="221"/>
      <c r="G671" s="148"/>
      <c r="I671" s="219">
        <v>243927265035</v>
      </c>
      <c r="J671" s="219">
        <v>8092396983</v>
      </c>
    </row>
    <row r="672" spans="2:10" x14ac:dyDescent="0.25">
      <c r="B672" s="218">
        <v>43955</v>
      </c>
      <c r="C672" s="217">
        <v>2288</v>
      </c>
      <c r="D672" s="220" t="s">
        <v>897</v>
      </c>
      <c r="E672" s="220"/>
      <c r="F672" s="221"/>
      <c r="G672" s="148"/>
      <c r="I672" s="219">
        <v>297855347417</v>
      </c>
      <c r="J672" s="219">
        <v>6207227096</v>
      </c>
    </row>
    <row r="673" spans="2:15" x14ac:dyDescent="0.25">
      <c r="B673" s="218">
        <v>43955</v>
      </c>
      <c r="C673" s="217">
        <v>2290</v>
      </c>
      <c r="D673" s="220" t="s">
        <v>1122</v>
      </c>
      <c r="E673" s="220"/>
      <c r="F673" s="221"/>
      <c r="G673" s="148"/>
      <c r="I673" s="219">
        <v>779994170917</v>
      </c>
      <c r="J673" s="219">
        <v>7970498299</v>
      </c>
    </row>
    <row r="674" spans="2:15" x14ac:dyDescent="0.25">
      <c r="B674" s="218">
        <v>43955</v>
      </c>
      <c r="C674" s="217">
        <v>2291</v>
      </c>
      <c r="D674" s="220" t="s">
        <v>1123</v>
      </c>
      <c r="E674" s="220"/>
      <c r="F674" s="221"/>
      <c r="G674" s="148"/>
      <c r="I674" s="219">
        <v>679792721240</v>
      </c>
      <c r="J674" s="219">
        <v>7070138155</v>
      </c>
    </row>
    <row r="675" spans="2:15" x14ac:dyDescent="0.25">
      <c r="B675" s="218">
        <v>43955</v>
      </c>
      <c r="C675" s="217">
        <v>2295</v>
      </c>
      <c r="D675" s="220" t="s">
        <v>1124</v>
      </c>
      <c r="E675" s="220"/>
      <c r="F675" s="221"/>
      <c r="G675" s="148"/>
      <c r="I675" s="219">
        <v>484641940106</v>
      </c>
      <c r="J675" s="219">
        <v>6206442119</v>
      </c>
    </row>
    <row r="676" spans="2:15" x14ac:dyDescent="0.25">
      <c r="B676" s="218">
        <v>43955</v>
      </c>
      <c r="C676" s="217">
        <v>2296</v>
      </c>
      <c r="D676" s="220" t="s">
        <v>1125</v>
      </c>
      <c r="E676" s="220"/>
      <c r="F676" s="221"/>
      <c r="G676" s="148"/>
      <c r="I676" s="219">
        <v>719052112588</v>
      </c>
      <c r="J676" s="219">
        <v>9234734857</v>
      </c>
    </row>
    <row r="677" spans="2:15" x14ac:dyDescent="0.25">
      <c r="B677" s="218">
        <v>43955</v>
      </c>
      <c r="C677" s="217">
        <v>2297</v>
      </c>
      <c r="D677" s="220" t="s">
        <v>1126</v>
      </c>
      <c r="E677" s="220"/>
      <c r="F677" s="221"/>
      <c r="G677" s="148"/>
      <c r="I677" s="219">
        <v>323971985747</v>
      </c>
      <c r="J677" s="219">
        <v>7979937948</v>
      </c>
    </row>
    <row r="678" spans="2:15" x14ac:dyDescent="0.25">
      <c r="B678" s="218">
        <v>43955</v>
      </c>
      <c r="C678" s="217">
        <v>2298</v>
      </c>
      <c r="D678" s="220" t="s">
        <v>1127</v>
      </c>
      <c r="E678" s="220"/>
      <c r="F678" s="221"/>
      <c r="G678" s="148"/>
      <c r="I678" s="219">
        <v>991977718972</v>
      </c>
      <c r="J678" s="219">
        <v>8789469650</v>
      </c>
    </row>
    <row r="679" spans="2:15" x14ac:dyDescent="0.25">
      <c r="B679" s="218">
        <v>43955</v>
      </c>
      <c r="C679" s="217">
        <v>2300</v>
      </c>
      <c r="D679" s="220" t="s">
        <v>1128</v>
      </c>
      <c r="E679" s="220"/>
      <c r="F679" s="221"/>
      <c r="G679" s="148"/>
      <c r="I679" s="219">
        <v>640413969953</v>
      </c>
      <c r="J679" s="219">
        <v>8797356338</v>
      </c>
    </row>
    <row r="680" spans="2:15" x14ac:dyDescent="0.25">
      <c r="B680" s="218">
        <v>43955</v>
      </c>
      <c r="C680" s="217">
        <v>2301</v>
      </c>
      <c r="D680" s="220" t="s">
        <v>1129</v>
      </c>
      <c r="E680" s="220"/>
      <c r="F680" s="221"/>
      <c r="G680" s="148"/>
      <c r="I680" s="219">
        <v>539376580433</v>
      </c>
      <c r="J680" s="219">
        <v>8789117436</v>
      </c>
    </row>
    <row r="681" spans="2:15" x14ac:dyDescent="0.25">
      <c r="B681" s="218">
        <v>43955</v>
      </c>
      <c r="C681" s="217">
        <v>2303</v>
      </c>
      <c r="D681" s="220" t="s">
        <v>1130</v>
      </c>
      <c r="E681" s="220"/>
      <c r="F681" s="221"/>
      <c r="G681" s="148"/>
      <c r="I681" s="219">
        <v>740339546823</v>
      </c>
      <c r="J681" s="219">
        <v>7765030376</v>
      </c>
    </row>
    <row r="682" spans="2:15" x14ac:dyDescent="0.25">
      <c r="B682" s="218">
        <v>43955</v>
      </c>
      <c r="C682" s="217">
        <v>2304</v>
      </c>
      <c r="D682" s="220" t="s">
        <v>1131</v>
      </c>
      <c r="E682" s="220"/>
      <c r="F682" s="221"/>
      <c r="G682" s="148"/>
      <c r="I682" s="219">
        <v>967678487818</v>
      </c>
      <c r="J682" s="219">
        <v>7295092997</v>
      </c>
    </row>
    <row r="683" spans="2:15" x14ac:dyDescent="0.25">
      <c r="B683" s="218">
        <v>43955</v>
      </c>
      <c r="C683" s="217">
        <v>2307</v>
      </c>
      <c r="D683" s="220" t="s">
        <v>1132</v>
      </c>
      <c r="E683" s="220"/>
      <c r="F683" s="221"/>
      <c r="G683" s="148"/>
      <c r="I683" s="219">
        <v>433119679123</v>
      </c>
      <c r="J683" s="219">
        <v>9065812501</v>
      </c>
    </row>
    <row r="684" spans="2:15" x14ac:dyDescent="0.25">
      <c r="B684" s="218">
        <v>43955</v>
      </c>
      <c r="C684" s="217">
        <v>2308</v>
      </c>
      <c r="D684" s="220" t="s">
        <v>1133</v>
      </c>
      <c r="E684" s="220"/>
      <c r="F684" s="221"/>
      <c r="G684" s="148"/>
      <c r="I684" s="219">
        <v>572657496953</v>
      </c>
      <c r="J684" s="219">
        <v>7992253187</v>
      </c>
    </row>
    <row r="685" spans="2:15" x14ac:dyDescent="0.25">
      <c r="B685" s="218">
        <v>43955</v>
      </c>
      <c r="C685" s="217">
        <v>2311</v>
      </c>
      <c r="D685" s="220" t="s">
        <v>1134</v>
      </c>
      <c r="E685" s="220"/>
      <c r="F685" s="221"/>
      <c r="G685" s="148"/>
      <c r="I685" s="219">
        <v>865398952016</v>
      </c>
      <c r="J685" s="219">
        <v>9162478336</v>
      </c>
    </row>
    <row r="686" spans="2:15" x14ac:dyDescent="0.25">
      <c r="B686" s="218">
        <v>43955</v>
      </c>
      <c r="C686" s="217">
        <v>2316</v>
      </c>
      <c r="D686" s="220" t="s">
        <v>1135</v>
      </c>
      <c r="E686" s="220"/>
      <c r="F686" s="221"/>
      <c r="G686" s="148"/>
      <c r="I686" s="219">
        <v>569912299441</v>
      </c>
      <c r="J686" s="219">
        <v>7294148349</v>
      </c>
      <c r="N686" s="214" t="s">
        <v>53</v>
      </c>
      <c r="O686" s="214" t="s">
        <v>66</v>
      </c>
    </row>
    <row r="687" spans="2:15" x14ac:dyDescent="0.25">
      <c r="B687" s="218">
        <v>43955</v>
      </c>
      <c r="C687" s="217">
        <v>2318</v>
      </c>
      <c r="D687" s="220" t="s">
        <v>1136</v>
      </c>
      <c r="E687" s="220"/>
      <c r="F687" s="221"/>
      <c r="G687" s="148"/>
      <c r="I687" s="219">
        <v>983143609103</v>
      </c>
      <c r="J687" s="219">
        <v>8235452197</v>
      </c>
    </row>
    <row r="688" spans="2:15" x14ac:dyDescent="0.25">
      <c r="B688" s="218">
        <v>43955</v>
      </c>
      <c r="C688" s="217">
        <v>2320</v>
      </c>
      <c r="D688" s="220" t="s">
        <v>1137</v>
      </c>
      <c r="E688" s="220"/>
      <c r="F688" s="221"/>
      <c r="G688" s="148"/>
      <c r="I688" s="219">
        <v>524421939774</v>
      </c>
      <c r="J688" s="219">
        <v>7281065323</v>
      </c>
    </row>
    <row r="689" spans="2:10" x14ac:dyDescent="0.25">
      <c r="B689" s="218">
        <v>43955</v>
      </c>
      <c r="C689" s="217">
        <v>2321</v>
      </c>
      <c r="D689" s="220" t="s">
        <v>1138</v>
      </c>
      <c r="E689" s="220"/>
      <c r="F689" s="221"/>
      <c r="G689" s="148"/>
      <c r="I689" s="219">
        <v>571649987986</v>
      </c>
      <c r="J689" s="219">
        <v>6204170127</v>
      </c>
    </row>
    <row r="690" spans="2:10" x14ac:dyDescent="0.25">
      <c r="B690" s="218">
        <v>43955</v>
      </c>
      <c r="C690" s="217">
        <v>2322</v>
      </c>
      <c r="D690" s="220" t="s">
        <v>1139</v>
      </c>
      <c r="E690" s="220"/>
      <c r="F690" s="221"/>
      <c r="G690" s="148"/>
      <c r="I690" s="219">
        <v>606719780273</v>
      </c>
      <c r="J690" s="219">
        <v>9801344410</v>
      </c>
    </row>
    <row r="691" spans="2:10" x14ac:dyDescent="0.25">
      <c r="B691" s="218">
        <v>43955</v>
      </c>
      <c r="C691" s="217">
        <v>2324</v>
      </c>
      <c r="D691" s="220" t="s">
        <v>1140</v>
      </c>
      <c r="E691" s="220"/>
      <c r="F691" s="221"/>
      <c r="G691" s="148"/>
      <c r="I691" s="219">
        <v>854084968658</v>
      </c>
      <c r="J691" s="219">
        <v>9234739947</v>
      </c>
    </row>
    <row r="692" spans="2:10" x14ac:dyDescent="0.25">
      <c r="B692" s="218">
        <v>43955</v>
      </c>
      <c r="C692" s="217">
        <v>2325</v>
      </c>
      <c r="D692" s="220" t="s">
        <v>1141</v>
      </c>
      <c r="E692" s="220"/>
      <c r="F692" s="221"/>
      <c r="G692" s="148"/>
      <c r="I692" s="219">
        <v>982284968658</v>
      </c>
      <c r="J692" s="219">
        <v>6206886431</v>
      </c>
    </row>
    <row r="693" spans="2:10" x14ac:dyDescent="0.25">
      <c r="B693" s="218">
        <v>43955</v>
      </c>
      <c r="C693" s="217">
        <v>2326</v>
      </c>
      <c r="D693" s="220" t="s">
        <v>1142</v>
      </c>
      <c r="E693" s="220"/>
      <c r="F693" s="221"/>
      <c r="G693" s="148"/>
      <c r="I693" s="219">
        <v>404248380457</v>
      </c>
      <c r="J693" s="219">
        <v>7903131344</v>
      </c>
    </row>
    <row r="694" spans="2:10" x14ac:dyDescent="0.25">
      <c r="B694" s="218">
        <v>43955</v>
      </c>
      <c r="C694" s="217">
        <v>2328</v>
      </c>
      <c r="D694" s="220" t="s">
        <v>1143</v>
      </c>
      <c r="E694" s="220"/>
      <c r="F694" s="221"/>
      <c r="G694" s="148"/>
      <c r="I694" s="219">
        <v>635238069632</v>
      </c>
      <c r="J694" s="219">
        <v>7762974582</v>
      </c>
    </row>
    <row r="695" spans="2:10" x14ac:dyDescent="0.25">
      <c r="B695" s="218">
        <v>43955</v>
      </c>
      <c r="C695" s="217">
        <v>2330</v>
      </c>
      <c r="D695" s="220" t="s">
        <v>1144</v>
      </c>
      <c r="E695" s="220"/>
      <c r="F695" s="221"/>
      <c r="G695" s="148"/>
      <c r="I695" s="219">
        <v>806469306342</v>
      </c>
      <c r="J695" s="219">
        <v>7766975087</v>
      </c>
    </row>
    <row r="696" spans="2:10" x14ac:dyDescent="0.25">
      <c r="B696" s="218">
        <v>43955</v>
      </c>
      <c r="C696" s="217">
        <v>2331</v>
      </c>
      <c r="D696" s="220" t="s">
        <v>1145</v>
      </c>
      <c r="E696" s="220"/>
      <c r="F696" s="221"/>
      <c r="G696" s="148"/>
      <c r="I696" s="219">
        <v>988681437249</v>
      </c>
      <c r="J696" s="219">
        <v>9031726529</v>
      </c>
    </row>
    <row r="697" spans="2:10" x14ac:dyDescent="0.25">
      <c r="B697" s="218">
        <v>43955</v>
      </c>
      <c r="C697" s="217">
        <v>2334</v>
      </c>
      <c r="D697" s="220" t="s">
        <v>1146</v>
      </c>
      <c r="E697" s="220"/>
      <c r="F697" s="221"/>
      <c r="G697" s="148"/>
      <c r="I697" s="219">
        <v>221772917203</v>
      </c>
      <c r="J697" s="219">
        <v>9334636033</v>
      </c>
    </row>
    <row r="698" spans="2:10" x14ac:dyDescent="0.25">
      <c r="B698" s="218">
        <v>43955</v>
      </c>
      <c r="C698" s="217">
        <v>2342</v>
      </c>
      <c r="D698" s="220" t="s">
        <v>1147</v>
      </c>
      <c r="E698" s="220"/>
      <c r="F698" s="221"/>
      <c r="G698" s="148"/>
      <c r="I698" s="219">
        <v>628421437790</v>
      </c>
      <c r="J698" s="219">
        <v>6203491921</v>
      </c>
    </row>
    <row r="699" spans="2:10" x14ac:dyDescent="0.25">
      <c r="B699" s="218">
        <v>43955</v>
      </c>
      <c r="C699" s="217">
        <v>2344</v>
      </c>
      <c r="D699" s="220" t="s">
        <v>290</v>
      </c>
      <c r="E699" s="220"/>
      <c r="F699" s="221"/>
      <c r="G699" s="148"/>
      <c r="I699" s="219">
        <v>461019773448</v>
      </c>
      <c r="J699" s="219">
        <v>8936065592</v>
      </c>
    </row>
    <row r="700" spans="2:10" x14ac:dyDescent="0.25">
      <c r="B700" s="218">
        <v>43955</v>
      </c>
      <c r="C700" s="217">
        <v>2347</v>
      </c>
      <c r="D700" s="220" t="s">
        <v>1148</v>
      </c>
      <c r="E700" s="220"/>
      <c r="F700" s="221"/>
      <c r="G700" s="148"/>
      <c r="I700" s="219">
        <v>391060973681</v>
      </c>
      <c r="J700" s="219">
        <v>6206198967</v>
      </c>
    </row>
    <row r="701" spans="2:10" x14ac:dyDescent="0.25">
      <c r="B701" s="218">
        <v>43955</v>
      </c>
      <c r="C701" s="217">
        <v>2350</v>
      </c>
      <c r="D701" s="220" t="s">
        <v>1149</v>
      </c>
      <c r="E701" s="220"/>
      <c r="F701" s="221"/>
      <c r="G701" s="148"/>
      <c r="I701" s="219">
        <v>343972671029</v>
      </c>
      <c r="J701" s="219">
        <v>8010233531</v>
      </c>
    </row>
    <row r="702" spans="2:10" x14ac:dyDescent="0.25">
      <c r="B702" s="218">
        <v>43955</v>
      </c>
      <c r="C702" s="217">
        <v>2353</v>
      </c>
      <c r="D702" s="220" t="s">
        <v>1150</v>
      </c>
      <c r="E702" s="220"/>
      <c r="F702" s="221"/>
      <c r="G702" s="148"/>
      <c r="I702" s="219">
        <v>300362404628</v>
      </c>
      <c r="J702" s="219">
        <v>7903059424</v>
      </c>
    </row>
    <row r="703" spans="2:10" x14ac:dyDescent="0.25">
      <c r="B703" s="218">
        <v>43955</v>
      </c>
      <c r="C703" s="217">
        <v>2355</v>
      </c>
      <c r="D703" s="220" t="s">
        <v>1151</v>
      </c>
      <c r="E703" s="220"/>
      <c r="F703" s="221"/>
      <c r="G703" s="148"/>
      <c r="I703" s="219">
        <v>531154523851</v>
      </c>
      <c r="J703" s="219">
        <v>9771254124</v>
      </c>
    </row>
    <row r="704" spans="2:10" x14ac:dyDescent="0.25">
      <c r="B704" s="218">
        <v>43955</v>
      </c>
      <c r="C704" s="217">
        <v>2356</v>
      </c>
      <c r="D704" s="220" t="s">
        <v>1152</v>
      </c>
      <c r="E704" s="220"/>
      <c r="F704" s="221"/>
      <c r="G704" s="148"/>
      <c r="I704" s="219"/>
      <c r="J704" s="219"/>
    </row>
    <row r="705" spans="2:13" x14ac:dyDescent="0.25">
      <c r="B705" s="218">
        <v>43955</v>
      </c>
      <c r="C705" s="217">
        <v>2357</v>
      </c>
      <c r="D705" s="220" t="s">
        <v>1153</v>
      </c>
      <c r="E705" s="220"/>
      <c r="F705" s="221"/>
      <c r="G705" s="148"/>
      <c r="I705" s="219">
        <v>430136403027</v>
      </c>
      <c r="J705" s="219">
        <v>7677270579</v>
      </c>
    </row>
    <row r="706" spans="2:13" x14ac:dyDescent="0.25">
      <c r="B706" s="218">
        <v>43955</v>
      </c>
      <c r="C706" s="217">
        <v>2359</v>
      </c>
      <c r="D706" s="220" t="s">
        <v>1154</v>
      </c>
      <c r="E706" s="220"/>
      <c r="F706" s="221"/>
      <c r="G706" s="148" t="s">
        <v>1648</v>
      </c>
      <c r="H706" s="214">
        <v>200</v>
      </c>
      <c r="I706" s="219">
        <v>909274131786</v>
      </c>
      <c r="J706" s="219">
        <v>7634890177</v>
      </c>
      <c r="K706" s="218">
        <v>44014</v>
      </c>
      <c r="L706" s="214" t="s">
        <v>1721</v>
      </c>
      <c r="M706" s="214" t="s">
        <v>1721</v>
      </c>
    </row>
    <row r="707" spans="2:13" x14ac:dyDescent="0.25">
      <c r="B707" s="218">
        <v>43955</v>
      </c>
      <c r="C707" s="217">
        <v>2361</v>
      </c>
      <c r="D707" s="220" t="s">
        <v>1155</v>
      </c>
      <c r="E707" s="220"/>
      <c r="F707" s="221"/>
      <c r="G707" s="148"/>
      <c r="I707" s="219">
        <v>627718450059</v>
      </c>
      <c r="J707" s="219">
        <v>6206459599</v>
      </c>
    </row>
    <row r="708" spans="2:13" x14ac:dyDescent="0.25">
      <c r="B708" s="218">
        <v>43955</v>
      </c>
      <c r="C708" s="217">
        <v>2365</v>
      </c>
      <c r="D708" s="220" t="s">
        <v>1156</v>
      </c>
      <c r="E708" s="220"/>
      <c r="F708" s="221"/>
      <c r="G708" s="148"/>
      <c r="I708" s="219">
        <v>619515071597</v>
      </c>
      <c r="J708" s="219">
        <v>6207002165</v>
      </c>
    </row>
    <row r="709" spans="2:13" x14ac:dyDescent="0.25">
      <c r="B709" s="218">
        <v>43955</v>
      </c>
      <c r="C709" s="217">
        <v>2366</v>
      </c>
      <c r="D709" s="220" t="s">
        <v>1157</v>
      </c>
      <c r="E709" s="220"/>
      <c r="F709" s="221"/>
      <c r="G709" s="148"/>
      <c r="I709" s="219">
        <v>973989856754</v>
      </c>
      <c r="J709" s="219">
        <v>7761813871</v>
      </c>
    </row>
    <row r="710" spans="2:13" x14ac:dyDescent="0.25">
      <c r="B710" s="218">
        <v>43955</v>
      </c>
      <c r="C710" s="217">
        <v>2371</v>
      </c>
      <c r="D710" s="220" t="s">
        <v>1158</v>
      </c>
      <c r="E710" s="220"/>
      <c r="F710" s="221"/>
      <c r="G710" s="148"/>
      <c r="I710" s="219">
        <v>646520706032</v>
      </c>
      <c r="J710" s="219">
        <v>9234670682</v>
      </c>
    </row>
    <row r="711" spans="2:13" x14ac:dyDescent="0.25">
      <c r="B711" s="218">
        <v>43955</v>
      </c>
      <c r="C711" s="217">
        <v>2373</v>
      </c>
      <c r="D711" s="220" t="s">
        <v>1159</v>
      </c>
      <c r="E711" s="220"/>
      <c r="F711" s="221"/>
      <c r="G711" s="148"/>
      <c r="I711" s="219">
        <v>579870704017</v>
      </c>
      <c r="J711" s="219">
        <v>7857946281</v>
      </c>
    </row>
    <row r="712" spans="2:13" x14ac:dyDescent="0.25">
      <c r="B712" s="218">
        <v>43955</v>
      </c>
      <c r="C712" s="217">
        <v>2375</v>
      </c>
      <c r="D712" s="220" t="s">
        <v>1160</v>
      </c>
      <c r="E712" s="220"/>
      <c r="F712" s="221"/>
      <c r="G712" s="148"/>
      <c r="I712" s="219">
        <v>448095820515</v>
      </c>
      <c r="J712" s="219">
        <v>8797343071</v>
      </c>
    </row>
    <row r="713" spans="2:13" x14ac:dyDescent="0.25">
      <c r="B713" s="218">
        <v>43956</v>
      </c>
      <c r="C713" s="217">
        <v>2396</v>
      </c>
      <c r="D713" s="220" t="s">
        <v>687</v>
      </c>
      <c r="E713" s="220"/>
      <c r="F713" s="221"/>
      <c r="G713" s="148"/>
      <c r="I713" s="219">
        <v>753604493274</v>
      </c>
      <c r="J713" s="219">
        <v>8987537772</v>
      </c>
    </row>
    <row r="714" spans="2:13" x14ac:dyDescent="0.25">
      <c r="B714" s="218">
        <v>43956</v>
      </c>
      <c r="C714" s="217">
        <v>2399</v>
      </c>
      <c r="D714" s="220" t="s">
        <v>1161</v>
      </c>
      <c r="E714" s="220"/>
      <c r="F714" s="221"/>
      <c r="G714" s="148"/>
      <c r="I714" s="219"/>
      <c r="J714" s="219"/>
    </row>
    <row r="715" spans="2:13" x14ac:dyDescent="0.25">
      <c r="B715" s="218">
        <v>43956</v>
      </c>
      <c r="C715" s="217">
        <v>2401</v>
      </c>
      <c r="D715" s="220" t="s">
        <v>1162</v>
      </c>
      <c r="E715" s="220"/>
      <c r="F715" s="221"/>
      <c r="G715" s="148" t="s">
        <v>1640</v>
      </c>
      <c r="H715" s="214">
        <v>200</v>
      </c>
      <c r="I715" s="219">
        <v>591724558243</v>
      </c>
      <c r="J715" s="219">
        <v>9572088493</v>
      </c>
    </row>
    <row r="716" spans="2:13" x14ac:dyDescent="0.25">
      <c r="B716" s="218">
        <v>43956</v>
      </c>
      <c r="C716" s="217">
        <v>2403</v>
      </c>
      <c r="D716" s="220" t="s">
        <v>1163</v>
      </c>
      <c r="E716" s="220"/>
      <c r="F716" s="221"/>
      <c r="G716" s="148"/>
      <c r="H716" s="214">
        <v>200</v>
      </c>
      <c r="I716" s="219">
        <v>782835454037</v>
      </c>
      <c r="J716" s="219">
        <v>9661705073</v>
      </c>
    </row>
    <row r="717" spans="2:13" x14ac:dyDescent="0.25">
      <c r="B717" s="218">
        <v>43956</v>
      </c>
      <c r="C717" s="217">
        <v>2405</v>
      </c>
      <c r="D717" s="220" t="s">
        <v>1164</v>
      </c>
      <c r="E717" s="220"/>
      <c r="F717" s="221"/>
      <c r="G717" s="148" t="s">
        <v>1640</v>
      </c>
      <c r="H717" s="214">
        <v>200</v>
      </c>
      <c r="I717" s="219">
        <v>390560107030</v>
      </c>
      <c r="J717" s="219">
        <v>7667608615</v>
      </c>
    </row>
    <row r="718" spans="2:13" x14ac:dyDescent="0.25">
      <c r="B718" s="218">
        <v>43956</v>
      </c>
      <c r="C718" s="217">
        <v>2407</v>
      </c>
      <c r="D718" s="220" t="s">
        <v>1165</v>
      </c>
      <c r="E718" s="220"/>
      <c r="F718" s="221"/>
      <c r="G718" s="148"/>
      <c r="I718" s="219">
        <v>556861799811</v>
      </c>
      <c r="J718" s="219">
        <v>7543907306</v>
      </c>
    </row>
    <row r="719" spans="2:13" x14ac:dyDescent="0.25">
      <c r="B719" s="218">
        <v>43956</v>
      </c>
      <c r="C719" s="217">
        <v>2411</v>
      </c>
      <c r="D719" s="220" t="s">
        <v>1167</v>
      </c>
      <c r="E719" s="220"/>
      <c r="F719" s="221"/>
      <c r="G719" s="148" t="s">
        <v>1640</v>
      </c>
      <c r="H719" s="214">
        <v>100</v>
      </c>
      <c r="I719" s="219">
        <v>357627195830</v>
      </c>
      <c r="J719" s="219">
        <v>8797037698</v>
      </c>
    </row>
    <row r="720" spans="2:13" x14ac:dyDescent="0.25">
      <c r="B720" s="218">
        <v>43956</v>
      </c>
      <c r="C720" s="217">
        <v>2413</v>
      </c>
      <c r="D720" s="220" t="s">
        <v>1168</v>
      </c>
      <c r="E720" s="220"/>
      <c r="F720" s="221"/>
      <c r="G720" s="148" t="s">
        <v>1640</v>
      </c>
      <c r="H720" s="214">
        <v>100</v>
      </c>
      <c r="I720" s="219">
        <v>781444076906</v>
      </c>
      <c r="J720" s="219">
        <v>8789757678</v>
      </c>
    </row>
    <row r="721" spans="2:10" x14ac:dyDescent="0.25">
      <c r="B721" s="218">
        <v>43956</v>
      </c>
      <c r="C721" s="217">
        <v>2416</v>
      </c>
      <c r="D721" s="220" t="s">
        <v>1169</v>
      </c>
      <c r="E721" s="220"/>
      <c r="F721" s="221"/>
      <c r="G721" s="148" t="s">
        <v>1640</v>
      </c>
      <c r="H721" s="214">
        <v>100</v>
      </c>
      <c r="I721" s="219">
        <v>981684500681</v>
      </c>
      <c r="J721" s="219">
        <v>7209702419</v>
      </c>
    </row>
    <row r="722" spans="2:10" x14ac:dyDescent="0.25">
      <c r="B722" s="218">
        <v>43956</v>
      </c>
      <c r="C722" s="217">
        <v>2418</v>
      </c>
      <c r="D722" s="220" t="s">
        <v>1170</v>
      </c>
      <c r="E722" s="220"/>
      <c r="F722" s="221"/>
      <c r="G722" s="148"/>
      <c r="I722" s="219">
        <v>982731119762</v>
      </c>
      <c r="J722" s="219">
        <v>9955466612</v>
      </c>
    </row>
    <row r="723" spans="2:10" x14ac:dyDescent="0.25">
      <c r="B723" s="218">
        <v>43956</v>
      </c>
      <c r="C723" s="217">
        <v>2419</v>
      </c>
      <c r="D723" s="220" t="s">
        <v>1171</v>
      </c>
      <c r="E723" s="220"/>
      <c r="F723" s="221"/>
      <c r="G723" s="148"/>
      <c r="I723" s="219">
        <v>879231617136</v>
      </c>
      <c r="J723" s="219">
        <v>8797785119</v>
      </c>
    </row>
    <row r="724" spans="2:10" x14ac:dyDescent="0.25">
      <c r="B724" s="218">
        <v>43956</v>
      </c>
      <c r="C724" s="217">
        <v>2422</v>
      </c>
      <c r="D724" s="220" t="s">
        <v>1172</v>
      </c>
      <c r="E724" s="220"/>
      <c r="F724" s="221"/>
      <c r="G724" s="148"/>
      <c r="I724" s="219">
        <v>356552680946</v>
      </c>
      <c r="J724" s="219">
        <v>8797630589</v>
      </c>
    </row>
    <row r="725" spans="2:10" x14ac:dyDescent="0.25">
      <c r="B725" s="218">
        <v>43956</v>
      </c>
      <c r="C725" s="217">
        <v>2423</v>
      </c>
      <c r="D725" s="220" t="s">
        <v>1173</v>
      </c>
      <c r="E725" s="220"/>
      <c r="F725" s="221"/>
      <c r="G725" s="148"/>
      <c r="I725" s="219">
        <v>356452680946</v>
      </c>
      <c r="J725" s="219">
        <v>8797630589</v>
      </c>
    </row>
    <row r="726" spans="2:10" x14ac:dyDescent="0.25">
      <c r="B726" s="218">
        <v>43956</v>
      </c>
      <c r="C726" s="217">
        <v>2425</v>
      </c>
      <c r="D726" s="220" t="s">
        <v>1174</v>
      </c>
      <c r="E726" s="220"/>
      <c r="F726" s="221"/>
      <c r="G726" s="148"/>
      <c r="I726" s="219">
        <v>475851367653</v>
      </c>
      <c r="J726" s="219">
        <v>9693003404</v>
      </c>
    </row>
    <row r="727" spans="2:10" x14ac:dyDescent="0.25">
      <c r="B727" s="218">
        <v>43956</v>
      </c>
      <c r="C727" s="217">
        <v>2426</v>
      </c>
      <c r="D727" s="220" t="s">
        <v>1175</v>
      </c>
      <c r="E727" s="220"/>
      <c r="F727" s="221"/>
      <c r="G727" s="148"/>
      <c r="I727" s="219">
        <v>242618346151</v>
      </c>
      <c r="J727" s="219">
        <v>790374647</v>
      </c>
    </row>
    <row r="728" spans="2:10" x14ac:dyDescent="0.25">
      <c r="B728" s="218">
        <v>43956</v>
      </c>
      <c r="C728" s="217">
        <v>2428</v>
      </c>
      <c r="D728" s="223" t="s">
        <v>707</v>
      </c>
      <c r="E728" s="223"/>
      <c r="F728" s="224"/>
      <c r="G728" s="148" t="s">
        <v>1640</v>
      </c>
      <c r="H728" s="214">
        <v>100</v>
      </c>
      <c r="I728" s="219">
        <v>759782479257</v>
      </c>
      <c r="J728" s="219">
        <v>9798442093</v>
      </c>
    </row>
    <row r="729" spans="2:10" x14ac:dyDescent="0.25">
      <c r="B729" s="218">
        <v>43956</v>
      </c>
      <c r="C729" s="217">
        <v>2430</v>
      </c>
      <c r="D729" s="220" t="s">
        <v>1176</v>
      </c>
      <c r="E729" s="220"/>
      <c r="F729" s="221"/>
      <c r="G729" s="148"/>
      <c r="I729" s="219">
        <v>282516275905</v>
      </c>
      <c r="J729" s="219">
        <v>6203590858</v>
      </c>
    </row>
    <row r="730" spans="2:10" x14ac:dyDescent="0.25">
      <c r="B730" s="218">
        <v>43956</v>
      </c>
      <c r="C730" s="217">
        <v>2432</v>
      </c>
      <c r="D730" s="220" t="s">
        <v>620</v>
      </c>
      <c r="E730" s="220"/>
      <c r="F730" s="221"/>
      <c r="G730" s="148"/>
      <c r="I730" s="219">
        <v>679879884591</v>
      </c>
      <c r="J730" s="219">
        <v>8235342199</v>
      </c>
    </row>
    <row r="731" spans="2:10" x14ac:dyDescent="0.25">
      <c r="B731" s="218">
        <v>43956</v>
      </c>
      <c r="C731" s="217">
        <v>2435</v>
      </c>
      <c r="D731" s="223" t="s">
        <v>1177</v>
      </c>
      <c r="E731" s="223"/>
      <c r="F731" s="224"/>
      <c r="G731" s="148" t="s">
        <v>1648</v>
      </c>
      <c r="H731" s="214">
        <v>200</v>
      </c>
      <c r="I731" s="219">
        <v>475403749120</v>
      </c>
      <c r="J731" s="219">
        <v>9123233026</v>
      </c>
    </row>
    <row r="732" spans="2:10" x14ac:dyDescent="0.25">
      <c r="B732" s="218">
        <v>43956</v>
      </c>
      <c r="C732" s="217">
        <v>2438</v>
      </c>
      <c r="D732" s="220" t="s">
        <v>1098</v>
      </c>
      <c r="E732" s="220"/>
      <c r="F732" s="221"/>
      <c r="G732" s="148"/>
      <c r="I732" s="219">
        <v>391784394728</v>
      </c>
      <c r="J732" s="219">
        <v>9234932471</v>
      </c>
    </row>
    <row r="733" spans="2:10" x14ac:dyDescent="0.25">
      <c r="B733" s="218">
        <v>43956</v>
      </c>
      <c r="C733" s="217">
        <v>2440</v>
      </c>
      <c r="D733" s="220" t="s">
        <v>564</v>
      </c>
      <c r="E733" s="220"/>
      <c r="F733" s="221"/>
      <c r="G733" s="148"/>
      <c r="I733" s="219">
        <v>210542470247</v>
      </c>
      <c r="J733" s="219">
        <v>9801966179</v>
      </c>
    </row>
    <row r="734" spans="2:10" x14ac:dyDescent="0.25">
      <c r="B734" s="218">
        <v>43956</v>
      </c>
      <c r="C734" s="217">
        <v>2441</v>
      </c>
      <c r="D734" s="220" t="s">
        <v>1178</v>
      </c>
      <c r="E734" s="220"/>
      <c r="F734" s="221"/>
      <c r="G734" s="148"/>
      <c r="I734" s="219">
        <v>562439420247</v>
      </c>
      <c r="J734" s="219">
        <v>9801966179</v>
      </c>
    </row>
    <row r="735" spans="2:10" x14ac:dyDescent="0.25">
      <c r="B735" s="218">
        <v>43956</v>
      </c>
      <c r="C735" s="217">
        <v>2443</v>
      </c>
      <c r="D735" s="220" t="s">
        <v>1179</v>
      </c>
      <c r="E735" s="220"/>
      <c r="F735" s="221"/>
      <c r="G735" s="148" t="s">
        <v>1674</v>
      </c>
      <c r="H735" s="214">
        <v>100</v>
      </c>
      <c r="I735" s="219">
        <v>901311263269</v>
      </c>
      <c r="J735" s="219">
        <v>7677133610</v>
      </c>
    </row>
    <row r="736" spans="2:10" x14ac:dyDescent="0.25">
      <c r="B736" s="218">
        <v>43956</v>
      </c>
      <c r="C736" s="217">
        <v>2444</v>
      </c>
      <c r="D736" s="220" t="s">
        <v>1180</v>
      </c>
      <c r="E736" s="220"/>
      <c r="F736" s="221"/>
      <c r="G736" s="148"/>
      <c r="I736" s="219">
        <v>573892363628</v>
      </c>
      <c r="J736" s="219">
        <v>8092169272</v>
      </c>
    </row>
    <row r="737" spans="2:11" x14ac:dyDescent="0.25">
      <c r="B737" s="218">
        <v>43956</v>
      </c>
      <c r="C737" s="217">
        <v>2445</v>
      </c>
      <c r="D737" s="220" t="s">
        <v>1181</v>
      </c>
      <c r="E737" s="220"/>
      <c r="F737" s="221"/>
      <c r="G737" s="148"/>
      <c r="I737" s="219">
        <v>725383560358</v>
      </c>
      <c r="J737" s="219">
        <v>7808776056</v>
      </c>
    </row>
    <row r="738" spans="2:11" x14ac:dyDescent="0.25">
      <c r="B738" s="218">
        <v>43956</v>
      </c>
      <c r="C738" s="217">
        <v>2451</v>
      </c>
      <c r="D738" s="220" t="s">
        <v>1182</v>
      </c>
      <c r="E738" s="220"/>
      <c r="F738" s="221"/>
      <c r="G738" s="148"/>
      <c r="I738" s="219">
        <v>438408598765</v>
      </c>
      <c r="J738" s="219">
        <v>7209940091</v>
      </c>
    </row>
    <row r="739" spans="2:11" x14ac:dyDescent="0.25">
      <c r="B739" s="218">
        <v>43956</v>
      </c>
      <c r="C739" s="217">
        <v>2452</v>
      </c>
      <c r="D739" s="220" t="s">
        <v>1183</v>
      </c>
      <c r="E739" s="220"/>
      <c r="F739" s="221"/>
      <c r="G739" s="148"/>
      <c r="I739" s="219">
        <v>298171984376</v>
      </c>
      <c r="J739" s="219">
        <v>7209105825</v>
      </c>
    </row>
    <row r="740" spans="2:11" x14ac:dyDescent="0.25">
      <c r="B740" s="218">
        <v>43956</v>
      </c>
      <c r="C740" s="217">
        <v>2455</v>
      </c>
      <c r="D740" s="220" t="s">
        <v>1184</v>
      </c>
      <c r="E740" s="220"/>
      <c r="F740" s="221"/>
      <c r="G740" s="148"/>
      <c r="I740" s="219">
        <v>452048731057</v>
      </c>
      <c r="J740" s="219">
        <v>7461069715</v>
      </c>
    </row>
    <row r="741" spans="2:11" x14ac:dyDescent="0.25">
      <c r="B741" s="218">
        <v>43956</v>
      </c>
      <c r="C741" s="217">
        <v>2458</v>
      </c>
      <c r="D741" s="220" t="s">
        <v>1185</v>
      </c>
      <c r="E741" s="220"/>
      <c r="F741" s="221"/>
      <c r="G741" s="148"/>
      <c r="I741" s="219">
        <v>350325341962</v>
      </c>
      <c r="J741" s="219">
        <v>7324062632</v>
      </c>
    </row>
    <row r="742" spans="2:11" x14ac:dyDescent="0.25">
      <c r="B742" s="218">
        <v>43956</v>
      </c>
      <c r="C742" s="217">
        <v>2459</v>
      </c>
      <c r="D742" s="220" t="s">
        <v>1186</v>
      </c>
      <c r="E742" s="220"/>
      <c r="F742" s="221"/>
      <c r="G742" s="148"/>
      <c r="I742" s="219">
        <v>647366072061</v>
      </c>
      <c r="J742" s="219">
        <v>8235157204</v>
      </c>
    </row>
    <row r="743" spans="2:11" x14ac:dyDescent="0.25">
      <c r="B743" s="218">
        <v>43956</v>
      </c>
      <c r="C743" s="217">
        <v>2461</v>
      </c>
      <c r="D743" s="223" t="s">
        <v>1187</v>
      </c>
      <c r="E743" s="223"/>
      <c r="F743" s="224"/>
      <c r="G743" s="148" t="s">
        <v>1648</v>
      </c>
      <c r="H743" s="214">
        <v>200</v>
      </c>
      <c r="I743" s="219">
        <v>674935401436</v>
      </c>
      <c r="J743" s="219">
        <v>7209375532</v>
      </c>
    </row>
    <row r="744" spans="2:11" x14ac:dyDescent="0.25">
      <c r="B744" s="218">
        <v>43956</v>
      </c>
      <c r="C744" s="217">
        <v>2463</v>
      </c>
      <c r="D744" s="220" t="s">
        <v>1188</v>
      </c>
      <c r="E744" s="220"/>
      <c r="F744" s="221"/>
      <c r="G744" s="148"/>
      <c r="I744" s="219">
        <v>412522317506</v>
      </c>
      <c r="J744" s="219">
        <v>8797939912</v>
      </c>
      <c r="K744" s="218">
        <v>44035</v>
      </c>
    </row>
    <row r="745" spans="2:11" x14ac:dyDescent="0.25">
      <c r="B745" s="218">
        <v>43956</v>
      </c>
      <c r="C745" s="217">
        <v>2467</v>
      </c>
      <c r="D745" s="220" t="s">
        <v>1189</v>
      </c>
      <c r="E745" s="220"/>
      <c r="F745" s="221"/>
      <c r="G745" s="148"/>
      <c r="I745" s="219">
        <v>324188890854</v>
      </c>
      <c r="J745" s="219">
        <v>7209212645</v>
      </c>
    </row>
    <row r="746" spans="2:11" x14ac:dyDescent="0.25">
      <c r="B746" s="218">
        <v>43956</v>
      </c>
      <c r="C746" s="217">
        <v>2468</v>
      </c>
      <c r="D746" s="220" t="s">
        <v>1190</v>
      </c>
      <c r="E746" s="220"/>
      <c r="F746" s="221"/>
      <c r="G746" s="148"/>
      <c r="I746" s="219">
        <v>207826929474</v>
      </c>
      <c r="J746" s="219">
        <v>8809099670</v>
      </c>
    </row>
    <row r="747" spans="2:11" x14ac:dyDescent="0.25">
      <c r="B747" s="218">
        <v>43956</v>
      </c>
      <c r="C747" s="217">
        <v>2472</v>
      </c>
      <c r="D747" s="220" t="s">
        <v>1191</v>
      </c>
      <c r="E747" s="220"/>
      <c r="F747" s="221"/>
      <c r="G747" s="148" t="s">
        <v>1650</v>
      </c>
      <c r="H747" s="214">
        <v>200</v>
      </c>
      <c r="I747" s="219">
        <v>219139462947</v>
      </c>
      <c r="J747" s="219">
        <v>7367810530</v>
      </c>
    </row>
    <row r="748" spans="2:11" x14ac:dyDescent="0.25">
      <c r="B748" s="218">
        <v>43956</v>
      </c>
      <c r="C748" s="217">
        <v>2474</v>
      </c>
      <c r="D748" s="220" t="s">
        <v>1192</v>
      </c>
      <c r="E748" s="220"/>
      <c r="F748" s="221"/>
      <c r="G748" s="148"/>
      <c r="I748" s="219">
        <v>220235646775</v>
      </c>
      <c r="J748" s="219">
        <v>8340178582</v>
      </c>
    </row>
    <row r="749" spans="2:11" x14ac:dyDescent="0.25">
      <c r="B749" s="218">
        <v>43956</v>
      </c>
      <c r="C749" s="217">
        <v>2477</v>
      </c>
      <c r="D749" s="220" t="s">
        <v>1193</v>
      </c>
      <c r="E749" s="220"/>
      <c r="F749" s="221"/>
      <c r="G749" s="148"/>
      <c r="I749" s="219">
        <v>870479719464</v>
      </c>
      <c r="J749" s="219">
        <v>7352595072</v>
      </c>
    </row>
    <row r="750" spans="2:11" x14ac:dyDescent="0.25">
      <c r="B750" s="218">
        <v>43956</v>
      </c>
      <c r="C750" s="217">
        <v>2479</v>
      </c>
      <c r="D750" s="220" t="s">
        <v>1194</v>
      </c>
      <c r="E750" s="220"/>
      <c r="F750" s="221"/>
      <c r="G750" s="148" t="s">
        <v>1635</v>
      </c>
      <c r="H750" s="214">
        <v>200</v>
      </c>
      <c r="I750" s="219">
        <v>539925314433</v>
      </c>
      <c r="J750" s="219">
        <v>9204018355</v>
      </c>
    </row>
    <row r="751" spans="2:11" x14ac:dyDescent="0.25">
      <c r="B751" s="218">
        <v>43956</v>
      </c>
      <c r="C751" s="217">
        <v>2481</v>
      </c>
      <c r="D751" s="220" t="s">
        <v>1195</v>
      </c>
      <c r="E751" s="220"/>
      <c r="F751" s="221"/>
      <c r="G751" s="148" t="s">
        <v>1635</v>
      </c>
      <c r="H751" s="214">
        <v>200</v>
      </c>
      <c r="I751" s="219">
        <v>880172913520</v>
      </c>
      <c r="J751" s="219">
        <v>9279385243</v>
      </c>
    </row>
    <row r="752" spans="2:11" x14ac:dyDescent="0.25">
      <c r="B752" s="218">
        <v>43956</v>
      </c>
      <c r="C752" s="217">
        <v>2488</v>
      </c>
      <c r="D752" s="220" t="s">
        <v>1196</v>
      </c>
      <c r="E752" s="220"/>
      <c r="F752" s="221"/>
      <c r="G752" s="148"/>
      <c r="I752" s="219">
        <v>434600325131</v>
      </c>
      <c r="J752" s="219">
        <v>9430156682</v>
      </c>
    </row>
    <row r="753" spans="2:14" x14ac:dyDescent="0.25">
      <c r="B753" s="218">
        <v>43956</v>
      </c>
      <c r="C753" s="217">
        <v>2490</v>
      </c>
      <c r="D753" s="223" t="s">
        <v>1197</v>
      </c>
      <c r="E753" s="223"/>
      <c r="F753" s="224"/>
      <c r="G753" s="148"/>
      <c r="H753" s="214">
        <v>100</v>
      </c>
      <c r="I753" s="219">
        <v>790480281657</v>
      </c>
      <c r="J753" s="219">
        <v>8603830627</v>
      </c>
    </row>
    <row r="754" spans="2:14" x14ac:dyDescent="0.25">
      <c r="B754" s="218">
        <v>43956</v>
      </c>
      <c r="C754" s="217">
        <v>2492</v>
      </c>
      <c r="D754" s="220" t="s">
        <v>1198</v>
      </c>
      <c r="E754" s="220"/>
      <c r="F754" s="221"/>
      <c r="G754" s="148" t="s">
        <v>1640</v>
      </c>
      <c r="H754" s="214">
        <v>100</v>
      </c>
      <c r="I754" s="219">
        <v>856765263087</v>
      </c>
      <c r="J754" s="219">
        <v>6202055857</v>
      </c>
    </row>
    <row r="755" spans="2:14" x14ac:dyDescent="0.25">
      <c r="B755" s="218">
        <v>43956</v>
      </c>
      <c r="C755" s="217">
        <v>2493</v>
      </c>
      <c r="D755" s="220" t="s">
        <v>1199</v>
      </c>
      <c r="E755" s="220"/>
      <c r="F755" s="221"/>
      <c r="G755" s="148" t="s">
        <v>1640</v>
      </c>
      <c r="H755" s="214">
        <v>100</v>
      </c>
      <c r="I755" s="219">
        <v>612063696151</v>
      </c>
      <c r="J755" s="219">
        <v>8797853038</v>
      </c>
    </row>
    <row r="756" spans="2:14" x14ac:dyDescent="0.25">
      <c r="B756" s="218">
        <v>43956</v>
      </c>
      <c r="C756" s="217">
        <v>2497</v>
      </c>
      <c r="D756" s="223" t="s">
        <v>1200</v>
      </c>
      <c r="E756" s="223"/>
      <c r="F756" s="224"/>
      <c r="G756" s="148" t="s">
        <v>1640</v>
      </c>
      <c r="H756" s="214">
        <v>100</v>
      </c>
      <c r="I756" s="219">
        <v>300421900591</v>
      </c>
      <c r="J756" s="219">
        <v>6200568655</v>
      </c>
      <c r="N756" s="214" t="s">
        <v>54</v>
      </c>
    </row>
    <row r="757" spans="2:14" x14ac:dyDescent="0.25">
      <c r="B757" s="218">
        <v>43956</v>
      </c>
      <c r="C757" s="217">
        <v>2504</v>
      </c>
      <c r="D757" s="220" t="s">
        <v>1201</v>
      </c>
      <c r="E757" s="220"/>
      <c r="F757" s="221"/>
      <c r="G757" s="148"/>
      <c r="I757" s="219">
        <v>674990453509</v>
      </c>
      <c r="J757" s="219">
        <v>7643066986</v>
      </c>
    </row>
    <row r="758" spans="2:14" x14ac:dyDescent="0.25">
      <c r="B758" s="218">
        <v>43956</v>
      </c>
      <c r="C758" s="217">
        <v>2507</v>
      </c>
      <c r="D758" s="220" t="s">
        <v>1202</v>
      </c>
      <c r="E758" s="220"/>
      <c r="F758" s="221"/>
      <c r="G758" s="148"/>
      <c r="I758" s="219">
        <v>901990021881</v>
      </c>
      <c r="J758" s="219">
        <v>8789410951</v>
      </c>
    </row>
    <row r="759" spans="2:14" x14ac:dyDescent="0.25">
      <c r="B759" s="218">
        <v>43956</v>
      </c>
      <c r="C759" s="217">
        <v>2508</v>
      </c>
      <c r="D759" s="220" t="s">
        <v>1203</v>
      </c>
      <c r="E759" s="220"/>
      <c r="F759" s="221"/>
      <c r="G759" s="148"/>
      <c r="I759" s="219">
        <v>950454589452</v>
      </c>
      <c r="J759" s="219">
        <v>9801967683</v>
      </c>
      <c r="K759" s="218">
        <v>44019</v>
      </c>
    </row>
    <row r="760" spans="2:14" x14ac:dyDescent="0.25">
      <c r="B760" s="218">
        <v>43956</v>
      </c>
      <c r="C760" s="217">
        <v>2509</v>
      </c>
      <c r="D760" s="220" t="s">
        <v>1204</v>
      </c>
      <c r="E760" s="220"/>
      <c r="F760" s="221"/>
      <c r="G760" s="148" t="s">
        <v>1640</v>
      </c>
      <c r="H760" s="214">
        <v>100</v>
      </c>
      <c r="I760" s="219">
        <v>393465543164</v>
      </c>
      <c r="J760" s="219">
        <v>9570019441</v>
      </c>
      <c r="K760" s="218">
        <v>44016</v>
      </c>
    </row>
    <row r="761" spans="2:14" x14ac:dyDescent="0.25">
      <c r="B761" s="218">
        <v>43956</v>
      </c>
      <c r="C761" s="217">
        <v>2510</v>
      </c>
      <c r="D761" s="220" t="s">
        <v>1205</v>
      </c>
      <c r="E761" s="220"/>
      <c r="F761" s="221"/>
      <c r="G761" s="148" t="s">
        <v>1640</v>
      </c>
      <c r="H761" s="214">
        <v>100</v>
      </c>
      <c r="I761" s="219">
        <v>670665037829</v>
      </c>
      <c r="J761" s="219">
        <v>6204466035</v>
      </c>
      <c r="K761" s="218">
        <v>44016</v>
      </c>
    </row>
    <row r="762" spans="2:14" x14ac:dyDescent="0.25">
      <c r="B762" s="218">
        <v>43957</v>
      </c>
      <c r="C762" s="217">
        <v>2522</v>
      </c>
      <c r="D762" s="223" t="s">
        <v>1206</v>
      </c>
      <c r="E762" s="223"/>
      <c r="F762" s="224"/>
      <c r="G762" s="148" t="s">
        <v>1640</v>
      </c>
      <c r="H762" s="214">
        <v>100</v>
      </c>
      <c r="I762" s="219">
        <v>871557363975</v>
      </c>
      <c r="J762" s="219">
        <v>8797586370</v>
      </c>
    </row>
    <row r="763" spans="2:14" x14ac:dyDescent="0.25">
      <c r="B763" s="218">
        <v>43957</v>
      </c>
      <c r="C763" s="217">
        <v>2524</v>
      </c>
      <c r="D763" s="220" t="s">
        <v>1207</v>
      </c>
      <c r="E763" s="220"/>
      <c r="F763" s="221"/>
      <c r="G763" s="148"/>
      <c r="I763" s="219">
        <v>977320683589</v>
      </c>
      <c r="J763" s="219">
        <v>9304422186</v>
      </c>
    </row>
    <row r="764" spans="2:14" x14ac:dyDescent="0.25">
      <c r="B764" s="218">
        <v>43957</v>
      </c>
      <c r="C764" s="217">
        <v>2526</v>
      </c>
      <c r="D764" s="220" t="s">
        <v>1208</v>
      </c>
      <c r="E764" s="220"/>
      <c r="F764" s="221"/>
      <c r="G764" s="148"/>
      <c r="I764" s="219">
        <v>226653960673</v>
      </c>
      <c r="J764" s="219">
        <v>8709940829</v>
      </c>
    </row>
    <row r="765" spans="2:14" x14ac:dyDescent="0.25">
      <c r="B765" s="218">
        <v>43957</v>
      </c>
      <c r="C765" s="217">
        <v>2528</v>
      </c>
      <c r="D765" s="220" t="s">
        <v>1209</v>
      </c>
      <c r="E765" s="220"/>
      <c r="F765" s="221"/>
      <c r="G765" s="148"/>
      <c r="I765" s="219">
        <v>635693645795</v>
      </c>
      <c r="J765" s="219">
        <v>8084179412</v>
      </c>
    </row>
    <row r="766" spans="2:14" x14ac:dyDescent="0.25">
      <c r="B766" s="218">
        <v>43957</v>
      </c>
      <c r="C766" s="217">
        <v>2530</v>
      </c>
      <c r="D766" s="220" t="s">
        <v>1210</v>
      </c>
      <c r="E766" s="220"/>
      <c r="F766" s="221"/>
      <c r="G766" s="148"/>
      <c r="I766" s="219">
        <v>935917520726</v>
      </c>
      <c r="J766" s="219">
        <v>8235600737</v>
      </c>
    </row>
    <row r="767" spans="2:14" x14ac:dyDescent="0.25">
      <c r="B767" s="218">
        <v>43957</v>
      </c>
      <c r="C767" s="217">
        <v>2532</v>
      </c>
      <c r="D767" s="220" t="s">
        <v>1211</v>
      </c>
      <c r="E767" s="220"/>
      <c r="F767" s="221"/>
      <c r="G767" s="148" t="s">
        <v>1663</v>
      </c>
      <c r="H767" s="214">
        <v>100</v>
      </c>
      <c r="I767" s="219">
        <v>854243026526</v>
      </c>
      <c r="J767" s="219">
        <v>8084178227</v>
      </c>
    </row>
    <row r="768" spans="2:14" x14ac:dyDescent="0.25">
      <c r="B768" s="218">
        <v>43957</v>
      </c>
      <c r="C768" s="217">
        <v>2535</v>
      </c>
      <c r="D768" s="220" t="s">
        <v>1212</v>
      </c>
      <c r="E768" s="220"/>
      <c r="F768" s="221"/>
      <c r="G768" s="148"/>
      <c r="I768" s="219"/>
      <c r="J768" s="219">
        <v>9204258431</v>
      </c>
    </row>
    <row r="769" spans="2:740" x14ac:dyDescent="0.25">
      <c r="B769" s="218">
        <v>43957</v>
      </c>
      <c r="C769" s="217">
        <v>2537</v>
      </c>
      <c r="D769" s="220" t="s">
        <v>1213</v>
      </c>
      <c r="E769" s="220"/>
      <c r="F769" s="221"/>
      <c r="G769" s="148"/>
      <c r="I769" s="219">
        <v>309843753153</v>
      </c>
      <c r="J769" s="219">
        <v>7285912568</v>
      </c>
    </row>
    <row r="770" spans="2:740" x14ac:dyDescent="0.25">
      <c r="B770" s="218">
        <v>43957</v>
      </c>
      <c r="C770" s="217">
        <v>2538</v>
      </c>
      <c r="D770" s="220" t="s">
        <v>1214</v>
      </c>
      <c r="E770" s="220"/>
      <c r="F770" s="221"/>
      <c r="G770" s="148" t="s">
        <v>1642</v>
      </c>
      <c r="H770" s="214">
        <v>100</v>
      </c>
      <c r="I770" s="219">
        <v>542767863043</v>
      </c>
      <c r="J770" s="219">
        <v>6202243938</v>
      </c>
    </row>
    <row r="771" spans="2:740" x14ac:dyDescent="0.25">
      <c r="B771" s="218">
        <v>43957</v>
      </c>
      <c r="C771" s="217">
        <v>2539</v>
      </c>
      <c r="D771" s="220" t="s">
        <v>1215</v>
      </c>
      <c r="E771" s="220"/>
      <c r="F771" s="221"/>
      <c r="G771" s="148" t="s">
        <v>1640</v>
      </c>
      <c r="H771" s="214">
        <v>100</v>
      </c>
      <c r="I771" s="219">
        <v>864219735074</v>
      </c>
      <c r="J771" s="219">
        <v>9852931442</v>
      </c>
      <c r="ABL771" s="148">
        <v>5</v>
      </c>
    </row>
    <row r="772" spans="2:740" x14ac:dyDescent="0.25">
      <c r="B772" s="218">
        <v>43957</v>
      </c>
      <c r="C772" s="217">
        <v>2540</v>
      </c>
      <c r="D772" s="220" t="s">
        <v>1216</v>
      </c>
      <c r="E772" s="220"/>
      <c r="F772" s="221"/>
      <c r="G772" s="148" t="s">
        <v>1648</v>
      </c>
      <c r="H772" s="214">
        <v>100</v>
      </c>
      <c r="I772" s="219">
        <v>462694375615</v>
      </c>
      <c r="J772" s="219">
        <v>9113189868</v>
      </c>
    </row>
    <row r="773" spans="2:740" x14ac:dyDescent="0.25">
      <c r="B773" s="218">
        <v>43957</v>
      </c>
      <c r="C773" s="217">
        <v>2542</v>
      </c>
      <c r="D773" s="220" t="s">
        <v>1217</v>
      </c>
      <c r="E773" s="220"/>
      <c r="F773" s="221"/>
      <c r="G773" s="148" t="s">
        <v>1648</v>
      </c>
      <c r="H773" s="214">
        <v>100</v>
      </c>
      <c r="I773" s="219">
        <v>485254811580</v>
      </c>
      <c r="J773" s="219">
        <v>7903585099</v>
      </c>
    </row>
    <row r="774" spans="2:740" x14ac:dyDescent="0.25">
      <c r="B774" s="218">
        <v>43957</v>
      </c>
      <c r="C774" s="217">
        <v>2544</v>
      </c>
      <c r="D774" s="220" t="s">
        <v>1218</v>
      </c>
      <c r="E774" s="220"/>
      <c r="F774" s="221"/>
      <c r="G774" s="148"/>
      <c r="H774" s="214">
        <v>100</v>
      </c>
      <c r="I774" s="219">
        <v>634455556799</v>
      </c>
      <c r="J774" s="219">
        <v>7488585909</v>
      </c>
    </row>
    <row r="775" spans="2:740" x14ac:dyDescent="0.25">
      <c r="B775" s="218">
        <v>43957</v>
      </c>
      <c r="C775" s="217">
        <v>2545</v>
      </c>
      <c r="D775" s="220" t="s">
        <v>1219</v>
      </c>
      <c r="E775" s="220"/>
      <c r="F775" s="221"/>
      <c r="G775" s="148" t="s">
        <v>1640</v>
      </c>
      <c r="H775" s="214">
        <v>200</v>
      </c>
      <c r="I775" s="219">
        <v>713712314800</v>
      </c>
      <c r="J775" s="219">
        <v>9931236815</v>
      </c>
    </row>
    <row r="776" spans="2:740" x14ac:dyDescent="0.25">
      <c r="B776" s="218">
        <v>43957</v>
      </c>
      <c r="C776" s="217">
        <v>2547</v>
      </c>
      <c r="D776" s="220" t="s">
        <v>1220</v>
      </c>
      <c r="E776" s="220"/>
      <c r="F776" s="221"/>
      <c r="G776" s="148" t="s">
        <v>1640</v>
      </c>
      <c r="H776" s="214">
        <v>100</v>
      </c>
      <c r="I776" s="219">
        <v>374582926737</v>
      </c>
      <c r="J776" s="219">
        <v>8084025541</v>
      </c>
    </row>
    <row r="777" spans="2:740" x14ac:dyDescent="0.25">
      <c r="B777" s="218">
        <v>43957</v>
      </c>
      <c r="C777" s="217">
        <v>2549</v>
      </c>
      <c r="D777" s="220" t="s">
        <v>1221</v>
      </c>
      <c r="E777" s="220"/>
      <c r="F777" s="221"/>
      <c r="G777" s="148"/>
      <c r="I777" s="219">
        <v>202516136755</v>
      </c>
      <c r="J777" s="219">
        <v>6207099186</v>
      </c>
    </row>
    <row r="778" spans="2:740" x14ac:dyDescent="0.25">
      <c r="B778" s="218">
        <v>43957</v>
      </c>
      <c r="C778" s="217">
        <v>2551</v>
      </c>
      <c r="D778" s="220" t="s">
        <v>1222</v>
      </c>
      <c r="E778" s="220"/>
      <c r="F778" s="221"/>
      <c r="G778" s="148" t="s">
        <v>1640</v>
      </c>
      <c r="H778" s="214">
        <v>100</v>
      </c>
      <c r="I778" s="219">
        <v>594670655435</v>
      </c>
      <c r="J778" s="219"/>
    </row>
    <row r="779" spans="2:740" x14ac:dyDescent="0.25">
      <c r="B779" s="218">
        <v>43957</v>
      </c>
      <c r="C779" s="217">
        <v>2553</v>
      </c>
      <c r="D779" s="220" t="s">
        <v>1223</v>
      </c>
      <c r="E779" s="220"/>
      <c r="F779" s="221"/>
      <c r="G779" s="148" t="s">
        <v>1640</v>
      </c>
      <c r="H779" s="214">
        <v>100</v>
      </c>
      <c r="I779" s="219">
        <v>660991405963</v>
      </c>
      <c r="J779" s="219">
        <v>9576826024</v>
      </c>
    </row>
    <row r="780" spans="2:740" x14ac:dyDescent="0.25">
      <c r="B780" s="218">
        <v>43957</v>
      </c>
      <c r="C780" s="217">
        <v>2555</v>
      </c>
      <c r="D780" s="220" t="s">
        <v>1224</v>
      </c>
      <c r="E780" s="220"/>
      <c r="F780" s="221"/>
      <c r="G780" s="148" t="s">
        <v>1643</v>
      </c>
      <c r="H780" s="214">
        <v>100</v>
      </c>
      <c r="I780" s="219">
        <v>750396047493</v>
      </c>
      <c r="J780" s="219">
        <v>9204028925</v>
      </c>
    </row>
    <row r="781" spans="2:740" x14ac:dyDescent="0.25">
      <c r="B781" s="218">
        <v>43957</v>
      </c>
      <c r="C781" s="217">
        <v>2557</v>
      </c>
      <c r="D781" s="223" t="s">
        <v>1225</v>
      </c>
      <c r="E781" s="223"/>
      <c r="F781" s="224"/>
      <c r="G781" s="148" t="s">
        <v>1665</v>
      </c>
      <c r="H781" s="214">
        <v>100</v>
      </c>
      <c r="I781" s="219">
        <v>352522718482</v>
      </c>
      <c r="J781" s="219">
        <v>9031360316</v>
      </c>
    </row>
    <row r="782" spans="2:740" x14ac:dyDescent="0.25">
      <c r="B782" s="218">
        <v>43957</v>
      </c>
      <c r="C782" s="217">
        <v>2559</v>
      </c>
      <c r="D782" s="220" t="s">
        <v>1227</v>
      </c>
      <c r="E782" s="220"/>
      <c r="F782" s="221"/>
      <c r="G782" s="148"/>
      <c r="I782" s="219">
        <v>936506966709</v>
      </c>
      <c r="J782" s="219">
        <v>7759028856</v>
      </c>
    </row>
    <row r="783" spans="2:740" x14ac:dyDescent="0.25">
      <c r="B783" s="218">
        <v>43957</v>
      </c>
      <c r="C783" s="217">
        <v>2560</v>
      </c>
      <c r="D783" s="220" t="s">
        <v>1226</v>
      </c>
      <c r="E783" s="220"/>
      <c r="F783" s="221"/>
      <c r="G783" s="148"/>
      <c r="I783" s="219">
        <v>385753199531</v>
      </c>
      <c r="J783" s="219">
        <v>7283090864</v>
      </c>
    </row>
    <row r="784" spans="2:740" x14ac:dyDescent="0.25">
      <c r="B784" s="218">
        <v>43957</v>
      </c>
      <c r="C784" s="217">
        <v>2562</v>
      </c>
      <c r="D784" s="220" t="s">
        <v>1228</v>
      </c>
      <c r="E784" s="220"/>
      <c r="F784" s="221"/>
      <c r="G784" s="148" t="s">
        <v>1640</v>
      </c>
      <c r="H784" s="214">
        <v>100</v>
      </c>
      <c r="I784" s="219">
        <v>396554093069</v>
      </c>
      <c r="J784" s="219">
        <v>6205898292</v>
      </c>
    </row>
    <row r="785" spans="2:14" x14ac:dyDescent="0.25">
      <c r="B785" s="218">
        <v>43957</v>
      </c>
      <c r="C785" s="217">
        <v>2564</v>
      </c>
      <c r="D785" s="220" t="s">
        <v>1229</v>
      </c>
      <c r="E785" s="220"/>
      <c r="F785" s="221"/>
      <c r="G785" s="148"/>
      <c r="I785" s="219">
        <v>334035266316</v>
      </c>
      <c r="J785" s="219">
        <v>9234746777</v>
      </c>
    </row>
    <row r="786" spans="2:14" x14ac:dyDescent="0.25">
      <c r="B786" s="218">
        <v>43957</v>
      </c>
      <c r="C786" s="217">
        <v>2565</v>
      </c>
      <c r="D786" s="220" t="s">
        <v>1230</v>
      </c>
      <c r="E786" s="220"/>
      <c r="F786" s="221"/>
      <c r="G786" s="148"/>
      <c r="I786" s="219">
        <v>990115851652</v>
      </c>
      <c r="J786" s="219">
        <v>6202714015</v>
      </c>
    </row>
    <row r="787" spans="2:14" x14ac:dyDescent="0.25">
      <c r="B787" s="218">
        <v>43957</v>
      </c>
      <c r="C787" s="217">
        <v>2567</v>
      </c>
      <c r="D787" s="220" t="s">
        <v>1231</v>
      </c>
      <c r="E787" s="220"/>
      <c r="F787" s="221"/>
      <c r="G787" s="148"/>
      <c r="I787" s="219">
        <v>274482262203</v>
      </c>
      <c r="J787" s="219">
        <v>6203655634</v>
      </c>
    </row>
    <row r="788" spans="2:14" x14ac:dyDescent="0.25">
      <c r="B788" s="218">
        <v>43957</v>
      </c>
      <c r="C788" s="217">
        <v>2568</v>
      </c>
      <c r="D788" s="220" t="s">
        <v>1232</v>
      </c>
      <c r="E788" s="220"/>
      <c r="F788" s="221"/>
      <c r="G788" s="148"/>
      <c r="I788" s="219">
        <v>305999203278</v>
      </c>
      <c r="J788" s="219">
        <v>9973762392</v>
      </c>
    </row>
    <row r="789" spans="2:14" x14ac:dyDescent="0.25">
      <c r="B789" s="218">
        <v>43957</v>
      </c>
      <c r="C789" s="217">
        <v>2569</v>
      </c>
      <c r="D789" s="220" t="s">
        <v>1664</v>
      </c>
      <c r="E789" s="220"/>
      <c r="F789" s="221"/>
      <c r="G789" s="148" t="s">
        <v>1640</v>
      </c>
      <c r="H789" s="214">
        <v>100</v>
      </c>
      <c r="I789" s="219">
        <v>283420992590</v>
      </c>
      <c r="J789" s="219">
        <v>9204243789</v>
      </c>
    </row>
    <row r="790" spans="2:14" x14ac:dyDescent="0.25">
      <c r="B790" s="218">
        <v>43957</v>
      </c>
      <c r="C790" s="217">
        <v>2571</v>
      </c>
      <c r="D790" s="223" t="s">
        <v>1233</v>
      </c>
      <c r="E790" s="223"/>
      <c r="F790" s="224"/>
      <c r="G790" s="148" t="s">
        <v>1640</v>
      </c>
      <c r="H790" s="214">
        <v>100</v>
      </c>
      <c r="I790" s="219">
        <v>313212260375</v>
      </c>
      <c r="J790" s="219">
        <v>7209544093</v>
      </c>
    </row>
    <row r="791" spans="2:14" x14ac:dyDescent="0.25">
      <c r="B791" s="218">
        <v>43957</v>
      </c>
      <c r="C791" s="217">
        <v>2572</v>
      </c>
      <c r="D791" s="223" t="s">
        <v>1234</v>
      </c>
      <c r="E791" s="223"/>
      <c r="F791" s="224"/>
      <c r="G791" s="148" t="s">
        <v>1674</v>
      </c>
      <c r="H791" s="214">
        <v>100</v>
      </c>
      <c r="I791" s="219">
        <v>881096986066</v>
      </c>
      <c r="J791" s="219">
        <v>6201680089</v>
      </c>
    </row>
    <row r="792" spans="2:14" x14ac:dyDescent="0.25">
      <c r="B792" s="218">
        <v>43957</v>
      </c>
      <c r="C792" s="217">
        <v>2574</v>
      </c>
      <c r="D792" s="223" t="s">
        <v>1235</v>
      </c>
      <c r="E792" s="223"/>
      <c r="F792" s="224"/>
      <c r="G792" s="148" t="s">
        <v>1674</v>
      </c>
      <c r="H792" s="214">
        <v>100</v>
      </c>
      <c r="I792" s="219">
        <v>717475467268</v>
      </c>
      <c r="J792" s="219">
        <v>6201454081</v>
      </c>
    </row>
    <row r="793" spans="2:14" x14ac:dyDescent="0.25">
      <c r="B793" s="218">
        <v>43957</v>
      </c>
      <c r="C793" s="217">
        <v>2575</v>
      </c>
      <c r="D793" s="223" t="s">
        <v>1236</v>
      </c>
      <c r="E793" s="223"/>
      <c r="F793" s="224"/>
      <c r="G793" s="148" t="s">
        <v>1640</v>
      </c>
      <c r="H793" s="214">
        <v>100</v>
      </c>
      <c r="I793" s="219">
        <v>444241974763</v>
      </c>
      <c r="J793" s="219">
        <v>6299524065</v>
      </c>
    </row>
    <row r="794" spans="2:14" x14ac:dyDescent="0.25">
      <c r="B794" s="218">
        <v>43957</v>
      </c>
      <c r="C794" s="217">
        <v>2577</v>
      </c>
      <c r="D794" s="220" t="s">
        <v>1237</v>
      </c>
      <c r="E794" s="220"/>
      <c r="F794" s="221"/>
      <c r="G794" s="148"/>
      <c r="H794" s="214">
        <v>100</v>
      </c>
      <c r="I794" s="219">
        <v>472341687655</v>
      </c>
      <c r="J794" s="219">
        <v>6204509324</v>
      </c>
    </row>
    <row r="795" spans="2:14" x14ac:dyDescent="0.25">
      <c r="B795" s="218">
        <v>43957</v>
      </c>
      <c r="C795" s="217">
        <v>2578</v>
      </c>
      <c r="D795" s="223" t="s">
        <v>1238</v>
      </c>
      <c r="E795" s="223"/>
      <c r="F795" s="224"/>
      <c r="G795" s="148" t="s">
        <v>1674</v>
      </c>
      <c r="H795" s="214">
        <v>100</v>
      </c>
      <c r="I795" s="219">
        <v>358839133036</v>
      </c>
      <c r="J795" s="219">
        <v>9934182743</v>
      </c>
    </row>
    <row r="796" spans="2:14" x14ac:dyDescent="0.25">
      <c r="B796" s="218">
        <v>43957</v>
      </c>
      <c r="C796" s="217">
        <v>2580</v>
      </c>
      <c r="D796" s="220" t="s">
        <v>1239</v>
      </c>
      <c r="E796" s="220"/>
      <c r="F796" s="221"/>
      <c r="G796" s="148" t="s">
        <v>1639</v>
      </c>
      <c r="H796" s="214">
        <v>100</v>
      </c>
      <c r="I796" s="219">
        <v>633726256303</v>
      </c>
      <c r="J796" s="219">
        <v>7295913326</v>
      </c>
      <c r="N796" s="214" t="s">
        <v>53</v>
      </c>
    </row>
    <row r="797" spans="2:14" x14ac:dyDescent="0.25">
      <c r="B797" s="218">
        <v>43957</v>
      </c>
      <c r="C797" s="217">
        <v>2581</v>
      </c>
      <c r="D797" s="220" t="s">
        <v>1240</v>
      </c>
      <c r="E797" s="220"/>
      <c r="F797" s="221"/>
      <c r="G797" s="148"/>
      <c r="I797" s="219">
        <v>534156471509</v>
      </c>
      <c r="J797" s="219">
        <v>9304772622</v>
      </c>
    </row>
    <row r="798" spans="2:14" x14ac:dyDescent="0.25">
      <c r="B798" s="218">
        <v>43957</v>
      </c>
      <c r="C798" s="217">
        <v>2587</v>
      </c>
      <c r="D798" s="220" t="s">
        <v>1241</v>
      </c>
      <c r="E798" s="220"/>
      <c r="F798" s="221"/>
      <c r="G798" s="148"/>
      <c r="H798" s="214">
        <v>500</v>
      </c>
      <c r="I798" s="219">
        <v>248713565350</v>
      </c>
      <c r="J798" s="219">
        <v>7070906111</v>
      </c>
    </row>
    <row r="799" spans="2:14" x14ac:dyDescent="0.25">
      <c r="B799" s="218">
        <v>43957</v>
      </c>
      <c r="C799" s="217">
        <v>2589</v>
      </c>
      <c r="D799" s="223" t="s">
        <v>1242</v>
      </c>
      <c r="E799" s="223"/>
      <c r="F799" s="224"/>
      <c r="G799" s="148" t="s">
        <v>1647</v>
      </c>
      <c r="H799" s="214">
        <v>100</v>
      </c>
      <c r="I799" s="219">
        <v>336759729717</v>
      </c>
      <c r="J799" s="219">
        <v>9576199864</v>
      </c>
    </row>
    <row r="800" spans="2:14" x14ac:dyDescent="0.25">
      <c r="B800" s="218">
        <v>43957</v>
      </c>
      <c r="C800" s="217">
        <v>2591</v>
      </c>
      <c r="D800" s="223" t="s">
        <v>1243</v>
      </c>
      <c r="E800" s="223"/>
      <c r="F800" s="224"/>
      <c r="G800" s="148" t="s">
        <v>1647</v>
      </c>
      <c r="H800" s="214">
        <v>100</v>
      </c>
      <c r="I800" s="219">
        <v>413414109823</v>
      </c>
      <c r="J800" s="219">
        <v>9835118354</v>
      </c>
    </row>
    <row r="801" spans="2:11" x14ac:dyDescent="0.25">
      <c r="B801" s="218">
        <v>43957</v>
      </c>
      <c r="C801" s="217">
        <v>2592</v>
      </c>
      <c r="D801" s="220" t="s">
        <v>1244</v>
      </c>
      <c r="E801" s="220"/>
      <c r="F801" s="221"/>
      <c r="G801" s="148" t="s">
        <v>1640</v>
      </c>
      <c r="H801" s="214">
        <v>100</v>
      </c>
      <c r="I801" s="219">
        <v>207500831645</v>
      </c>
      <c r="J801" s="219">
        <v>9304762707</v>
      </c>
    </row>
    <row r="802" spans="2:11" x14ac:dyDescent="0.25">
      <c r="B802" s="218">
        <v>43957</v>
      </c>
      <c r="C802" s="217">
        <v>2593</v>
      </c>
      <c r="D802" s="220" t="s">
        <v>1245</v>
      </c>
      <c r="E802" s="220"/>
      <c r="F802" s="221"/>
      <c r="G802" s="148" t="s">
        <v>1640</v>
      </c>
      <c r="H802" s="214">
        <v>100</v>
      </c>
      <c r="I802" s="219">
        <v>614537594598</v>
      </c>
      <c r="J802" s="219">
        <v>7667821732</v>
      </c>
    </row>
    <row r="803" spans="2:11" x14ac:dyDescent="0.25">
      <c r="B803" s="218">
        <v>43957</v>
      </c>
      <c r="C803" s="217">
        <v>2594</v>
      </c>
      <c r="D803" s="220" t="s">
        <v>1246</v>
      </c>
      <c r="E803" s="220"/>
      <c r="F803" s="221"/>
      <c r="G803" s="148"/>
      <c r="I803" s="219">
        <v>718490443939</v>
      </c>
      <c r="J803" s="219">
        <v>6201394446</v>
      </c>
    </row>
    <row r="804" spans="2:11" x14ac:dyDescent="0.25">
      <c r="B804" s="218">
        <v>43957</v>
      </c>
      <c r="C804" s="217">
        <v>2597</v>
      </c>
      <c r="D804" s="220" t="s">
        <v>1247</v>
      </c>
      <c r="E804" s="220"/>
      <c r="F804" s="221"/>
      <c r="G804" s="148"/>
      <c r="I804" s="219">
        <v>815219948920</v>
      </c>
      <c r="J804" s="219">
        <v>6205617195</v>
      </c>
    </row>
    <row r="805" spans="2:11" x14ac:dyDescent="0.25">
      <c r="B805" s="218">
        <v>43957</v>
      </c>
      <c r="C805" s="217">
        <v>2598</v>
      </c>
      <c r="D805" s="220" t="s">
        <v>1248</v>
      </c>
      <c r="E805" s="220"/>
      <c r="F805" s="221"/>
      <c r="G805" s="148" t="s">
        <v>1648</v>
      </c>
      <c r="H805" s="214">
        <v>100</v>
      </c>
      <c r="I805" s="219">
        <v>515111562381</v>
      </c>
      <c r="J805" s="219">
        <v>9123120619</v>
      </c>
    </row>
    <row r="806" spans="2:11" x14ac:dyDescent="0.25">
      <c r="B806" s="218">
        <v>43957</v>
      </c>
      <c r="C806" s="217">
        <v>2600</v>
      </c>
      <c r="D806" s="220" t="s">
        <v>1249</v>
      </c>
      <c r="E806" s="220"/>
      <c r="F806" s="221"/>
      <c r="G806" s="148"/>
      <c r="I806" s="219">
        <v>497586907540</v>
      </c>
      <c r="J806" s="219">
        <v>9162540890</v>
      </c>
    </row>
    <row r="807" spans="2:11" x14ac:dyDescent="0.25">
      <c r="B807" s="218">
        <v>43957</v>
      </c>
      <c r="C807" s="217">
        <v>2603</v>
      </c>
      <c r="D807" s="220" t="s">
        <v>1250</v>
      </c>
      <c r="E807" s="220"/>
      <c r="F807" s="221"/>
      <c r="G807" s="148"/>
      <c r="I807" s="219">
        <v>440163793375</v>
      </c>
      <c r="J807" s="219">
        <v>9031225732</v>
      </c>
    </row>
    <row r="808" spans="2:11" x14ac:dyDescent="0.25">
      <c r="B808" s="218">
        <v>43957</v>
      </c>
      <c r="C808" s="217">
        <v>2604</v>
      </c>
      <c r="D808" s="220" t="s">
        <v>1251</v>
      </c>
      <c r="E808" s="220"/>
      <c r="F808" s="221"/>
      <c r="G808" s="148"/>
      <c r="I808" s="219">
        <v>855754050071</v>
      </c>
      <c r="J808" s="219">
        <v>7209766008</v>
      </c>
    </row>
    <row r="809" spans="2:11" x14ac:dyDescent="0.25">
      <c r="B809" s="218">
        <v>43957</v>
      </c>
      <c r="C809" s="217">
        <v>2608</v>
      </c>
      <c r="D809" s="220" t="s">
        <v>1252</v>
      </c>
      <c r="E809" s="220"/>
      <c r="F809" s="221"/>
      <c r="G809" s="148" t="s">
        <v>1650</v>
      </c>
      <c r="H809" s="214">
        <v>200</v>
      </c>
      <c r="I809" s="219">
        <v>671017219983</v>
      </c>
      <c r="J809" s="219">
        <v>8987685172</v>
      </c>
    </row>
    <row r="810" spans="2:11" x14ac:dyDescent="0.25">
      <c r="B810" s="218">
        <v>43957</v>
      </c>
      <c r="C810" s="217">
        <v>2611</v>
      </c>
      <c r="D810" s="220" t="s">
        <v>1253</v>
      </c>
      <c r="E810" s="220"/>
      <c r="F810" s="221"/>
      <c r="G810" s="148" t="s">
        <v>1802</v>
      </c>
      <c r="I810" s="219">
        <v>778761265169</v>
      </c>
      <c r="J810" s="219">
        <v>7209223291</v>
      </c>
      <c r="K810" s="218">
        <v>44019</v>
      </c>
    </row>
    <row r="811" spans="2:11" x14ac:dyDescent="0.25">
      <c r="B811" s="218">
        <v>43957</v>
      </c>
      <c r="C811" s="217">
        <v>2613</v>
      </c>
      <c r="D811" s="220" t="s">
        <v>718</v>
      </c>
      <c r="E811" s="220"/>
      <c r="F811" s="221"/>
      <c r="G811" s="148" t="s">
        <v>1640</v>
      </c>
      <c r="H811" s="214">
        <v>100</v>
      </c>
      <c r="I811" s="219">
        <v>873284125649</v>
      </c>
      <c r="J811" s="219">
        <v>7367834464</v>
      </c>
    </row>
    <row r="812" spans="2:11" x14ac:dyDescent="0.25">
      <c r="B812" s="218">
        <v>43957</v>
      </c>
      <c r="C812" s="217">
        <v>2615</v>
      </c>
      <c r="D812" s="223" t="s">
        <v>1254</v>
      </c>
      <c r="E812" s="223"/>
      <c r="F812" s="224"/>
      <c r="G812" s="148"/>
      <c r="H812" s="214">
        <v>100</v>
      </c>
      <c r="I812" s="219">
        <v>485357524397</v>
      </c>
      <c r="J812" s="219">
        <v>7209529878</v>
      </c>
    </row>
    <row r="813" spans="2:11" x14ac:dyDescent="0.25">
      <c r="B813" s="218">
        <v>43957</v>
      </c>
      <c r="C813" s="217">
        <v>2616</v>
      </c>
      <c r="D813" s="220" t="s">
        <v>1255</v>
      </c>
      <c r="E813" s="220"/>
      <c r="F813" s="221"/>
      <c r="G813" s="148"/>
      <c r="I813" s="219">
        <v>769133284029</v>
      </c>
      <c r="J813" s="219">
        <v>8092248694</v>
      </c>
    </row>
    <row r="814" spans="2:11" x14ac:dyDescent="0.25">
      <c r="B814" s="218">
        <v>43957</v>
      </c>
      <c r="C814" s="217">
        <v>2619</v>
      </c>
      <c r="D814" s="220" t="s">
        <v>1256</v>
      </c>
      <c r="E814" s="220"/>
      <c r="F814" s="221"/>
      <c r="G814" s="148"/>
      <c r="I814" s="219">
        <v>595569163540</v>
      </c>
      <c r="J814" s="219">
        <v>7261032383</v>
      </c>
    </row>
    <row r="815" spans="2:11" x14ac:dyDescent="0.25">
      <c r="B815" s="218">
        <v>43957</v>
      </c>
      <c r="C815" s="217">
        <v>2623</v>
      </c>
      <c r="D815" s="220" t="s">
        <v>1257</v>
      </c>
      <c r="E815" s="220"/>
      <c r="F815" s="221"/>
      <c r="G815" s="148"/>
      <c r="I815" s="219">
        <v>9158430568492390</v>
      </c>
      <c r="J815" s="219">
        <v>9708798359</v>
      </c>
    </row>
    <row r="816" spans="2:11" x14ac:dyDescent="0.25">
      <c r="B816" s="218">
        <v>43957</v>
      </c>
      <c r="C816" s="217">
        <v>2626</v>
      </c>
      <c r="D816" s="220" t="s">
        <v>1258</v>
      </c>
      <c r="E816" s="220"/>
      <c r="F816" s="221"/>
      <c r="G816" s="148"/>
      <c r="I816" s="219">
        <v>227035989187</v>
      </c>
      <c r="J816" s="219">
        <v>7634095920</v>
      </c>
    </row>
    <row r="817" spans="2:10" x14ac:dyDescent="0.25">
      <c r="B817" s="218">
        <v>43957</v>
      </c>
      <c r="C817" s="217">
        <v>2629</v>
      </c>
      <c r="D817" s="223" t="s">
        <v>1259</v>
      </c>
      <c r="E817" s="223"/>
      <c r="F817" s="224"/>
      <c r="G817" s="148" t="s">
        <v>1647</v>
      </c>
      <c r="H817" s="214">
        <v>200</v>
      </c>
      <c r="I817" s="219">
        <v>226171506412</v>
      </c>
      <c r="J817" s="219">
        <v>9264215623</v>
      </c>
    </row>
    <row r="818" spans="2:10" x14ac:dyDescent="0.25">
      <c r="B818" s="218">
        <v>43957</v>
      </c>
      <c r="C818" s="217">
        <v>2631</v>
      </c>
      <c r="D818" s="220" t="s">
        <v>690</v>
      </c>
      <c r="E818" s="220"/>
      <c r="F818" s="221"/>
      <c r="G818" s="148" t="s">
        <v>1647</v>
      </c>
      <c r="H818" s="214">
        <v>100</v>
      </c>
      <c r="I818" s="219">
        <v>830252116455</v>
      </c>
      <c r="J818" s="219">
        <v>8271281584</v>
      </c>
    </row>
    <row r="819" spans="2:10" x14ac:dyDescent="0.25">
      <c r="B819" s="218">
        <v>43957</v>
      </c>
      <c r="C819" s="217">
        <v>2633</v>
      </c>
      <c r="D819" s="220" t="s">
        <v>1052</v>
      </c>
      <c r="E819" s="220"/>
      <c r="F819" s="221"/>
      <c r="G819" s="148"/>
      <c r="I819" s="219">
        <v>950169670409</v>
      </c>
      <c r="J819" s="219">
        <v>9835114081</v>
      </c>
    </row>
    <row r="820" spans="2:10" x14ac:dyDescent="0.25">
      <c r="B820" s="218">
        <v>43957</v>
      </c>
      <c r="C820" s="217">
        <v>2635</v>
      </c>
      <c r="D820" s="220" t="s">
        <v>1260</v>
      </c>
      <c r="E820" s="220"/>
      <c r="F820" s="221"/>
      <c r="G820" s="148"/>
      <c r="I820" s="219">
        <v>266876610508</v>
      </c>
      <c r="J820" s="219">
        <v>9934816247</v>
      </c>
    </row>
    <row r="821" spans="2:10" x14ac:dyDescent="0.25">
      <c r="B821" s="218">
        <v>43957</v>
      </c>
      <c r="C821" s="217">
        <v>2638</v>
      </c>
      <c r="D821" s="220" t="s">
        <v>1261</v>
      </c>
      <c r="E821" s="220"/>
      <c r="F821" s="221"/>
      <c r="G821" s="148"/>
      <c r="I821" s="219">
        <v>688894838532</v>
      </c>
      <c r="J821" s="219">
        <v>8092134677</v>
      </c>
    </row>
    <row r="822" spans="2:10" x14ac:dyDescent="0.25">
      <c r="B822" s="218">
        <v>43957</v>
      </c>
      <c r="C822" s="217">
        <v>2639</v>
      </c>
      <c r="D822" s="220" t="s">
        <v>1262</v>
      </c>
      <c r="E822" s="220"/>
      <c r="F822" s="221"/>
      <c r="G822" s="148"/>
      <c r="I822" s="219">
        <v>605206916941</v>
      </c>
      <c r="J822" s="219">
        <v>6202162445</v>
      </c>
    </row>
    <row r="823" spans="2:10" x14ac:dyDescent="0.25">
      <c r="B823" s="218">
        <v>43958</v>
      </c>
      <c r="C823" s="217">
        <v>2667</v>
      </c>
      <c r="D823" s="220" t="s">
        <v>1263</v>
      </c>
      <c r="E823" s="220"/>
      <c r="F823" s="221"/>
      <c r="G823" s="148"/>
      <c r="I823" s="219">
        <v>605206916941</v>
      </c>
      <c r="J823" s="219">
        <v>9939308932</v>
      </c>
    </row>
    <row r="824" spans="2:10" x14ac:dyDescent="0.25">
      <c r="B824" s="218">
        <v>43958</v>
      </c>
      <c r="C824" s="217">
        <v>2668</v>
      </c>
      <c r="D824" s="220" t="s">
        <v>1264</v>
      </c>
      <c r="E824" s="220"/>
      <c r="F824" s="221">
        <v>37489</v>
      </c>
      <c r="G824" s="148" t="s">
        <v>1726</v>
      </c>
      <c r="H824" s="214">
        <v>100</v>
      </c>
      <c r="I824" s="219">
        <v>636390883709</v>
      </c>
      <c r="J824" s="219">
        <v>9304833942</v>
      </c>
    </row>
    <row r="825" spans="2:10" x14ac:dyDescent="0.25">
      <c r="B825" s="218">
        <v>43958</v>
      </c>
      <c r="C825" s="217">
        <v>2670</v>
      </c>
      <c r="D825" s="220" t="s">
        <v>1265</v>
      </c>
      <c r="E825" s="220"/>
      <c r="F825" s="221"/>
      <c r="G825" s="148"/>
      <c r="I825" s="219">
        <v>318979634040</v>
      </c>
      <c r="J825" s="219">
        <v>8789040233</v>
      </c>
    </row>
    <row r="826" spans="2:10" x14ac:dyDescent="0.25">
      <c r="B826" s="218">
        <v>43958</v>
      </c>
      <c r="C826" s="217">
        <v>2672</v>
      </c>
      <c r="D826" s="220" t="s">
        <v>1266</v>
      </c>
      <c r="E826" s="220"/>
      <c r="F826" s="221"/>
      <c r="G826" s="148"/>
      <c r="I826" s="219">
        <v>364828381169</v>
      </c>
      <c r="J826" s="219">
        <v>8051163115</v>
      </c>
    </row>
    <row r="827" spans="2:10" x14ac:dyDescent="0.25">
      <c r="B827" s="218">
        <v>43958</v>
      </c>
      <c r="C827" s="217">
        <v>2676</v>
      </c>
      <c r="D827" s="220" t="s">
        <v>1267</v>
      </c>
      <c r="E827" s="220"/>
      <c r="F827" s="221"/>
      <c r="G827" s="148"/>
      <c r="I827" s="219">
        <v>691403880423</v>
      </c>
      <c r="J827" s="219">
        <v>8581085885</v>
      </c>
    </row>
    <row r="828" spans="2:10" x14ac:dyDescent="0.25">
      <c r="B828" s="218">
        <v>43958</v>
      </c>
      <c r="C828" s="217">
        <v>2678</v>
      </c>
      <c r="D828" s="220" t="s">
        <v>1268</v>
      </c>
      <c r="E828" s="220"/>
      <c r="F828" s="221"/>
      <c r="G828" s="148"/>
      <c r="I828" s="219">
        <v>286137355940</v>
      </c>
      <c r="J828" s="219">
        <v>7209518515</v>
      </c>
    </row>
    <row r="829" spans="2:10" x14ac:dyDescent="0.25">
      <c r="B829" s="218">
        <v>43958</v>
      </c>
      <c r="C829" s="217">
        <v>2679</v>
      </c>
      <c r="D829" s="220" t="s">
        <v>1269</v>
      </c>
      <c r="E829" s="220"/>
      <c r="F829" s="221"/>
      <c r="G829" s="148"/>
      <c r="I829" s="219">
        <v>967383443810</v>
      </c>
      <c r="J829" s="219">
        <v>9798003753</v>
      </c>
    </row>
    <row r="830" spans="2:10" x14ac:dyDescent="0.25">
      <c r="B830" s="218">
        <v>43958</v>
      </c>
      <c r="C830" s="217">
        <v>2680</v>
      </c>
      <c r="D830" s="220" t="s">
        <v>1270</v>
      </c>
      <c r="E830" s="220"/>
      <c r="F830" s="221"/>
      <c r="G830" s="148"/>
      <c r="H830" s="214">
        <v>500</v>
      </c>
      <c r="I830" s="219">
        <v>995063872185</v>
      </c>
      <c r="J830" s="219">
        <v>9065618001</v>
      </c>
    </row>
    <row r="831" spans="2:10" x14ac:dyDescent="0.25">
      <c r="B831" s="218">
        <v>43958</v>
      </c>
      <c r="C831" s="217">
        <v>2682</v>
      </c>
      <c r="D831" s="220" t="s">
        <v>617</v>
      </c>
      <c r="E831" s="220"/>
      <c r="F831" s="221"/>
      <c r="G831" s="148"/>
      <c r="I831" s="219">
        <v>407171906296</v>
      </c>
      <c r="J831" s="219">
        <v>6202410861</v>
      </c>
    </row>
    <row r="832" spans="2:10" x14ac:dyDescent="0.25">
      <c r="B832" s="218">
        <v>43958</v>
      </c>
      <c r="C832" s="217">
        <v>2683</v>
      </c>
      <c r="D832" s="220" t="s">
        <v>1271</v>
      </c>
      <c r="E832" s="220"/>
      <c r="F832" s="221"/>
      <c r="G832" s="148"/>
      <c r="I832" s="219">
        <v>582847085763</v>
      </c>
      <c r="J832" s="219">
        <v>7322890927</v>
      </c>
    </row>
    <row r="833" spans="2:10" x14ac:dyDescent="0.25">
      <c r="B833" s="218">
        <v>43958</v>
      </c>
      <c r="C833" s="217">
        <v>2685</v>
      </c>
      <c r="D833" s="220" t="s">
        <v>1272</v>
      </c>
      <c r="E833" s="220"/>
      <c r="F833" s="221"/>
      <c r="G833" s="148"/>
      <c r="I833" s="219">
        <v>263085626300</v>
      </c>
      <c r="J833" s="219">
        <v>7209935043</v>
      </c>
    </row>
    <row r="834" spans="2:10" x14ac:dyDescent="0.25">
      <c r="B834" s="218">
        <v>43958</v>
      </c>
      <c r="C834" s="217">
        <v>2687</v>
      </c>
      <c r="D834" s="220" t="s">
        <v>2960</v>
      </c>
      <c r="E834" s="220"/>
      <c r="F834" s="221"/>
      <c r="G834" s="148"/>
      <c r="I834" s="219">
        <v>731422360506</v>
      </c>
      <c r="J834" s="219">
        <v>6201851477</v>
      </c>
    </row>
    <row r="835" spans="2:10" x14ac:dyDescent="0.25">
      <c r="B835" s="218">
        <v>43958</v>
      </c>
      <c r="C835" s="217">
        <v>2688</v>
      </c>
      <c r="D835" s="220" t="s">
        <v>1273</v>
      </c>
      <c r="E835" s="220"/>
      <c r="F835" s="221"/>
      <c r="G835" s="148"/>
      <c r="H835" s="214">
        <v>100</v>
      </c>
      <c r="I835" s="219">
        <v>560139522310</v>
      </c>
      <c r="J835" s="219">
        <v>8404802743</v>
      </c>
    </row>
    <row r="836" spans="2:10" x14ac:dyDescent="0.25">
      <c r="B836" s="218">
        <v>43958</v>
      </c>
      <c r="C836" s="217">
        <v>2697</v>
      </c>
      <c r="D836" s="220" t="s">
        <v>1274</v>
      </c>
      <c r="E836" s="220"/>
      <c r="F836" s="221"/>
      <c r="G836" s="148" t="s">
        <v>1640</v>
      </c>
      <c r="H836" s="214">
        <v>100</v>
      </c>
      <c r="I836" s="219">
        <v>354987908210</v>
      </c>
      <c r="J836" s="219">
        <v>8092307232</v>
      </c>
    </row>
    <row r="837" spans="2:10" x14ac:dyDescent="0.25">
      <c r="B837" s="218">
        <v>43958</v>
      </c>
      <c r="C837" s="217">
        <v>2699</v>
      </c>
      <c r="D837" s="220" t="s">
        <v>1275</v>
      </c>
      <c r="E837" s="220"/>
      <c r="F837" s="221"/>
      <c r="G837" s="148"/>
      <c r="I837" s="219">
        <v>332296867890</v>
      </c>
      <c r="J837" s="219">
        <v>9471723502</v>
      </c>
    </row>
    <row r="838" spans="2:10" x14ac:dyDescent="0.25">
      <c r="B838" s="218">
        <v>43958</v>
      </c>
      <c r="C838" s="217">
        <v>2700</v>
      </c>
      <c r="D838" s="223" t="s">
        <v>1276</v>
      </c>
      <c r="E838" s="223"/>
      <c r="F838" s="224"/>
      <c r="G838" s="148" t="s">
        <v>1640</v>
      </c>
      <c r="H838" s="214">
        <v>100</v>
      </c>
      <c r="I838" s="219">
        <v>488917599031</v>
      </c>
      <c r="J838" s="219">
        <v>9798245782</v>
      </c>
    </row>
    <row r="839" spans="2:10" x14ac:dyDescent="0.25">
      <c r="B839" s="218">
        <v>43958</v>
      </c>
      <c r="C839" s="217">
        <v>2701</v>
      </c>
      <c r="D839" s="220" t="s">
        <v>1277</v>
      </c>
      <c r="E839" s="220"/>
      <c r="F839" s="221"/>
      <c r="G839" s="148"/>
      <c r="I839" s="219">
        <v>317601993177</v>
      </c>
      <c r="J839" s="219">
        <v>9031989535</v>
      </c>
    </row>
    <row r="840" spans="2:10" x14ac:dyDescent="0.25">
      <c r="B840" s="218">
        <v>43958</v>
      </c>
      <c r="C840" s="217">
        <v>2702</v>
      </c>
      <c r="D840" s="220" t="s">
        <v>1278</v>
      </c>
      <c r="E840" s="220"/>
      <c r="F840" s="221"/>
      <c r="G840" s="148"/>
      <c r="I840" s="219">
        <v>478421540080</v>
      </c>
      <c r="J840" s="219">
        <v>7979932205</v>
      </c>
    </row>
    <row r="841" spans="2:10" x14ac:dyDescent="0.25">
      <c r="B841" s="218">
        <v>43958</v>
      </c>
      <c r="C841" s="217">
        <v>2704</v>
      </c>
      <c r="D841" s="220" t="s">
        <v>1279</v>
      </c>
      <c r="E841" s="220"/>
      <c r="F841" s="221"/>
      <c r="G841" s="148" t="s">
        <v>1648</v>
      </c>
      <c r="H841" s="214">
        <v>200</v>
      </c>
      <c r="I841" s="219"/>
      <c r="J841" s="219">
        <v>8340731235</v>
      </c>
    </row>
    <row r="842" spans="2:10" x14ac:dyDescent="0.25">
      <c r="B842" s="218">
        <v>43958</v>
      </c>
      <c r="C842" s="217">
        <v>2706</v>
      </c>
      <c r="D842" s="220" t="s">
        <v>1280</v>
      </c>
      <c r="E842" s="220"/>
      <c r="F842" s="221"/>
      <c r="G842" s="148"/>
      <c r="I842" s="219">
        <v>609683332327</v>
      </c>
      <c r="J842" s="219">
        <v>7070361262</v>
      </c>
    </row>
    <row r="843" spans="2:10" x14ac:dyDescent="0.25">
      <c r="B843" s="218">
        <v>43958</v>
      </c>
      <c r="C843" s="217">
        <v>2707</v>
      </c>
      <c r="D843" s="220" t="s">
        <v>1281</v>
      </c>
      <c r="E843" s="220"/>
      <c r="F843" s="221"/>
      <c r="I843" s="219">
        <v>280266798675</v>
      </c>
      <c r="J843" s="219">
        <v>7764837251</v>
      </c>
    </row>
    <row r="844" spans="2:10" x14ac:dyDescent="0.25">
      <c r="B844" s="218">
        <v>43958</v>
      </c>
      <c r="C844" s="217">
        <v>2708</v>
      </c>
      <c r="D844" s="220" t="s">
        <v>1282</v>
      </c>
      <c r="E844" s="220"/>
      <c r="F844" s="221"/>
      <c r="G844" s="148"/>
      <c r="I844" s="219">
        <v>244677337301</v>
      </c>
      <c r="J844" s="219">
        <v>9334387302</v>
      </c>
    </row>
    <row r="845" spans="2:10" x14ac:dyDescent="0.25">
      <c r="B845" s="218">
        <v>43958</v>
      </c>
      <c r="C845" s="217">
        <v>2710</v>
      </c>
      <c r="D845" s="220" t="s">
        <v>1283</v>
      </c>
      <c r="E845" s="220"/>
      <c r="F845" s="221"/>
      <c r="G845" s="148" t="s">
        <v>1640</v>
      </c>
      <c r="H845" s="214">
        <v>100</v>
      </c>
      <c r="I845" s="219">
        <v>669517487913</v>
      </c>
      <c r="J845" s="219">
        <v>9263717055</v>
      </c>
    </row>
    <row r="846" spans="2:10" x14ac:dyDescent="0.25">
      <c r="B846" s="218">
        <v>43959</v>
      </c>
      <c r="C846" s="217">
        <v>2730</v>
      </c>
      <c r="D846" s="220" t="s">
        <v>1284</v>
      </c>
      <c r="E846" s="220"/>
      <c r="F846" s="221"/>
      <c r="G846" s="148"/>
      <c r="I846" s="219">
        <v>269704007146</v>
      </c>
      <c r="J846" s="219">
        <v>7209631762</v>
      </c>
    </row>
    <row r="847" spans="2:10" x14ac:dyDescent="0.25">
      <c r="B847" s="218">
        <v>43959</v>
      </c>
      <c r="C847" s="217">
        <v>2732</v>
      </c>
      <c r="D847" s="220" t="s">
        <v>1285</v>
      </c>
      <c r="E847" s="220"/>
      <c r="F847" s="221"/>
      <c r="G847" s="148"/>
      <c r="I847" s="219">
        <v>846493840865</v>
      </c>
      <c r="J847" s="219">
        <v>912322756</v>
      </c>
    </row>
    <row r="848" spans="2:10" x14ac:dyDescent="0.25">
      <c r="B848" s="218">
        <v>43959</v>
      </c>
      <c r="C848" s="217">
        <v>2733</v>
      </c>
      <c r="D848" s="220" t="s">
        <v>1286</v>
      </c>
      <c r="E848" s="220"/>
      <c r="F848" s="221"/>
      <c r="G848" s="148"/>
      <c r="I848" s="219">
        <v>332272382128</v>
      </c>
      <c r="J848" s="219">
        <v>8051065482</v>
      </c>
    </row>
    <row r="849" spans="2:12" x14ac:dyDescent="0.25">
      <c r="B849" s="218">
        <v>43959</v>
      </c>
      <c r="C849" s="217">
        <v>2735</v>
      </c>
      <c r="D849" s="220" t="s">
        <v>1287</v>
      </c>
      <c r="E849" s="220"/>
      <c r="F849" s="221"/>
      <c r="G849" s="148"/>
      <c r="I849" s="219">
        <v>228478595477</v>
      </c>
      <c r="J849" s="219">
        <v>7209580343</v>
      </c>
    </row>
    <row r="850" spans="2:12" x14ac:dyDescent="0.25">
      <c r="B850" s="218">
        <v>43959</v>
      </c>
      <c r="C850" s="217">
        <v>2741</v>
      </c>
      <c r="D850" s="220" t="s">
        <v>1288</v>
      </c>
      <c r="E850" s="220"/>
      <c r="F850" s="221"/>
      <c r="G850" s="148" t="s">
        <v>1801</v>
      </c>
      <c r="I850" s="219">
        <v>941302168430</v>
      </c>
      <c r="J850" s="219">
        <v>6200880582</v>
      </c>
      <c r="K850" s="218">
        <v>44019</v>
      </c>
    </row>
    <row r="851" spans="2:12" x14ac:dyDescent="0.25">
      <c r="B851" s="218">
        <v>43959</v>
      </c>
      <c r="C851" s="217">
        <v>2743</v>
      </c>
      <c r="D851" s="220" t="s">
        <v>1289</v>
      </c>
      <c r="E851" s="220"/>
      <c r="F851" s="221"/>
      <c r="G851" s="148"/>
      <c r="I851" s="219">
        <v>725737604516</v>
      </c>
      <c r="J851" s="219">
        <v>8083815940</v>
      </c>
    </row>
    <row r="852" spans="2:12" x14ac:dyDescent="0.25">
      <c r="B852" s="218">
        <v>43959</v>
      </c>
      <c r="C852" s="217">
        <v>2744</v>
      </c>
      <c r="D852" s="220" t="s">
        <v>1290</v>
      </c>
      <c r="E852" s="220"/>
      <c r="F852" s="221"/>
      <c r="G852" s="148"/>
      <c r="I852" s="219">
        <v>344268400345</v>
      </c>
      <c r="J852" s="219">
        <v>9835270480</v>
      </c>
    </row>
    <row r="853" spans="2:12" x14ac:dyDescent="0.25">
      <c r="B853" s="218">
        <v>43959</v>
      </c>
      <c r="C853" s="217">
        <v>2747</v>
      </c>
      <c r="D853" s="220" t="s">
        <v>1291</v>
      </c>
      <c r="E853" s="220"/>
      <c r="F853" s="221"/>
      <c r="G853" s="148"/>
      <c r="I853" s="219">
        <v>590809167332</v>
      </c>
      <c r="J853" s="219">
        <v>7301497220</v>
      </c>
    </row>
    <row r="854" spans="2:12" x14ac:dyDescent="0.25">
      <c r="B854" s="218">
        <v>43959</v>
      </c>
      <c r="C854" s="217">
        <v>2749</v>
      </c>
      <c r="D854" s="220" t="s">
        <v>1292</v>
      </c>
      <c r="E854" s="220"/>
      <c r="F854" s="221"/>
      <c r="G854" s="148"/>
      <c r="I854" s="219">
        <v>253064835595</v>
      </c>
      <c r="J854" s="219">
        <v>9204296370</v>
      </c>
      <c r="K854" s="218">
        <v>44013</v>
      </c>
      <c r="L854" s="218">
        <v>44013</v>
      </c>
    </row>
    <row r="855" spans="2:12" x14ac:dyDescent="0.25">
      <c r="B855" s="218">
        <v>43959</v>
      </c>
      <c r="C855" s="217">
        <v>2750</v>
      </c>
      <c r="D855" s="220" t="s">
        <v>1293</v>
      </c>
      <c r="E855" s="220"/>
      <c r="F855" s="221"/>
      <c r="G855" s="148"/>
      <c r="I855" s="219">
        <v>976276214984</v>
      </c>
      <c r="J855" s="219">
        <v>8084132474</v>
      </c>
    </row>
    <row r="856" spans="2:12" x14ac:dyDescent="0.25">
      <c r="B856" s="218">
        <v>43959</v>
      </c>
      <c r="C856" s="217">
        <v>2751</v>
      </c>
      <c r="D856" s="220" t="s">
        <v>1294</v>
      </c>
      <c r="E856" s="220"/>
      <c r="F856" s="221"/>
      <c r="G856" s="148"/>
      <c r="I856" s="219">
        <v>802227488809</v>
      </c>
      <c r="J856" s="219">
        <v>8797429194</v>
      </c>
    </row>
    <row r="857" spans="2:12" x14ac:dyDescent="0.25">
      <c r="B857" s="218">
        <v>43959</v>
      </c>
      <c r="C857" s="217">
        <v>2752</v>
      </c>
      <c r="D857" s="220" t="s">
        <v>1295</v>
      </c>
      <c r="E857" s="220"/>
      <c r="F857" s="221"/>
      <c r="G857" s="148"/>
      <c r="I857" s="219">
        <v>474756777571</v>
      </c>
      <c r="J857" s="219">
        <v>9956906711</v>
      </c>
    </row>
    <row r="858" spans="2:12" x14ac:dyDescent="0.25">
      <c r="B858" s="218">
        <v>43959</v>
      </c>
      <c r="C858" s="217">
        <v>2754</v>
      </c>
      <c r="D858" s="220" t="s">
        <v>868</v>
      </c>
      <c r="E858" s="220"/>
      <c r="F858" s="221"/>
      <c r="G858" s="148"/>
      <c r="I858" s="219">
        <v>748196753461</v>
      </c>
      <c r="J858" s="219">
        <v>6203093586</v>
      </c>
    </row>
    <row r="859" spans="2:12" x14ac:dyDescent="0.25">
      <c r="B859" s="218">
        <v>43959</v>
      </c>
      <c r="C859" s="217">
        <v>2755</v>
      </c>
      <c r="D859" s="220" t="s">
        <v>1296</v>
      </c>
      <c r="E859" s="220"/>
      <c r="F859" s="221"/>
      <c r="G859" s="148"/>
      <c r="I859" s="219">
        <v>582109377505</v>
      </c>
      <c r="J859" s="219">
        <v>9801051484</v>
      </c>
    </row>
    <row r="860" spans="2:12" x14ac:dyDescent="0.25">
      <c r="B860" s="218">
        <v>43959</v>
      </c>
      <c r="C860" s="217">
        <v>2756</v>
      </c>
      <c r="D860" s="220" t="s">
        <v>1297</v>
      </c>
      <c r="E860" s="220"/>
      <c r="F860" s="221"/>
      <c r="G860" s="148"/>
      <c r="I860" s="219">
        <v>679682169635</v>
      </c>
      <c r="J860" s="219">
        <v>7352610994</v>
      </c>
    </row>
    <row r="861" spans="2:12" x14ac:dyDescent="0.25">
      <c r="B861" s="218">
        <v>43959</v>
      </c>
      <c r="C861" s="217">
        <v>2757</v>
      </c>
      <c r="D861" s="220" t="s">
        <v>1298</v>
      </c>
      <c r="E861" s="220"/>
      <c r="F861" s="221"/>
      <c r="G861" s="148"/>
      <c r="I861" s="219">
        <v>640800131012</v>
      </c>
      <c r="J861" s="219">
        <v>9708566120</v>
      </c>
    </row>
    <row r="862" spans="2:12" x14ac:dyDescent="0.25">
      <c r="B862" s="218">
        <v>43959</v>
      </c>
      <c r="C862" s="217">
        <v>2760</v>
      </c>
      <c r="D862" s="220" t="s">
        <v>1143</v>
      </c>
      <c r="E862" s="220"/>
      <c r="F862" s="221"/>
      <c r="G862" s="148"/>
      <c r="I862" s="219">
        <v>628186755111</v>
      </c>
      <c r="J862" s="219">
        <v>8340320263</v>
      </c>
    </row>
    <row r="863" spans="2:12" x14ac:dyDescent="0.25">
      <c r="B863" s="218">
        <v>43959</v>
      </c>
      <c r="C863" s="217">
        <v>2763</v>
      </c>
      <c r="D863" s="220" t="s">
        <v>1299</v>
      </c>
      <c r="E863" s="220"/>
      <c r="F863" s="221"/>
      <c r="G863" s="148"/>
      <c r="I863" s="219">
        <v>489239007007</v>
      </c>
      <c r="J863" s="219">
        <v>8210698773</v>
      </c>
      <c r="K863" s="218">
        <v>44035</v>
      </c>
    </row>
    <row r="864" spans="2:12" x14ac:dyDescent="0.25">
      <c r="B864" s="218">
        <v>43959</v>
      </c>
      <c r="C864" s="217">
        <v>2765</v>
      </c>
      <c r="D864" s="220" t="s">
        <v>1300</v>
      </c>
      <c r="E864" s="220"/>
      <c r="F864" s="221"/>
      <c r="G864" s="148" t="s">
        <v>1665</v>
      </c>
      <c r="H864" s="214">
        <v>200</v>
      </c>
      <c r="I864" s="219">
        <v>233977269708</v>
      </c>
      <c r="J864" s="219">
        <v>8873507716</v>
      </c>
    </row>
    <row r="865" spans="2:10" x14ac:dyDescent="0.25">
      <c r="B865" s="218">
        <v>43959</v>
      </c>
      <c r="C865" s="217">
        <v>2767</v>
      </c>
      <c r="D865" s="220" t="s">
        <v>1301</v>
      </c>
      <c r="E865" s="220"/>
      <c r="F865" s="221"/>
      <c r="G865" s="148"/>
      <c r="I865" s="219">
        <v>729828568132</v>
      </c>
      <c r="J865" s="219">
        <v>7250096678</v>
      </c>
    </row>
    <row r="866" spans="2:10" x14ac:dyDescent="0.25">
      <c r="B866" s="218">
        <v>43959</v>
      </c>
      <c r="C866" s="217">
        <v>2768</v>
      </c>
      <c r="D866" s="220" t="s">
        <v>1302</v>
      </c>
      <c r="E866" s="220"/>
      <c r="F866" s="221"/>
      <c r="G866" s="148"/>
      <c r="I866" s="219">
        <v>555826621855</v>
      </c>
      <c r="J866" s="219">
        <v>8797949263</v>
      </c>
    </row>
    <row r="867" spans="2:10" x14ac:dyDescent="0.25">
      <c r="B867" s="218">
        <v>43959</v>
      </c>
      <c r="C867" s="217">
        <v>2770</v>
      </c>
      <c r="D867" s="220" t="s">
        <v>598</v>
      </c>
      <c r="E867" s="220"/>
      <c r="F867" s="221"/>
      <c r="G867" s="148" t="s">
        <v>1616</v>
      </c>
      <c r="I867" s="219">
        <v>683672388278</v>
      </c>
      <c r="J867" s="219">
        <v>9279203928</v>
      </c>
    </row>
    <row r="868" spans="2:10" x14ac:dyDescent="0.25">
      <c r="B868" s="218">
        <v>43959</v>
      </c>
      <c r="C868" s="217">
        <v>2772</v>
      </c>
      <c r="D868" s="220" t="s">
        <v>650</v>
      </c>
      <c r="E868" s="220"/>
      <c r="F868" s="221"/>
      <c r="G868" s="148"/>
      <c r="I868" s="219">
        <v>575146190372</v>
      </c>
      <c r="J868" s="219">
        <v>9262625825</v>
      </c>
    </row>
    <row r="869" spans="2:10" x14ac:dyDescent="0.25">
      <c r="B869" s="218">
        <v>43959</v>
      </c>
      <c r="C869" s="217">
        <v>2773</v>
      </c>
      <c r="D869" s="220" t="s">
        <v>1303</v>
      </c>
      <c r="E869" s="220"/>
      <c r="F869" s="221"/>
      <c r="G869" s="148"/>
      <c r="I869" s="219">
        <v>787223177616</v>
      </c>
      <c r="J869" s="219">
        <v>8092538722</v>
      </c>
    </row>
    <row r="870" spans="2:10" x14ac:dyDescent="0.25">
      <c r="B870" s="218">
        <v>43959</v>
      </c>
      <c r="C870" s="217">
        <v>2775</v>
      </c>
      <c r="D870" s="220" t="s">
        <v>1304</v>
      </c>
      <c r="E870" s="220"/>
      <c r="F870" s="221"/>
      <c r="G870" s="148"/>
      <c r="I870" s="219">
        <v>396881959965</v>
      </c>
      <c r="J870" s="219">
        <v>8092404853</v>
      </c>
    </row>
    <row r="871" spans="2:10" x14ac:dyDescent="0.25">
      <c r="B871" s="218">
        <v>43959</v>
      </c>
      <c r="C871" s="217">
        <v>2776</v>
      </c>
      <c r="D871" s="220" t="s">
        <v>1305</v>
      </c>
      <c r="E871" s="220"/>
      <c r="F871" s="221"/>
      <c r="G871" s="148" t="s">
        <v>1650</v>
      </c>
      <c r="H871" s="214">
        <v>100</v>
      </c>
      <c r="I871" s="219">
        <v>868033621071</v>
      </c>
      <c r="J871" s="219">
        <v>7033466043</v>
      </c>
    </row>
    <row r="872" spans="2:10" x14ac:dyDescent="0.25">
      <c r="B872" s="218">
        <v>43959</v>
      </c>
      <c r="C872" s="217">
        <v>2778</v>
      </c>
      <c r="D872" s="220" t="s">
        <v>1016</v>
      </c>
      <c r="E872" s="220"/>
      <c r="F872" s="221"/>
      <c r="G872" s="148"/>
      <c r="I872" s="219">
        <v>267832677804</v>
      </c>
      <c r="J872" s="219">
        <v>9631071394</v>
      </c>
    </row>
    <row r="873" spans="2:10" x14ac:dyDescent="0.25">
      <c r="B873" s="218">
        <v>43959</v>
      </c>
      <c r="C873" s="217">
        <v>2780</v>
      </c>
      <c r="D873" s="220" t="s">
        <v>1306</v>
      </c>
      <c r="E873" s="220"/>
      <c r="F873" s="221"/>
      <c r="G873" s="148"/>
      <c r="I873" s="219">
        <v>527643873479</v>
      </c>
      <c r="J873" s="219">
        <v>7633966589</v>
      </c>
    </row>
    <row r="874" spans="2:10" x14ac:dyDescent="0.25">
      <c r="B874" s="218">
        <v>43959</v>
      </c>
      <c r="C874" s="217">
        <v>2782</v>
      </c>
      <c r="D874" s="220" t="s">
        <v>1307</v>
      </c>
      <c r="E874" s="220"/>
      <c r="F874" s="221"/>
      <c r="G874" s="148"/>
      <c r="I874" s="219">
        <v>698391837964</v>
      </c>
      <c r="J874" s="219">
        <v>6200454254</v>
      </c>
    </row>
    <row r="875" spans="2:10" x14ac:dyDescent="0.25">
      <c r="B875" s="218">
        <v>43959</v>
      </c>
      <c r="C875" s="217">
        <v>2792</v>
      </c>
      <c r="D875" s="220" t="s">
        <v>1308</v>
      </c>
      <c r="E875" s="220"/>
      <c r="F875" s="221"/>
      <c r="G875" s="148"/>
      <c r="I875" s="219">
        <v>974788572834</v>
      </c>
      <c r="J875" s="219">
        <v>9334115203</v>
      </c>
    </row>
    <row r="876" spans="2:10" x14ac:dyDescent="0.25">
      <c r="B876" s="218">
        <v>43959</v>
      </c>
      <c r="C876" s="217">
        <v>2793</v>
      </c>
      <c r="D876" s="220" t="s">
        <v>1309</v>
      </c>
      <c r="E876" s="220"/>
      <c r="F876" s="221"/>
      <c r="G876" s="148"/>
      <c r="I876" s="219">
        <v>539083771272</v>
      </c>
      <c r="J876" s="219">
        <v>6202846114</v>
      </c>
    </row>
    <row r="877" spans="2:10" x14ac:dyDescent="0.25">
      <c r="B877" s="218">
        <v>43959</v>
      </c>
      <c r="C877" s="217">
        <v>2794</v>
      </c>
      <c r="D877" s="220" t="s">
        <v>1310</v>
      </c>
      <c r="E877" s="220"/>
      <c r="F877" s="221"/>
      <c r="G877" s="148"/>
      <c r="I877" s="219">
        <v>560560733843</v>
      </c>
      <c r="J877" s="219">
        <v>6299058324</v>
      </c>
    </row>
    <row r="878" spans="2:10" x14ac:dyDescent="0.25">
      <c r="B878" s="218">
        <v>43959</v>
      </c>
      <c r="C878" s="217">
        <v>2795</v>
      </c>
      <c r="D878" s="220" t="s">
        <v>1311</v>
      </c>
      <c r="E878" s="220"/>
      <c r="F878" s="221"/>
      <c r="G878" s="148"/>
      <c r="I878" s="219">
        <v>666249385866</v>
      </c>
      <c r="J878" s="219">
        <v>9661706305</v>
      </c>
    </row>
    <row r="879" spans="2:10" x14ac:dyDescent="0.25">
      <c r="B879" s="218">
        <v>43959</v>
      </c>
      <c r="C879" s="217">
        <v>2796</v>
      </c>
      <c r="D879" s="220" t="s">
        <v>1312</v>
      </c>
      <c r="E879" s="220"/>
      <c r="F879" s="221"/>
      <c r="G879" s="148"/>
      <c r="I879" s="219">
        <v>211492044480</v>
      </c>
      <c r="J879" s="219">
        <v>7070138865</v>
      </c>
    </row>
    <row r="880" spans="2:10" x14ac:dyDescent="0.25">
      <c r="B880" s="218">
        <v>43959</v>
      </c>
      <c r="C880" s="217">
        <v>2797</v>
      </c>
      <c r="D880" s="220" t="s">
        <v>1313</v>
      </c>
      <c r="E880" s="220"/>
      <c r="F880" s="221"/>
      <c r="G880" s="148"/>
      <c r="I880" s="219">
        <v>630543146925</v>
      </c>
      <c r="J880" s="219">
        <v>7903135972</v>
      </c>
    </row>
    <row r="881" spans="2:11" x14ac:dyDescent="0.25">
      <c r="B881" s="218">
        <v>43962</v>
      </c>
      <c r="C881" s="217">
        <v>2830</v>
      </c>
      <c r="D881" s="220" t="s">
        <v>1314</v>
      </c>
      <c r="E881" s="220"/>
      <c r="F881" s="221"/>
      <c r="G881" s="148"/>
      <c r="I881" s="219">
        <v>869966505820</v>
      </c>
      <c r="J881" s="219">
        <v>9204883268</v>
      </c>
    </row>
    <row r="882" spans="2:11" x14ac:dyDescent="0.25">
      <c r="B882" s="218">
        <v>43962</v>
      </c>
      <c r="C882" s="217">
        <v>2831</v>
      </c>
      <c r="D882" s="220" t="s">
        <v>1315</v>
      </c>
      <c r="E882" s="220"/>
      <c r="F882" s="221"/>
      <c r="G882" s="148"/>
      <c r="I882" s="219">
        <v>743633428246</v>
      </c>
      <c r="J882" s="219">
        <v>9110189760</v>
      </c>
    </row>
    <row r="883" spans="2:11" x14ac:dyDescent="0.25">
      <c r="B883" s="218">
        <v>43962</v>
      </c>
      <c r="C883" s="217">
        <v>2832</v>
      </c>
      <c r="D883" s="220" t="s">
        <v>1316</v>
      </c>
      <c r="E883" s="220"/>
      <c r="F883" s="221"/>
      <c r="G883" s="148"/>
      <c r="I883" s="219">
        <v>396699275597</v>
      </c>
      <c r="J883" s="219">
        <v>6207041262</v>
      </c>
    </row>
    <row r="884" spans="2:11" x14ac:dyDescent="0.25">
      <c r="B884" s="218">
        <v>43962</v>
      </c>
      <c r="C884" s="217">
        <v>2833</v>
      </c>
      <c r="D884" s="220" t="s">
        <v>1317</v>
      </c>
      <c r="E884" s="220"/>
      <c r="F884" s="221"/>
      <c r="G884" s="148"/>
      <c r="I884" s="219">
        <v>829665750592</v>
      </c>
      <c r="J884" s="219">
        <v>7070355656</v>
      </c>
    </row>
    <row r="885" spans="2:11" x14ac:dyDescent="0.25">
      <c r="B885" s="218">
        <v>43962</v>
      </c>
      <c r="C885" s="217">
        <v>2835</v>
      </c>
      <c r="D885" s="220" t="s">
        <v>1318</v>
      </c>
      <c r="E885" s="220"/>
      <c r="F885" s="221"/>
      <c r="G885" s="148"/>
      <c r="I885" s="219">
        <v>990608653180</v>
      </c>
      <c r="J885" s="219">
        <v>8409882391</v>
      </c>
    </row>
    <row r="886" spans="2:11" x14ac:dyDescent="0.25">
      <c r="B886" s="218">
        <v>43962</v>
      </c>
      <c r="C886" s="217">
        <v>2836</v>
      </c>
      <c r="D886" s="220" t="s">
        <v>1319</v>
      </c>
      <c r="E886" s="220"/>
      <c r="F886" s="221"/>
      <c r="G886" s="148"/>
      <c r="I886" s="219">
        <v>417436649641</v>
      </c>
      <c r="J886" s="219">
        <v>8877018768</v>
      </c>
    </row>
    <row r="887" spans="2:11" x14ac:dyDescent="0.25">
      <c r="B887" s="218">
        <v>43962</v>
      </c>
      <c r="C887" s="217">
        <v>2837</v>
      </c>
      <c r="D887" s="220" t="s">
        <v>1320</v>
      </c>
      <c r="E887" s="220"/>
      <c r="F887" s="221"/>
      <c r="G887" s="148"/>
      <c r="I887" s="219">
        <v>949036649641</v>
      </c>
      <c r="J887" s="219">
        <v>7209584860</v>
      </c>
    </row>
    <row r="888" spans="2:11" x14ac:dyDescent="0.25">
      <c r="B888" s="218">
        <v>43962</v>
      </c>
      <c r="C888" s="217">
        <v>2838</v>
      </c>
      <c r="D888" s="220" t="s">
        <v>1321</v>
      </c>
      <c r="E888" s="220"/>
      <c r="F888" s="221"/>
      <c r="G888" s="148"/>
      <c r="I888" s="219">
        <v>405741432512</v>
      </c>
      <c r="J888" s="219">
        <v>6209115851</v>
      </c>
    </row>
    <row r="889" spans="2:11" x14ac:dyDescent="0.25">
      <c r="B889" s="218">
        <v>43962</v>
      </c>
      <c r="C889" s="217">
        <v>2839</v>
      </c>
      <c r="D889" s="220" t="s">
        <v>1322</v>
      </c>
      <c r="E889" s="220"/>
      <c r="F889" s="221"/>
      <c r="G889" s="148"/>
      <c r="I889" s="219">
        <v>954808143267</v>
      </c>
      <c r="J889" s="219">
        <v>7739754592</v>
      </c>
    </row>
    <row r="890" spans="2:11" x14ac:dyDescent="0.25">
      <c r="B890" s="218">
        <v>43962</v>
      </c>
      <c r="C890" s="217">
        <v>2840</v>
      </c>
      <c r="D890" s="220" t="s">
        <v>1323</v>
      </c>
      <c r="E890" s="220"/>
      <c r="F890" s="221"/>
      <c r="G890" s="148"/>
      <c r="I890" s="219">
        <v>323706652914</v>
      </c>
      <c r="J890" s="219">
        <v>9113446958</v>
      </c>
    </row>
    <row r="891" spans="2:11" x14ac:dyDescent="0.25">
      <c r="B891" s="218">
        <v>43962</v>
      </c>
      <c r="C891" s="217">
        <v>2841</v>
      </c>
      <c r="D891" s="220" t="s">
        <v>1324</v>
      </c>
      <c r="E891" s="220"/>
      <c r="F891" s="221"/>
      <c r="G891" s="148"/>
      <c r="I891" s="219">
        <v>620286908136</v>
      </c>
      <c r="J891" s="219">
        <v>9334161404</v>
      </c>
      <c r="K891" s="218">
        <v>44035</v>
      </c>
    </row>
    <row r="892" spans="2:11" x14ac:dyDescent="0.25">
      <c r="B892" s="218">
        <v>43962</v>
      </c>
      <c r="C892" s="217">
        <v>2842</v>
      </c>
      <c r="D892" s="220" t="s">
        <v>1325</v>
      </c>
      <c r="E892" s="220"/>
      <c r="F892" s="221"/>
      <c r="G892" s="148"/>
      <c r="I892" s="219">
        <v>681941447480</v>
      </c>
      <c r="J892" s="219">
        <v>7209606429</v>
      </c>
    </row>
    <row r="893" spans="2:11" x14ac:dyDescent="0.25">
      <c r="B893" s="218">
        <v>43962</v>
      </c>
      <c r="C893" s="217">
        <v>2843</v>
      </c>
      <c r="D893" s="220" t="s">
        <v>1326</v>
      </c>
      <c r="E893" s="220"/>
      <c r="F893" s="221"/>
      <c r="G893" s="148"/>
      <c r="I893" s="219">
        <v>613521251272</v>
      </c>
      <c r="J893" s="219">
        <v>7381319636</v>
      </c>
      <c r="K893" s="218">
        <v>44035</v>
      </c>
    </row>
    <row r="894" spans="2:11" x14ac:dyDescent="0.25">
      <c r="B894" s="218">
        <v>43962</v>
      </c>
      <c r="C894" s="217">
        <v>2850</v>
      </c>
      <c r="D894" s="220" t="s">
        <v>43</v>
      </c>
      <c r="E894" s="220"/>
      <c r="F894" s="221"/>
      <c r="G894" s="148"/>
      <c r="I894" s="219">
        <v>373214505115</v>
      </c>
      <c r="J894" s="219">
        <v>9006213700</v>
      </c>
    </row>
    <row r="895" spans="2:11" x14ac:dyDescent="0.25">
      <c r="B895" s="218">
        <v>43962</v>
      </c>
      <c r="C895" s="217">
        <v>2851</v>
      </c>
      <c r="D895" s="220" t="s">
        <v>1327</v>
      </c>
      <c r="E895" s="220"/>
      <c r="F895" s="221"/>
      <c r="G895" s="148"/>
      <c r="I895" s="219">
        <v>880199075041</v>
      </c>
      <c r="J895" s="219">
        <v>7261033890</v>
      </c>
    </row>
    <row r="896" spans="2:11" x14ac:dyDescent="0.25">
      <c r="B896" s="218">
        <v>43962</v>
      </c>
      <c r="C896" s="217">
        <v>2865</v>
      </c>
      <c r="D896" s="220" t="s">
        <v>1328</v>
      </c>
      <c r="E896" s="220"/>
      <c r="F896" s="221"/>
      <c r="G896" s="148"/>
      <c r="I896" s="219">
        <v>432046323385</v>
      </c>
      <c r="J896" s="219">
        <v>9122353992</v>
      </c>
    </row>
    <row r="897" spans="2:11" x14ac:dyDescent="0.25">
      <c r="B897" s="218">
        <v>43962</v>
      </c>
      <c r="C897" s="217">
        <v>2866</v>
      </c>
      <c r="D897" s="220" t="s">
        <v>1329</v>
      </c>
      <c r="E897" s="220"/>
      <c r="F897" s="221"/>
      <c r="G897" s="148"/>
      <c r="I897" s="219">
        <v>650740132072</v>
      </c>
      <c r="J897" s="219">
        <v>9955616123</v>
      </c>
    </row>
    <row r="898" spans="2:11" x14ac:dyDescent="0.25">
      <c r="B898" s="218">
        <v>43962</v>
      </c>
      <c r="C898" s="217">
        <v>2869</v>
      </c>
      <c r="D898" s="220" t="s">
        <v>1330</v>
      </c>
      <c r="E898" s="220"/>
      <c r="F898" s="221"/>
      <c r="G898" s="148"/>
      <c r="I898" s="219">
        <v>693498139746</v>
      </c>
      <c r="J898" s="219">
        <v>9843444590</v>
      </c>
    </row>
    <row r="899" spans="2:11" x14ac:dyDescent="0.25">
      <c r="B899" s="218">
        <v>43962</v>
      </c>
      <c r="C899" s="217">
        <v>2870</v>
      </c>
      <c r="D899" s="220" t="s">
        <v>1331</v>
      </c>
      <c r="E899" s="220"/>
      <c r="F899" s="221"/>
      <c r="G899" s="148"/>
      <c r="I899" s="219">
        <v>209929564365</v>
      </c>
      <c r="J899" s="219">
        <v>7203442923</v>
      </c>
    </row>
    <row r="900" spans="2:11" x14ac:dyDescent="0.25">
      <c r="B900" s="218">
        <v>43962</v>
      </c>
      <c r="C900" s="217">
        <v>2872</v>
      </c>
      <c r="D900" s="220" t="s">
        <v>1014</v>
      </c>
      <c r="E900" s="220"/>
      <c r="F900" s="221"/>
      <c r="G900" s="148"/>
      <c r="I900" s="219">
        <v>975415098364</v>
      </c>
      <c r="J900" s="219">
        <v>6207935551</v>
      </c>
      <c r="K900" s="218">
        <v>44035</v>
      </c>
    </row>
    <row r="901" spans="2:11" x14ac:dyDescent="0.25">
      <c r="B901" s="218">
        <v>43962</v>
      </c>
      <c r="C901" s="217">
        <v>2875</v>
      </c>
      <c r="D901" s="220" t="s">
        <v>1332</v>
      </c>
      <c r="E901" s="220"/>
      <c r="F901" s="221"/>
      <c r="G901" s="148"/>
      <c r="I901" s="219">
        <v>777572612950</v>
      </c>
      <c r="J901" s="219">
        <v>9939802031</v>
      </c>
    </row>
    <row r="902" spans="2:11" x14ac:dyDescent="0.25">
      <c r="B902" s="218">
        <v>43962</v>
      </c>
      <c r="C902" s="217">
        <v>2876</v>
      </c>
      <c r="D902" s="220" t="s">
        <v>1333</v>
      </c>
      <c r="E902" s="220"/>
      <c r="F902" s="221"/>
      <c r="G902" s="148"/>
      <c r="I902" s="219">
        <v>264486339688</v>
      </c>
      <c r="J902" s="219">
        <v>9608346078</v>
      </c>
    </row>
    <row r="903" spans="2:11" x14ac:dyDescent="0.25">
      <c r="B903" s="218">
        <v>43962</v>
      </c>
      <c r="C903" s="217">
        <v>2879</v>
      </c>
      <c r="D903" s="220" t="s">
        <v>1334</v>
      </c>
      <c r="E903" s="220"/>
      <c r="F903" s="221"/>
      <c r="G903" s="148"/>
      <c r="I903" s="219">
        <v>213820390470</v>
      </c>
      <c r="J903" s="219">
        <v>9709108509</v>
      </c>
    </row>
    <row r="904" spans="2:11" x14ac:dyDescent="0.25">
      <c r="B904" s="218">
        <v>43962</v>
      </c>
      <c r="C904" s="217">
        <v>2881</v>
      </c>
      <c r="D904" s="220" t="s">
        <v>1335</v>
      </c>
      <c r="E904" s="220"/>
      <c r="F904" s="221"/>
      <c r="G904" s="148"/>
      <c r="I904" s="219">
        <v>607140785828</v>
      </c>
      <c r="J904" s="219">
        <v>9740192957</v>
      </c>
    </row>
    <row r="905" spans="2:11" x14ac:dyDescent="0.25">
      <c r="B905" s="218">
        <v>43962</v>
      </c>
      <c r="C905" s="217">
        <v>2883</v>
      </c>
      <c r="D905" s="220" t="s">
        <v>1336</v>
      </c>
      <c r="E905" s="220"/>
      <c r="F905" s="221"/>
      <c r="G905" s="148"/>
      <c r="I905" s="219">
        <v>293111890027</v>
      </c>
      <c r="J905" s="219">
        <v>9572074908</v>
      </c>
    </row>
    <row r="906" spans="2:11" x14ac:dyDescent="0.25">
      <c r="B906" s="218">
        <v>43962</v>
      </c>
      <c r="C906" s="217">
        <v>2886</v>
      </c>
      <c r="D906" s="220" t="s">
        <v>1337</v>
      </c>
      <c r="E906" s="220"/>
      <c r="F906" s="221"/>
      <c r="G906" s="148"/>
      <c r="I906" s="219">
        <v>394062536119</v>
      </c>
      <c r="J906" s="219">
        <v>9905528183</v>
      </c>
    </row>
    <row r="907" spans="2:11" x14ac:dyDescent="0.25">
      <c r="B907" s="218">
        <v>43962</v>
      </c>
      <c r="C907" s="217">
        <v>2887</v>
      </c>
      <c r="D907" s="220" t="s">
        <v>1338</v>
      </c>
      <c r="E907" s="220"/>
      <c r="F907" s="221"/>
      <c r="G907" s="148"/>
      <c r="I907" s="219">
        <v>591756676901</v>
      </c>
      <c r="J907" s="219">
        <v>9798050370</v>
      </c>
    </row>
    <row r="908" spans="2:11" x14ac:dyDescent="0.25">
      <c r="B908" s="218">
        <v>43962</v>
      </c>
      <c r="C908" s="217">
        <v>2888</v>
      </c>
      <c r="D908" s="226" t="s">
        <v>1339</v>
      </c>
      <c r="E908" s="226"/>
      <c r="F908" s="227"/>
      <c r="G908" s="148"/>
      <c r="I908" s="219">
        <v>690679475676</v>
      </c>
      <c r="J908" s="219">
        <v>9204258417</v>
      </c>
    </row>
    <row r="909" spans="2:11" x14ac:dyDescent="0.25">
      <c r="B909" s="218">
        <v>43962</v>
      </c>
      <c r="C909" s="217">
        <v>2891</v>
      </c>
      <c r="D909" s="220" t="s">
        <v>1340</v>
      </c>
      <c r="E909" s="220"/>
      <c r="F909" s="221"/>
      <c r="G909" s="148"/>
      <c r="I909" s="219">
        <v>271943693549</v>
      </c>
      <c r="J909" s="219">
        <v>7634095921</v>
      </c>
    </row>
    <row r="910" spans="2:11" x14ac:dyDescent="0.25">
      <c r="B910" s="218">
        <v>43962</v>
      </c>
      <c r="C910" s="217">
        <v>2893</v>
      </c>
      <c r="D910" s="220" t="s">
        <v>1341</v>
      </c>
      <c r="E910" s="220"/>
      <c r="F910" s="221"/>
      <c r="G910" s="148"/>
      <c r="I910" s="219">
        <v>725209970696</v>
      </c>
      <c r="J910" s="219">
        <v>9031359851</v>
      </c>
    </row>
    <row r="911" spans="2:11" x14ac:dyDescent="0.25">
      <c r="B911" s="218">
        <v>43962</v>
      </c>
      <c r="C911" s="217">
        <v>2895</v>
      </c>
      <c r="D911" s="220" t="s">
        <v>1342</v>
      </c>
      <c r="E911" s="220"/>
      <c r="F911" s="221"/>
      <c r="G911" s="148"/>
      <c r="I911" s="219">
        <v>880743363995</v>
      </c>
      <c r="J911" s="219">
        <v>9113149540</v>
      </c>
    </row>
    <row r="912" spans="2:11" x14ac:dyDescent="0.25">
      <c r="B912" s="218">
        <v>43962</v>
      </c>
      <c r="C912" s="217">
        <v>2898</v>
      </c>
      <c r="D912" s="220" t="s">
        <v>1343</v>
      </c>
      <c r="E912" s="220"/>
      <c r="F912" s="221"/>
      <c r="G912" s="148"/>
      <c r="I912" s="219">
        <v>399679655060</v>
      </c>
      <c r="J912" s="219">
        <v>7634977694</v>
      </c>
    </row>
    <row r="913" spans="2:14" x14ac:dyDescent="0.25">
      <c r="B913" s="218">
        <v>43962</v>
      </c>
      <c r="C913" s="217">
        <v>2900</v>
      </c>
      <c r="D913" s="220" t="s">
        <v>1344</v>
      </c>
      <c r="E913" s="220"/>
      <c r="F913" s="221"/>
      <c r="G913" s="148" t="s">
        <v>1777</v>
      </c>
      <c r="H913" s="214">
        <v>200</v>
      </c>
      <c r="I913" s="219">
        <v>676857038851</v>
      </c>
      <c r="J913" s="219">
        <v>8603286708</v>
      </c>
      <c r="L913" s="218">
        <v>44015</v>
      </c>
    </row>
    <row r="914" spans="2:14" x14ac:dyDescent="0.25">
      <c r="B914" s="218">
        <v>43962</v>
      </c>
      <c r="C914" s="217">
        <v>2901</v>
      </c>
      <c r="D914" s="220" t="s">
        <v>1345</v>
      </c>
      <c r="E914" s="220"/>
      <c r="F914" s="221"/>
      <c r="G914" s="148"/>
      <c r="I914" s="219">
        <v>650323922451</v>
      </c>
      <c r="J914" s="219">
        <v>7903902278</v>
      </c>
    </row>
    <row r="915" spans="2:14" x14ac:dyDescent="0.25">
      <c r="B915" s="218">
        <v>43962</v>
      </c>
      <c r="C915" s="217">
        <v>2902</v>
      </c>
      <c r="D915" s="220" t="s">
        <v>1346</v>
      </c>
      <c r="E915" s="220"/>
      <c r="F915" s="221"/>
      <c r="G915" s="148"/>
      <c r="I915" s="219">
        <v>586003324535</v>
      </c>
      <c r="J915" s="219">
        <v>7209767022</v>
      </c>
    </row>
    <row r="916" spans="2:14" x14ac:dyDescent="0.25">
      <c r="B916" s="218">
        <v>43962</v>
      </c>
      <c r="C916" s="217">
        <v>2904</v>
      </c>
      <c r="D916" s="220" t="s">
        <v>1347</v>
      </c>
      <c r="E916" s="220"/>
      <c r="F916" s="221"/>
      <c r="G916" s="148"/>
      <c r="I916" s="219">
        <v>518416600982</v>
      </c>
      <c r="J916" s="219">
        <v>9234972720</v>
      </c>
    </row>
    <row r="917" spans="2:14" x14ac:dyDescent="0.25">
      <c r="B917" s="218">
        <v>43962</v>
      </c>
      <c r="C917" s="217">
        <v>2905</v>
      </c>
      <c r="D917" s="220" t="s">
        <v>1348</v>
      </c>
      <c r="E917" s="220"/>
      <c r="F917" s="221"/>
      <c r="G917" s="148"/>
      <c r="I917" s="219">
        <v>620554949710</v>
      </c>
      <c r="J917" s="219">
        <v>7260867766</v>
      </c>
    </row>
    <row r="918" spans="2:14" x14ac:dyDescent="0.25">
      <c r="B918" s="218">
        <v>43962</v>
      </c>
      <c r="C918" s="217">
        <v>2906</v>
      </c>
      <c r="D918" s="220" t="s">
        <v>1349</v>
      </c>
      <c r="E918" s="220"/>
      <c r="F918" s="221"/>
      <c r="G918" s="148"/>
      <c r="I918" s="219">
        <v>582681577661</v>
      </c>
      <c r="J918" s="219">
        <v>9931547403</v>
      </c>
    </row>
    <row r="919" spans="2:14" x14ac:dyDescent="0.25">
      <c r="B919" s="218">
        <v>43962</v>
      </c>
      <c r="C919" s="217">
        <v>2908</v>
      </c>
      <c r="D919" s="220" t="s">
        <v>1350</v>
      </c>
      <c r="E919" s="220"/>
      <c r="F919" s="221"/>
      <c r="G919" s="148"/>
      <c r="I919" s="219">
        <v>341527365168</v>
      </c>
      <c r="J919" s="219">
        <v>9709209838</v>
      </c>
    </row>
    <row r="920" spans="2:14" x14ac:dyDescent="0.25">
      <c r="B920" s="218">
        <v>43962</v>
      </c>
      <c r="C920" s="217">
        <v>2910</v>
      </c>
      <c r="D920" s="220" t="s">
        <v>1351</v>
      </c>
      <c r="E920" s="220"/>
      <c r="F920" s="221"/>
      <c r="G920" s="148"/>
      <c r="I920" s="219">
        <v>556595935074</v>
      </c>
      <c r="J920" s="219">
        <v>7530922721</v>
      </c>
    </row>
    <row r="921" spans="2:14" x14ac:dyDescent="0.25">
      <c r="B921" s="218">
        <v>43962</v>
      </c>
      <c r="C921" s="217">
        <v>2912</v>
      </c>
      <c r="D921" s="220" t="s">
        <v>1352</v>
      </c>
      <c r="E921" s="220"/>
      <c r="F921" s="221"/>
      <c r="G921" s="148" t="s">
        <v>2166</v>
      </c>
      <c r="H921" s="214">
        <v>100</v>
      </c>
      <c r="I921" s="219">
        <v>963470100899</v>
      </c>
      <c r="J921" s="219">
        <v>6201722091</v>
      </c>
      <c r="N921" s="214" t="s">
        <v>66</v>
      </c>
    </row>
    <row r="922" spans="2:14" x14ac:dyDescent="0.25">
      <c r="B922" s="218">
        <v>43962</v>
      </c>
      <c r="C922" s="217">
        <v>2915</v>
      </c>
      <c r="D922" s="220" t="s">
        <v>1353</v>
      </c>
      <c r="E922" s="220"/>
      <c r="F922" s="221"/>
      <c r="G922" s="148"/>
      <c r="I922" s="219">
        <v>255255773738</v>
      </c>
      <c r="J922" s="219">
        <v>9263991174</v>
      </c>
    </row>
    <row r="923" spans="2:14" x14ac:dyDescent="0.25">
      <c r="B923" s="218">
        <v>43962</v>
      </c>
      <c r="C923" s="217">
        <v>2918</v>
      </c>
      <c r="D923" s="220" t="s">
        <v>1354</v>
      </c>
      <c r="E923" s="220"/>
      <c r="F923" s="221"/>
      <c r="G923" s="148"/>
      <c r="I923" s="219">
        <v>541350623738</v>
      </c>
      <c r="J923" s="219">
        <v>7488235480</v>
      </c>
    </row>
    <row r="924" spans="2:14" x14ac:dyDescent="0.25">
      <c r="B924" s="218">
        <v>43962</v>
      </c>
      <c r="C924" s="217">
        <v>2922</v>
      </c>
      <c r="D924" s="220" t="s">
        <v>1355</v>
      </c>
      <c r="E924" s="220"/>
      <c r="F924" s="221"/>
      <c r="G924" s="148"/>
      <c r="I924" s="219">
        <v>606061753838</v>
      </c>
      <c r="J924" s="219">
        <v>9031350304</v>
      </c>
    </row>
    <row r="925" spans="2:14" x14ac:dyDescent="0.25">
      <c r="B925" s="218">
        <v>43962</v>
      </c>
      <c r="C925" s="217">
        <v>2924</v>
      </c>
      <c r="D925" s="220" t="s">
        <v>1356</v>
      </c>
      <c r="E925" s="220"/>
      <c r="F925" s="221"/>
      <c r="G925" s="148"/>
      <c r="I925" s="219">
        <v>733011673425</v>
      </c>
      <c r="J925" s="219">
        <v>9709254072</v>
      </c>
    </row>
    <row r="926" spans="2:14" x14ac:dyDescent="0.25">
      <c r="B926" s="218">
        <v>43962</v>
      </c>
      <c r="C926" s="217">
        <v>2926</v>
      </c>
      <c r="D926" s="220" t="s">
        <v>1357</v>
      </c>
      <c r="E926" s="220"/>
      <c r="F926" s="221"/>
      <c r="G926" s="148"/>
      <c r="I926" s="219">
        <v>473119001904</v>
      </c>
      <c r="J926" s="219">
        <v>9693876005</v>
      </c>
    </row>
    <row r="927" spans="2:14" x14ac:dyDescent="0.25">
      <c r="B927" s="218">
        <v>43962</v>
      </c>
      <c r="C927" s="217">
        <v>2929</v>
      </c>
      <c r="D927" s="226" t="s">
        <v>1358</v>
      </c>
      <c r="E927" s="226"/>
      <c r="F927" s="227"/>
      <c r="G927" s="148"/>
      <c r="I927" s="219">
        <v>331687384258</v>
      </c>
      <c r="J927" s="219">
        <v>8271860027</v>
      </c>
    </row>
    <row r="928" spans="2:14" x14ac:dyDescent="0.25">
      <c r="B928" s="218">
        <v>43962</v>
      </c>
      <c r="C928" s="217">
        <v>2931</v>
      </c>
      <c r="D928" s="220" t="s">
        <v>1359</v>
      </c>
      <c r="E928" s="220"/>
      <c r="F928" s="221"/>
      <c r="G928" s="148"/>
      <c r="I928" s="219">
        <v>876644787958</v>
      </c>
      <c r="J928" s="219">
        <v>8797465752</v>
      </c>
    </row>
    <row r="929" spans="2:13" x14ac:dyDescent="0.25">
      <c r="B929" s="218">
        <v>43962</v>
      </c>
      <c r="C929" s="217">
        <v>2932</v>
      </c>
      <c r="D929" s="220" t="s">
        <v>1360</v>
      </c>
      <c r="E929" s="220"/>
      <c r="F929" s="221"/>
      <c r="G929" s="148"/>
      <c r="I929" s="219">
        <v>727183716298</v>
      </c>
      <c r="J929" s="219">
        <v>9801201470</v>
      </c>
    </row>
    <row r="930" spans="2:13" x14ac:dyDescent="0.25">
      <c r="B930" s="218">
        <v>43962</v>
      </c>
      <c r="C930" s="217">
        <v>2933</v>
      </c>
      <c r="D930" s="220" t="s">
        <v>1361</v>
      </c>
      <c r="E930" s="220"/>
      <c r="F930" s="221"/>
      <c r="G930" s="148"/>
      <c r="I930" s="219">
        <v>612096322598</v>
      </c>
      <c r="J930" s="219">
        <v>9304075445</v>
      </c>
    </row>
    <row r="931" spans="2:13" x14ac:dyDescent="0.25">
      <c r="B931" s="218">
        <v>43962</v>
      </c>
      <c r="C931" s="217">
        <v>2934</v>
      </c>
      <c r="D931" s="220" t="s">
        <v>1362</v>
      </c>
      <c r="E931" s="220"/>
      <c r="F931" s="221"/>
      <c r="G931" s="148"/>
      <c r="I931" s="219">
        <v>695663361036</v>
      </c>
      <c r="J931" s="219">
        <v>6209186753</v>
      </c>
    </row>
    <row r="932" spans="2:13" x14ac:dyDescent="0.25">
      <c r="B932" s="218">
        <v>43962</v>
      </c>
      <c r="C932" s="217">
        <v>2936</v>
      </c>
      <c r="D932" s="226" t="s">
        <v>1363</v>
      </c>
      <c r="E932" s="226"/>
      <c r="F932" s="227"/>
      <c r="G932" s="148"/>
      <c r="I932" s="219">
        <v>335711317838</v>
      </c>
      <c r="J932" s="219">
        <v>8936021639</v>
      </c>
    </row>
    <row r="933" spans="2:13" x14ac:dyDescent="0.25">
      <c r="B933" s="218">
        <v>43962</v>
      </c>
      <c r="C933" s="217">
        <v>2938</v>
      </c>
      <c r="D933" s="220" t="s">
        <v>1364</v>
      </c>
      <c r="E933" s="220"/>
      <c r="F933" s="221"/>
      <c r="G933" s="148"/>
      <c r="I933" s="219">
        <v>383734544006</v>
      </c>
      <c r="J933" s="219">
        <v>9939164882</v>
      </c>
    </row>
    <row r="934" spans="2:13" x14ac:dyDescent="0.25">
      <c r="B934" s="218">
        <v>43962</v>
      </c>
      <c r="C934" s="217">
        <v>2940</v>
      </c>
      <c r="D934" s="220" t="s">
        <v>1365</v>
      </c>
      <c r="E934" s="220"/>
      <c r="F934" s="221"/>
      <c r="G934" s="148"/>
      <c r="I934" s="219">
        <v>994099635115</v>
      </c>
      <c r="J934" s="219">
        <v>6206792036</v>
      </c>
    </row>
    <row r="935" spans="2:13" x14ac:dyDescent="0.25">
      <c r="B935" s="218">
        <v>43963</v>
      </c>
      <c r="C935" s="217">
        <v>2944</v>
      </c>
      <c r="D935" s="220" t="s">
        <v>1366</v>
      </c>
      <c r="E935" s="220"/>
      <c r="F935" s="221"/>
      <c r="G935" s="148"/>
      <c r="I935" s="219">
        <v>949331541373</v>
      </c>
      <c r="J935" s="219">
        <v>6207429711</v>
      </c>
    </row>
    <row r="936" spans="2:13" x14ac:dyDescent="0.25">
      <c r="B936" s="218">
        <v>43963</v>
      </c>
      <c r="C936" s="217">
        <v>2945</v>
      </c>
      <c r="D936" s="220" t="s">
        <v>1367</v>
      </c>
      <c r="E936" s="220"/>
      <c r="F936" s="221"/>
      <c r="G936" s="148" t="s">
        <v>1802</v>
      </c>
      <c r="I936" s="219">
        <v>277482677551</v>
      </c>
      <c r="J936" s="219">
        <v>8521185929</v>
      </c>
      <c r="K936" s="218">
        <v>44019</v>
      </c>
      <c r="L936" s="218">
        <v>44019</v>
      </c>
      <c r="M936" s="218">
        <v>44019</v>
      </c>
    </row>
    <row r="937" spans="2:13" x14ac:dyDescent="0.25">
      <c r="B937" s="218">
        <v>43963</v>
      </c>
      <c r="C937" s="217">
        <v>2946</v>
      </c>
      <c r="D937" s="220" t="s">
        <v>1368</v>
      </c>
      <c r="E937" s="220"/>
      <c r="F937" s="221"/>
      <c r="G937" s="148"/>
      <c r="I937" s="219">
        <v>390763823973</v>
      </c>
      <c r="J937" s="219">
        <v>8051918877</v>
      </c>
      <c r="K937" s="214" t="s">
        <v>293</v>
      </c>
    </row>
    <row r="938" spans="2:13" x14ac:dyDescent="0.25">
      <c r="B938" s="218">
        <v>43963</v>
      </c>
      <c r="C938" s="217">
        <v>2947</v>
      </c>
      <c r="D938" s="220" t="s">
        <v>1369</v>
      </c>
      <c r="E938" s="220"/>
      <c r="F938" s="221"/>
      <c r="G938" s="148"/>
      <c r="I938" s="219">
        <v>774012107631</v>
      </c>
      <c r="J938" s="219">
        <v>9570056424</v>
      </c>
      <c r="K938" s="214" t="s">
        <v>293</v>
      </c>
    </row>
    <row r="939" spans="2:13" x14ac:dyDescent="0.25">
      <c r="B939" s="218">
        <v>43963</v>
      </c>
      <c r="C939" s="217">
        <v>2948</v>
      </c>
      <c r="D939" s="220" t="s">
        <v>1370</v>
      </c>
      <c r="E939" s="220"/>
      <c r="F939" s="221"/>
      <c r="G939" s="148"/>
      <c r="I939" s="219">
        <v>433772579582</v>
      </c>
      <c r="J939" s="219">
        <v>8210190928</v>
      </c>
    </row>
    <row r="940" spans="2:13" x14ac:dyDescent="0.25">
      <c r="B940" s="218">
        <v>43963</v>
      </c>
      <c r="C940" s="217">
        <v>2950</v>
      </c>
      <c r="D940" s="220" t="s">
        <v>1371</v>
      </c>
      <c r="E940" s="220"/>
      <c r="F940" s="221"/>
      <c r="G940" s="148"/>
      <c r="I940" s="219">
        <v>947712573686</v>
      </c>
      <c r="J940" s="219">
        <v>9162997465</v>
      </c>
    </row>
    <row r="941" spans="2:13" x14ac:dyDescent="0.25">
      <c r="B941" s="218">
        <v>43963</v>
      </c>
      <c r="C941" s="217">
        <v>2951</v>
      </c>
      <c r="D941" s="220" t="s">
        <v>1372</v>
      </c>
      <c r="E941" s="220"/>
      <c r="F941" s="221"/>
      <c r="G941" s="148"/>
      <c r="I941" s="219">
        <v>579905069050</v>
      </c>
      <c r="J941" s="219">
        <v>7209899790</v>
      </c>
    </row>
    <row r="942" spans="2:13" x14ac:dyDescent="0.25">
      <c r="B942" s="218">
        <v>43963</v>
      </c>
      <c r="C942" s="217">
        <v>2953</v>
      </c>
      <c r="D942" s="220" t="s">
        <v>1373</v>
      </c>
      <c r="E942" s="220"/>
      <c r="F942" s="221"/>
      <c r="G942" s="148"/>
      <c r="I942" s="219">
        <v>585358620643</v>
      </c>
      <c r="J942" s="219">
        <v>8210167037</v>
      </c>
      <c r="K942" s="214" t="s">
        <v>293</v>
      </c>
    </row>
    <row r="943" spans="2:13" x14ac:dyDescent="0.25">
      <c r="B943" s="218">
        <v>43963</v>
      </c>
      <c r="C943" s="217">
        <v>2955</v>
      </c>
      <c r="D943" s="220" t="s">
        <v>1374</v>
      </c>
      <c r="E943" s="220"/>
      <c r="F943" s="221"/>
      <c r="G943" s="148"/>
      <c r="I943" s="219">
        <v>580455862767</v>
      </c>
      <c r="J943" s="219">
        <v>7463099523</v>
      </c>
    </row>
    <row r="944" spans="2:13" x14ac:dyDescent="0.25">
      <c r="B944" s="218">
        <v>43963</v>
      </c>
      <c r="C944" s="217">
        <v>2957</v>
      </c>
      <c r="D944" s="220" t="s">
        <v>1375</v>
      </c>
      <c r="E944" s="220"/>
      <c r="F944" s="221"/>
      <c r="G944" s="148"/>
      <c r="I944" s="219">
        <v>990736768365</v>
      </c>
      <c r="J944" s="219">
        <v>7488591935</v>
      </c>
    </row>
    <row r="945" spans="2:10" x14ac:dyDescent="0.25">
      <c r="B945" s="218">
        <v>43963</v>
      </c>
      <c r="C945" s="217">
        <v>2958</v>
      </c>
      <c r="D945" s="220" t="s">
        <v>1376</v>
      </c>
      <c r="E945" s="220"/>
      <c r="F945" s="221"/>
      <c r="G945" s="148"/>
      <c r="I945" s="219">
        <v>659312654046</v>
      </c>
      <c r="J945" s="219">
        <v>8789815825</v>
      </c>
    </row>
    <row r="946" spans="2:10" x14ac:dyDescent="0.25">
      <c r="B946" s="218">
        <v>43963</v>
      </c>
      <c r="C946" s="217">
        <v>2959</v>
      </c>
      <c r="D946" s="220" t="s">
        <v>1377</v>
      </c>
      <c r="E946" s="220"/>
      <c r="F946" s="221"/>
      <c r="G946" s="148"/>
      <c r="I946" s="219">
        <v>446280317047</v>
      </c>
      <c r="J946" s="219">
        <v>9472755464</v>
      </c>
    </row>
    <row r="947" spans="2:10" x14ac:dyDescent="0.25">
      <c r="B947" s="218">
        <v>43963</v>
      </c>
      <c r="C947" s="217">
        <v>2961</v>
      </c>
      <c r="D947" s="220" t="s">
        <v>1378</v>
      </c>
      <c r="E947" s="220"/>
      <c r="F947" s="221"/>
      <c r="G947" s="148"/>
      <c r="I947" s="219">
        <v>361810069178</v>
      </c>
      <c r="J947" s="219">
        <v>6201735633</v>
      </c>
    </row>
    <row r="948" spans="2:10" x14ac:dyDescent="0.25">
      <c r="B948" s="218">
        <v>43963</v>
      </c>
      <c r="C948" s="217">
        <v>2962</v>
      </c>
      <c r="D948" s="220" t="s">
        <v>1379</v>
      </c>
      <c r="E948" s="220"/>
      <c r="F948" s="221"/>
      <c r="G948" s="148"/>
      <c r="I948" s="219">
        <v>511533289934</v>
      </c>
      <c r="J948" s="219">
        <v>9204264708</v>
      </c>
    </row>
    <row r="949" spans="2:10" x14ac:dyDescent="0.25">
      <c r="B949" s="218">
        <v>43963</v>
      </c>
      <c r="C949" s="217">
        <v>2963</v>
      </c>
      <c r="D949" s="220" t="s">
        <v>1380</v>
      </c>
      <c r="E949" s="220"/>
      <c r="F949" s="221"/>
      <c r="G949" s="148"/>
      <c r="I949" s="219">
        <v>416583061796</v>
      </c>
      <c r="J949" s="219">
        <v>9031133496</v>
      </c>
    </row>
    <row r="950" spans="2:10" x14ac:dyDescent="0.25">
      <c r="B950" s="218">
        <v>43963</v>
      </c>
      <c r="C950" s="217">
        <v>2966</v>
      </c>
      <c r="D950" s="220" t="s">
        <v>1381</v>
      </c>
      <c r="E950" s="220"/>
      <c r="F950" s="221"/>
      <c r="G950" s="148"/>
      <c r="I950" s="219">
        <v>353359651643</v>
      </c>
      <c r="J950" s="219">
        <v>8674821484</v>
      </c>
    </row>
    <row r="951" spans="2:10" x14ac:dyDescent="0.25">
      <c r="B951" s="218">
        <v>43963</v>
      </c>
      <c r="C951" s="217">
        <v>2967</v>
      </c>
      <c r="D951" s="220" t="s">
        <v>1382</v>
      </c>
      <c r="E951" s="220"/>
      <c r="F951" s="221"/>
      <c r="G951" s="148"/>
      <c r="I951" s="219">
        <v>714960717731</v>
      </c>
      <c r="J951" s="219">
        <v>7061636868</v>
      </c>
    </row>
    <row r="952" spans="2:10" x14ac:dyDescent="0.25">
      <c r="B952" s="218">
        <v>43963</v>
      </c>
      <c r="C952" s="217">
        <v>2969</v>
      </c>
      <c r="D952" s="220" t="s">
        <v>1383</v>
      </c>
      <c r="E952" s="220"/>
      <c r="F952" s="221"/>
      <c r="G952" s="148"/>
      <c r="I952" s="219">
        <v>287912220403</v>
      </c>
      <c r="J952" s="219">
        <v>6201345936</v>
      </c>
    </row>
    <row r="953" spans="2:10" x14ac:dyDescent="0.25">
      <c r="B953" s="218">
        <v>43963</v>
      </c>
      <c r="C953" s="217">
        <v>2970</v>
      </c>
      <c r="D953" s="220" t="s">
        <v>1384</v>
      </c>
      <c r="E953" s="220"/>
      <c r="F953" s="221"/>
      <c r="G953" s="148"/>
      <c r="I953" s="219">
        <v>483644924978</v>
      </c>
      <c r="J953" s="219">
        <v>9471515506</v>
      </c>
    </row>
    <row r="954" spans="2:10" x14ac:dyDescent="0.25">
      <c r="B954" s="218">
        <v>43963</v>
      </c>
      <c r="C954" s="217">
        <v>2972</v>
      </c>
      <c r="D954" s="220" t="s">
        <v>1385</v>
      </c>
      <c r="E954" s="220"/>
      <c r="F954" s="221"/>
      <c r="G954" s="148"/>
      <c r="I954" s="219">
        <v>942640785687</v>
      </c>
      <c r="J954" s="219">
        <v>7488673506</v>
      </c>
    </row>
    <row r="955" spans="2:10" x14ac:dyDescent="0.25">
      <c r="B955" s="218">
        <v>43963</v>
      </c>
      <c r="C955" s="217">
        <v>2974</v>
      </c>
      <c r="D955" s="220" t="s">
        <v>1386</v>
      </c>
      <c r="E955" s="220"/>
      <c r="F955" s="221"/>
      <c r="G955" s="148"/>
      <c r="I955" s="219">
        <v>613872402420</v>
      </c>
      <c r="J955" s="219">
        <v>6203779541</v>
      </c>
    </row>
    <row r="956" spans="2:10" x14ac:dyDescent="0.25">
      <c r="B956" s="218">
        <v>43963</v>
      </c>
      <c r="C956" s="217">
        <v>2975</v>
      </c>
      <c r="D956" s="220" t="s">
        <v>1387</v>
      </c>
      <c r="E956" s="220"/>
      <c r="F956" s="221"/>
      <c r="G956" s="148"/>
      <c r="I956" s="219">
        <v>217142073880</v>
      </c>
      <c r="J956" s="219">
        <v>9155204739</v>
      </c>
    </row>
    <row r="957" spans="2:10" x14ac:dyDescent="0.25">
      <c r="B957" s="218">
        <v>43963</v>
      </c>
      <c r="C957" s="217">
        <v>2976</v>
      </c>
      <c r="D957" s="220" t="s">
        <v>1388</v>
      </c>
      <c r="E957" s="220"/>
      <c r="F957" s="221"/>
      <c r="G957" s="148"/>
      <c r="I957" s="219">
        <v>560269122017</v>
      </c>
      <c r="J957" s="219">
        <v>8581085825</v>
      </c>
    </row>
    <row r="958" spans="2:10" x14ac:dyDescent="0.25">
      <c r="B958" s="218">
        <v>43963</v>
      </c>
      <c r="C958" s="217">
        <v>2978</v>
      </c>
      <c r="D958" s="220" t="s">
        <v>1389</v>
      </c>
      <c r="E958" s="220"/>
      <c r="F958" s="221"/>
      <c r="G958" s="148"/>
      <c r="I958" s="219">
        <v>521630773961</v>
      </c>
      <c r="J958" s="219">
        <v>7250492565</v>
      </c>
    </row>
    <row r="959" spans="2:10" x14ac:dyDescent="0.25">
      <c r="B959" s="218">
        <v>43963</v>
      </c>
      <c r="C959" s="217">
        <v>2979</v>
      </c>
      <c r="D959" s="220" t="s">
        <v>1390</v>
      </c>
      <c r="E959" s="220"/>
      <c r="F959" s="221"/>
      <c r="G959" s="148"/>
      <c r="I959" s="219">
        <v>584858780761</v>
      </c>
      <c r="J959" s="219">
        <v>6207331808</v>
      </c>
    </row>
    <row r="960" spans="2:10" x14ac:dyDescent="0.25">
      <c r="B960" s="218">
        <v>43963</v>
      </c>
      <c r="C960" s="217">
        <v>2980</v>
      </c>
      <c r="D960" s="220" t="s">
        <v>1391</v>
      </c>
      <c r="E960" s="220"/>
      <c r="F960" s="221"/>
      <c r="G960" s="148"/>
      <c r="I960" s="219">
        <v>711572543848</v>
      </c>
      <c r="J960" s="219">
        <v>8797065348</v>
      </c>
    </row>
    <row r="961" spans="2:10" x14ac:dyDescent="0.25">
      <c r="B961" s="218">
        <v>43963</v>
      </c>
      <c r="C961" s="217">
        <v>2981</v>
      </c>
      <c r="D961" s="220" t="s">
        <v>1392</v>
      </c>
      <c r="E961" s="220"/>
      <c r="F961" s="221"/>
      <c r="G961" s="148"/>
      <c r="I961" s="219">
        <v>781531079002</v>
      </c>
      <c r="J961" s="219">
        <v>8235227932</v>
      </c>
    </row>
    <row r="962" spans="2:10" x14ac:dyDescent="0.25">
      <c r="B962" s="218">
        <v>43963</v>
      </c>
      <c r="C962" s="217">
        <v>2982</v>
      </c>
      <c r="D962" s="220" t="s">
        <v>850</v>
      </c>
      <c r="E962" s="220"/>
      <c r="F962" s="221"/>
      <c r="G962" s="148"/>
      <c r="I962" s="219">
        <v>779982146886</v>
      </c>
      <c r="J962" s="219">
        <v>8789978115</v>
      </c>
    </row>
    <row r="963" spans="2:10" x14ac:dyDescent="0.25">
      <c r="B963" s="218">
        <v>43963</v>
      </c>
      <c r="C963" s="217">
        <v>2984</v>
      </c>
      <c r="D963" s="220" t="s">
        <v>1393</v>
      </c>
      <c r="E963" s="220"/>
      <c r="F963" s="221"/>
      <c r="G963" s="148"/>
      <c r="I963" s="219">
        <v>930916603981</v>
      </c>
      <c r="J963" s="219">
        <v>8797341152</v>
      </c>
    </row>
    <row r="964" spans="2:10" x14ac:dyDescent="0.25">
      <c r="B964" s="218">
        <v>43963</v>
      </c>
      <c r="C964" s="217">
        <v>2987</v>
      </c>
      <c r="D964" s="220" t="s">
        <v>1394</v>
      </c>
      <c r="E964" s="220"/>
      <c r="F964" s="221"/>
      <c r="G964" s="148"/>
      <c r="I964" s="219">
        <v>363666183930</v>
      </c>
      <c r="J964" s="219">
        <v>7295882334</v>
      </c>
    </row>
    <row r="965" spans="2:10" x14ac:dyDescent="0.25">
      <c r="B965" s="218">
        <v>43963</v>
      </c>
      <c r="C965" s="217">
        <v>2989</v>
      </c>
      <c r="D965" s="220" t="s">
        <v>1395</v>
      </c>
      <c r="E965" s="220"/>
      <c r="F965" s="221"/>
      <c r="G965" s="148"/>
      <c r="I965" s="219">
        <v>575172173152</v>
      </c>
      <c r="J965" s="219">
        <v>9386653081</v>
      </c>
    </row>
    <row r="966" spans="2:10" x14ac:dyDescent="0.25">
      <c r="B966" s="218">
        <v>43963</v>
      </c>
      <c r="C966" s="217">
        <v>2990</v>
      </c>
      <c r="D966" s="220" t="s">
        <v>1396</v>
      </c>
      <c r="E966" s="220"/>
      <c r="F966" s="221"/>
      <c r="G966" s="148"/>
      <c r="I966" s="219">
        <v>430315740514</v>
      </c>
      <c r="J966" s="219">
        <v>8969421774</v>
      </c>
    </row>
    <row r="967" spans="2:10" x14ac:dyDescent="0.25">
      <c r="B967" s="218">
        <v>43963</v>
      </c>
      <c r="C967" s="217">
        <v>2991</v>
      </c>
      <c r="D967" s="220" t="s">
        <v>1397</v>
      </c>
      <c r="E967" s="220"/>
      <c r="F967" s="221"/>
      <c r="G967" s="148"/>
      <c r="I967" s="219">
        <v>583123015311</v>
      </c>
      <c r="J967" s="219">
        <v>7061008545</v>
      </c>
    </row>
    <row r="968" spans="2:10" x14ac:dyDescent="0.25">
      <c r="B968" s="218">
        <v>43963</v>
      </c>
      <c r="C968" s="217">
        <v>2993</v>
      </c>
      <c r="D968" s="220" t="s">
        <v>1398</v>
      </c>
      <c r="E968" s="220"/>
      <c r="F968" s="221"/>
      <c r="G968" s="148"/>
      <c r="I968" s="219">
        <v>556523015311</v>
      </c>
      <c r="J968" s="219">
        <v>8578058402</v>
      </c>
    </row>
    <row r="969" spans="2:10" x14ac:dyDescent="0.25">
      <c r="B969" s="218">
        <v>43963</v>
      </c>
      <c r="C969" s="217">
        <v>2994</v>
      </c>
      <c r="D969" s="220" t="s">
        <v>687</v>
      </c>
      <c r="E969" s="220"/>
      <c r="F969" s="221"/>
      <c r="G969" s="148"/>
      <c r="I969" s="219">
        <v>967160699911</v>
      </c>
      <c r="J969" s="219">
        <v>9934125136</v>
      </c>
    </row>
    <row r="970" spans="2:10" x14ac:dyDescent="0.25">
      <c r="B970" s="218">
        <v>43963</v>
      </c>
      <c r="C970" s="217">
        <v>2996</v>
      </c>
      <c r="D970" s="220" t="s">
        <v>1399</v>
      </c>
      <c r="E970" s="220"/>
      <c r="F970" s="221"/>
      <c r="G970" s="148"/>
      <c r="I970" s="219">
        <v>662999780201</v>
      </c>
      <c r="J970" s="219">
        <v>6201809342</v>
      </c>
    </row>
    <row r="971" spans="2:10" x14ac:dyDescent="0.25">
      <c r="B971" s="218">
        <v>43963</v>
      </c>
      <c r="C971" s="217">
        <v>2998</v>
      </c>
      <c r="D971" s="220" t="s">
        <v>1400</v>
      </c>
      <c r="E971" s="220"/>
      <c r="F971" s="221"/>
      <c r="G971" s="148"/>
      <c r="I971" s="219">
        <v>333470222700</v>
      </c>
      <c r="J971" s="219">
        <v>6204079728</v>
      </c>
    </row>
    <row r="972" spans="2:10" x14ac:dyDescent="0.25">
      <c r="B972" s="218">
        <v>43963</v>
      </c>
      <c r="C972" s="217">
        <v>2999</v>
      </c>
      <c r="D972" s="220" t="s">
        <v>1401</v>
      </c>
      <c r="E972" s="220"/>
      <c r="F972" s="221"/>
      <c r="G972" s="148"/>
      <c r="I972" s="219">
        <v>384969999597</v>
      </c>
      <c r="J972" s="219">
        <v>7209668713</v>
      </c>
    </row>
    <row r="973" spans="2:10" x14ac:dyDescent="0.25">
      <c r="B973" s="218">
        <v>43963</v>
      </c>
      <c r="C973" s="217">
        <v>3000</v>
      </c>
      <c r="D973" s="220" t="s">
        <v>685</v>
      </c>
      <c r="E973" s="220"/>
      <c r="F973" s="221"/>
      <c r="G973" s="148"/>
      <c r="I973" s="219">
        <v>983114583030</v>
      </c>
      <c r="J973" s="219">
        <v>7549749288</v>
      </c>
    </row>
    <row r="974" spans="2:10" x14ac:dyDescent="0.25">
      <c r="B974" s="218">
        <v>43963</v>
      </c>
      <c r="C974" s="217">
        <v>3001</v>
      </c>
      <c r="D974" s="220" t="s">
        <v>1402</v>
      </c>
      <c r="E974" s="220"/>
      <c r="F974" s="221"/>
      <c r="G974" s="148"/>
      <c r="I974" s="219">
        <v>279953454192</v>
      </c>
      <c r="J974" s="219">
        <v>7903618722</v>
      </c>
    </row>
    <row r="975" spans="2:10" x14ac:dyDescent="0.25">
      <c r="B975" s="218">
        <v>43963</v>
      </c>
      <c r="C975" s="217">
        <v>3002</v>
      </c>
      <c r="D975" s="220" t="s">
        <v>1403</v>
      </c>
      <c r="E975" s="220"/>
      <c r="F975" s="221"/>
      <c r="G975" s="148"/>
      <c r="I975" s="219">
        <v>831059934123</v>
      </c>
      <c r="J975" s="219">
        <v>9031735317</v>
      </c>
    </row>
    <row r="976" spans="2:10" x14ac:dyDescent="0.25">
      <c r="B976" s="218">
        <v>43963</v>
      </c>
      <c r="C976" s="217">
        <v>3003</v>
      </c>
      <c r="D976" s="220" t="s">
        <v>1404</v>
      </c>
      <c r="E976" s="220"/>
      <c r="F976" s="221"/>
      <c r="G976" s="148"/>
      <c r="I976" s="219">
        <v>575544518600</v>
      </c>
      <c r="J976" s="219">
        <v>7061047109</v>
      </c>
    </row>
    <row r="977" spans="2:11" x14ac:dyDescent="0.25">
      <c r="B977" s="218">
        <v>43963</v>
      </c>
      <c r="C977" s="217">
        <v>3004</v>
      </c>
      <c r="D977" s="220" t="s">
        <v>1405</v>
      </c>
      <c r="E977" s="220"/>
      <c r="F977" s="221"/>
      <c r="G977" s="148"/>
      <c r="I977" s="219">
        <v>424998706262</v>
      </c>
      <c r="J977" s="219">
        <v>7765918061</v>
      </c>
    </row>
    <row r="978" spans="2:11" x14ac:dyDescent="0.25">
      <c r="B978" s="218">
        <v>43963</v>
      </c>
      <c r="C978" s="217">
        <v>3005</v>
      </c>
      <c r="D978" s="220" t="s">
        <v>1406</v>
      </c>
      <c r="E978" s="220"/>
      <c r="F978" s="221"/>
      <c r="G978" s="148"/>
      <c r="I978" s="219">
        <v>527028900961</v>
      </c>
      <c r="J978" s="219">
        <v>9631271719</v>
      </c>
    </row>
    <row r="979" spans="2:11" x14ac:dyDescent="0.25">
      <c r="B979" s="218">
        <v>43963</v>
      </c>
      <c r="C979" s="217">
        <v>3006</v>
      </c>
      <c r="D979" s="220" t="s">
        <v>1407</v>
      </c>
      <c r="E979" s="220"/>
      <c r="F979" s="221"/>
      <c r="G979" s="148"/>
      <c r="I979" s="219">
        <v>472075958416</v>
      </c>
      <c r="J979" s="219">
        <v>7903293845</v>
      </c>
    </row>
    <row r="980" spans="2:11" x14ac:dyDescent="0.25">
      <c r="B980" s="218">
        <v>43963</v>
      </c>
      <c r="C980" s="217">
        <v>3007</v>
      </c>
      <c r="D980" s="220" t="s">
        <v>1408</v>
      </c>
      <c r="E980" s="220"/>
      <c r="F980" s="221"/>
      <c r="G980" s="148"/>
      <c r="I980" s="219">
        <v>811056593027</v>
      </c>
      <c r="J980" s="219">
        <v>8271323378</v>
      </c>
    </row>
    <row r="981" spans="2:11" x14ac:dyDescent="0.25">
      <c r="B981" s="218">
        <v>43963</v>
      </c>
      <c r="C981" s="217">
        <v>3008</v>
      </c>
      <c r="D981" s="220" t="s">
        <v>1409</v>
      </c>
      <c r="E981" s="228"/>
      <c r="F981" s="222">
        <v>33222</v>
      </c>
      <c r="G981" s="148" t="s">
        <v>2166</v>
      </c>
      <c r="H981" s="214">
        <v>200</v>
      </c>
      <c r="I981" s="219">
        <v>558126232270</v>
      </c>
      <c r="J981" s="219">
        <v>8340180863</v>
      </c>
    </row>
    <row r="982" spans="2:11" x14ac:dyDescent="0.25">
      <c r="B982" s="218">
        <v>43963</v>
      </c>
      <c r="C982" s="217">
        <v>3010</v>
      </c>
      <c r="D982" s="220" t="s">
        <v>1410</v>
      </c>
      <c r="E982" s="220"/>
      <c r="F982" s="221"/>
      <c r="G982" s="148"/>
      <c r="I982" s="219">
        <v>988966142203</v>
      </c>
      <c r="J982" s="219">
        <v>8252410391</v>
      </c>
    </row>
    <row r="983" spans="2:11" x14ac:dyDescent="0.25">
      <c r="B983" s="218">
        <v>43963</v>
      </c>
      <c r="C983" s="217">
        <v>3011</v>
      </c>
      <c r="D983" s="220" t="s">
        <v>1411</v>
      </c>
      <c r="E983" s="220"/>
      <c r="F983" s="222"/>
      <c r="G983" s="148"/>
      <c r="I983" s="219">
        <v>975089695701</v>
      </c>
      <c r="J983" s="219">
        <v>6207930320</v>
      </c>
    </row>
    <row r="984" spans="2:11" x14ac:dyDescent="0.25">
      <c r="B984" s="218">
        <v>43963</v>
      </c>
      <c r="C984" s="217">
        <v>3014</v>
      </c>
      <c r="D984" s="220" t="s">
        <v>2534</v>
      </c>
      <c r="E984" s="220"/>
      <c r="F984" s="222">
        <v>33258</v>
      </c>
      <c r="G984" s="148" t="s">
        <v>2535</v>
      </c>
      <c r="H984" s="214">
        <v>100</v>
      </c>
      <c r="I984" s="219">
        <v>309477567947</v>
      </c>
      <c r="J984" s="219">
        <v>9939434321</v>
      </c>
      <c r="K984" s="214" t="s">
        <v>293</v>
      </c>
    </row>
    <row r="985" spans="2:11" x14ac:dyDescent="0.25">
      <c r="B985" s="218">
        <v>43964</v>
      </c>
      <c r="C985" s="217">
        <v>3024</v>
      </c>
      <c r="D985" s="220" t="s">
        <v>1412</v>
      </c>
      <c r="E985" s="220"/>
      <c r="F985" s="222">
        <v>30326</v>
      </c>
      <c r="G985" s="148" t="s">
        <v>2722</v>
      </c>
      <c r="H985" s="214">
        <v>100</v>
      </c>
      <c r="I985" s="219">
        <v>380024903424</v>
      </c>
      <c r="J985" s="219">
        <v>8092027907</v>
      </c>
    </row>
    <row r="986" spans="2:11" x14ac:dyDescent="0.25">
      <c r="B986" s="218">
        <v>43964</v>
      </c>
      <c r="C986" s="217">
        <v>3025</v>
      </c>
      <c r="D986" s="220" t="s">
        <v>1413</v>
      </c>
      <c r="E986" s="220"/>
      <c r="F986" s="222"/>
      <c r="G986" s="148"/>
      <c r="I986" s="219">
        <v>840334979044</v>
      </c>
      <c r="J986" s="219">
        <v>9693795817</v>
      </c>
    </row>
    <row r="987" spans="2:11" x14ac:dyDescent="0.25">
      <c r="B987" s="218">
        <v>43964</v>
      </c>
      <c r="C987" s="217">
        <v>3026</v>
      </c>
      <c r="D987" s="220" t="s">
        <v>1414</v>
      </c>
      <c r="E987" s="220"/>
      <c r="F987" s="222"/>
      <c r="G987" s="148"/>
      <c r="I987" s="219">
        <v>551057840784</v>
      </c>
      <c r="J987" s="219">
        <v>8092639416</v>
      </c>
    </row>
    <row r="988" spans="2:11" x14ac:dyDescent="0.25">
      <c r="B988" s="218">
        <v>43964</v>
      </c>
      <c r="C988" s="217">
        <v>3027</v>
      </c>
      <c r="D988" s="220" t="s">
        <v>1415</v>
      </c>
      <c r="E988" s="220"/>
      <c r="F988" s="222"/>
      <c r="G988" s="148"/>
      <c r="I988" s="219">
        <v>879395410848</v>
      </c>
      <c r="J988" s="219">
        <v>9031602524</v>
      </c>
      <c r="K988" s="214" t="s">
        <v>293</v>
      </c>
    </row>
    <row r="989" spans="2:11" x14ac:dyDescent="0.25">
      <c r="B989" s="218">
        <v>43964</v>
      </c>
      <c r="C989" s="217">
        <v>3028</v>
      </c>
      <c r="D989" s="220" t="s">
        <v>1416</v>
      </c>
      <c r="E989" s="220"/>
      <c r="F989" s="222"/>
      <c r="G989" s="148"/>
      <c r="I989" s="219">
        <v>704266906169</v>
      </c>
      <c r="J989" s="219">
        <v>7209735049</v>
      </c>
    </row>
    <row r="990" spans="2:11" x14ac:dyDescent="0.25">
      <c r="B990" s="218">
        <v>43964</v>
      </c>
      <c r="C990" s="217">
        <v>3029</v>
      </c>
      <c r="D990" s="220" t="s">
        <v>1417</v>
      </c>
      <c r="E990" s="220"/>
      <c r="F990" s="222"/>
      <c r="G990" s="148"/>
      <c r="I990" s="219">
        <v>732852874349</v>
      </c>
      <c r="J990" s="219">
        <v>6202569297</v>
      </c>
      <c r="K990" s="218">
        <v>44063</v>
      </c>
    </row>
    <row r="991" spans="2:11" x14ac:dyDescent="0.25">
      <c r="B991" s="218">
        <v>43964</v>
      </c>
      <c r="C991" s="217">
        <v>3030</v>
      </c>
      <c r="D991" s="220" t="s">
        <v>1418</v>
      </c>
      <c r="E991" s="220"/>
      <c r="F991" s="222"/>
      <c r="G991" s="148"/>
      <c r="I991" s="219">
        <v>201898568553</v>
      </c>
      <c r="J991" s="219">
        <v>7667860895</v>
      </c>
      <c r="K991" s="214" t="s">
        <v>293</v>
      </c>
    </row>
    <row r="992" spans="2:11" x14ac:dyDescent="0.25">
      <c r="B992" s="218">
        <v>43964</v>
      </c>
      <c r="C992" s="217">
        <v>3031</v>
      </c>
      <c r="D992" s="220" t="s">
        <v>1419</v>
      </c>
      <c r="E992" s="220"/>
      <c r="F992" s="222"/>
      <c r="G992" s="148"/>
      <c r="I992" s="219">
        <v>700156944635</v>
      </c>
      <c r="J992" s="219">
        <v>8340517616</v>
      </c>
    </row>
    <row r="993" spans="2:10" x14ac:dyDescent="0.25">
      <c r="B993" s="218">
        <v>43964</v>
      </c>
      <c r="C993" s="217">
        <v>3033</v>
      </c>
      <c r="D993" s="220" t="s">
        <v>1420</v>
      </c>
      <c r="E993" s="220"/>
      <c r="F993" s="222"/>
      <c r="G993" s="148"/>
      <c r="I993" s="219">
        <v>606136287788</v>
      </c>
      <c r="J993" s="219">
        <v>7488212028</v>
      </c>
    </row>
    <row r="994" spans="2:10" x14ac:dyDescent="0.25">
      <c r="B994" s="218">
        <v>43964</v>
      </c>
      <c r="C994" s="217">
        <v>3034</v>
      </c>
      <c r="D994" s="220" t="s">
        <v>1421</v>
      </c>
      <c r="E994" s="220"/>
      <c r="F994" s="222"/>
      <c r="G994" s="148"/>
      <c r="I994" s="219">
        <v>733913725589</v>
      </c>
      <c r="J994" s="219">
        <v>9234772448</v>
      </c>
    </row>
    <row r="995" spans="2:10" x14ac:dyDescent="0.25">
      <c r="B995" s="218">
        <v>43964</v>
      </c>
      <c r="C995" s="217">
        <v>3036</v>
      </c>
      <c r="D995" s="220" t="s">
        <v>1422</v>
      </c>
      <c r="E995" s="220"/>
      <c r="F995" s="221"/>
      <c r="G995" s="148"/>
      <c r="I995" s="219">
        <v>994707628360</v>
      </c>
      <c r="J995" s="219">
        <v>8987429657</v>
      </c>
    </row>
    <row r="996" spans="2:10" x14ac:dyDescent="0.25">
      <c r="B996" s="218">
        <v>43964</v>
      </c>
      <c r="C996" s="217">
        <v>3037</v>
      </c>
      <c r="D996" s="220" t="s">
        <v>1423</v>
      </c>
      <c r="E996" s="220"/>
      <c r="F996" s="221"/>
      <c r="G996" s="148"/>
      <c r="I996" s="219">
        <v>245761015584</v>
      </c>
      <c r="J996" s="219">
        <v>9031140852</v>
      </c>
    </row>
    <row r="997" spans="2:10" x14ac:dyDescent="0.25">
      <c r="B997" s="218">
        <v>43964</v>
      </c>
      <c r="C997" s="217">
        <v>3039</v>
      </c>
      <c r="D997" s="220" t="s">
        <v>1424</v>
      </c>
      <c r="E997" s="220"/>
      <c r="F997" s="221"/>
      <c r="G997" s="148"/>
      <c r="I997" s="219">
        <v>424084391958</v>
      </c>
      <c r="J997" s="219">
        <v>9973356259</v>
      </c>
    </row>
    <row r="998" spans="2:10" x14ac:dyDescent="0.25">
      <c r="B998" s="218">
        <v>43964</v>
      </c>
      <c r="C998" s="217">
        <v>3041</v>
      </c>
      <c r="D998" s="220" t="s">
        <v>1425</v>
      </c>
      <c r="E998" s="220"/>
      <c r="F998" s="221"/>
      <c r="G998" s="148"/>
      <c r="I998" s="219">
        <v>970671396521</v>
      </c>
      <c r="J998" s="219">
        <v>6203286883</v>
      </c>
    </row>
    <row r="999" spans="2:10" x14ac:dyDescent="0.25">
      <c r="B999" s="218">
        <v>43964</v>
      </c>
      <c r="C999" s="217">
        <v>3043</v>
      </c>
      <c r="D999" s="220" t="s">
        <v>1426</v>
      </c>
      <c r="E999" s="220"/>
      <c r="F999" s="221"/>
      <c r="G999" s="148"/>
      <c r="I999" s="219">
        <v>954650400244</v>
      </c>
      <c r="J999" s="219">
        <v>8797603343</v>
      </c>
    </row>
    <row r="1000" spans="2:10" x14ac:dyDescent="0.25">
      <c r="B1000" s="218">
        <v>43964</v>
      </c>
      <c r="C1000" s="217">
        <v>3044</v>
      </c>
      <c r="D1000" s="220" t="s">
        <v>1427</v>
      </c>
      <c r="E1000" s="220"/>
      <c r="F1000" s="221"/>
      <c r="G1000" s="148"/>
      <c r="I1000" s="219">
        <v>827783414461</v>
      </c>
      <c r="J1000" s="219">
        <v>9771913820</v>
      </c>
    </row>
    <row r="1001" spans="2:10" x14ac:dyDescent="0.25">
      <c r="B1001" s="218">
        <v>43964</v>
      </c>
      <c r="C1001" s="217">
        <v>3045</v>
      </c>
      <c r="D1001" s="220" t="s">
        <v>1428</v>
      </c>
      <c r="E1001" s="220"/>
      <c r="F1001" s="221"/>
      <c r="G1001" s="148"/>
      <c r="I1001" s="219">
        <v>890102852291</v>
      </c>
      <c r="J1001" s="219">
        <v>7992391115</v>
      </c>
    </row>
    <row r="1002" spans="2:10" x14ac:dyDescent="0.25">
      <c r="B1002" s="218">
        <v>43964</v>
      </c>
      <c r="C1002" s="217">
        <v>3046</v>
      </c>
      <c r="D1002" s="220" t="s">
        <v>1429</v>
      </c>
      <c r="E1002" s="220"/>
      <c r="F1002" s="221"/>
      <c r="G1002" s="148"/>
      <c r="I1002" s="219">
        <v>757446545399</v>
      </c>
      <c r="J1002" s="219">
        <v>9693178713</v>
      </c>
    </row>
    <row r="1003" spans="2:10" x14ac:dyDescent="0.25">
      <c r="B1003" s="218">
        <v>43964</v>
      </c>
      <c r="C1003" s="217">
        <v>3047</v>
      </c>
      <c r="D1003" s="220" t="s">
        <v>1430</v>
      </c>
      <c r="E1003" s="220"/>
      <c r="F1003" s="221"/>
      <c r="G1003" s="148"/>
      <c r="I1003" s="219">
        <v>566293374407</v>
      </c>
      <c r="J1003" s="219">
        <v>7488443758</v>
      </c>
    </row>
    <row r="1004" spans="2:10" x14ac:dyDescent="0.25">
      <c r="B1004" s="218">
        <v>43964</v>
      </c>
      <c r="C1004" s="217">
        <v>3049</v>
      </c>
      <c r="D1004" s="220" t="s">
        <v>1431</v>
      </c>
      <c r="E1004" s="220"/>
      <c r="F1004" s="221"/>
      <c r="G1004" s="148"/>
      <c r="I1004" s="219">
        <v>249323271942</v>
      </c>
      <c r="J1004" s="219">
        <v>9939247670</v>
      </c>
    </row>
    <row r="1005" spans="2:10" x14ac:dyDescent="0.25">
      <c r="B1005" s="218">
        <v>43964</v>
      </c>
      <c r="C1005" s="217">
        <v>3050</v>
      </c>
      <c r="D1005" s="220" t="s">
        <v>1432</v>
      </c>
      <c r="E1005" s="220"/>
      <c r="F1005" s="221"/>
      <c r="G1005" s="148"/>
      <c r="I1005" s="219">
        <v>369553313658</v>
      </c>
      <c r="J1005" s="219">
        <v>7488487278</v>
      </c>
    </row>
    <row r="1006" spans="2:10" x14ac:dyDescent="0.25">
      <c r="B1006" s="218">
        <v>43964</v>
      </c>
      <c r="C1006" s="217">
        <v>3051</v>
      </c>
      <c r="D1006" s="220" t="s">
        <v>1433</v>
      </c>
      <c r="E1006" s="220"/>
      <c r="F1006" s="221"/>
      <c r="G1006" s="148"/>
      <c r="I1006" s="219">
        <v>810573124309</v>
      </c>
      <c r="J1006" s="219">
        <v>8651446849</v>
      </c>
    </row>
    <row r="1007" spans="2:10" x14ac:dyDescent="0.25">
      <c r="B1007" s="218">
        <v>43964</v>
      </c>
      <c r="C1007" s="217">
        <v>3053</v>
      </c>
      <c r="D1007" s="220" t="s">
        <v>1043</v>
      </c>
      <c r="E1007" s="220"/>
      <c r="F1007" s="221"/>
      <c r="G1007" s="148"/>
      <c r="I1007" s="219">
        <v>821237942422</v>
      </c>
      <c r="J1007" s="219">
        <v>6201248988</v>
      </c>
    </row>
    <row r="1008" spans="2:10" x14ac:dyDescent="0.25">
      <c r="B1008" s="218">
        <v>43964</v>
      </c>
      <c r="C1008" s="217">
        <v>3055</v>
      </c>
      <c r="D1008" s="220" t="s">
        <v>1434</v>
      </c>
      <c r="E1008" s="220"/>
      <c r="F1008" s="221"/>
      <c r="G1008" s="148"/>
      <c r="I1008" s="219">
        <v>827783414461</v>
      </c>
      <c r="J1008" s="219">
        <v>916294449</v>
      </c>
    </row>
    <row r="1009" spans="2:10" x14ac:dyDescent="0.25">
      <c r="B1009" s="218">
        <v>43964</v>
      </c>
      <c r="C1009" s="217">
        <v>3058</v>
      </c>
      <c r="D1009" s="220" t="s">
        <v>1435</v>
      </c>
      <c r="E1009" s="220"/>
      <c r="F1009" s="221"/>
      <c r="G1009" s="148"/>
      <c r="I1009" s="219">
        <v>225638785252</v>
      </c>
      <c r="J1009" s="219">
        <v>7991138559</v>
      </c>
    </row>
    <row r="1010" spans="2:10" x14ac:dyDescent="0.25">
      <c r="B1010" s="218">
        <v>43964</v>
      </c>
      <c r="C1010" s="217">
        <v>3060</v>
      </c>
      <c r="D1010" s="220" t="s">
        <v>1436</v>
      </c>
      <c r="E1010" s="220"/>
      <c r="F1010" s="221"/>
      <c r="G1010" s="148"/>
      <c r="I1010" s="219">
        <v>801995998903</v>
      </c>
      <c r="J1010" s="219">
        <v>7004600733</v>
      </c>
    </row>
    <row r="1011" spans="2:10" x14ac:dyDescent="0.25">
      <c r="B1011" s="218">
        <v>43964</v>
      </c>
      <c r="C1011" s="217">
        <v>3062</v>
      </c>
      <c r="D1011" s="220" t="s">
        <v>39</v>
      </c>
      <c r="E1011" s="220"/>
      <c r="F1011" s="221"/>
      <c r="G1011" s="148"/>
      <c r="I1011" s="219">
        <v>982745604278</v>
      </c>
      <c r="J1011" s="219">
        <v>9234879199</v>
      </c>
    </row>
    <row r="1012" spans="2:10" x14ac:dyDescent="0.25">
      <c r="B1012" s="218">
        <v>43964</v>
      </c>
      <c r="C1012" s="217">
        <v>3063</v>
      </c>
      <c r="D1012" s="220" t="s">
        <v>1437</v>
      </c>
      <c r="E1012" s="220"/>
      <c r="F1012" s="221"/>
      <c r="G1012" s="148"/>
      <c r="I1012" s="219">
        <v>915142838865</v>
      </c>
      <c r="J1012" s="219">
        <v>6287831944</v>
      </c>
    </row>
    <row r="1013" spans="2:10" x14ac:dyDescent="0.25">
      <c r="B1013" s="218">
        <v>43964</v>
      </c>
      <c r="C1013" s="217">
        <v>3067</v>
      </c>
      <c r="D1013" s="220" t="s">
        <v>1438</v>
      </c>
      <c r="E1013" s="220"/>
      <c r="F1013" s="221"/>
      <c r="G1013" s="148"/>
      <c r="I1013" s="219">
        <v>931030213905</v>
      </c>
      <c r="J1013" s="219"/>
    </row>
    <row r="1014" spans="2:10" x14ac:dyDescent="0.25">
      <c r="B1014" s="218">
        <v>43964</v>
      </c>
      <c r="C1014" s="217">
        <v>3068</v>
      </c>
      <c r="D1014" s="220" t="s">
        <v>1439</v>
      </c>
      <c r="E1014" s="220"/>
      <c r="F1014" s="221"/>
      <c r="G1014" s="148"/>
      <c r="I1014" s="219">
        <v>387449075012</v>
      </c>
      <c r="J1014" s="219">
        <v>9204120705</v>
      </c>
    </row>
    <row r="1015" spans="2:10" x14ac:dyDescent="0.25">
      <c r="B1015" s="218">
        <v>43964</v>
      </c>
      <c r="C1015" s="217">
        <v>3069</v>
      </c>
      <c r="D1015" s="220" t="s">
        <v>1314</v>
      </c>
      <c r="E1015" s="220"/>
      <c r="F1015" s="221"/>
      <c r="G1015" s="148"/>
      <c r="I1015" s="219">
        <v>668435837316</v>
      </c>
      <c r="J1015" s="219">
        <v>8092773567</v>
      </c>
    </row>
    <row r="1016" spans="2:10" x14ac:dyDescent="0.25">
      <c r="B1016" s="218">
        <v>43964</v>
      </c>
      <c r="C1016" s="217">
        <v>3070</v>
      </c>
      <c r="D1016" s="220" t="s">
        <v>1440</v>
      </c>
      <c r="E1016" s="220"/>
      <c r="F1016" s="221"/>
      <c r="G1016" s="148"/>
      <c r="I1016" s="219">
        <v>348589041029</v>
      </c>
      <c r="J1016" s="219">
        <v>7488032608</v>
      </c>
    </row>
    <row r="1017" spans="2:10" x14ac:dyDescent="0.25">
      <c r="B1017" s="218">
        <v>43964</v>
      </c>
      <c r="C1017" s="217">
        <v>3072</v>
      </c>
      <c r="D1017" s="220" t="s">
        <v>1441</v>
      </c>
      <c r="E1017" s="220"/>
      <c r="F1017" s="221"/>
      <c r="G1017" s="148"/>
      <c r="I1017" s="219">
        <v>845575439923</v>
      </c>
      <c r="J1017" s="219">
        <v>7004081988</v>
      </c>
    </row>
    <row r="1018" spans="2:10" x14ac:dyDescent="0.25">
      <c r="B1018" s="218">
        <v>43964</v>
      </c>
      <c r="C1018" s="217">
        <v>3073</v>
      </c>
      <c r="D1018" s="220" t="s">
        <v>1442</v>
      </c>
      <c r="E1018" s="220"/>
      <c r="F1018" s="221"/>
      <c r="G1018" s="148"/>
      <c r="I1018" s="219">
        <v>673791053834</v>
      </c>
      <c r="J1018" s="219">
        <v>9234705547</v>
      </c>
    </row>
    <row r="1019" spans="2:10" x14ac:dyDescent="0.25">
      <c r="B1019" s="218">
        <v>43964</v>
      </c>
      <c r="C1019" s="217">
        <v>3075</v>
      </c>
      <c r="D1019" s="220" t="s">
        <v>1443</v>
      </c>
      <c r="E1019" s="220"/>
      <c r="F1019" s="221"/>
      <c r="G1019" s="148"/>
      <c r="I1019" s="219">
        <v>775218031797</v>
      </c>
      <c r="J1019" s="219">
        <v>8797852850</v>
      </c>
    </row>
    <row r="1020" spans="2:10" x14ac:dyDescent="0.25">
      <c r="B1020" s="218">
        <v>43964</v>
      </c>
      <c r="C1020" s="217">
        <v>3077</v>
      </c>
      <c r="D1020" s="220" t="s">
        <v>1077</v>
      </c>
      <c r="E1020" s="220"/>
      <c r="F1020" s="221"/>
      <c r="G1020" s="148"/>
      <c r="I1020" s="219">
        <v>954861238073</v>
      </c>
      <c r="J1020" s="219">
        <v>8987879258</v>
      </c>
    </row>
    <row r="1021" spans="2:10" x14ac:dyDescent="0.25">
      <c r="B1021" s="218">
        <v>43964</v>
      </c>
      <c r="C1021" s="217">
        <v>3079</v>
      </c>
      <c r="D1021" s="220" t="s">
        <v>1444</v>
      </c>
      <c r="E1021" s="220"/>
      <c r="F1021" s="221"/>
      <c r="G1021" s="148"/>
      <c r="I1021" s="219">
        <v>757326857728</v>
      </c>
      <c r="J1021" s="219">
        <v>6207248956</v>
      </c>
    </row>
    <row r="1022" spans="2:10" x14ac:dyDescent="0.25">
      <c r="B1022" s="218">
        <v>43964</v>
      </c>
      <c r="C1022" s="217">
        <v>3084</v>
      </c>
      <c r="D1022" s="220" t="s">
        <v>1445</v>
      </c>
      <c r="E1022" s="220"/>
      <c r="F1022" s="221"/>
      <c r="G1022" s="148"/>
      <c r="I1022" s="219">
        <v>865483770237</v>
      </c>
      <c r="J1022" s="219">
        <v>9608202088</v>
      </c>
    </row>
    <row r="1023" spans="2:10" x14ac:dyDescent="0.25">
      <c r="B1023" s="218">
        <v>43964</v>
      </c>
      <c r="C1023" s="217">
        <v>3086</v>
      </c>
      <c r="D1023" s="220" t="s">
        <v>1446</v>
      </c>
      <c r="E1023" s="220"/>
      <c r="F1023" s="221"/>
      <c r="G1023" s="148"/>
      <c r="I1023" s="219">
        <v>478346547805</v>
      </c>
      <c r="J1023" s="219">
        <v>6299479278</v>
      </c>
    </row>
    <row r="1024" spans="2:10" x14ac:dyDescent="0.25">
      <c r="B1024" s="218">
        <v>43964</v>
      </c>
      <c r="C1024" s="217">
        <v>3094</v>
      </c>
      <c r="D1024" s="220" t="s">
        <v>1447</v>
      </c>
      <c r="E1024" s="220"/>
      <c r="F1024" s="221"/>
      <c r="G1024" s="148"/>
      <c r="I1024" s="219">
        <v>323451345789</v>
      </c>
      <c r="J1024" s="219">
        <v>7367006497</v>
      </c>
    </row>
    <row r="1025" spans="2:10" x14ac:dyDescent="0.25">
      <c r="B1025" s="218">
        <v>43964</v>
      </c>
      <c r="C1025" s="217">
        <v>3095</v>
      </c>
      <c r="D1025" s="220" t="s">
        <v>1448</v>
      </c>
      <c r="E1025" s="220"/>
      <c r="F1025" s="221"/>
      <c r="G1025" s="148"/>
      <c r="I1025" s="219">
        <v>224212248786</v>
      </c>
      <c r="J1025" s="219">
        <v>9931787263</v>
      </c>
    </row>
    <row r="1026" spans="2:10" x14ac:dyDescent="0.25">
      <c r="B1026" s="218">
        <v>43964</v>
      </c>
      <c r="C1026" s="217">
        <v>3097</v>
      </c>
      <c r="D1026" s="220" t="s">
        <v>1449</v>
      </c>
      <c r="E1026" s="220"/>
      <c r="F1026" s="221"/>
      <c r="G1026" s="148"/>
      <c r="I1026" s="219">
        <v>655437964940</v>
      </c>
      <c r="J1026" s="219">
        <v>9570067329</v>
      </c>
    </row>
    <row r="1027" spans="2:10" x14ac:dyDescent="0.25">
      <c r="B1027" s="218">
        <v>43964</v>
      </c>
      <c r="C1027" s="217">
        <v>3098</v>
      </c>
      <c r="D1027" s="220" t="s">
        <v>1450</v>
      </c>
      <c r="E1027" s="220"/>
      <c r="F1027" s="221"/>
      <c r="G1027" s="148"/>
      <c r="I1027" s="219">
        <v>832480298401</v>
      </c>
      <c r="J1027" s="219">
        <v>7979763021</v>
      </c>
    </row>
    <row r="1028" spans="2:10" x14ac:dyDescent="0.25">
      <c r="B1028" s="218">
        <v>43964</v>
      </c>
      <c r="C1028" s="217">
        <v>3101</v>
      </c>
      <c r="D1028" s="220" t="s">
        <v>1451</v>
      </c>
      <c r="E1028" s="220"/>
      <c r="F1028" s="221"/>
      <c r="G1028" s="148"/>
      <c r="I1028" s="219">
        <v>465176112865</v>
      </c>
      <c r="J1028" s="219">
        <v>7534061513</v>
      </c>
    </row>
    <row r="1029" spans="2:10" x14ac:dyDescent="0.25">
      <c r="B1029" s="218">
        <v>43964</v>
      </c>
      <c r="C1029" s="217">
        <v>3103</v>
      </c>
      <c r="D1029" s="220" t="s">
        <v>1452</v>
      </c>
      <c r="E1029" s="220"/>
      <c r="F1029" s="221"/>
      <c r="G1029" s="148"/>
      <c r="I1029" s="219">
        <v>371661299243</v>
      </c>
      <c r="J1029" s="219">
        <v>9117516522</v>
      </c>
    </row>
    <row r="1030" spans="2:10" x14ac:dyDescent="0.25">
      <c r="B1030" s="218">
        <v>43964</v>
      </c>
      <c r="C1030" s="217">
        <v>3111</v>
      </c>
      <c r="D1030" s="220" t="s">
        <v>1453</v>
      </c>
      <c r="E1030" s="220"/>
      <c r="F1030" s="221"/>
      <c r="G1030" s="148"/>
      <c r="I1030" s="219">
        <v>9104187800150130</v>
      </c>
      <c r="J1030" s="219">
        <v>6202845926</v>
      </c>
    </row>
    <row r="1031" spans="2:10" x14ac:dyDescent="0.25">
      <c r="B1031" s="218">
        <v>43964</v>
      </c>
      <c r="C1031" s="217">
        <v>3114</v>
      </c>
      <c r="D1031" s="220" t="s">
        <v>1454</v>
      </c>
      <c r="E1031" s="220"/>
      <c r="F1031" s="221"/>
      <c r="G1031" s="148"/>
      <c r="I1031" s="219">
        <v>460336496238</v>
      </c>
      <c r="J1031" s="219">
        <v>9631069599</v>
      </c>
    </row>
    <row r="1032" spans="2:10" x14ac:dyDescent="0.25">
      <c r="B1032" s="218">
        <v>43964</v>
      </c>
      <c r="C1032" s="217">
        <v>3120</v>
      </c>
      <c r="D1032" s="220" t="s">
        <v>1455</v>
      </c>
      <c r="E1032" s="220"/>
      <c r="F1032" s="221"/>
      <c r="G1032" s="148"/>
      <c r="I1032" s="219">
        <v>592290384123</v>
      </c>
      <c r="J1032" s="219"/>
    </row>
    <row r="1033" spans="2:10" x14ac:dyDescent="0.25">
      <c r="B1033" s="218">
        <v>43964</v>
      </c>
      <c r="C1033" s="217">
        <v>3121</v>
      </c>
      <c r="D1033" s="220" t="s">
        <v>1456</v>
      </c>
      <c r="E1033" s="220"/>
      <c r="F1033" s="221"/>
      <c r="G1033" s="148"/>
      <c r="I1033" s="219">
        <v>394906225612</v>
      </c>
      <c r="J1033" s="219">
        <v>8789765707</v>
      </c>
    </row>
    <row r="1034" spans="2:10" x14ac:dyDescent="0.25">
      <c r="B1034" s="218">
        <v>43964</v>
      </c>
      <c r="C1034" s="217">
        <v>3124</v>
      </c>
      <c r="D1034" s="220" t="s">
        <v>1458</v>
      </c>
      <c r="E1034" s="220"/>
      <c r="F1034" s="221"/>
      <c r="G1034" s="148"/>
      <c r="I1034" s="219">
        <v>883280096021</v>
      </c>
      <c r="J1034" s="219"/>
    </row>
    <row r="1035" spans="2:10" x14ac:dyDescent="0.25">
      <c r="B1035" s="218">
        <v>43964</v>
      </c>
      <c r="C1035" s="217">
        <v>3126</v>
      </c>
      <c r="D1035" s="220" t="s">
        <v>1183</v>
      </c>
      <c r="E1035" s="220"/>
      <c r="F1035" s="221"/>
      <c r="G1035" s="148"/>
      <c r="I1035" s="219">
        <v>559383697253</v>
      </c>
      <c r="J1035" s="219">
        <v>7079376862</v>
      </c>
    </row>
    <row r="1036" spans="2:10" x14ac:dyDescent="0.25">
      <c r="B1036" s="218">
        <v>43964</v>
      </c>
      <c r="C1036" s="217">
        <v>3129</v>
      </c>
      <c r="D1036" s="220" t="s">
        <v>1459</v>
      </c>
      <c r="E1036" s="220"/>
      <c r="F1036" s="221"/>
      <c r="G1036" s="148"/>
      <c r="I1036" s="219">
        <v>889425862267</v>
      </c>
      <c r="J1036" s="219">
        <v>7292836430</v>
      </c>
    </row>
    <row r="1037" spans="2:10" x14ac:dyDescent="0.25">
      <c r="B1037" s="218">
        <v>43965</v>
      </c>
      <c r="C1037" s="217">
        <v>3142</v>
      </c>
      <c r="D1037" s="220" t="s">
        <v>1460</v>
      </c>
      <c r="E1037" s="220"/>
      <c r="F1037" s="221"/>
      <c r="G1037" s="148"/>
      <c r="I1037" s="219">
        <v>805223987904</v>
      </c>
      <c r="J1037" s="219">
        <v>7004517781</v>
      </c>
    </row>
    <row r="1038" spans="2:10" x14ac:dyDescent="0.25">
      <c r="B1038" s="218">
        <v>43965</v>
      </c>
      <c r="C1038" s="217">
        <v>3144</v>
      </c>
      <c r="D1038" s="220" t="s">
        <v>1461</v>
      </c>
      <c r="E1038" s="220"/>
      <c r="F1038" s="221"/>
      <c r="G1038" s="148"/>
      <c r="I1038" s="219">
        <v>827594998139</v>
      </c>
      <c r="J1038" s="219">
        <v>6207052371</v>
      </c>
    </row>
    <row r="1039" spans="2:10" x14ac:dyDescent="0.25">
      <c r="B1039" s="218">
        <v>43965</v>
      </c>
      <c r="C1039" s="217">
        <v>3145</v>
      </c>
      <c r="D1039" s="220" t="s">
        <v>1462</v>
      </c>
      <c r="E1039" s="220"/>
      <c r="F1039" s="221"/>
      <c r="G1039" s="148"/>
      <c r="I1039" s="219">
        <v>347596185050</v>
      </c>
      <c r="J1039" s="219">
        <v>9931433698</v>
      </c>
    </row>
    <row r="1040" spans="2:10" x14ac:dyDescent="0.25">
      <c r="B1040" s="218">
        <v>43965</v>
      </c>
      <c r="C1040" s="217">
        <v>3147</v>
      </c>
      <c r="D1040" s="220" t="s">
        <v>1463</v>
      </c>
      <c r="E1040" s="220"/>
      <c r="F1040" s="221"/>
      <c r="G1040" s="148"/>
      <c r="I1040" s="219">
        <v>729420274267</v>
      </c>
      <c r="J1040" s="219">
        <v>9534213974</v>
      </c>
    </row>
    <row r="1041" spans="2:10" x14ac:dyDescent="0.25">
      <c r="B1041" s="218">
        <v>43965</v>
      </c>
      <c r="C1041" s="217">
        <v>3148</v>
      </c>
      <c r="D1041" s="220" t="s">
        <v>696</v>
      </c>
      <c r="E1041" s="220"/>
      <c r="F1041" s="221"/>
      <c r="G1041" s="148"/>
      <c r="I1041" s="219">
        <v>463079784806</v>
      </c>
      <c r="J1041" s="219">
        <v>6203452151</v>
      </c>
    </row>
    <row r="1042" spans="2:10" x14ac:dyDescent="0.25">
      <c r="B1042" s="218">
        <v>43965</v>
      </c>
      <c r="C1042" s="217">
        <v>3150</v>
      </c>
      <c r="D1042" s="220" t="s">
        <v>1464</v>
      </c>
      <c r="E1042" s="220"/>
      <c r="F1042" s="221"/>
      <c r="G1042" s="148"/>
      <c r="I1042" s="219">
        <v>546466658262</v>
      </c>
      <c r="J1042" s="219">
        <v>9031395536</v>
      </c>
    </row>
    <row r="1043" spans="2:10" x14ac:dyDescent="0.25">
      <c r="B1043" s="218">
        <v>43965</v>
      </c>
      <c r="C1043" s="217">
        <v>3152</v>
      </c>
      <c r="D1043" s="220" t="s">
        <v>1465</v>
      </c>
      <c r="E1043" s="220"/>
      <c r="F1043" s="221"/>
      <c r="G1043" s="148"/>
      <c r="I1043" s="219">
        <v>854452869972</v>
      </c>
      <c r="J1043" s="219">
        <v>8797457803</v>
      </c>
    </row>
    <row r="1044" spans="2:10" x14ac:dyDescent="0.25">
      <c r="B1044" s="218">
        <v>43965</v>
      </c>
      <c r="C1044" s="217">
        <v>3153</v>
      </c>
      <c r="D1044" s="220" t="s">
        <v>1466</v>
      </c>
      <c r="E1044" s="220"/>
      <c r="F1044" s="221"/>
      <c r="G1044" s="148"/>
      <c r="I1044" s="219">
        <v>993383020469</v>
      </c>
      <c r="J1044" s="219">
        <v>7209390607</v>
      </c>
    </row>
    <row r="1045" spans="2:10" x14ac:dyDescent="0.25">
      <c r="B1045" s="218">
        <v>43965</v>
      </c>
      <c r="C1045" s="217">
        <v>3155</v>
      </c>
      <c r="D1045" s="220" t="s">
        <v>1467</v>
      </c>
      <c r="E1045" s="220"/>
      <c r="F1045" s="221"/>
      <c r="G1045" s="148"/>
      <c r="I1045" s="219">
        <v>254419555721</v>
      </c>
      <c r="J1045" s="219">
        <v>8092301725</v>
      </c>
    </row>
    <row r="1046" spans="2:10" x14ac:dyDescent="0.25">
      <c r="B1046" s="218">
        <v>43965</v>
      </c>
      <c r="C1046" s="217">
        <v>3156</v>
      </c>
      <c r="D1046" s="220" t="s">
        <v>1468</v>
      </c>
      <c r="E1046" s="220"/>
      <c r="F1046" s="221"/>
      <c r="G1046" s="148"/>
      <c r="I1046" s="219">
        <v>381872541150</v>
      </c>
      <c r="J1046" s="219">
        <v>9934173838</v>
      </c>
    </row>
    <row r="1047" spans="2:10" x14ac:dyDescent="0.25">
      <c r="B1047" s="218">
        <v>43965</v>
      </c>
      <c r="C1047" s="217">
        <v>3157</v>
      </c>
      <c r="D1047" s="220" t="s">
        <v>1469</v>
      </c>
      <c r="E1047" s="220"/>
      <c r="F1047" s="221"/>
      <c r="G1047" s="148"/>
      <c r="I1047" s="219">
        <v>428776870881</v>
      </c>
      <c r="J1047" s="219">
        <v>7209473606</v>
      </c>
    </row>
    <row r="1048" spans="2:10" x14ac:dyDescent="0.25">
      <c r="B1048" s="218">
        <v>43965</v>
      </c>
      <c r="C1048" s="217">
        <v>3159</v>
      </c>
      <c r="D1048" s="220" t="s">
        <v>1470</v>
      </c>
      <c r="E1048" s="220"/>
      <c r="F1048" s="221"/>
      <c r="G1048" s="148"/>
      <c r="I1048" s="219">
        <v>800908835782</v>
      </c>
      <c r="J1048" s="219">
        <v>8797322496</v>
      </c>
    </row>
    <row r="1049" spans="2:10" x14ac:dyDescent="0.25">
      <c r="B1049" s="218">
        <v>43965</v>
      </c>
      <c r="C1049" s="217">
        <v>3160</v>
      </c>
      <c r="D1049" s="220" t="s">
        <v>1471</v>
      </c>
      <c r="E1049" s="220"/>
      <c r="F1049" s="221"/>
      <c r="G1049" s="148"/>
      <c r="I1049" s="219">
        <v>998069825078</v>
      </c>
      <c r="J1049" s="219">
        <v>8651132366</v>
      </c>
    </row>
    <row r="1050" spans="2:10" x14ac:dyDescent="0.25">
      <c r="B1050" s="218">
        <v>43965</v>
      </c>
      <c r="C1050" s="217">
        <v>3162</v>
      </c>
      <c r="D1050" s="220" t="s">
        <v>1472</v>
      </c>
      <c r="E1050" s="220"/>
      <c r="F1050" s="221"/>
      <c r="G1050" s="148"/>
      <c r="I1050" s="219">
        <v>475324833277</v>
      </c>
      <c r="J1050" s="219">
        <v>7717752583</v>
      </c>
    </row>
    <row r="1051" spans="2:10" x14ac:dyDescent="0.25">
      <c r="B1051" s="218">
        <v>43965</v>
      </c>
      <c r="C1051" s="217">
        <v>3164</v>
      </c>
      <c r="D1051" s="220" t="s">
        <v>1473</v>
      </c>
      <c r="E1051" s="220"/>
      <c r="F1051" s="221"/>
      <c r="G1051" s="148"/>
      <c r="I1051" s="219">
        <v>339841642578</v>
      </c>
      <c r="J1051" s="219">
        <v>7870993325</v>
      </c>
    </row>
    <row r="1052" spans="2:10" x14ac:dyDescent="0.25">
      <c r="B1052" s="218">
        <v>43965</v>
      </c>
      <c r="C1052" s="217">
        <v>3166</v>
      </c>
      <c r="D1052" s="220" t="s">
        <v>1474</v>
      </c>
      <c r="E1052" s="220"/>
      <c r="F1052" s="221"/>
      <c r="G1052" s="148"/>
      <c r="I1052" s="219">
        <v>472836268315</v>
      </c>
      <c r="J1052" s="219">
        <v>7061177182</v>
      </c>
    </row>
    <row r="1053" spans="2:10" x14ac:dyDescent="0.25">
      <c r="B1053" s="218">
        <v>43965</v>
      </c>
      <c r="C1053" s="217">
        <v>3168</v>
      </c>
      <c r="D1053" s="220" t="s">
        <v>1475</v>
      </c>
      <c r="E1053" s="220"/>
      <c r="F1053" s="221"/>
      <c r="G1053" s="148"/>
      <c r="I1053" s="219">
        <v>693940047900</v>
      </c>
      <c r="J1053" s="219">
        <v>9570892909</v>
      </c>
    </row>
    <row r="1054" spans="2:10" x14ac:dyDescent="0.25">
      <c r="B1054" s="218">
        <v>43965</v>
      </c>
      <c r="C1054" s="217">
        <v>3169</v>
      </c>
      <c r="D1054" s="220" t="s">
        <v>1476</v>
      </c>
      <c r="E1054" s="220"/>
      <c r="F1054" s="221"/>
      <c r="G1054" s="148"/>
      <c r="I1054" s="219">
        <v>423078076303</v>
      </c>
      <c r="J1054" s="219">
        <v>7461070473</v>
      </c>
    </row>
    <row r="1055" spans="2:10" x14ac:dyDescent="0.25">
      <c r="B1055" s="218">
        <v>43965</v>
      </c>
      <c r="C1055" s="217">
        <v>3171</v>
      </c>
      <c r="D1055" s="220" t="s">
        <v>1477</v>
      </c>
      <c r="E1055" s="220"/>
      <c r="F1055" s="221"/>
      <c r="G1055" s="148"/>
      <c r="I1055" s="219">
        <v>632603434110</v>
      </c>
      <c r="J1055" s="219"/>
    </row>
    <row r="1056" spans="2:10" x14ac:dyDescent="0.25">
      <c r="B1056" s="218">
        <v>43965</v>
      </c>
      <c r="C1056" s="217">
        <v>3172</v>
      </c>
      <c r="D1056" s="220" t="s">
        <v>1478</v>
      </c>
      <c r="E1056" s="220"/>
      <c r="F1056" s="221"/>
      <c r="G1056" s="148"/>
      <c r="I1056" s="219">
        <v>969157627793</v>
      </c>
      <c r="J1056" s="219">
        <v>7870527431</v>
      </c>
    </row>
    <row r="1057" spans="2:10" x14ac:dyDescent="0.25">
      <c r="B1057" s="218">
        <v>43965</v>
      </c>
      <c r="C1057" s="217">
        <v>3174</v>
      </c>
      <c r="D1057" s="220" t="s">
        <v>1479</v>
      </c>
      <c r="E1057" s="220"/>
      <c r="F1057" s="221"/>
      <c r="G1057" s="148"/>
      <c r="I1057" s="219">
        <v>200422406887</v>
      </c>
      <c r="J1057" s="219">
        <v>9661117865</v>
      </c>
    </row>
    <row r="1058" spans="2:10" x14ac:dyDescent="0.25">
      <c r="B1058" s="218">
        <v>43965</v>
      </c>
      <c r="C1058" s="217">
        <v>3175</v>
      </c>
      <c r="D1058" s="220" t="s">
        <v>1480</v>
      </c>
      <c r="E1058" s="220"/>
      <c r="F1058" s="221"/>
      <c r="G1058" s="148"/>
      <c r="I1058" s="219">
        <v>984904319413</v>
      </c>
      <c r="J1058" s="219">
        <v>7004820515</v>
      </c>
    </row>
    <row r="1059" spans="2:10" x14ac:dyDescent="0.25">
      <c r="B1059" s="218">
        <v>43965</v>
      </c>
      <c r="C1059" s="217">
        <v>3177</v>
      </c>
      <c r="D1059" s="220" t="s">
        <v>1481</v>
      </c>
      <c r="E1059" s="220"/>
      <c r="F1059" s="221"/>
      <c r="G1059" s="148"/>
      <c r="I1059" s="219">
        <v>446105140775</v>
      </c>
      <c r="J1059" s="219">
        <v>9031692307</v>
      </c>
    </row>
    <row r="1060" spans="2:10" x14ac:dyDescent="0.25">
      <c r="B1060" s="218">
        <v>43965</v>
      </c>
      <c r="C1060" s="217">
        <v>3179</v>
      </c>
      <c r="D1060" s="220" t="s">
        <v>1482</v>
      </c>
      <c r="E1060" s="220"/>
      <c r="F1060" s="221"/>
      <c r="G1060" s="148"/>
      <c r="I1060" s="219"/>
      <c r="J1060" s="219">
        <v>9204365819</v>
      </c>
    </row>
    <row r="1061" spans="2:10" x14ac:dyDescent="0.25">
      <c r="B1061" s="218">
        <v>43965</v>
      </c>
      <c r="C1061" s="217">
        <v>3180</v>
      </c>
      <c r="D1061" s="220" t="s">
        <v>1483</v>
      </c>
      <c r="E1061" s="220"/>
      <c r="F1061" s="221"/>
      <c r="G1061" s="148"/>
      <c r="I1061" s="219">
        <v>576981620401</v>
      </c>
      <c r="J1061" s="219">
        <v>9204020949</v>
      </c>
    </row>
    <row r="1062" spans="2:10" x14ac:dyDescent="0.25">
      <c r="B1062" s="218">
        <v>43965</v>
      </c>
      <c r="C1062" s="217">
        <v>3181</v>
      </c>
      <c r="D1062" s="220" t="s">
        <v>1484</v>
      </c>
      <c r="E1062" s="220"/>
      <c r="F1062" s="221"/>
      <c r="G1062" s="148"/>
      <c r="I1062" s="219">
        <v>411471051762</v>
      </c>
      <c r="J1062" s="219">
        <v>8102285592</v>
      </c>
    </row>
    <row r="1063" spans="2:10" x14ac:dyDescent="0.25">
      <c r="B1063" s="218">
        <v>43965</v>
      </c>
      <c r="C1063" s="217">
        <v>3183</v>
      </c>
      <c r="D1063" s="220" t="s">
        <v>1485</v>
      </c>
      <c r="E1063" s="220"/>
      <c r="F1063" s="221"/>
      <c r="G1063" s="148"/>
      <c r="I1063" s="219"/>
      <c r="J1063" s="219">
        <v>9234763568</v>
      </c>
    </row>
    <row r="1064" spans="2:10" x14ac:dyDescent="0.25">
      <c r="B1064" s="218">
        <v>43965</v>
      </c>
      <c r="C1064" s="217">
        <v>3184</v>
      </c>
      <c r="D1064" s="220" t="s">
        <v>1486</v>
      </c>
      <c r="E1064" s="220"/>
      <c r="F1064" s="221"/>
      <c r="G1064" s="148"/>
      <c r="I1064" s="219">
        <v>800165743159</v>
      </c>
      <c r="J1064" s="219">
        <v>7903832823</v>
      </c>
    </row>
    <row r="1065" spans="2:10" x14ac:dyDescent="0.25">
      <c r="B1065" s="218">
        <v>43965</v>
      </c>
      <c r="C1065" s="217">
        <v>3185</v>
      </c>
      <c r="D1065" s="220" t="s">
        <v>1487</v>
      </c>
      <c r="E1065" s="220"/>
      <c r="F1065" s="221"/>
      <c r="G1065" s="148"/>
      <c r="I1065" s="219">
        <v>454666515294</v>
      </c>
      <c r="J1065" s="219">
        <v>9608542561</v>
      </c>
    </row>
    <row r="1066" spans="2:10" x14ac:dyDescent="0.25">
      <c r="B1066" s="218">
        <v>43965</v>
      </c>
      <c r="C1066" s="217">
        <v>3187</v>
      </c>
      <c r="D1066" s="220" t="s">
        <v>1488</v>
      </c>
      <c r="E1066" s="220"/>
      <c r="F1066" s="221"/>
      <c r="G1066" s="148"/>
      <c r="I1066" s="219"/>
      <c r="J1066" s="219">
        <v>7209479130</v>
      </c>
    </row>
    <row r="1067" spans="2:10" x14ac:dyDescent="0.25">
      <c r="B1067" s="218">
        <v>43965</v>
      </c>
      <c r="C1067" s="217">
        <v>3188</v>
      </c>
      <c r="D1067" s="220" t="s">
        <v>1489</v>
      </c>
      <c r="E1067" s="220"/>
      <c r="F1067" s="221"/>
      <c r="G1067" s="148"/>
      <c r="I1067" s="219">
        <v>284847048048</v>
      </c>
      <c r="J1067" s="219">
        <v>9204938407</v>
      </c>
    </row>
    <row r="1068" spans="2:10" x14ac:dyDescent="0.25">
      <c r="B1068" s="218">
        <v>43965</v>
      </c>
      <c r="C1068" s="217">
        <v>3190</v>
      </c>
      <c r="D1068" s="220" t="s">
        <v>1490</v>
      </c>
      <c r="E1068" s="220"/>
      <c r="F1068" s="221"/>
      <c r="G1068" s="148"/>
      <c r="I1068" s="219">
        <v>564743940819</v>
      </c>
      <c r="J1068" s="219">
        <v>8002730195</v>
      </c>
    </row>
    <row r="1069" spans="2:10" x14ac:dyDescent="0.25">
      <c r="B1069" s="218">
        <v>43965</v>
      </c>
      <c r="C1069" s="217">
        <v>3191</v>
      </c>
      <c r="D1069" s="220" t="s">
        <v>1491</v>
      </c>
      <c r="E1069" s="220"/>
      <c r="F1069" s="221"/>
      <c r="G1069" s="148"/>
      <c r="I1069" s="219">
        <v>474079036186</v>
      </c>
      <c r="J1069" s="219">
        <v>9570194681</v>
      </c>
    </row>
    <row r="1070" spans="2:10" x14ac:dyDescent="0.25">
      <c r="B1070" s="218">
        <v>43965</v>
      </c>
      <c r="C1070" s="217">
        <v>3193</v>
      </c>
      <c r="D1070" s="220" t="s">
        <v>1492</v>
      </c>
      <c r="E1070" s="220"/>
      <c r="F1070" s="221"/>
      <c r="G1070" s="148"/>
      <c r="I1070" s="219">
        <v>260134048276</v>
      </c>
      <c r="J1070" s="219">
        <v>9905170813</v>
      </c>
    </row>
    <row r="1071" spans="2:10" x14ac:dyDescent="0.25">
      <c r="B1071" s="218">
        <v>43965</v>
      </c>
      <c r="C1071" s="217">
        <v>3195</v>
      </c>
      <c r="D1071" s="220" t="s">
        <v>1493</v>
      </c>
      <c r="E1071" s="220"/>
      <c r="F1071" s="221"/>
      <c r="G1071" s="148"/>
      <c r="I1071" s="219">
        <v>604067481610</v>
      </c>
      <c r="J1071" s="219">
        <v>9031903461</v>
      </c>
    </row>
    <row r="1072" spans="2:10" x14ac:dyDescent="0.25">
      <c r="B1072" s="218">
        <v>43965</v>
      </c>
      <c r="C1072" s="217">
        <v>3196</v>
      </c>
      <c r="D1072" s="220" t="s">
        <v>1494</v>
      </c>
      <c r="E1072" s="220"/>
      <c r="F1072" s="221"/>
      <c r="G1072" s="148"/>
      <c r="I1072" s="219">
        <v>998137975755</v>
      </c>
      <c r="J1072" s="219">
        <v>7903637669</v>
      </c>
    </row>
    <row r="1073" spans="2:15" x14ac:dyDescent="0.25">
      <c r="B1073" s="218">
        <v>43965</v>
      </c>
      <c r="C1073" s="217">
        <v>3198</v>
      </c>
      <c r="D1073" s="220" t="s">
        <v>1495</v>
      </c>
      <c r="E1073" s="220"/>
      <c r="F1073" s="221"/>
      <c r="G1073" s="148"/>
      <c r="I1073" s="219">
        <v>729149070851</v>
      </c>
      <c r="J1073" s="219">
        <v>6200857372</v>
      </c>
    </row>
    <row r="1074" spans="2:15" x14ac:dyDescent="0.25">
      <c r="B1074" s="218">
        <v>43965</v>
      </c>
      <c r="C1074" s="217">
        <v>3199</v>
      </c>
      <c r="D1074" s="220" t="s">
        <v>1496</v>
      </c>
      <c r="E1074" s="220"/>
      <c r="F1074" s="221"/>
      <c r="G1074" s="148"/>
      <c r="I1074" s="219">
        <v>494962385290</v>
      </c>
      <c r="J1074" s="219">
        <v>9693664140</v>
      </c>
    </row>
    <row r="1075" spans="2:15" x14ac:dyDescent="0.25">
      <c r="B1075" s="218">
        <v>43965</v>
      </c>
      <c r="C1075" s="217">
        <v>3200</v>
      </c>
      <c r="D1075" s="220" t="s">
        <v>1497</v>
      </c>
      <c r="E1075" s="220"/>
      <c r="F1075" s="221"/>
      <c r="G1075" s="148"/>
      <c r="I1075" s="219">
        <v>964590403899</v>
      </c>
      <c r="J1075" s="219">
        <v>8797262224</v>
      </c>
    </row>
    <row r="1076" spans="2:15" x14ac:dyDescent="0.25">
      <c r="B1076" s="218">
        <v>43965</v>
      </c>
      <c r="C1076" s="217">
        <v>3202</v>
      </c>
      <c r="D1076" s="220" t="s">
        <v>1498</v>
      </c>
      <c r="E1076" s="220"/>
      <c r="F1076" s="221"/>
      <c r="G1076" s="148"/>
      <c r="I1076" s="219">
        <v>510598077186</v>
      </c>
      <c r="J1076" s="219">
        <v>9931530534</v>
      </c>
    </row>
    <row r="1077" spans="2:15" x14ac:dyDescent="0.25">
      <c r="B1077" s="218">
        <v>43965</v>
      </c>
      <c r="C1077" s="217">
        <v>3203</v>
      </c>
      <c r="D1077" s="220" t="s">
        <v>1499</v>
      </c>
      <c r="E1077" s="220"/>
      <c r="F1077" s="221"/>
      <c r="G1077" s="148"/>
      <c r="I1077" s="219">
        <v>803709383152</v>
      </c>
      <c r="J1077" s="219">
        <v>8603101558</v>
      </c>
    </row>
    <row r="1078" spans="2:15" x14ac:dyDescent="0.25">
      <c r="B1078" s="218">
        <v>43965</v>
      </c>
      <c r="C1078" s="217">
        <v>3205</v>
      </c>
      <c r="D1078" s="220" t="s">
        <v>1500</v>
      </c>
      <c r="E1078" s="220"/>
      <c r="F1078" s="221"/>
      <c r="G1078" s="148"/>
      <c r="I1078" s="219">
        <v>267969203452</v>
      </c>
      <c r="J1078" s="219">
        <v>9525685344</v>
      </c>
    </row>
    <row r="1079" spans="2:15" x14ac:dyDescent="0.25">
      <c r="B1079" s="218">
        <v>43965</v>
      </c>
      <c r="C1079" s="217">
        <v>3206</v>
      </c>
      <c r="D1079" s="220" t="s">
        <v>1501</v>
      </c>
      <c r="E1079" s="220"/>
      <c r="F1079" s="221"/>
      <c r="G1079" s="148" t="s">
        <v>2294</v>
      </c>
      <c r="H1079" s="214">
        <v>100</v>
      </c>
      <c r="I1079" s="219">
        <v>542832275426</v>
      </c>
      <c r="J1079" s="219">
        <v>6206756833</v>
      </c>
    </row>
    <row r="1080" spans="2:15" x14ac:dyDescent="0.25">
      <c r="B1080" s="218">
        <v>43965</v>
      </c>
      <c r="C1080" s="217">
        <v>3208</v>
      </c>
      <c r="D1080" s="220" t="s">
        <v>1502</v>
      </c>
      <c r="E1080" s="220"/>
      <c r="F1080" s="221"/>
      <c r="G1080" s="148"/>
      <c r="I1080" s="219">
        <v>888184065146</v>
      </c>
      <c r="J1080" s="219">
        <v>9693338717</v>
      </c>
    </row>
    <row r="1081" spans="2:15" x14ac:dyDescent="0.25">
      <c r="B1081" s="218">
        <v>43965</v>
      </c>
      <c r="C1081" s="217">
        <v>3209</v>
      </c>
      <c r="D1081" s="220" t="s">
        <v>1503</v>
      </c>
      <c r="E1081" s="220"/>
      <c r="F1081" s="221"/>
      <c r="G1081" s="148"/>
      <c r="I1081" s="219">
        <v>341984858336</v>
      </c>
      <c r="J1081" s="219">
        <v>9262706722</v>
      </c>
    </row>
    <row r="1082" spans="2:15" x14ac:dyDescent="0.25">
      <c r="B1082" s="218">
        <v>43965</v>
      </c>
      <c r="C1082" s="217">
        <v>3219</v>
      </c>
      <c r="D1082" s="220" t="s">
        <v>1504</v>
      </c>
      <c r="E1082" s="220"/>
      <c r="F1082" s="221"/>
      <c r="G1082" s="148"/>
      <c r="I1082" s="219">
        <v>231400535880</v>
      </c>
      <c r="J1082" s="219">
        <v>8092229616</v>
      </c>
    </row>
    <row r="1083" spans="2:15" x14ac:dyDescent="0.25">
      <c r="B1083" s="218">
        <v>43965</v>
      </c>
      <c r="C1083" s="217">
        <v>3220</v>
      </c>
      <c r="D1083" s="220" t="s">
        <v>1505</v>
      </c>
      <c r="E1083" s="220"/>
      <c r="F1083" s="221"/>
      <c r="G1083" s="148"/>
      <c r="I1083" s="219">
        <v>347791012878</v>
      </c>
      <c r="J1083" s="219">
        <v>6203447112</v>
      </c>
    </row>
    <row r="1084" spans="2:15" x14ac:dyDescent="0.25">
      <c r="B1084" s="218">
        <v>43965</v>
      </c>
      <c r="C1084" s="217">
        <v>3222</v>
      </c>
      <c r="D1084" s="220" t="s">
        <v>1506</v>
      </c>
      <c r="E1084" s="220"/>
      <c r="F1084" s="221"/>
      <c r="G1084" s="148"/>
      <c r="I1084" s="219">
        <v>809554086304</v>
      </c>
      <c r="J1084" s="219">
        <v>8709099176</v>
      </c>
    </row>
    <row r="1085" spans="2:15" x14ac:dyDescent="0.25">
      <c r="B1085" s="218">
        <v>43965</v>
      </c>
      <c r="C1085" s="217">
        <v>3224</v>
      </c>
      <c r="D1085" s="220" t="s">
        <v>1507</v>
      </c>
      <c r="E1085" s="220"/>
      <c r="F1085" s="221"/>
      <c r="G1085" s="148"/>
      <c r="I1085" s="219">
        <v>787633073930</v>
      </c>
      <c r="J1085" s="219">
        <v>7061280181</v>
      </c>
    </row>
    <row r="1086" spans="2:15" x14ac:dyDescent="0.25">
      <c r="B1086" s="218">
        <v>43965</v>
      </c>
      <c r="C1086" s="217">
        <v>3225</v>
      </c>
      <c r="D1086" s="220" t="s">
        <v>1508</v>
      </c>
      <c r="E1086" s="220"/>
      <c r="F1086" s="221"/>
      <c r="G1086" s="148"/>
      <c r="I1086" s="219">
        <v>700555539315</v>
      </c>
      <c r="J1086" s="219">
        <v>6200959059</v>
      </c>
      <c r="N1086" s="214" t="s">
        <v>66</v>
      </c>
    </row>
    <row r="1087" spans="2:15" x14ac:dyDescent="0.25">
      <c r="B1087" s="218">
        <v>43965</v>
      </c>
      <c r="C1087" s="217">
        <v>3228</v>
      </c>
      <c r="D1087" s="220" t="s">
        <v>2384</v>
      </c>
      <c r="E1087" s="220"/>
      <c r="F1087" s="221"/>
      <c r="G1087" s="148"/>
      <c r="I1087" s="219">
        <v>888481112572</v>
      </c>
      <c r="J1087" s="219">
        <v>9955844105</v>
      </c>
      <c r="K1087" s="214" t="s">
        <v>66</v>
      </c>
      <c r="L1087" s="214" t="s">
        <v>107</v>
      </c>
      <c r="M1087" s="214" t="s">
        <v>107</v>
      </c>
      <c r="N1087" s="214" t="s">
        <v>66</v>
      </c>
      <c r="O1087" s="214" t="s">
        <v>66</v>
      </c>
    </row>
    <row r="1088" spans="2:15" x14ac:dyDescent="0.25">
      <c r="B1088" s="218">
        <v>43965</v>
      </c>
      <c r="C1088" s="217">
        <v>3232</v>
      </c>
      <c r="D1088" s="220" t="s">
        <v>1509</v>
      </c>
      <c r="E1088" s="220"/>
      <c r="F1088" s="221"/>
      <c r="G1088" s="148"/>
      <c r="I1088" s="219">
        <v>610077688510</v>
      </c>
      <c r="J1088" s="219">
        <v>6204113727</v>
      </c>
      <c r="K1088" s="214" t="s">
        <v>66</v>
      </c>
      <c r="L1088" s="214" t="s">
        <v>66</v>
      </c>
      <c r="N1088" s="214" t="s">
        <v>66</v>
      </c>
    </row>
    <row r="1089" spans="2:10" x14ac:dyDescent="0.25">
      <c r="B1089" s="218">
        <v>43965</v>
      </c>
      <c r="C1089" s="217">
        <v>3235</v>
      </c>
      <c r="D1089" s="220" t="s">
        <v>1510</v>
      </c>
      <c r="E1089" s="220"/>
      <c r="F1089" s="221"/>
      <c r="G1089" s="148"/>
      <c r="I1089" s="219">
        <v>33836964037</v>
      </c>
      <c r="J1089" s="219">
        <v>8674904268</v>
      </c>
    </row>
    <row r="1090" spans="2:10" x14ac:dyDescent="0.25">
      <c r="B1090" s="218">
        <v>43965</v>
      </c>
      <c r="C1090" s="217">
        <v>3238</v>
      </c>
      <c r="D1090" s="220" t="s">
        <v>1511</v>
      </c>
      <c r="E1090" s="220"/>
      <c r="F1090" s="221"/>
      <c r="G1090" s="148"/>
      <c r="I1090" s="219">
        <v>691667259075</v>
      </c>
      <c r="J1090" s="219">
        <v>9334562895</v>
      </c>
    </row>
    <row r="1091" spans="2:10" x14ac:dyDescent="0.25">
      <c r="B1091" s="218">
        <v>43966</v>
      </c>
      <c r="C1091" s="217">
        <v>3266</v>
      </c>
      <c r="D1091" s="220" t="s">
        <v>1512</v>
      </c>
      <c r="E1091" s="220"/>
      <c r="F1091" s="221"/>
      <c r="G1091" s="148"/>
      <c r="I1091" s="219">
        <v>401256893152</v>
      </c>
      <c r="J1091" s="219">
        <v>9955197873</v>
      </c>
    </row>
    <row r="1092" spans="2:10" x14ac:dyDescent="0.25">
      <c r="B1092" s="218">
        <v>43966</v>
      </c>
      <c r="C1092" s="217">
        <v>3267</v>
      </c>
      <c r="D1092" s="220" t="s">
        <v>1513</v>
      </c>
      <c r="E1092" s="220"/>
      <c r="F1092" s="221"/>
      <c r="G1092" s="148"/>
      <c r="I1092" s="219">
        <v>368120092689</v>
      </c>
      <c r="J1092" s="219">
        <v>7519933258</v>
      </c>
    </row>
    <row r="1093" spans="2:10" x14ac:dyDescent="0.25">
      <c r="B1093" s="218">
        <v>43966</v>
      </c>
      <c r="C1093" s="217">
        <v>3268</v>
      </c>
      <c r="D1093" s="220" t="s">
        <v>1514</v>
      </c>
      <c r="E1093" s="220"/>
      <c r="F1093" s="221"/>
      <c r="G1093" s="148"/>
      <c r="I1093" s="219">
        <v>449360310427</v>
      </c>
      <c r="J1093" s="219">
        <v>8797794295</v>
      </c>
    </row>
    <row r="1094" spans="2:10" x14ac:dyDescent="0.25">
      <c r="B1094" s="218">
        <v>43966</v>
      </c>
      <c r="C1094" s="217">
        <v>3269</v>
      </c>
      <c r="D1094" s="220" t="s">
        <v>1515</v>
      </c>
      <c r="E1094" s="220"/>
      <c r="F1094" s="221"/>
      <c r="G1094" s="148"/>
      <c r="I1094" s="219">
        <v>809803398957</v>
      </c>
      <c r="J1094" s="219">
        <v>8809361355</v>
      </c>
    </row>
    <row r="1095" spans="2:10" x14ac:dyDescent="0.25">
      <c r="B1095" s="218">
        <v>43966</v>
      </c>
      <c r="C1095" s="217">
        <v>3271</v>
      </c>
      <c r="D1095" s="220" t="s">
        <v>769</v>
      </c>
      <c r="E1095" s="220"/>
      <c r="F1095" s="221"/>
      <c r="G1095" s="148"/>
      <c r="I1095" s="219">
        <v>929357888454</v>
      </c>
      <c r="J1095" s="219">
        <v>7004326504</v>
      </c>
    </row>
    <row r="1096" spans="2:10" x14ac:dyDescent="0.25">
      <c r="B1096" s="218">
        <v>43966</v>
      </c>
      <c r="C1096" s="217">
        <v>3272</v>
      </c>
      <c r="D1096" s="220" t="s">
        <v>1516</v>
      </c>
      <c r="E1096" s="220"/>
      <c r="F1096" s="221"/>
      <c r="G1096" s="148"/>
      <c r="I1096" s="219">
        <v>295693795467</v>
      </c>
      <c r="J1096" s="219">
        <v>7292894723</v>
      </c>
    </row>
    <row r="1097" spans="2:10" x14ac:dyDescent="0.25">
      <c r="B1097" s="218">
        <v>43966</v>
      </c>
      <c r="C1097" s="217">
        <v>3274</v>
      </c>
      <c r="D1097" s="220" t="s">
        <v>1517</v>
      </c>
      <c r="E1097" s="220"/>
      <c r="F1097" s="221"/>
      <c r="G1097" s="148"/>
      <c r="I1097" s="219">
        <v>861549242859</v>
      </c>
      <c r="J1097" s="219">
        <v>9204244471</v>
      </c>
    </row>
    <row r="1098" spans="2:10" x14ac:dyDescent="0.25">
      <c r="B1098" s="218">
        <v>43966</v>
      </c>
      <c r="C1098" s="217">
        <v>3275</v>
      </c>
      <c r="D1098" s="220" t="s">
        <v>1518</v>
      </c>
      <c r="E1098" s="220"/>
      <c r="F1098" s="221"/>
      <c r="G1098" s="148"/>
      <c r="I1098" s="219">
        <v>746703305258</v>
      </c>
      <c r="J1098" s="219">
        <v>7280400289</v>
      </c>
    </row>
    <row r="1099" spans="2:10" x14ac:dyDescent="0.25">
      <c r="B1099" s="218">
        <v>43966</v>
      </c>
      <c r="C1099" s="217">
        <v>3276</v>
      </c>
      <c r="D1099" s="220" t="s">
        <v>1519</v>
      </c>
      <c r="E1099" s="220"/>
      <c r="F1099" s="221"/>
      <c r="G1099" s="148"/>
      <c r="I1099" s="219">
        <v>885035205082</v>
      </c>
      <c r="J1099" s="219">
        <v>7209293460</v>
      </c>
    </row>
    <row r="1100" spans="2:10" x14ac:dyDescent="0.25">
      <c r="B1100" s="218">
        <v>43966</v>
      </c>
      <c r="C1100" s="217">
        <v>3277</v>
      </c>
      <c r="D1100" s="220" t="s">
        <v>1520</v>
      </c>
      <c r="E1100" s="220"/>
      <c r="F1100" s="221"/>
      <c r="G1100" s="148"/>
      <c r="I1100" s="219">
        <v>266945775754</v>
      </c>
      <c r="J1100" s="219">
        <v>7667897565</v>
      </c>
    </row>
    <row r="1101" spans="2:10" x14ac:dyDescent="0.25">
      <c r="B1101" s="218">
        <v>43966</v>
      </c>
      <c r="C1101" s="217">
        <v>3279</v>
      </c>
      <c r="D1101" s="220" t="s">
        <v>1521</v>
      </c>
      <c r="E1101" s="220"/>
      <c r="F1101" s="221"/>
      <c r="G1101" s="148"/>
      <c r="I1101" s="219">
        <v>779167790644</v>
      </c>
      <c r="J1101" s="219">
        <v>8051293589</v>
      </c>
    </row>
    <row r="1102" spans="2:10" x14ac:dyDescent="0.25">
      <c r="B1102" s="218">
        <v>43966</v>
      </c>
      <c r="C1102" s="217">
        <v>3280</v>
      </c>
      <c r="D1102" s="220" t="s">
        <v>2211</v>
      </c>
      <c r="E1102" s="220"/>
      <c r="F1102" s="221"/>
      <c r="G1102" s="148"/>
      <c r="I1102" s="219">
        <v>406427611842</v>
      </c>
      <c r="J1102" s="219">
        <v>9693858545</v>
      </c>
    </row>
    <row r="1103" spans="2:10" x14ac:dyDescent="0.25">
      <c r="B1103" s="218">
        <v>43966</v>
      </c>
      <c r="C1103" s="217">
        <v>3281</v>
      </c>
      <c r="D1103" s="220" t="s">
        <v>1522</v>
      </c>
      <c r="E1103" s="220"/>
      <c r="F1103" s="221"/>
      <c r="G1103" s="148"/>
      <c r="I1103" s="219">
        <v>524587992358</v>
      </c>
      <c r="J1103" s="219">
        <v>6204179835</v>
      </c>
    </row>
    <row r="1104" spans="2:10" x14ac:dyDescent="0.25">
      <c r="B1104" s="218">
        <v>43966</v>
      </c>
      <c r="C1104" s="217">
        <v>3284</v>
      </c>
      <c r="D1104" s="220" t="s">
        <v>1523</v>
      </c>
      <c r="E1104" s="220"/>
      <c r="F1104" s="221"/>
      <c r="G1104" s="148"/>
      <c r="I1104" s="219">
        <v>981643489473</v>
      </c>
      <c r="J1104" s="219">
        <v>9199250480</v>
      </c>
    </row>
    <row r="1105" spans="2:10" x14ac:dyDescent="0.25">
      <c r="B1105" s="218">
        <v>43966</v>
      </c>
      <c r="C1105" s="217">
        <v>3288</v>
      </c>
      <c r="D1105" s="220" t="s">
        <v>1524</v>
      </c>
      <c r="E1105" s="220"/>
      <c r="F1105" s="221"/>
      <c r="G1105" s="148"/>
      <c r="I1105" s="219">
        <v>755366594211</v>
      </c>
      <c r="J1105" s="219">
        <v>8340724403</v>
      </c>
    </row>
    <row r="1106" spans="2:10" x14ac:dyDescent="0.25">
      <c r="B1106" s="218">
        <v>43966</v>
      </c>
      <c r="C1106" s="217">
        <v>3290</v>
      </c>
      <c r="D1106" s="220" t="s">
        <v>1525</v>
      </c>
      <c r="E1106" s="220"/>
      <c r="F1106" s="221"/>
      <c r="G1106" s="148"/>
      <c r="I1106" s="219">
        <v>379276272861</v>
      </c>
      <c r="J1106" s="219">
        <v>6202848097</v>
      </c>
    </row>
    <row r="1107" spans="2:10" x14ac:dyDescent="0.25">
      <c r="B1107" s="218">
        <v>43966</v>
      </c>
      <c r="C1107" s="217">
        <v>3292</v>
      </c>
      <c r="D1107" s="220" t="s">
        <v>1526</v>
      </c>
      <c r="E1107" s="220"/>
      <c r="F1107" s="221"/>
      <c r="G1107" s="148"/>
      <c r="I1107" s="219">
        <v>512237503608</v>
      </c>
      <c r="J1107" s="219">
        <v>6204709003</v>
      </c>
    </row>
    <row r="1108" spans="2:10" x14ac:dyDescent="0.25">
      <c r="B1108" s="218">
        <v>43966</v>
      </c>
      <c r="C1108" s="217">
        <v>3298</v>
      </c>
      <c r="D1108" s="220" t="s">
        <v>1527</v>
      </c>
      <c r="E1108" s="220"/>
      <c r="F1108" s="221"/>
      <c r="G1108" s="148"/>
      <c r="I1108" s="219">
        <v>547263072696</v>
      </c>
      <c r="J1108" s="219">
        <v>8797107528</v>
      </c>
    </row>
    <row r="1109" spans="2:10" x14ac:dyDescent="0.25">
      <c r="B1109" s="218">
        <v>43966</v>
      </c>
      <c r="C1109" s="217">
        <v>3302</v>
      </c>
      <c r="D1109" s="220" t="s">
        <v>1528</v>
      </c>
      <c r="E1109" s="220"/>
      <c r="F1109" s="221"/>
      <c r="G1109" s="148"/>
      <c r="I1109" s="219">
        <v>439304625473</v>
      </c>
      <c r="J1109" s="219">
        <v>7808482250</v>
      </c>
    </row>
    <row r="1110" spans="2:10" x14ac:dyDescent="0.25">
      <c r="B1110" s="218">
        <v>43966</v>
      </c>
      <c r="C1110" s="217">
        <v>3305</v>
      </c>
      <c r="D1110" s="220" t="s">
        <v>1529</v>
      </c>
      <c r="E1110" s="220"/>
      <c r="F1110" s="221"/>
      <c r="G1110" s="148"/>
      <c r="I1110" s="219">
        <v>902510224960</v>
      </c>
      <c r="J1110" s="219">
        <v>7209975843</v>
      </c>
    </row>
    <row r="1111" spans="2:10" x14ac:dyDescent="0.25">
      <c r="B1111" s="218">
        <v>43966</v>
      </c>
      <c r="C1111" s="217">
        <v>3307</v>
      </c>
      <c r="D1111" s="220" t="s">
        <v>1530</v>
      </c>
      <c r="E1111" s="220"/>
      <c r="F1111" s="221"/>
      <c r="G1111" s="148"/>
      <c r="I1111" s="219">
        <v>939757056443</v>
      </c>
      <c r="J1111" s="219">
        <v>6203041269</v>
      </c>
    </row>
    <row r="1112" spans="2:10" x14ac:dyDescent="0.25">
      <c r="B1112" s="218">
        <v>43966</v>
      </c>
      <c r="C1112" s="217">
        <v>3311</v>
      </c>
      <c r="D1112" s="220" t="s">
        <v>1531</v>
      </c>
      <c r="E1112" s="220"/>
      <c r="F1112" s="221"/>
      <c r="G1112" s="148"/>
      <c r="I1112" s="219">
        <v>314256908606</v>
      </c>
      <c r="J1112" s="219">
        <v>8102569323</v>
      </c>
    </row>
    <row r="1113" spans="2:10" x14ac:dyDescent="0.25">
      <c r="B1113" s="218">
        <v>43966</v>
      </c>
      <c r="C1113" s="217">
        <v>3312</v>
      </c>
      <c r="D1113" s="220" t="s">
        <v>1532</v>
      </c>
      <c r="E1113" s="220"/>
      <c r="F1113" s="221"/>
      <c r="G1113" s="148"/>
      <c r="I1113" s="219">
        <v>763402700468</v>
      </c>
      <c r="J1113" s="219">
        <v>9304058763</v>
      </c>
    </row>
    <row r="1114" spans="2:10" x14ac:dyDescent="0.25">
      <c r="B1114" s="218">
        <v>43966</v>
      </c>
      <c r="C1114" s="217">
        <v>3314</v>
      </c>
      <c r="D1114" s="220" t="s">
        <v>1533</v>
      </c>
      <c r="E1114" s="220"/>
      <c r="F1114" s="221"/>
      <c r="G1114" s="148"/>
      <c r="I1114" s="219">
        <v>918420133684</v>
      </c>
      <c r="J1114" s="219">
        <v>9123226878</v>
      </c>
    </row>
    <row r="1115" spans="2:10" x14ac:dyDescent="0.25">
      <c r="B1115" s="218">
        <v>43966</v>
      </c>
      <c r="C1115" s="217">
        <v>3315</v>
      </c>
      <c r="D1115" s="220" t="s">
        <v>37</v>
      </c>
      <c r="E1115" s="220"/>
      <c r="F1115" s="221"/>
      <c r="G1115" s="148"/>
      <c r="I1115" s="219">
        <v>750334648290</v>
      </c>
      <c r="J1115" s="219">
        <v>9304087474</v>
      </c>
    </row>
    <row r="1116" spans="2:10" x14ac:dyDescent="0.25">
      <c r="B1116" s="218">
        <v>43966</v>
      </c>
      <c r="C1116" s="217">
        <v>3325</v>
      </c>
      <c r="D1116" s="220" t="s">
        <v>1534</v>
      </c>
      <c r="E1116" s="220"/>
      <c r="F1116" s="221"/>
      <c r="G1116" s="148"/>
      <c r="I1116" s="219">
        <v>826798110851</v>
      </c>
      <c r="J1116" s="219">
        <v>8252768647</v>
      </c>
    </row>
    <row r="1117" spans="2:10" x14ac:dyDescent="0.25">
      <c r="B1117" s="218">
        <v>43966</v>
      </c>
      <c r="C1117" s="217">
        <v>3327</v>
      </c>
      <c r="D1117" s="220" t="s">
        <v>1535</v>
      </c>
      <c r="E1117" s="220"/>
      <c r="F1117" s="222">
        <v>26760</v>
      </c>
      <c r="G1117" s="148" t="s">
        <v>2047</v>
      </c>
      <c r="I1117" s="219">
        <v>265965169399</v>
      </c>
      <c r="J1117" s="219">
        <v>6204126048</v>
      </c>
    </row>
    <row r="1118" spans="2:10" x14ac:dyDescent="0.25">
      <c r="B1118" s="218">
        <v>43966</v>
      </c>
      <c r="C1118" s="217">
        <v>3328</v>
      </c>
      <c r="D1118" s="220" t="s">
        <v>1536</v>
      </c>
      <c r="E1118" s="220"/>
      <c r="F1118" s="221"/>
      <c r="G1118" s="148"/>
      <c r="I1118" s="219">
        <v>789517521920</v>
      </c>
      <c r="J1118" s="219">
        <v>7033628324</v>
      </c>
    </row>
    <row r="1119" spans="2:10" x14ac:dyDescent="0.25">
      <c r="B1119" s="218">
        <v>43966</v>
      </c>
      <c r="C1119" s="217">
        <v>3330</v>
      </c>
      <c r="D1119" s="220" t="s">
        <v>1537</v>
      </c>
      <c r="E1119" s="220"/>
      <c r="F1119" s="221"/>
      <c r="G1119" s="148"/>
      <c r="I1119" s="219">
        <v>233269365434</v>
      </c>
      <c r="J1119" s="219">
        <v>9031776803</v>
      </c>
    </row>
    <row r="1120" spans="2:10" x14ac:dyDescent="0.25">
      <c r="B1120" s="218">
        <v>43966</v>
      </c>
      <c r="C1120" s="217">
        <v>3331</v>
      </c>
      <c r="D1120" s="220" t="s">
        <v>1538</v>
      </c>
      <c r="E1120" s="220"/>
      <c r="F1120" s="221"/>
      <c r="G1120" s="148"/>
      <c r="I1120" s="219">
        <v>838817371781</v>
      </c>
      <c r="J1120" s="219">
        <v>7488404617</v>
      </c>
    </row>
    <row r="1121" spans="2:10" x14ac:dyDescent="0.25">
      <c r="B1121" s="218">
        <v>43966</v>
      </c>
      <c r="C1121" s="217">
        <v>3332</v>
      </c>
      <c r="D1121" s="220" t="s">
        <v>1539</v>
      </c>
      <c r="E1121" s="220"/>
      <c r="F1121" s="221"/>
      <c r="G1121" s="148"/>
      <c r="I1121" s="219">
        <v>398492290901</v>
      </c>
      <c r="J1121" s="219">
        <v>6206399242</v>
      </c>
    </row>
    <row r="1122" spans="2:10" x14ac:dyDescent="0.25">
      <c r="B1122" s="218">
        <v>43966</v>
      </c>
      <c r="C1122" s="217">
        <v>3335</v>
      </c>
      <c r="D1122" s="220" t="s">
        <v>1540</v>
      </c>
      <c r="E1122" s="220"/>
      <c r="F1122" s="221"/>
      <c r="G1122" s="148"/>
      <c r="I1122" s="219">
        <v>767626853745</v>
      </c>
      <c r="J1122" s="219">
        <v>9162592469</v>
      </c>
    </row>
    <row r="1123" spans="2:10" x14ac:dyDescent="0.25">
      <c r="B1123" s="218">
        <v>43966</v>
      </c>
      <c r="C1123" s="217">
        <v>3336</v>
      </c>
      <c r="D1123" s="220" t="s">
        <v>1541</v>
      </c>
      <c r="E1123" s="220"/>
      <c r="F1123" s="221"/>
      <c r="G1123" s="148"/>
      <c r="I1123" s="219">
        <v>202747907647</v>
      </c>
      <c r="J1123" s="219">
        <v>7481893131</v>
      </c>
    </row>
    <row r="1124" spans="2:10" x14ac:dyDescent="0.25">
      <c r="B1124" s="218">
        <v>43966</v>
      </c>
      <c r="C1124" s="217">
        <v>3338</v>
      </c>
      <c r="D1124" s="220" t="s">
        <v>1542</v>
      </c>
      <c r="E1124" s="220"/>
      <c r="F1124" s="221"/>
      <c r="G1124" s="148"/>
      <c r="I1124" s="219">
        <v>330337148786</v>
      </c>
      <c r="J1124" s="219">
        <v>8797944750</v>
      </c>
    </row>
    <row r="1125" spans="2:10" x14ac:dyDescent="0.25">
      <c r="B1125" s="218">
        <v>43966</v>
      </c>
      <c r="C1125" s="217">
        <v>3340</v>
      </c>
      <c r="D1125" s="220" t="s">
        <v>1543</v>
      </c>
      <c r="E1125" s="220"/>
      <c r="F1125" s="221" t="s">
        <v>481</v>
      </c>
      <c r="G1125" s="148"/>
      <c r="H1125" s="214">
        <v>100</v>
      </c>
      <c r="I1125" s="219">
        <v>840315716239</v>
      </c>
      <c r="J1125" s="219">
        <v>9304904721</v>
      </c>
    </row>
    <row r="1126" spans="2:10" x14ac:dyDescent="0.25">
      <c r="B1126" s="218">
        <v>43966</v>
      </c>
      <c r="C1126" s="217">
        <v>3342</v>
      </c>
      <c r="D1126" s="220" t="s">
        <v>1544</v>
      </c>
      <c r="E1126" s="220"/>
      <c r="F1126" s="221"/>
      <c r="G1126" s="148"/>
      <c r="I1126" s="219">
        <v>602190980207</v>
      </c>
      <c r="J1126" s="219">
        <v>8092461729</v>
      </c>
    </row>
    <row r="1127" spans="2:10" x14ac:dyDescent="0.25">
      <c r="B1127" s="218">
        <v>43966</v>
      </c>
      <c r="C1127" s="217">
        <v>3343</v>
      </c>
      <c r="D1127" s="220" t="s">
        <v>1545</v>
      </c>
      <c r="E1127" s="220"/>
      <c r="F1127" s="221"/>
      <c r="G1127" s="148"/>
      <c r="I1127" s="219">
        <v>362915392441</v>
      </c>
      <c r="J1127" s="219">
        <v>6203148505</v>
      </c>
    </row>
    <row r="1128" spans="2:10" x14ac:dyDescent="0.25">
      <c r="B1128" s="218">
        <v>43966</v>
      </c>
      <c r="C1128" s="217">
        <v>3345</v>
      </c>
      <c r="D1128" s="220" t="s">
        <v>1546</v>
      </c>
      <c r="E1128" s="220"/>
      <c r="F1128" s="221"/>
      <c r="G1128" s="148"/>
      <c r="I1128" s="219">
        <v>456471967096</v>
      </c>
      <c r="J1128" s="219">
        <v>9608331998</v>
      </c>
    </row>
    <row r="1129" spans="2:10" x14ac:dyDescent="0.25">
      <c r="B1129" s="218">
        <v>43966</v>
      </c>
      <c r="C1129" s="217">
        <v>3347</v>
      </c>
      <c r="D1129" s="220" t="s">
        <v>1547</v>
      </c>
      <c r="E1129" s="220"/>
      <c r="F1129" s="221"/>
      <c r="G1129" s="148"/>
      <c r="I1129" s="219">
        <v>687359172175</v>
      </c>
      <c r="J1129" s="219">
        <v>9431345663</v>
      </c>
    </row>
    <row r="1130" spans="2:10" x14ac:dyDescent="0.25">
      <c r="B1130" s="218">
        <v>43966</v>
      </c>
      <c r="C1130" s="217">
        <v>3348</v>
      </c>
      <c r="D1130" s="220" t="s">
        <v>1548</v>
      </c>
      <c r="E1130" s="220"/>
      <c r="F1130" s="221"/>
      <c r="G1130" s="148"/>
      <c r="I1130" s="219">
        <v>491735956798</v>
      </c>
      <c r="J1130" s="219">
        <v>9031392110</v>
      </c>
    </row>
    <row r="1131" spans="2:10" x14ac:dyDescent="0.25">
      <c r="B1131" s="218">
        <v>43966</v>
      </c>
      <c r="C1131" s="217">
        <v>3351</v>
      </c>
      <c r="D1131" s="220" t="s">
        <v>1549</v>
      </c>
      <c r="E1131" s="220"/>
      <c r="F1131" s="221"/>
      <c r="G1131" s="148"/>
      <c r="I1131" s="219">
        <v>507721033009</v>
      </c>
      <c r="J1131" s="219">
        <v>8092248700</v>
      </c>
    </row>
    <row r="1132" spans="2:10" x14ac:dyDescent="0.25">
      <c r="B1132" s="218">
        <v>43966</v>
      </c>
      <c r="C1132" s="217">
        <v>3354</v>
      </c>
      <c r="D1132" s="220" t="s">
        <v>1550</v>
      </c>
      <c r="E1132" s="220"/>
      <c r="F1132" s="221"/>
      <c r="G1132" s="148"/>
      <c r="I1132" s="219">
        <v>443172727596</v>
      </c>
      <c r="J1132" s="219">
        <v>9234013057</v>
      </c>
    </row>
    <row r="1133" spans="2:10" x14ac:dyDescent="0.25">
      <c r="B1133" s="218">
        <v>43966</v>
      </c>
      <c r="C1133" s="217">
        <v>3357</v>
      </c>
      <c r="D1133" s="220" t="s">
        <v>1551</v>
      </c>
      <c r="E1133" s="220"/>
      <c r="F1133" s="221"/>
      <c r="G1133" s="148"/>
      <c r="I1133" s="219">
        <v>379920279444</v>
      </c>
      <c r="J1133" s="219">
        <v>8102066266</v>
      </c>
    </row>
    <row r="1134" spans="2:10" x14ac:dyDescent="0.25">
      <c r="B1134" s="218">
        <v>43966</v>
      </c>
      <c r="C1134" s="217">
        <v>3358</v>
      </c>
      <c r="D1134" s="220" t="s">
        <v>1552</v>
      </c>
      <c r="E1134" s="220"/>
      <c r="F1134" s="221"/>
      <c r="G1134" s="148"/>
      <c r="I1134" s="219">
        <v>563417860506</v>
      </c>
      <c r="J1134" s="219">
        <v>7209442958</v>
      </c>
    </row>
    <row r="1135" spans="2:10" x14ac:dyDescent="0.25">
      <c r="B1135" s="218">
        <v>43966</v>
      </c>
      <c r="C1135" s="217">
        <v>3361</v>
      </c>
      <c r="D1135" s="220" t="s">
        <v>1553</v>
      </c>
      <c r="E1135" s="220"/>
      <c r="F1135" s="221"/>
      <c r="G1135" s="148"/>
      <c r="I1135" s="219">
        <v>279699806496</v>
      </c>
      <c r="J1135" s="219">
        <v>9534109842</v>
      </c>
    </row>
    <row r="1136" spans="2:10" x14ac:dyDescent="0.25">
      <c r="B1136" s="218">
        <v>43966</v>
      </c>
      <c r="C1136" s="217">
        <v>3364</v>
      </c>
      <c r="D1136" s="220" t="s">
        <v>1554</v>
      </c>
      <c r="E1136" s="220"/>
      <c r="F1136" s="221"/>
      <c r="G1136" s="148"/>
      <c r="I1136" s="219">
        <v>339028771447</v>
      </c>
      <c r="J1136" s="219">
        <v>8969743217</v>
      </c>
    </row>
    <row r="1137" spans="2:10" x14ac:dyDescent="0.25">
      <c r="B1137" s="218">
        <v>43966</v>
      </c>
      <c r="C1137" s="217">
        <v>3365</v>
      </c>
      <c r="D1137" s="220" t="s">
        <v>1555</v>
      </c>
      <c r="E1137" s="220"/>
      <c r="F1137" s="221"/>
      <c r="G1137" s="148"/>
      <c r="I1137" s="219">
        <v>314742023056</v>
      </c>
      <c r="J1137" s="219">
        <v>6202035484</v>
      </c>
    </row>
    <row r="1138" spans="2:10" x14ac:dyDescent="0.25">
      <c r="B1138" s="218">
        <v>43966</v>
      </c>
      <c r="C1138" s="217">
        <v>3367</v>
      </c>
      <c r="D1138" s="220" t="s">
        <v>1339</v>
      </c>
      <c r="E1138" s="220"/>
      <c r="F1138" s="221"/>
      <c r="G1138" s="148"/>
      <c r="I1138" s="219">
        <v>427013205096</v>
      </c>
      <c r="J1138" s="219">
        <v>7209392538</v>
      </c>
    </row>
    <row r="1139" spans="2:10" x14ac:dyDescent="0.25">
      <c r="B1139" s="218">
        <v>43966</v>
      </c>
      <c r="C1139" s="217">
        <v>3369</v>
      </c>
      <c r="D1139" s="220" t="s">
        <v>1556</v>
      </c>
      <c r="E1139" s="220"/>
      <c r="F1139" s="221"/>
      <c r="G1139" s="148"/>
      <c r="I1139" s="219">
        <v>364817410003</v>
      </c>
      <c r="J1139" s="219">
        <v>8809295817</v>
      </c>
    </row>
    <row r="1140" spans="2:10" x14ac:dyDescent="0.25">
      <c r="B1140" s="218">
        <v>43966</v>
      </c>
      <c r="C1140" s="217">
        <v>3375</v>
      </c>
      <c r="D1140" s="220" t="s">
        <v>1627</v>
      </c>
      <c r="E1140" s="220"/>
      <c r="F1140" s="221"/>
      <c r="G1140" s="214" t="s">
        <v>1626</v>
      </c>
      <c r="H1140" s="214">
        <v>100</v>
      </c>
      <c r="I1140" s="219">
        <v>245582289827</v>
      </c>
      <c r="J1140" s="219">
        <v>8292574194</v>
      </c>
    </row>
    <row r="1141" spans="2:10" x14ac:dyDescent="0.25">
      <c r="B1141" s="218">
        <v>43966</v>
      </c>
      <c r="C1141" s="217">
        <v>3377</v>
      </c>
      <c r="D1141" s="220" t="s">
        <v>1557</v>
      </c>
      <c r="E1141" s="220"/>
      <c r="F1141" s="221"/>
      <c r="G1141" s="148"/>
      <c r="I1141" s="219">
        <v>702583905701</v>
      </c>
      <c r="J1141" s="219">
        <v>8114579151</v>
      </c>
    </row>
    <row r="1142" spans="2:10" x14ac:dyDescent="0.25">
      <c r="B1142" s="218">
        <v>43966</v>
      </c>
      <c r="C1142" s="217">
        <v>3379</v>
      </c>
      <c r="D1142" s="220" t="s">
        <v>1558</v>
      </c>
      <c r="E1142" s="220"/>
      <c r="F1142" s="221"/>
      <c r="G1142" s="148"/>
      <c r="I1142" s="219">
        <v>795611733154</v>
      </c>
      <c r="J1142" s="219">
        <v>7870317642</v>
      </c>
    </row>
    <row r="1143" spans="2:10" x14ac:dyDescent="0.25">
      <c r="B1143" s="218">
        <v>43966</v>
      </c>
      <c r="C1143" s="217">
        <v>3381</v>
      </c>
      <c r="D1143" s="220" t="s">
        <v>1559</v>
      </c>
      <c r="E1143" s="220"/>
      <c r="F1143" s="221"/>
      <c r="G1143" s="148"/>
      <c r="I1143" s="219">
        <v>648249705717</v>
      </c>
      <c r="J1143" s="219">
        <v>9334454704</v>
      </c>
    </row>
    <row r="1144" spans="2:10" x14ac:dyDescent="0.25">
      <c r="B1144" s="218">
        <v>43966</v>
      </c>
      <c r="C1144" s="217">
        <v>3384</v>
      </c>
      <c r="D1144" s="220" t="s">
        <v>1560</v>
      </c>
      <c r="E1144" s="220"/>
      <c r="F1144" s="221"/>
      <c r="G1144" s="148"/>
      <c r="I1144" s="219">
        <v>558398917152</v>
      </c>
      <c r="J1144" s="219">
        <v>9709183098</v>
      </c>
    </row>
    <row r="1145" spans="2:10" x14ac:dyDescent="0.25">
      <c r="B1145" s="218">
        <v>43966</v>
      </c>
      <c r="C1145" s="217">
        <v>3387</v>
      </c>
      <c r="D1145" s="220" t="s">
        <v>1561</v>
      </c>
      <c r="E1145" s="220"/>
      <c r="F1145" s="221"/>
      <c r="G1145" s="148"/>
      <c r="I1145" s="219">
        <v>833627108810</v>
      </c>
      <c r="J1145" s="219">
        <v>9576814709</v>
      </c>
    </row>
    <row r="1146" spans="2:10" x14ac:dyDescent="0.25">
      <c r="B1146" s="218">
        <v>43966</v>
      </c>
      <c r="C1146" s="217">
        <v>3389</v>
      </c>
      <c r="D1146" s="220" t="s">
        <v>1562</v>
      </c>
      <c r="E1146" s="220"/>
      <c r="F1146" s="221"/>
      <c r="G1146" s="148"/>
      <c r="I1146" s="219">
        <v>661873015714</v>
      </c>
      <c r="J1146" s="219">
        <v>8863950576</v>
      </c>
    </row>
    <row r="1147" spans="2:10" x14ac:dyDescent="0.25">
      <c r="B1147" s="218">
        <v>43969</v>
      </c>
      <c r="C1147" s="217">
        <v>3457</v>
      </c>
      <c r="D1147" s="220" t="s">
        <v>1563</v>
      </c>
      <c r="E1147" s="220"/>
      <c r="F1147" s="221"/>
      <c r="G1147" s="148"/>
      <c r="I1147" s="219">
        <v>275073582692</v>
      </c>
      <c r="J1147" s="219">
        <v>9204700325</v>
      </c>
    </row>
    <row r="1148" spans="2:10" x14ac:dyDescent="0.25">
      <c r="B1148" s="218">
        <v>43969</v>
      </c>
      <c r="C1148" s="217">
        <v>3459</v>
      </c>
      <c r="D1148" s="220" t="s">
        <v>1564</v>
      </c>
      <c r="E1148" s="220"/>
      <c r="F1148" s="221"/>
      <c r="G1148" s="148"/>
      <c r="I1148" s="219">
        <v>268914338877</v>
      </c>
      <c r="J1148" s="219">
        <v>9709541239</v>
      </c>
    </row>
    <row r="1149" spans="2:10" x14ac:dyDescent="0.25">
      <c r="B1149" s="218">
        <v>43969</v>
      </c>
      <c r="C1149" s="217">
        <v>3460</v>
      </c>
      <c r="D1149" s="220" t="s">
        <v>1565</v>
      </c>
      <c r="E1149" s="220"/>
      <c r="F1149" s="221"/>
      <c r="G1149" s="148"/>
      <c r="I1149" s="219">
        <v>546769573082</v>
      </c>
      <c r="J1149" s="219">
        <v>8797322523</v>
      </c>
    </row>
    <row r="1150" spans="2:10" x14ac:dyDescent="0.25">
      <c r="B1150" s="218">
        <v>43969</v>
      </c>
      <c r="C1150" s="217">
        <v>3461</v>
      </c>
      <c r="D1150" s="220" t="s">
        <v>1566</v>
      </c>
      <c r="E1150" s="220"/>
      <c r="F1150" s="221"/>
      <c r="G1150" s="148"/>
      <c r="I1150" s="219">
        <v>334951665654</v>
      </c>
      <c r="J1150" s="219">
        <v>9470568644</v>
      </c>
    </row>
    <row r="1151" spans="2:10" x14ac:dyDescent="0.25">
      <c r="B1151" s="218">
        <v>43969</v>
      </c>
      <c r="C1151" s="217">
        <v>3463</v>
      </c>
      <c r="D1151" s="220" t="s">
        <v>1567</v>
      </c>
      <c r="E1151" s="220"/>
      <c r="F1151" s="221"/>
      <c r="G1151" s="148"/>
      <c r="I1151" s="219">
        <v>455232071179</v>
      </c>
      <c r="J1151" s="219"/>
    </row>
    <row r="1152" spans="2:10" x14ac:dyDescent="0.25">
      <c r="B1152" s="218">
        <v>43969</v>
      </c>
      <c r="C1152" s="217">
        <v>3465</v>
      </c>
      <c r="D1152" s="220" t="s">
        <v>1568</v>
      </c>
      <c r="E1152" s="220"/>
      <c r="F1152" s="221"/>
      <c r="G1152" s="148"/>
      <c r="I1152" s="219">
        <v>944897027514</v>
      </c>
      <c r="J1152" s="219">
        <v>7992277806</v>
      </c>
    </row>
    <row r="1153" spans="2:10" x14ac:dyDescent="0.25">
      <c r="B1153" s="218">
        <v>43969</v>
      </c>
      <c r="C1153" s="217">
        <v>3466</v>
      </c>
      <c r="D1153" s="220" t="s">
        <v>1569</v>
      </c>
      <c r="E1153" s="220"/>
      <c r="F1153" s="221"/>
      <c r="G1153" s="148"/>
      <c r="I1153" s="219"/>
      <c r="J1153" s="219">
        <v>8092709801</v>
      </c>
    </row>
    <row r="1154" spans="2:10" x14ac:dyDescent="0.25">
      <c r="B1154" s="218">
        <v>43969</v>
      </c>
      <c r="C1154" s="217">
        <v>3468</v>
      </c>
      <c r="D1154" s="220" t="s">
        <v>1570</v>
      </c>
      <c r="E1154" s="220"/>
      <c r="F1154" s="221"/>
      <c r="G1154" s="148"/>
      <c r="I1154" s="219">
        <v>698004860807</v>
      </c>
      <c r="J1154" s="219">
        <v>9334515495</v>
      </c>
    </row>
    <row r="1155" spans="2:10" x14ac:dyDescent="0.25">
      <c r="B1155" s="218">
        <v>43969</v>
      </c>
      <c r="C1155" s="217">
        <v>3471</v>
      </c>
      <c r="D1155" s="220" t="s">
        <v>1571</v>
      </c>
      <c r="E1155" s="220"/>
      <c r="F1155" s="221"/>
      <c r="G1155" s="148"/>
      <c r="I1155" s="219">
        <v>201268454321</v>
      </c>
      <c r="J1155" s="219">
        <v>9934889350</v>
      </c>
    </row>
    <row r="1156" spans="2:10" x14ac:dyDescent="0.25">
      <c r="B1156" s="218">
        <v>43969</v>
      </c>
      <c r="C1156" s="217">
        <v>3472</v>
      </c>
      <c r="D1156" s="220" t="s">
        <v>2961</v>
      </c>
      <c r="E1156" s="220"/>
      <c r="F1156" s="221"/>
      <c r="G1156" s="148"/>
      <c r="I1156" s="219">
        <v>580511281090</v>
      </c>
      <c r="J1156" s="219">
        <v>7349898912</v>
      </c>
    </row>
    <row r="1157" spans="2:10" x14ac:dyDescent="0.25">
      <c r="B1157" s="218">
        <v>43969</v>
      </c>
      <c r="C1157" s="217">
        <v>3474</v>
      </c>
      <c r="D1157" s="220" t="s">
        <v>1572</v>
      </c>
      <c r="E1157" s="220"/>
      <c r="F1157" s="221"/>
      <c r="G1157" s="148"/>
      <c r="I1157" s="219">
        <v>583055834732</v>
      </c>
      <c r="J1157" s="219">
        <v>6203164352</v>
      </c>
    </row>
    <row r="1158" spans="2:10" x14ac:dyDescent="0.25">
      <c r="B1158" s="218">
        <v>43969</v>
      </c>
      <c r="C1158" s="217">
        <v>3475</v>
      </c>
      <c r="D1158" s="220" t="s">
        <v>1573</v>
      </c>
      <c r="E1158" s="220"/>
      <c r="F1158" s="221"/>
      <c r="G1158" s="148"/>
      <c r="I1158" s="219">
        <v>492812047957</v>
      </c>
      <c r="J1158" s="219">
        <v>7250996861</v>
      </c>
    </row>
    <row r="1159" spans="2:10" x14ac:dyDescent="0.25">
      <c r="B1159" s="218">
        <v>43969</v>
      </c>
      <c r="C1159" s="217">
        <v>3478</v>
      </c>
      <c r="D1159" s="220" t="s">
        <v>1574</v>
      </c>
      <c r="E1159" s="220"/>
      <c r="F1159" s="221"/>
      <c r="G1159" s="148"/>
      <c r="I1159" s="219">
        <v>239569864731</v>
      </c>
      <c r="J1159" s="219">
        <v>7250996861</v>
      </c>
    </row>
    <row r="1160" spans="2:10" x14ac:dyDescent="0.25">
      <c r="B1160" s="218">
        <v>43969</v>
      </c>
      <c r="C1160" s="217">
        <v>3479</v>
      </c>
      <c r="D1160" s="220" t="s">
        <v>1575</v>
      </c>
      <c r="E1160" s="220"/>
      <c r="F1160" s="221"/>
      <c r="G1160" s="148"/>
      <c r="I1160" s="219">
        <v>930450599561</v>
      </c>
      <c r="J1160" s="219">
        <v>6202860069</v>
      </c>
    </row>
    <row r="1161" spans="2:10" x14ac:dyDescent="0.25">
      <c r="B1161" s="218">
        <v>43969</v>
      </c>
      <c r="C1161" s="217">
        <v>3482</v>
      </c>
      <c r="D1161" s="220" t="s">
        <v>1576</v>
      </c>
      <c r="E1161" s="220"/>
      <c r="F1161" s="221"/>
      <c r="G1161" s="148"/>
      <c r="I1161" s="219">
        <v>468173736333</v>
      </c>
      <c r="J1161" s="219">
        <v>9608718228</v>
      </c>
    </row>
    <row r="1162" spans="2:10" x14ac:dyDescent="0.25">
      <c r="B1162" s="218">
        <v>43969</v>
      </c>
      <c r="C1162" s="217">
        <v>3485</v>
      </c>
      <c r="D1162" s="220" t="s">
        <v>1577</v>
      </c>
      <c r="E1162" s="220"/>
      <c r="F1162" s="221"/>
      <c r="G1162" s="148"/>
      <c r="I1162" s="219">
        <v>688450879416</v>
      </c>
      <c r="J1162" s="219">
        <v>9507189364</v>
      </c>
    </row>
    <row r="1163" spans="2:10" x14ac:dyDescent="0.25">
      <c r="B1163" s="218">
        <v>43969</v>
      </c>
      <c r="C1163" s="217">
        <v>3486</v>
      </c>
      <c r="D1163" s="220" t="s">
        <v>1578</v>
      </c>
      <c r="E1163" s="220"/>
      <c r="F1163" s="221"/>
      <c r="G1163" s="148"/>
      <c r="I1163" s="219">
        <v>749786009100</v>
      </c>
      <c r="J1163" s="219">
        <v>9234762289</v>
      </c>
    </row>
    <row r="1164" spans="2:10" x14ac:dyDescent="0.25">
      <c r="B1164" s="218">
        <v>43969</v>
      </c>
      <c r="C1164" s="217">
        <v>3489</v>
      </c>
      <c r="D1164" s="220" t="s">
        <v>1579</v>
      </c>
      <c r="E1164" s="220"/>
      <c r="F1164" s="221"/>
      <c r="G1164" s="148"/>
      <c r="I1164" s="219">
        <v>401595986586</v>
      </c>
      <c r="J1164" s="219">
        <v>7903796761</v>
      </c>
    </row>
    <row r="1165" spans="2:10" x14ac:dyDescent="0.25">
      <c r="B1165" s="218">
        <v>43969</v>
      </c>
      <c r="C1165" s="217">
        <v>3490</v>
      </c>
      <c r="D1165" s="220" t="s">
        <v>1580</v>
      </c>
      <c r="E1165" s="220"/>
      <c r="F1165" s="221"/>
      <c r="G1165" s="148"/>
      <c r="I1165" s="219">
        <v>262238866584</v>
      </c>
      <c r="J1165" s="219">
        <v>8709717436</v>
      </c>
    </row>
    <row r="1166" spans="2:10" x14ac:dyDescent="0.25">
      <c r="B1166" s="218">
        <v>43969</v>
      </c>
      <c r="C1166" s="217">
        <v>3494</v>
      </c>
      <c r="D1166" s="220" t="s">
        <v>1581</v>
      </c>
      <c r="E1166" s="220"/>
      <c r="F1166" s="221"/>
      <c r="G1166" s="148"/>
      <c r="I1166" s="219">
        <v>764341770516</v>
      </c>
      <c r="J1166" s="219">
        <v>8603616953</v>
      </c>
    </row>
    <row r="1167" spans="2:10" x14ac:dyDescent="0.25">
      <c r="B1167" s="218">
        <v>43969</v>
      </c>
      <c r="C1167" s="217">
        <v>3496</v>
      </c>
      <c r="D1167" s="220" t="s">
        <v>1582</v>
      </c>
      <c r="E1167" s="220"/>
      <c r="F1167" s="221"/>
      <c r="G1167" s="148"/>
      <c r="I1167" s="219">
        <v>488620975128</v>
      </c>
      <c r="J1167" s="219">
        <v>9334744335</v>
      </c>
    </row>
    <row r="1168" spans="2:10" x14ac:dyDescent="0.25">
      <c r="B1168" s="218">
        <v>43969</v>
      </c>
      <c r="C1168" s="217">
        <v>3499</v>
      </c>
      <c r="D1168" s="220" t="s">
        <v>1583</v>
      </c>
      <c r="E1168" s="220"/>
      <c r="F1168" s="221"/>
      <c r="G1168" s="148"/>
      <c r="I1168" s="219">
        <v>216353183353</v>
      </c>
      <c r="J1168" s="219">
        <v>7079677389</v>
      </c>
    </row>
    <row r="1169" spans="2:10" x14ac:dyDescent="0.25">
      <c r="B1169" s="218">
        <v>43969</v>
      </c>
      <c r="C1169" s="217">
        <v>3500</v>
      </c>
      <c r="D1169" s="220" t="s">
        <v>1584</v>
      </c>
      <c r="E1169" s="220"/>
      <c r="F1169" s="221"/>
      <c r="G1169" s="148"/>
      <c r="I1169" s="219">
        <v>560418291845</v>
      </c>
      <c r="J1169" s="219">
        <v>9110977620</v>
      </c>
    </row>
    <row r="1170" spans="2:10" x14ac:dyDescent="0.25">
      <c r="B1170" s="218">
        <v>43969</v>
      </c>
      <c r="C1170" s="217">
        <v>3501</v>
      </c>
      <c r="D1170" s="220" t="s">
        <v>1585</v>
      </c>
      <c r="E1170" s="220"/>
      <c r="F1170" s="221"/>
      <c r="G1170" s="148"/>
      <c r="I1170" s="219">
        <v>697489033268</v>
      </c>
      <c r="J1170" s="219">
        <v>6206003607</v>
      </c>
    </row>
    <row r="1171" spans="2:10" x14ac:dyDescent="0.25">
      <c r="B1171" s="218">
        <v>43969</v>
      </c>
      <c r="C1171" s="217">
        <v>3502</v>
      </c>
      <c r="D1171" s="220" t="s">
        <v>1586</v>
      </c>
      <c r="E1171" s="220"/>
      <c r="F1171" s="221"/>
      <c r="G1171" s="148"/>
      <c r="I1171" s="219">
        <v>216710508020</v>
      </c>
      <c r="J1171" s="219">
        <v>9431370524</v>
      </c>
    </row>
    <row r="1172" spans="2:10" x14ac:dyDescent="0.25">
      <c r="B1172" s="218">
        <v>43969</v>
      </c>
      <c r="C1172" s="217">
        <v>3503</v>
      </c>
      <c r="D1172" s="220" t="s">
        <v>1587</v>
      </c>
      <c r="E1172" s="220"/>
      <c r="F1172" s="221"/>
      <c r="G1172" s="148"/>
      <c r="I1172" s="219">
        <v>996823706242</v>
      </c>
      <c r="J1172" s="219">
        <v>6204242524</v>
      </c>
    </row>
    <row r="1173" spans="2:10" x14ac:dyDescent="0.25">
      <c r="B1173" s="218">
        <v>43969</v>
      </c>
      <c r="C1173" s="217">
        <v>3504</v>
      </c>
      <c r="D1173" s="220" t="s">
        <v>1588</v>
      </c>
      <c r="E1173" s="220"/>
      <c r="F1173" s="221"/>
      <c r="G1173" s="148"/>
      <c r="I1173" s="219">
        <v>960799703218</v>
      </c>
      <c r="J1173" s="219">
        <v>9955487262</v>
      </c>
    </row>
    <row r="1174" spans="2:10" x14ac:dyDescent="0.25">
      <c r="B1174" s="218">
        <v>43969</v>
      </c>
      <c r="C1174" s="217">
        <v>3505</v>
      </c>
      <c r="D1174" s="220" t="s">
        <v>1589</v>
      </c>
      <c r="E1174" s="220"/>
      <c r="F1174" s="221"/>
      <c r="G1174" s="148"/>
      <c r="I1174" s="219">
        <v>323518143679</v>
      </c>
      <c r="J1174" s="219">
        <v>9204635413</v>
      </c>
    </row>
    <row r="1175" spans="2:10" x14ac:dyDescent="0.25">
      <c r="B1175" s="218">
        <v>43969</v>
      </c>
      <c r="C1175" s="217">
        <v>3507</v>
      </c>
      <c r="D1175" s="220" t="s">
        <v>1590</v>
      </c>
      <c r="E1175" s="220"/>
      <c r="F1175" s="221"/>
      <c r="G1175" s="148"/>
      <c r="I1175" s="219">
        <v>568188536291</v>
      </c>
      <c r="J1175" s="219">
        <v>7209581251</v>
      </c>
    </row>
    <row r="1176" spans="2:10" x14ac:dyDescent="0.25">
      <c r="B1176" s="218">
        <v>43969</v>
      </c>
      <c r="C1176" s="217">
        <v>3508</v>
      </c>
      <c r="D1176" s="220" t="s">
        <v>1591</v>
      </c>
      <c r="E1176" s="220"/>
      <c r="F1176" s="221"/>
      <c r="G1176" s="148"/>
      <c r="I1176" s="219"/>
      <c r="J1176" s="219"/>
    </row>
    <row r="1177" spans="2:10" x14ac:dyDescent="0.25">
      <c r="B1177" s="218">
        <v>43969</v>
      </c>
      <c r="C1177" s="217">
        <v>3513</v>
      </c>
      <c r="D1177" s="220" t="s">
        <v>1592</v>
      </c>
      <c r="E1177" s="220"/>
      <c r="F1177" s="221"/>
      <c r="G1177" s="148"/>
      <c r="I1177" s="219">
        <v>698877792456</v>
      </c>
      <c r="J1177" s="219">
        <v>9507692003</v>
      </c>
    </row>
    <row r="1178" spans="2:10" x14ac:dyDescent="0.25">
      <c r="B1178" s="218">
        <v>43969</v>
      </c>
      <c r="C1178" s="217">
        <v>3515</v>
      </c>
      <c r="D1178" s="220" t="s">
        <v>1593</v>
      </c>
      <c r="E1178" s="220"/>
      <c r="F1178" s="221"/>
      <c r="G1178" s="148"/>
      <c r="I1178" s="219">
        <v>347942166886</v>
      </c>
      <c r="J1178" s="219">
        <v>9693003878</v>
      </c>
    </row>
    <row r="1179" spans="2:10" x14ac:dyDescent="0.25">
      <c r="B1179" s="218">
        <v>43969</v>
      </c>
      <c r="C1179" s="217">
        <v>3517</v>
      </c>
      <c r="D1179" s="220" t="s">
        <v>1594</v>
      </c>
      <c r="E1179" s="220"/>
      <c r="F1179" s="221"/>
      <c r="G1179" s="148"/>
      <c r="I1179" s="219">
        <v>271456252975</v>
      </c>
      <c r="J1179" s="219">
        <v>9113305845</v>
      </c>
    </row>
    <row r="1180" spans="2:10" x14ac:dyDescent="0.25">
      <c r="B1180" s="218">
        <v>43969</v>
      </c>
      <c r="C1180" s="217">
        <v>3520</v>
      </c>
      <c r="D1180" s="220" t="s">
        <v>1595</v>
      </c>
      <c r="E1180" s="220"/>
      <c r="F1180" s="221"/>
      <c r="G1180" s="148"/>
      <c r="I1180" s="219">
        <v>390602469415</v>
      </c>
      <c r="J1180" s="219">
        <v>6206956100</v>
      </c>
    </row>
    <row r="1181" spans="2:10" x14ac:dyDescent="0.25">
      <c r="B1181" s="218">
        <v>43969</v>
      </c>
      <c r="C1181" s="217">
        <v>3521</v>
      </c>
      <c r="D1181" s="220" t="s">
        <v>1596</v>
      </c>
      <c r="E1181" s="220"/>
      <c r="F1181" s="221"/>
      <c r="G1181" s="148"/>
      <c r="I1181" s="219">
        <v>679257950140</v>
      </c>
      <c r="J1181" s="219">
        <v>7209922404</v>
      </c>
    </row>
    <row r="1182" spans="2:10" x14ac:dyDescent="0.25">
      <c r="B1182" s="218">
        <v>43969</v>
      </c>
      <c r="C1182" s="217">
        <v>3523</v>
      </c>
      <c r="D1182" s="220" t="s">
        <v>1597</v>
      </c>
      <c r="E1182" s="220"/>
      <c r="F1182" s="221"/>
      <c r="G1182" s="148"/>
      <c r="I1182" s="219">
        <v>369200140148</v>
      </c>
      <c r="J1182" s="219">
        <v>9709213736</v>
      </c>
    </row>
    <row r="1183" spans="2:10" x14ac:dyDescent="0.25">
      <c r="B1183" s="218">
        <v>43969</v>
      </c>
      <c r="C1183" s="217">
        <v>3529</v>
      </c>
      <c r="D1183" s="220" t="s">
        <v>690</v>
      </c>
      <c r="E1183" s="220"/>
      <c r="F1183" s="221"/>
      <c r="G1183" s="148"/>
      <c r="I1183" s="219">
        <v>994302300244</v>
      </c>
      <c r="J1183" s="219">
        <v>7488605735</v>
      </c>
    </row>
    <row r="1184" spans="2:10" x14ac:dyDescent="0.25">
      <c r="B1184" s="218">
        <v>43969</v>
      </c>
      <c r="C1184" s="217">
        <v>3531</v>
      </c>
      <c r="D1184" s="220" t="s">
        <v>1598</v>
      </c>
      <c r="E1184" s="220"/>
      <c r="F1184" s="221"/>
      <c r="G1184" s="148"/>
      <c r="I1184" s="219">
        <v>428787354508</v>
      </c>
      <c r="J1184" s="219">
        <v>6200627860</v>
      </c>
    </row>
    <row r="1185" spans="1:12" x14ac:dyDescent="0.25">
      <c r="B1185" s="218">
        <v>43969</v>
      </c>
      <c r="C1185" s="217">
        <v>3533</v>
      </c>
      <c r="D1185" s="220" t="s">
        <v>1599</v>
      </c>
      <c r="E1185" s="220"/>
      <c r="F1185" s="221"/>
      <c r="G1185" s="148"/>
      <c r="I1185" s="219">
        <v>238087812339</v>
      </c>
      <c r="J1185" s="219">
        <v>9262387788</v>
      </c>
    </row>
    <row r="1186" spans="1:12" x14ac:dyDescent="0.25">
      <c r="B1186" s="218">
        <v>43969</v>
      </c>
      <c r="C1186" s="217">
        <v>3537</v>
      </c>
      <c r="D1186" s="220" t="s">
        <v>1600</v>
      </c>
      <c r="E1186" s="220"/>
      <c r="F1186" s="221"/>
      <c r="G1186" s="148"/>
      <c r="I1186" s="219">
        <v>758705515703</v>
      </c>
      <c r="J1186" s="219">
        <v>8252201211</v>
      </c>
    </row>
    <row r="1187" spans="1:12" x14ac:dyDescent="0.25">
      <c r="B1187" s="218">
        <v>43969</v>
      </c>
      <c r="C1187" s="217">
        <v>3539</v>
      </c>
      <c r="D1187" s="220" t="s">
        <v>1601</v>
      </c>
      <c r="E1187" s="220"/>
      <c r="F1187" s="221"/>
      <c r="G1187" s="148"/>
      <c r="I1187" s="219">
        <v>773086453630</v>
      </c>
      <c r="J1187" s="219">
        <v>9031736067</v>
      </c>
    </row>
    <row r="1188" spans="1:12" x14ac:dyDescent="0.25">
      <c r="B1188" s="218">
        <v>43969</v>
      </c>
      <c r="C1188" s="217">
        <v>3542</v>
      </c>
      <c r="D1188" s="220" t="s">
        <v>1602</v>
      </c>
      <c r="E1188" s="220"/>
      <c r="F1188" s="221"/>
      <c r="G1188" s="148"/>
      <c r="I1188" s="219">
        <v>438519272443</v>
      </c>
      <c r="J1188" s="219">
        <v>9264483410</v>
      </c>
    </row>
    <row r="1189" spans="1:12" x14ac:dyDescent="0.25">
      <c r="B1189" s="218">
        <v>43969</v>
      </c>
      <c r="C1189" s="217">
        <v>3545</v>
      </c>
      <c r="D1189" s="220" t="s">
        <v>1603</v>
      </c>
      <c r="E1189" s="220"/>
      <c r="F1189" s="221"/>
      <c r="G1189" s="148"/>
      <c r="I1189" s="219">
        <v>798432525513</v>
      </c>
      <c r="J1189" s="219">
        <v>8235228540</v>
      </c>
    </row>
    <row r="1190" spans="1:12" x14ac:dyDescent="0.25">
      <c r="B1190" s="218">
        <v>43969</v>
      </c>
      <c r="C1190" s="217">
        <v>3548</v>
      </c>
      <c r="D1190" s="220" t="s">
        <v>1604</v>
      </c>
      <c r="E1190" s="220"/>
      <c r="F1190" s="221"/>
      <c r="G1190" s="148"/>
      <c r="I1190" s="219">
        <v>902567335138</v>
      </c>
      <c r="J1190" s="219">
        <v>9934326632</v>
      </c>
    </row>
    <row r="1191" spans="1:12" x14ac:dyDescent="0.25">
      <c r="B1191" s="218">
        <v>43969</v>
      </c>
      <c r="C1191" s="217">
        <v>3551</v>
      </c>
      <c r="D1191" s="220" t="s">
        <v>1605</v>
      </c>
      <c r="E1191" s="220"/>
      <c r="F1191" s="221"/>
      <c r="G1191" s="148"/>
      <c r="I1191" s="219">
        <v>665473407296</v>
      </c>
      <c r="J1191" s="219">
        <v>8092724989</v>
      </c>
    </row>
    <row r="1192" spans="1:12" x14ac:dyDescent="0.25">
      <c r="B1192" s="218">
        <v>43969</v>
      </c>
      <c r="C1192" s="217">
        <v>3554</v>
      </c>
      <c r="D1192" s="220" t="s">
        <v>1606</v>
      </c>
      <c r="E1192" s="220"/>
      <c r="F1192" s="221"/>
      <c r="G1192" s="148"/>
      <c r="I1192" s="219">
        <v>701210620846</v>
      </c>
      <c r="J1192" s="219">
        <v>8210704834</v>
      </c>
    </row>
    <row r="1193" spans="1:12" x14ac:dyDescent="0.25">
      <c r="B1193" s="218">
        <v>43969</v>
      </c>
      <c r="C1193" s="217">
        <v>3557</v>
      </c>
      <c r="D1193" s="220" t="s">
        <v>1607</v>
      </c>
      <c r="E1193" s="220"/>
      <c r="F1193" s="221"/>
      <c r="G1193" s="148"/>
      <c r="I1193" s="219">
        <v>261652076977</v>
      </c>
      <c r="J1193" s="219">
        <v>9771417917</v>
      </c>
    </row>
    <row r="1194" spans="1:12" x14ac:dyDescent="0.25">
      <c r="B1194" s="218">
        <v>43969</v>
      </c>
      <c r="C1194" s="217">
        <v>3562</v>
      </c>
      <c r="D1194" s="220" t="s">
        <v>1519</v>
      </c>
      <c r="E1194" s="220"/>
      <c r="F1194" s="221"/>
      <c r="G1194" s="148"/>
      <c r="I1194" s="219">
        <v>908798732579</v>
      </c>
      <c r="J1194" s="219">
        <v>7033179949</v>
      </c>
    </row>
    <row r="1195" spans="1:12" x14ac:dyDescent="0.25">
      <c r="A1195" s="148">
        <v>1309</v>
      </c>
      <c r="B1195" s="218">
        <v>44014</v>
      </c>
      <c r="C1195" s="217">
        <v>4120</v>
      </c>
      <c r="D1195" s="220" t="s">
        <v>1718</v>
      </c>
      <c r="E1195" s="220"/>
      <c r="F1195" s="229">
        <v>28068</v>
      </c>
      <c r="G1195" s="214" t="s">
        <v>1720</v>
      </c>
      <c r="H1195" s="214">
        <v>200</v>
      </c>
      <c r="I1195" s="217" t="s">
        <v>1722</v>
      </c>
      <c r="J1195" s="217" t="s">
        <v>1723</v>
      </c>
    </row>
    <row r="1196" spans="1:12" x14ac:dyDescent="0.25">
      <c r="A1196" s="148">
        <v>1310</v>
      </c>
      <c r="B1196" s="218">
        <v>44014</v>
      </c>
      <c r="C1196" s="217">
        <v>4121</v>
      </c>
      <c r="D1196" s="220" t="s">
        <v>1719</v>
      </c>
      <c r="E1196" s="220"/>
      <c r="F1196" s="229">
        <v>21307</v>
      </c>
      <c r="G1196" s="214" t="s">
        <v>1648</v>
      </c>
      <c r="H1196" s="214">
        <v>200</v>
      </c>
      <c r="I1196" s="217" t="s">
        <v>1724</v>
      </c>
      <c r="J1196" s="217" t="s">
        <v>1725</v>
      </c>
      <c r="K1196" s="218">
        <v>44016</v>
      </c>
    </row>
    <row r="1197" spans="1:12" x14ac:dyDescent="0.25">
      <c r="A1197" s="148">
        <v>1011</v>
      </c>
      <c r="B1197" s="218">
        <v>44014</v>
      </c>
      <c r="C1197" s="217">
        <v>4124</v>
      </c>
      <c r="D1197" s="220" t="s">
        <v>1738</v>
      </c>
      <c r="E1197" s="220"/>
      <c r="G1197" s="214" t="s">
        <v>1739</v>
      </c>
      <c r="H1197" s="214">
        <v>100</v>
      </c>
      <c r="I1197" s="217" t="s">
        <v>1759</v>
      </c>
      <c r="J1197" s="217" t="s">
        <v>1758</v>
      </c>
    </row>
    <row r="1198" spans="1:12" x14ac:dyDescent="0.25">
      <c r="A1198" s="148">
        <v>1312</v>
      </c>
      <c r="B1198" s="218">
        <v>44015</v>
      </c>
      <c r="C1198" s="217">
        <v>4125</v>
      </c>
      <c r="D1198" s="220" t="s">
        <v>1733</v>
      </c>
      <c r="E1198" s="220"/>
      <c r="H1198" s="214">
        <v>200</v>
      </c>
      <c r="I1198" s="217" t="s">
        <v>1761</v>
      </c>
      <c r="J1198" s="217" t="s">
        <v>1760</v>
      </c>
      <c r="K1198" s="218">
        <v>44016</v>
      </c>
    </row>
    <row r="1199" spans="1:12" x14ac:dyDescent="0.25">
      <c r="A1199" s="148">
        <v>1313</v>
      </c>
      <c r="B1199" s="218">
        <v>44015</v>
      </c>
      <c r="C1199" s="217">
        <v>4126</v>
      </c>
      <c r="D1199" s="220" t="s">
        <v>1734</v>
      </c>
      <c r="E1199" s="220"/>
      <c r="F1199" s="229">
        <v>31048</v>
      </c>
      <c r="H1199" s="214">
        <v>200</v>
      </c>
      <c r="I1199" s="217" t="s">
        <v>1763</v>
      </c>
      <c r="J1199" s="217" t="s">
        <v>1762</v>
      </c>
      <c r="K1199" s="218">
        <v>44016</v>
      </c>
      <c r="L1199" s="218">
        <v>44016</v>
      </c>
    </row>
    <row r="1200" spans="1:12" x14ac:dyDescent="0.25">
      <c r="A1200" s="148">
        <v>1314</v>
      </c>
      <c r="B1200" s="218">
        <v>44015</v>
      </c>
      <c r="C1200" s="217">
        <v>4127</v>
      </c>
      <c r="D1200" s="220" t="s">
        <v>1735</v>
      </c>
      <c r="E1200" s="220"/>
      <c r="H1200" s="214">
        <v>200</v>
      </c>
      <c r="I1200" s="217" t="s">
        <v>1765</v>
      </c>
      <c r="J1200" s="217" t="s">
        <v>1764</v>
      </c>
      <c r="K1200" s="218">
        <v>44016</v>
      </c>
      <c r="L1200" s="218">
        <v>44016</v>
      </c>
    </row>
    <row r="1201" spans="1:14" x14ac:dyDescent="0.25">
      <c r="A1201" s="148">
        <v>1315</v>
      </c>
      <c r="B1201" s="218">
        <v>44016</v>
      </c>
      <c r="C1201" s="217">
        <v>4128</v>
      </c>
      <c r="D1201" s="220" t="s">
        <v>1736</v>
      </c>
      <c r="E1201" s="220"/>
      <c r="F1201" s="229">
        <v>35306</v>
      </c>
      <c r="G1201" s="214" t="s">
        <v>1648</v>
      </c>
      <c r="H1201" s="214">
        <v>200</v>
      </c>
      <c r="I1201" s="217" t="s">
        <v>1767</v>
      </c>
      <c r="J1201" s="217" t="s">
        <v>1766</v>
      </c>
      <c r="K1201" s="218">
        <v>44016</v>
      </c>
      <c r="L1201" s="218">
        <v>44016</v>
      </c>
      <c r="M1201" s="218">
        <v>44016</v>
      </c>
    </row>
    <row r="1202" spans="1:14" x14ac:dyDescent="0.25">
      <c r="A1202" s="148">
        <v>1316</v>
      </c>
      <c r="B1202" s="218">
        <v>44016</v>
      </c>
      <c r="C1202" s="217">
        <v>4129</v>
      </c>
      <c r="D1202" s="220" t="s">
        <v>1737</v>
      </c>
      <c r="E1202" s="220"/>
      <c r="H1202" s="214">
        <v>200</v>
      </c>
      <c r="I1202" s="217" t="s">
        <v>1769</v>
      </c>
      <c r="J1202" s="217" t="s">
        <v>1768</v>
      </c>
      <c r="K1202" s="218">
        <v>44016</v>
      </c>
    </row>
    <row r="1203" spans="1:14" x14ac:dyDescent="0.25">
      <c r="A1203" s="148">
        <v>1317</v>
      </c>
      <c r="B1203" s="218">
        <v>44016</v>
      </c>
      <c r="C1203" s="217">
        <v>4130</v>
      </c>
      <c r="D1203" s="220" t="s">
        <v>1742</v>
      </c>
      <c r="E1203" s="220"/>
      <c r="H1203" s="214">
        <v>200</v>
      </c>
      <c r="I1203" s="217" t="s">
        <v>1771</v>
      </c>
      <c r="J1203" s="217" t="s">
        <v>1770</v>
      </c>
      <c r="K1203" s="218">
        <v>44016</v>
      </c>
      <c r="L1203" s="218">
        <v>44016</v>
      </c>
    </row>
    <row r="1204" spans="1:14" x14ac:dyDescent="0.25">
      <c r="A1204" s="148">
        <v>1318</v>
      </c>
      <c r="B1204" s="218">
        <v>44016</v>
      </c>
      <c r="C1204" s="217">
        <v>4136</v>
      </c>
      <c r="D1204" s="220" t="s">
        <v>1744</v>
      </c>
      <c r="E1204" s="220"/>
      <c r="F1204" s="229">
        <v>36486</v>
      </c>
      <c r="G1204" s="214" t="s">
        <v>1720</v>
      </c>
      <c r="H1204" s="214">
        <v>200</v>
      </c>
      <c r="I1204" s="217" t="s">
        <v>1773</v>
      </c>
      <c r="J1204" s="217" t="s">
        <v>1772</v>
      </c>
    </row>
    <row r="1205" spans="1:14" x14ac:dyDescent="0.25">
      <c r="A1205" s="148">
        <v>1319</v>
      </c>
      <c r="B1205" s="218">
        <v>44019</v>
      </c>
      <c r="C1205" s="217">
        <v>4138</v>
      </c>
      <c r="D1205" s="220" t="s">
        <v>793</v>
      </c>
      <c r="E1205" s="220"/>
      <c r="F1205" s="229">
        <v>30317</v>
      </c>
      <c r="G1205" s="214" t="s">
        <v>1786</v>
      </c>
      <c r="H1205" s="214">
        <v>400</v>
      </c>
      <c r="I1205" s="217" t="s">
        <v>1804</v>
      </c>
      <c r="J1205" s="217" t="s">
        <v>1803</v>
      </c>
      <c r="K1205" s="218">
        <v>44019</v>
      </c>
      <c r="L1205" s="218">
        <v>44019</v>
      </c>
      <c r="M1205" s="218">
        <v>44019</v>
      </c>
      <c r="N1205" s="214" t="s">
        <v>53</v>
      </c>
    </row>
    <row r="1206" spans="1:14" x14ac:dyDescent="0.25">
      <c r="A1206" s="148">
        <v>1320</v>
      </c>
      <c r="B1206" s="218">
        <v>44019</v>
      </c>
      <c r="C1206" s="217">
        <v>4139</v>
      </c>
      <c r="D1206" s="220" t="s">
        <v>1798</v>
      </c>
      <c r="E1206" s="220"/>
      <c r="F1206" s="229">
        <v>37415</v>
      </c>
      <c r="G1206" s="214" t="s">
        <v>1799</v>
      </c>
      <c r="H1206" s="214">
        <v>100</v>
      </c>
      <c r="I1206" s="217" t="s">
        <v>1817</v>
      </c>
      <c r="J1206" s="217" t="s">
        <v>1816</v>
      </c>
      <c r="K1206" s="218">
        <v>44019</v>
      </c>
      <c r="L1206" s="218"/>
    </row>
    <row r="1207" spans="1:14" x14ac:dyDescent="0.25">
      <c r="A1207" s="148">
        <v>1321</v>
      </c>
      <c r="B1207" s="218">
        <v>44020</v>
      </c>
      <c r="C1207" s="217">
        <v>4141</v>
      </c>
      <c r="D1207" s="220" t="s">
        <v>1815</v>
      </c>
      <c r="E1207" s="220"/>
      <c r="F1207" s="229">
        <v>24965</v>
      </c>
      <c r="G1207" s="214" t="s">
        <v>1802</v>
      </c>
      <c r="H1207" s="214">
        <v>100</v>
      </c>
      <c r="I1207" s="217" t="s">
        <v>1819</v>
      </c>
      <c r="J1207" s="217" t="s">
        <v>1818</v>
      </c>
      <c r="K1207" s="218">
        <v>44020</v>
      </c>
    </row>
    <row r="1208" spans="1:14" x14ac:dyDescent="0.25">
      <c r="A1208" s="148">
        <v>1322</v>
      </c>
      <c r="B1208" s="218">
        <v>44020</v>
      </c>
      <c r="C1208" s="217">
        <v>4142</v>
      </c>
      <c r="D1208" s="220" t="s">
        <v>681</v>
      </c>
      <c r="E1208" s="220"/>
      <c r="F1208" s="229">
        <v>36892</v>
      </c>
      <c r="G1208" s="214" t="s">
        <v>1648</v>
      </c>
      <c r="H1208" s="214">
        <v>400</v>
      </c>
      <c r="I1208" s="217" t="s">
        <v>1821</v>
      </c>
      <c r="J1208" s="217" t="s">
        <v>1820</v>
      </c>
      <c r="K1208" s="218">
        <v>44020</v>
      </c>
      <c r="L1208" s="218">
        <v>44020</v>
      </c>
    </row>
    <row r="1209" spans="1:14" x14ac:dyDescent="0.25">
      <c r="A1209" s="148">
        <v>1323</v>
      </c>
      <c r="B1209" s="218">
        <v>44020</v>
      </c>
      <c r="C1209" s="217">
        <v>4143</v>
      </c>
      <c r="D1209" s="220" t="s">
        <v>1812</v>
      </c>
      <c r="E1209" s="220"/>
      <c r="F1209" s="229">
        <v>32149</v>
      </c>
      <c r="G1209" s="214" t="s">
        <v>1648</v>
      </c>
      <c r="H1209" s="214">
        <v>100</v>
      </c>
      <c r="I1209" s="217" t="s">
        <v>1823</v>
      </c>
      <c r="J1209" s="217" t="s">
        <v>1822</v>
      </c>
      <c r="K1209" s="218">
        <v>44020</v>
      </c>
    </row>
    <row r="1210" spans="1:14" x14ac:dyDescent="0.25">
      <c r="A1210" s="148">
        <v>1324</v>
      </c>
      <c r="B1210" s="218">
        <v>44021</v>
      </c>
      <c r="C1210" s="217">
        <v>4145</v>
      </c>
      <c r="D1210" s="220" t="s">
        <v>1825</v>
      </c>
      <c r="E1210" s="220"/>
      <c r="F1210" s="229">
        <v>33034</v>
      </c>
      <c r="G1210" s="214" t="s">
        <v>1827</v>
      </c>
      <c r="H1210" s="214">
        <v>500</v>
      </c>
      <c r="I1210" s="217" t="s">
        <v>1892</v>
      </c>
      <c r="J1210" s="217" t="s">
        <v>1893</v>
      </c>
      <c r="K1210" s="218">
        <v>44021</v>
      </c>
      <c r="L1210" s="218">
        <v>44021</v>
      </c>
      <c r="N1210" s="214" t="s">
        <v>53</v>
      </c>
    </row>
    <row r="1211" spans="1:14" x14ac:dyDescent="0.25">
      <c r="A1211" s="148">
        <v>1325</v>
      </c>
      <c r="B1211" s="218">
        <v>44029</v>
      </c>
      <c r="C1211" s="217">
        <v>4152</v>
      </c>
      <c r="D1211" s="220" t="s">
        <v>1885</v>
      </c>
      <c r="E1211" s="220"/>
      <c r="F1211" s="229">
        <v>29204</v>
      </c>
      <c r="G1211" s="214" t="s">
        <v>1886</v>
      </c>
      <c r="H1211" s="214">
        <v>500</v>
      </c>
      <c r="I1211" s="217" t="s">
        <v>1890</v>
      </c>
      <c r="J1211" s="217" t="s">
        <v>1891</v>
      </c>
      <c r="K1211" s="218">
        <v>44029</v>
      </c>
      <c r="L1211" s="218">
        <v>44029</v>
      </c>
      <c r="N1211" s="214" t="s">
        <v>53</v>
      </c>
    </row>
    <row r="1212" spans="1:14" x14ac:dyDescent="0.25">
      <c r="A1212" s="148">
        <v>1326</v>
      </c>
      <c r="B1212" s="218">
        <v>44030</v>
      </c>
      <c r="C1212" s="217">
        <v>4155</v>
      </c>
      <c r="D1212" s="220" t="s">
        <v>1897</v>
      </c>
      <c r="E1212" s="220"/>
      <c r="G1212" s="214" t="s">
        <v>1886</v>
      </c>
      <c r="H1212" s="214">
        <v>500</v>
      </c>
      <c r="K1212" s="218">
        <v>44030</v>
      </c>
    </row>
    <row r="1213" spans="1:14" x14ac:dyDescent="0.25">
      <c r="A1213" s="148">
        <v>1327</v>
      </c>
      <c r="B1213" s="218">
        <v>44030</v>
      </c>
      <c r="C1213" s="217">
        <v>4156</v>
      </c>
      <c r="D1213" s="220" t="s">
        <v>1898</v>
      </c>
      <c r="E1213" s="220"/>
      <c r="F1213" s="229">
        <v>37914</v>
      </c>
      <c r="G1213" s="214" t="s">
        <v>1886</v>
      </c>
      <c r="H1213" s="230">
        <v>500</v>
      </c>
      <c r="K1213" s="214" t="s">
        <v>1901</v>
      </c>
    </row>
    <row r="1214" spans="1:14" x14ac:dyDescent="0.25">
      <c r="A1214" s="148">
        <v>1328</v>
      </c>
      <c r="B1214" s="218">
        <v>44033</v>
      </c>
      <c r="C1214" s="217">
        <v>4157</v>
      </c>
      <c r="D1214" s="220" t="s">
        <v>1367</v>
      </c>
      <c r="E1214" s="220"/>
      <c r="F1214" s="229">
        <v>32644</v>
      </c>
      <c r="G1214" s="214" t="s">
        <v>1802</v>
      </c>
      <c r="H1214" s="214">
        <v>500</v>
      </c>
      <c r="I1214" s="217" t="s">
        <v>2121</v>
      </c>
      <c r="J1214" s="217" t="s">
        <v>2122</v>
      </c>
      <c r="K1214" s="218">
        <v>44032</v>
      </c>
      <c r="L1214" s="214" t="s">
        <v>1702</v>
      </c>
    </row>
    <row r="1215" spans="1:14" x14ac:dyDescent="0.25">
      <c r="A1215" s="148">
        <v>1329</v>
      </c>
      <c r="B1215" s="218">
        <v>44033</v>
      </c>
      <c r="C1215" s="217">
        <v>4158</v>
      </c>
      <c r="D1215" s="220" t="s">
        <v>1908</v>
      </c>
      <c r="E1215" s="220"/>
      <c r="F1215" s="229">
        <v>27003</v>
      </c>
      <c r="G1215" s="214" t="s">
        <v>1909</v>
      </c>
      <c r="H1215" s="214">
        <v>1000</v>
      </c>
      <c r="K1215" s="218">
        <v>44032</v>
      </c>
      <c r="L1215" s="218">
        <v>44032</v>
      </c>
    </row>
    <row r="1216" spans="1:14" x14ac:dyDescent="0.25">
      <c r="A1216" s="148">
        <v>1330</v>
      </c>
      <c r="B1216" s="218">
        <v>44033</v>
      </c>
      <c r="C1216" s="217">
        <v>4159</v>
      </c>
      <c r="D1216" s="220" t="s">
        <v>1910</v>
      </c>
      <c r="E1216" s="220"/>
      <c r="F1216" s="229">
        <v>23743</v>
      </c>
      <c r="G1216" s="214" t="s">
        <v>1911</v>
      </c>
      <c r="H1216" s="214">
        <v>500</v>
      </c>
      <c r="I1216" s="217" t="s">
        <v>2461</v>
      </c>
      <c r="J1216" s="217" t="s">
        <v>2462</v>
      </c>
      <c r="K1216" s="218">
        <v>44035</v>
      </c>
    </row>
    <row r="1217" spans="1:14" x14ac:dyDescent="0.25">
      <c r="A1217" s="148">
        <v>1331</v>
      </c>
      <c r="B1217" s="218">
        <v>44033</v>
      </c>
      <c r="C1217" s="217">
        <v>4160</v>
      </c>
      <c r="D1217" s="220" t="s">
        <v>1912</v>
      </c>
      <c r="E1217" s="220"/>
      <c r="F1217" s="229">
        <v>26969</v>
      </c>
      <c r="G1217" s="214" t="s">
        <v>1913</v>
      </c>
      <c r="H1217" s="214">
        <v>300</v>
      </c>
      <c r="K1217" s="218">
        <v>44035</v>
      </c>
    </row>
    <row r="1218" spans="1:14" x14ac:dyDescent="0.25">
      <c r="A1218" s="148">
        <v>1332</v>
      </c>
      <c r="B1218" s="218">
        <v>44033</v>
      </c>
      <c r="C1218" s="217">
        <v>4161</v>
      </c>
      <c r="D1218" s="220" t="s">
        <v>1914</v>
      </c>
      <c r="E1218" s="220"/>
      <c r="F1218" s="229">
        <v>36911</v>
      </c>
      <c r="G1218" s="214" t="s">
        <v>1915</v>
      </c>
      <c r="H1218" s="214">
        <v>500</v>
      </c>
    </row>
    <row r="1219" spans="1:14" x14ac:dyDescent="0.25">
      <c r="A1219" s="148">
        <v>1333</v>
      </c>
      <c r="B1219" s="218">
        <v>44033</v>
      </c>
      <c r="C1219" s="217">
        <v>4162</v>
      </c>
      <c r="D1219" s="220" t="s">
        <v>2235</v>
      </c>
      <c r="E1219" s="220"/>
      <c r="F1219" s="229">
        <v>36978</v>
      </c>
      <c r="G1219" s="214" t="s">
        <v>1916</v>
      </c>
      <c r="H1219" s="214">
        <v>400</v>
      </c>
    </row>
    <row r="1220" spans="1:14" x14ac:dyDescent="0.25">
      <c r="A1220" s="148">
        <v>1334</v>
      </c>
      <c r="B1220" s="218">
        <v>44034</v>
      </c>
      <c r="C1220" s="217">
        <v>4163</v>
      </c>
      <c r="D1220" s="220" t="s">
        <v>1935</v>
      </c>
      <c r="E1220" s="220"/>
      <c r="F1220" s="229">
        <v>34721</v>
      </c>
      <c r="G1220" s="214" t="s">
        <v>1936</v>
      </c>
      <c r="H1220" s="214">
        <v>4000</v>
      </c>
    </row>
    <row r="1221" spans="1:14" x14ac:dyDescent="0.25">
      <c r="A1221" s="148">
        <v>1335</v>
      </c>
      <c r="B1221" s="218">
        <v>44035</v>
      </c>
      <c r="C1221" s="217">
        <v>4164</v>
      </c>
      <c r="D1221" s="220" t="s">
        <v>1937</v>
      </c>
      <c r="E1221" s="220"/>
      <c r="F1221" s="229">
        <v>24806</v>
      </c>
      <c r="G1221" s="214" t="s">
        <v>1938</v>
      </c>
      <c r="H1221" s="214">
        <v>300</v>
      </c>
    </row>
    <row r="1222" spans="1:14" x14ac:dyDescent="0.25">
      <c r="A1222" s="148">
        <v>1336</v>
      </c>
      <c r="B1222" s="218">
        <v>44035</v>
      </c>
      <c r="C1222" s="217">
        <v>4165</v>
      </c>
      <c r="D1222" s="220" t="s">
        <v>1939</v>
      </c>
      <c r="E1222" s="220"/>
      <c r="F1222" s="229">
        <v>37490</v>
      </c>
      <c r="G1222" s="214" t="s">
        <v>1938</v>
      </c>
      <c r="H1222" s="214">
        <v>200</v>
      </c>
    </row>
    <row r="1223" spans="1:14" x14ac:dyDescent="0.25">
      <c r="A1223" s="148">
        <v>1338</v>
      </c>
      <c r="B1223" s="218">
        <v>44039</v>
      </c>
      <c r="C1223" s="217">
        <v>4166</v>
      </c>
      <c r="D1223" s="220" t="s">
        <v>1981</v>
      </c>
      <c r="E1223" s="220"/>
      <c r="F1223" s="229">
        <v>34764</v>
      </c>
      <c r="G1223" s="214" t="s">
        <v>1976</v>
      </c>
      <c r="H1223" s="214">
        <v>200</v>
      </c>
      <c r="I1223" s="217" t="s">
        <v>1982</v>
      </c>
      <c r="J1223" s="217" t="s">
        <v>1983</v>
      </c>
      <c r="K1223" s="218">
        <v>44039</v>
      </c>
    </row>
    <row r="1224" spans="1:14" x14ac:dyDescent="0.25">
      <c r="A1224" s="148">
        <v>1339</v>
      </c>
      <c r="B1224" s="218">
        <v>44040</v>
      </c>
      <c r="C1224" s="217">
        <v>4167</v>
      </c>
      <c r="D1224" s="220" t="s">
        <v>1990</v>
      </c>
      <c r="E1224" s="220"/>
      <c r="F1224" s="229">
        <v>30990</v>
      </c>
      <c r="G1224" s="214" t="s">
        <v>1802</v>
      </c>
      <c r="H1224" s="214">
        <v>150</v>
      </c>
      <c r="I1224" s="217" t="s">
        <v>1992</v>
      </c>
      <c r="J1224" s="217" t="s">
        <v>1993</v>
      </c>
      <c r="K1224" s="218">
        <v>44040</v>
      </c>
    </row>
    <row r="1225" spans="1:14" x14ac:dyDescent="0.25">
      <c r="A1225" s="148">
        <v>1340</v>
      </c>
      <c r="B1225" s="218">
        <v>44041</v>
      </c>
      <c r="C1225" s="217">
        <v>4168</v>
      </c>
      <c r="D1225" s="220" t="s">
        <v>1995</v>
      </c>
      <c r="E1225" s="220"/>
      <c r="F1225" s="229">
        <v>36130</v>
      </c>
      <c r="G1225" s="214" t="s">
        <v>1648</v>
      </c>
      <c r="H1225" s="217" t="s">
        <v>1996</v>
      </c>
      <c r="I1225" s="217" t="s">
        <v>1997</v>
      </c>
      <c r="J1225" s="217" t="s">
        <v>1998</v>
      </c>
      <c r="K1225" s="218">
        <v>44041</v>
      </c>
      <c r="L1225" s="218">
        <v>44041</v>
      </c>
    </row>
    <row r="1226" spans="1:14" x14ac:dyDescent="0.25">
      <c r="A1226" s="148">
        <v>1341</v>
      </c>
      <c r="B1226" s="218">
        <v>44041</v>
      </c>
      <c r="C1226" s="217">
        <v>4169</v>
      </c>
      <c r="D1226" s="220" t="s">
        <v>2002</v>
      </c>
      <c r="E1226" s="220"/>
      <c r="F1226" s="229">
        <v>39073</v>
      </c>
      <c r="G1226" s="214" t="s">
        <v>1671</v>
      </c>
      <c r="H1226" s="214">
        <v>100</v>
      </c>
      <c r="I1226" s="217" t="s">
        <v>2004</v>
      </c>
      <c r="J1226" s="217" t="s">
        <v>2003</v>
      </c>
    </row>
    <row r="1227" spans="1:14" x14ac:dyDescent="0.25">
      <c r="A1227" s="148">
        <v>1342</v>
      </c>
      <c r="B1227" s="218">
        <v>44042</v>
      </c>
      <c r="C1227" s="217">
        <v>4170</v>
      </c>
      <c r="D1227" s="220" t="s">
        <v>2024</v>
      </c>
      <c r="E1227" s="220"/>
      <c r="F1227" s="229">
        <v>24838</v>
      </c>
      <c r="G1227" s="214" t="s">
        <v>2025</v>
      </c>
      <c r="H1227" s="214">
        <v>400</v>
      </c>
      <c r="I1227" s="217" t="s">
        <v>2027</v>
      </c>
      <c r="J1227" s="217" t="s">
        <v>2026</v>
      </c>
      <c r="K1227" s="218">
        <v>44042</v>
      </c>
      <c r="L1227" s="214" t="s">
        <v>2028</v>
      </c>
      <c r="N1227" s="214" t="s">
        <v>53</v>
      </c>
    </row>
    <row r="1228" spans="1:14" x14ac:dyDescent="0.25">
      <c r="A1228" s="148">
        <v>1343</v>
      </c>
      <c r="B1228" s="218">
        <v>44048</v>
      </c>
      <c r="C1228" s="217">
        <v>4171</v>
      </c>
      <c r="D1228" s="220" t="s">
        <v>2063</v>
      </c>
      <c r="E1228" s="220"/>
      <c r="F1228" s="229">
        <v>38515</v>
      </c>
      <c r="G1228" s="214" t="s">
        <v>2064</v>
      </c>
      <c r="H1228" s="214">
        <v>200</v>
      </c>
      <c r="K1228" s="214" t="s">
        <v>2028</v>
      </c>
      <c r="L1228" s="214" t="s">
        <v>2028</v>
      </c>
    </row>
    <row r="1229" spans="1:14" x14ac:dyDescent="0.25">
      <c r="A1229" s="148">
        <v>1344</v>
      </c>
      <c r="B1229" s="218">
        <v>44049</v>
      </c>
      <c r="C1229" s="217">
        <v>4172</v>
      </c>
      <c r="D1229" s="220" t="s">
        <v>2077</v>
      </c>
      <c r="E1229" s="220"/>
      <c r="F1229" s="229">
        <v>24121</v>
      </c>
      <c r="G1229" s="214" t="s">
        <v>2078</v>
      </c>
      <c r="H1229" s="214">
        <v>300</v>
      </c>
      <c r="I1229" s="217" t="s">
        <v>2079</v>
      </c>
      <c r="K1229" s="218">
        <v>44049</v>
      </c>
    </row>
    <row r="1230" spans="1:14" x14ac:dyDescent="0.25">
      <c r="A1230" s="148">
        <v>1345</v>
      </c>
      <c r="B1230" s="218">
        <v>44050</v>
      </c>
      <c r="C1230" s="217">
        <v>4173</v>
      </c>
      <c r="D1230" s="220" t="s">
        <v>2074</v>
      </c>
      <c r="E1230" s="220"/>
      <c r="F1230" s="229">
        <v>27395</v>
      </c>
      <c r="G1230" s="214" t="s">
        <v>1648</v>
      </c>
      <c r="H1230" s="214">
        <v>300</v>
      </c>
      <c r="I1230" s="217" t="s">
        <v>2075</v>
      </c>
      <c r="J1230" s="217" t="s">
        <v>2076</v>
      </c>
      <c r="N1230" s="214" t="s">
        <v>53</v>
      </c>
    </row>
    <row r="1231" spans="1:14" x14ac:dyDescent="0.25">
      <c r="A1231" s="148">
        <v>1347</v>
      </c>
      <c r="B1231" s="218">
        <v>44053</v>
      </c>
      <c r="C1231" s="217">
        <v>4178</v>
      </c>
      <c r="D1231" s="220" t="s">
        <v>2098</v>
      </c>
      <c r="E1231" s="220"/>
      <c r="F1231" s="229">
        <v>38884</v>
      </c>
      <c r="G1231" s="214" t="s">
        <v>1648</v>
      </c>
      <c r="H1231" s="214">
        <v>500</v>
      </c>
      <c r="I1231" s="217" t="s">
        <v>2097</v>
      </c>
      <c r="J1231" s="217" t="s">
        <v>2096</v>
      </c>
      <c r="K1231" s="214" t="s">
        <v>2028</v>
      </c>
      <c r="L1231" s="214" t="s">
        <v>2028</v>
      </c>
    </row>
    <row r="1232" spans="1:14" x14ac:dyDescent="0.25">
      <c r="A1232" s="148">
        <v>1348</v>
      </c>
      <c r="B1232" s="218">
        <v>44053</v>
      </c>
      <c r="C1232" s="217">
        <v>4179</v>
      </c>
      <c r="D1232" s="220" t="s">
        <v>2105</v>
      </c>
      <c r="E1232" s="220"/>
      <c r="F1232" s="229">
        <v>28487</v>
      </c>
      <c r="G1232" s="214" t="s">
        <v>1648</v>
      </c>
      <c r="H1232" s="214">
        <v>500</v>
      </c>
      <c r="I1232" s="217" t="s">
        <v>2106</v>
      </c>
      <c r="K1232" s="218">
        <v>44053</v>
      </c>
      <c r="L1232" s="218">
        <v>44053</v>
      </c>
    </row>
    <row r="1233" spans="1:14" x14ac:dyDescent="0.25">
      <c r="A1233" s="148">
        <v>1349</v>
      </c>
      <c r="B1233" s="218">
        <v>44056</v>
      </c>
      <c r="C1233" s="217">
        <v>4182</v>
      </c>
      <c r="D1233" s="220" t="s">
        <v>2147</v>
      </c>
      <c r="E1233" s="220"/>
      <c r="F1233" s="229">
        <v>38353</v>
      </c>
      <c r="G1233" s="214" t="s">
        <v>1665</v>
      </c>
      <c r="H1233" s="214">
        <v>1000</v>
      </c>
    </row>
    <row r="1234" spans="1:14" x14ac:dyDescent="0.25">
      <c r="A1234" s="148">
        <v>1350</v>
      </c>
      <c r="B1234" s="218">
        <v>44056</v>
      </c>
      <c r="C1234" s="217">
        <v>4183</v>
      </c>
      <c r="D1234" s="220" t="s">
        <v>2148</v>
      </c>
      <c r="E1234" s="220"/>
      <c r="F1234" s="229">
        <v>28095</v>
      </c>
      <c r="G1234" s="214" t="s">
        <v>1665</v>
      </c>
      <c r="H1234" s="214">
        <v>200</v>
      </c>
      <c r="I1234" s="217" t="s">
        <v>2312</v>
      </c>
    </row>
    <row r="1235" spans="1:14" x14ac:dyDescent="0.25">
      <c r="A1235" s="148">
        <v>1351</v>
      </c>
      <c r="B1235" s="218">
        <v>44057</v>
      </c>
      <c r="C1235" s="217">
        <v>4185</v>
      </c>
      <c r="D1235" s="215" t="s">
        <v>2313</v>
      </c>
      <c r="F1235" s="229">
        <v>37012</v>
      </c>
      <c r="H1235" s="214">
        <v>150</v>
      </c>
      <c r="I1235" s="217" t="s">
        <v>2314</v>
      </c>
      <c r="J1235" s="217" t="s">
        <v>2315</v>
      </c>
    </row>
    <row r="1236" spans="1:14" x14ac:dyDescent="0.25">
      <c r="A1236" s="148">
        <v>1352</v>
      </c>
      <c r="B1236" s="218">
        <v>44057</v>
      </c>
      <c r="C1236" s="217">
        <v>4196</v>
      </c>
      <c r="D1236" s="215" t="s">
        <v>2316</v>
      </c>
      <c r="F1236" s="231" t="s">
        <v>2216</v>
      </c>
      <c r="G1236" s="214" t="s">
        <v>2218</v>
      </c>
      <c r="H1236" s="214">
        <v>200</v>
      </c>
      <c r="J1236" s="217" t="s">
        <v>2217</v>
      </c>
    </row>
    <row r="1237" spans="1:14" x14ac:dyDescent="0.25">
      <c r="A1237" s="148">
        <v>1353</v>
      </c>
      <c r="B1237" s="218">
        <v>44057</v>
      </c>
      <c r="C1237" s="217">
        <v>4199</v>
      </c>
      <c r="D1237" s="215" t="s">
        <v>2317</v>
      </c>
    </row>
    <row r="1238" spans="1:14" x14ac:dyDescent="0.25">
      <c r="A1238" s="148">
        <v>1354</v>
      </c>
      <c r="B1238" s="218">
        <v>44075</v>
      </c>
      <c r="C1238" s="217">
        <v>4202</v>
      </c>
      <c r="D1238" s="215" t="s">
        <v>2309</v>
      </c>
      <c r="I1238" s="217" t="s">
        <v>2318</v>
      </c>
      <c r="J1238" s="217" t="s">
        <v>2319</v>
      </c>
    </row>
    <row r="1239" spans="1:14" x14ac:dyDescent="0.25">
      <c r="A1239" s="148">
        <v>1355</v>
      </c>
      <c r="B1239" s="218">
        <v>44075</v>
      </c>
      <c r="C1239" s="217">
        <v>4206</v>
      </c>
      <c r="D1239" s="215" t="s">
        <v>1261</v>
      </c>
      <c r="F1239" s="229">
        <v>29835</v>
      </c>
      <c r="G1239" s="214" t="s">
        <v>2166</v>
      </c>
      <c r="H1239" s="214">
        <v>300</v>
      </c>
      <c r="I1239" s="217" t="s">
        <v>2320</v>
      </c>
    </row>
    <row r="1240" spans="1:14" x14ac:dyDescent="0.25">
      <c r="A1240" s="148">
        <v>1356</v>
      </c>
      <c r="B1240" s="218">
        <v>44076</v>
      </c>
      <c r="C1240" s="217">
        <v>4208</v>
      </c>
      <c r="D1240" s="215" t="s">
        <v>2287</v>
      </c>
      <c r="F1240" s="229">
        <v>31048</v>
      </c>
      <c r="G1240" s="214" t="s">
        <v>1802</v>
      </c>
      <c r="H1240" s="214">
        <v>44000</v>
      </c>
      <c r="I1240" s="217" t="s">
        <v>2321</v>
      </c>
      <c r="J1240" s="217" t="s">
        <v>2322</v>
      </c>
    </row>
    <row r="1241" spans="1:14" x14ac:dyDescent="0.25">
      <c r="A1241" s="148">
        <v>1357</v>
      </c>
      <c r="B1241" s="218">
        <v>44077</v>
      </c>
      <c r="C1241" s="217">
        <v>4210</v>
      </c>
      <c r="D1241" s="215" t="s">
        <v>2289</v>
      </c>
      <c r="F1241" s="229">
        <v>30897</v>
      </c>
      <c r="G1241" s="214" t="s">
        <v>1665</v>
      </c>
      <c r="H1241" s="214">
        <v>100</v>
      </c>
      <c r="I1241" s="217" t="s">
        <v>2323</v>
      </c>
    </row>
    <row r="1242" spans="1:14" x14ac:dyDescent="0.25">
      <c r="A1242" s="148">
        <v>1359</v>
      </c>
      <c r="B1242" s="218">
        <v>44079</v>
      </c>
      <c r="C1242" s="217">
        <v>4211</v>
      </c>
      <c r="D1242" s="215" t="s">
        <v>2290</v>
      </c>
      <c r="F1242" s="229">
        <v>39842</v>
      </c>
      <c r="G1242" s="214" t="s">
        <v>1671</v>
      </c>
      <c r="H1242" s="214">
        <v>100</v>
      </c>
      <c r="J1242" s="217" t="s">
        <v>2324</v>
      </c>
    </row>
    <row r="1243" spans="1:14" x14ac:dyDescent="0.25">
      <c r="A1243" s="148">
        <v>1360</v>
      </c>
      <c r="B1243" s="218">
        <v>44079</v>
      </c>
      <c r="C1243" s="217">
        <v>4212</v>
      </c>
      <c r="D1243" s="215" t="s">
        <v>2291</v>
      </c>
      <c r="F1243" s="229">
        <v>31773</v>
      </c>
      <c r="G1243" s="214" t="s">
        <v>1671</v>
      </c>
      <c r="H1243" s="214">
        <v>100</v>
      </c>
      <c r="I1243" s="217" t="s">
        <v>2325</v>
      </c>
      <c r="J1243" s="217" t="s">
        <v>2326</v>
      </c>
    </row>
    <row r="1244" spans="1:14" x14ac:dyDescent="0.25">
      <c r="A1244" s="148">
        <v>1361</v>
      </c>
      <c r="B1244" s="218">
        <v>44081</v>
      </c>
      <c r="C1244" s="217">
        <v>4224</v>
      </c>
      <c r="D1244" s="215" t="s">
        <v>2333</v>
      </c>
      <c r="F1244" s="229">
        <v>38370</v>
      </c>
      <c r="H1244" s="214">
        <v>200</v>
      </c>
      <c r="I1244" s="217" t="s">
        <v>2334</v>
      </c>
      <c r="J1244" s="217" t="s">
        <v>2335</v>
      </c>
    </row>
    <row r="1245" spans="1:14" x14ac:dyDescent="0.25">
      <c r="A1245" s="148">
        <v>1362</v>
      </c>
      <c r="B1245" s="218">
        <v>44081</v>
      </c>
      <c r="C1245" s="217">
        <v>4225</v>
      </c>
      <c r="D1245" s="215" t="s">
        <v>2336</v>
      </c>
      <c r="F1245" s="229">
        <v>38579</v>
      </c>
      <c r="H1245" s="214">
        <v>200</v>
      </c>
      <c r="I1245" s="217" t="s">
        <v>2337</v>
      </c>
      <c r="J1245" s="217" t="s">
        <v>2338</v>
      </c>
    </row>
    <row r="1246" spans="1:14" x14ac:dyDescent="0.25">
      <c r="A1246" s="148">
        <v>1363</v>
      </c>
      <c r="B1246" s="218">
        <v>44081</v>
      </c>
      <c r="C1246" s="217">
        <v>4226</v>
      </c>
      <c r="D1246" s="215" t="s">
        <v>2339</v>
      </c>
      <c r="F1246" s="229">
        <v>33618</v>
      </c>
      <c r="G1246" s="214" t="s">
        <v>1799</v>
      </c>
      <c r="H1246" s="214">
        <v>200</v>
      </c>
      <c r="I1246" s="217" t="s">
        <v>2340</v>
      </c>
      <c r="J1246" s="217" t="s">
        <v>2341</v>
      </c>
    </row>
    <row r="1247" spans="1:14" x14ac:dyDescent="0.25">
      <c r="A1247" s="148">
        <v>1364</v>
      </c>
      <c r="B1247" s="218">
        <v>44081</v>
      </c>
      <c r="C1247" s="217">
        <v>4227</v>
      </c>
      <c r="D1247" s="215" t="s">
        <v>2342</v>
      </c>
      <c r="F1247" s="229">
        <v>40074</v>
      </c>
      <c r="G1247" s="214" t="s">
        <v>1799</v>
      </c>
      <c r="H1247" s="214">
        <v>200</v>
      </c>
      <c r="I1247" s="217" t="s">
        <v>2343</v>
      </c>
      <c r="J1247" s="217" t="s">
        <v>2344</v>
      </c>
    </row>
    <row r="1248" spans="1:14" x14ac:dyDescent="0.25">
      <c r="A1248" s="148">
        <v>1365</v>
      </c>
      <c r="B1248" s="218">
        <v>44082</v>
      </c>
      <c r="C1248" s="217">
        <v>4228</v>
      </c>
      <c r="D1248" s="215" t="s">
        <v>2345</v>
      </c>
      <c r="F1248" s="229">
        <v>33363</v>
      </c>
      <c r="G1248" s="214" t="s">
        <v>1665</v>
      </c>
      <c r="H1248" s="214">
        <v>1000</v>
      </c>
      <c r="I1248" s="217" t="s">
        <v>2346</v>
      </c>
      <c r="N1248" s="214" t="s">
        <v>53</v>
      </c>
    </row>
    <row r="1249" spans="1:14" x14ac:dyDescent="0.25">
      <c r="A1249" s="148">
        <v>1366</v>
      </c>
      <c r="B1249" s="218">
        <v>44082</v>
      </c>
      <c r="C1249" s="217">
        <v>4229</v>
      </c>
      <c r="D1249" s="215" t="s">
        <v>2349</v>
      </c>
      <c r="F1249" s="229">
        <v>32874</v>
      </c>
      <c r="G1249" s="214" t="s">
        <v>1650</v>
      </c>
      <c r="H1249" s="214">
        <v>200</v>
      </c>
      <c r="I1249" s="217" t="s">
        <v>2347</v>
      </c>
      <c r="J1249" s="217" t="s">
        <v>2348</v>
      </c>
    </row>
    <row r="1250" spans="1:14" x14ac:dyDescent="0.25">
      <c r="A1250" s="148">
        <v>1367</v>
      </c>
      <c r="B1250" s="218">
        <v>44082</v>
      </c>
      <c r="C1250" s="217">
        <v>4230</v>
      </c>
      <c r="D1250" s="215" t="s">
        <v>2330</v>
      </c>
      <c r="G1250" s="214" t="s">
        <v>1650</v>
      </c>
      <c r="H1250" s="214">
        <v>200</v>
      </c>
      <c r="I1250" s="217" t="s">
        <v>2331</v>
      </c>
      <c r="J1250" s="217" t="s">
        <v>2332</v>
      </c>
    </row>
    <row r="1251" spans="1:14" x14ac:dyDescent="0.25">
      <c r="A1251" s="148">
        <v>1368</v>
      </c>
      <c r="B1251" s="218">
        <v>44082</v>
      </c>
      <c r="C1251" s="217">
        <v>4231</v>
      </c>
      <c r="D1251" s="215" t="s">
        <v>2327</v>
      </c>
      <c r="F1251" s="229">
        <v>26331</v>
      </c>
      <c r="G1251" s="214" t="s">
        <v>2166</v>
      </c>
      <c r="H1251" s="214">
        <v>500</v>
      </c>
      <c r="I1251" s="217" t="s">
        <v>2328</v>
      </c>
      <c r="J1251" s="217" t="s">
        <v>2329</v>
      </c>
    </row>
    <row r="1252" spans="1:14" x14ac:dyDescent="0.25">
      <c r="A1252" s="148">
        <v>1369</v>
      </c>
      <c r="B1252" s="218">
        <v>44084</v>
      </c>
      <c r="C1252" s="217">
        <v>4234</v>
      </c>
      <c r="D1252" s="215" t="s">
        <v>2376</v>
      </c>
      <c r="F1252" s="229">
        <v>30330</v>
      </c>
      <c r="G1252" s="214" t="s">
        <v>1665</v>
      </c>
      <c r="H1252" s="214">
        <v>1000</v>
      </c>
      <c r="I1252" s="217" t="s">
        <v>2377</v>
      </c>
      <c r="J1252" s="217" t="s">
        <v>2378</v>
      </c>
    </row>
    <row r="1253" spans="1:14" x14ac:dyDescent="0.25">
      <c r="A1253" s="148">
        <v>1370</v>
      </c>
      <c r="B1253" s="218">
        <v>44088</v>
      </c>
      <c r="C1253" s="217">
        <v>4238</v>
      </c>
      <c r="D1253" s="215" t="s">
        <v>2379</v>
      </c>
      <c r="F1253" s="229">
        <v>37582</v>
      </c>
      <c r="H1253" s="214">
        <v>200</v>
      </c>
      <c r="I1253" s="217" t="s">
        <v>2380</v>
      </c>
      <c r="J1253" s="217" t="s">
        <v>2381</v>
      </c>
    </row>
    <row r="1254" spans="1:14" x14ac:dyDescent="0.25">
      <c r="A1254" s="148">
        <v>1371</v>
      </c>
      <c r="C1254" s="217">
        <v>4241</v>
      </c>
      <c r="D1254" s="215" t="s">
        <v>2885</v>
      </c>
    </row>
    <row r="1255" spans="1:14" x14ac:dyDescent="0.25">
      <c r="A1255" s="148">
        <v>1372</v>
      </c>
      <c r="C1255" s="217">
        <v>4245</v>
      </c>
      <c r="D1255" s="215" t="s">
        <v>2886</v>
      </c>
    </row>
    <row r="1256" spans="1:14" x14ac:dyDescent="0.25">
      <c r="A1256" s="148">
        <v>1373</v>
      </c>
      <c r="C1256" s="217">
        <v>4249</v>
      </c>
      <c r="D1256" s="215" t="s">
        <v>2887</v>
      </c>
    </row>
    <row r="1257" spans="1:14" x14ac:dyDescent="0.25">
      <c r="A1257" s="148">
        <v>1374</v>
      </c>
      <c r="C1257" s="217">
        <v>4250</v>
      </c>
      <c r="D1257" s="215" t="s">
        <v>2888</v>
      </c>
    </row>
    <row r="1258" spans="1:14" x14ac:dyDescent="0.25">
      <c r="A1258" s="148">
        <v>1375</v>
      </c>
      <c r="C1258" s="217">
        <v>4256</v>
      </c>
      <c r="D1258" s="215" t="s">
        <v>2889</v>
      </c>
    </row>
    <row r="1259" spans="1:14" x14ac:dyDescent="0.25">
      <c r="A1259" s="148">
        <v>1376</v>
      </c>
      <c r="C1259" s="217">
        <v>4257</v>
      </c>
      <c r="D1259" s="215" t="s">
        <v>2160</v>
      </c>
    </row>
    <row r="1260" spans="1:14" x14ac:dyDescent="0.25">
      <c r="A1260" s="148">
        <v>1377</v>
      </c>
      <c r="C1260" s="217">
        <v>4259</v>
      </c>
      <c r="D1260" s="215" t="s">
        <v>2890</v>
      </c>
    </row>
    <row r="1261" spans="1:14" x14ac:dyDescent="0.25">
      <c r="A1261" s="148">
        <v>1378</v>
      </c>
    </row>
    <row r="1262" spans="1:14" x14ac:dyDescent="0.25">
      <c r="A1262" s="148">
        <v>1379</v>
      </c>
    </row>
    <row r="1263" spans="1:14" x14ac:dyDescent="0.25">
      <c r="A1263" s="148">
        <v>1380</v>
      </c>
    </row>
    <row r="1264" spans="1:14" x14ac:dyDescent="0.25">
      <c r="A1264" s="148">
        <v>1381</v>
      </c>
      <c r="B1264" s="218">
        <v>44109</v>
      </c>
      <c r="C1264" s="217">
        <v>4266</v>
      </c>
      <c r="D1264" s="215" t="s">
        <v>2490</v>
      </c>
      <c r="F1264" s="229">
        <v>31833</v>
      </c>
      <c r="G1264" s="214" t="s">
        <v>2491</v>
      </c>
      <c r="H1264" s="214">
        <v>100</v>
      </c>
      <c r="I1264" s="217" t="s">
        <v>2492</v>
      </c>
      <c r="N1264" s="214" t="s">
        <v>66</v>
      </c>
    </row>
    <row r="1265" spans="1:14" x14ac:dyDescent="0.25">
      <c r="A1265" s="148">
        <v>1382</v>
      </c>
      <c r="B1265" s="218">
        <v>44110</v>
      </c>
      <c r="C1265" s="217">
        <v>4268</v>
      </c>
      <c r="D1265" s="215" t="s">
        <v>2493</v>
      </c>
      <c r="F1265" s="229">
        <v>37176</v>
      </c>
      <c r="G1265" s="214" t="s">
        <v>2494</v>
      </c>
      <c r="I1265" s="217" t="s">
        <v>2495</v>
      </c>
    </row>
    <row r="1266" spans="1:14" x14ac:dyDescent="0.25">
      <c r="A1266" s="148">
        <v>1383</v>
      </c>
      <c r="B1266" s="214" t="s">
        <v>2518</v>
      </c>
      <c r="C1266" s="217">
        <v>4270</v>
      </c>
      <c r="D1266" s="215" t="s">
        <v>2519</v>
      </c>
      <c r="F1266" s="229">
        <v>33582</v>
      </c>
      <c r="G1266" s="214" t="s">
        <v>1720</v>
      </c>
      <c r="I1266" s="217" t="s">
        <v>2520</v>
      </c>
      <c r="N1266" s="214" t="s">
        <v>66</v>
      </c>
    </row>
    <row r="1267" spans="1:14" x14ac:dyDescent="0.25">
      <c r="A1267" s="148">
        <v>1384</v>
      </c>
      <c r="B1267" s="218">
        <v>44113</v>
      </c>
      <c r="C1267" s="217">
        <v>4275</v>
      </c>
      <c r="D1267" s="215" t="s">
        <v>676</v>
      </c>
      <c r="F1267" s="229">
        <v>36200</v>
      </c>
      <c r="G1267" s="214" t="s">
        <v>2166</v>
      </c>
      <c r="H1267" s="214">
        <v>500</v>
      </c>
      <c r="I1267" s="217" t="s">
        <v>2517</v>
      </c>
      <c r="N1267" s="214" t="s">
        <v>66</v>
      </c>
    </row>
    <row r="1268" spans="1:14" x14ac:dyDescent="0.25">
      <c r="A1268" s="148">
        <v>1385</v>
      </c>
      <c r="B1268" s="218">
        <v>44116</v>
      </c>
      <c r="C1268" s="217">
        <v>4277</v>
      </c>
      <c r="D1268" s="215" t="s">
        <v>2529</v>
      </c>
      <c r="F1268" s="229">
        <v>34463</v>
      </c>
      <c r="G1268" s="214" t="s">
        <v>2530</v>
      </c>
      <c r="H1268" s="214">
        <v>300</v>
      </c>
      <c r="I1268" s="217" t="s">
        <v>2531</v>
      </c>
      <c r="J1268" s="217" t="s">
        <v>2532</v>
      </c>
    </row>
    <row r="1269" spans="1:14" x14ac:dyDescent="0.25">
      <c r="A1269" s="148">
        <v>1386</v>
      </c>
      <c r="B1269" s="218">
        <v>44117</v>
      </c>
      <c r="C1269" s="217">
        <v>4278</v>
      </c>
      <c r="D1269" s="215" t="s">
        <v>2545</v>
      </c>
      <c r="F1269" s="229">
        <v>25569</v>
      </c>
      <c r="G1269" s="214" t="s">
        <v>2546</v>
      </c>
      <c r="H1269" s="214">
        <v>500</v>
      </c>
      <c r="I1269" s="217" t="s">
        <v>2963</v>
      </c>
      <c r="J1269" s="217" t="s">
        <v>2964</v>
      </c>
      <c r="N1269" s="214" t="s">
        <v>66</v>
      </c>
    </row>
    <row r="1270" spans="1:14" x14ac:dyDescent="0.25">
      <c r="A1270" s="148">
        <v>1387</v>
      </c>
      <c r="B1270" s="218">
        <v>44118</v>
      </c>
      <c r="C1270" s="217">
        <v>4280</v>
      </c>
      <c r="D1270" s="215" t="s">
        <v>2544</v>
      </c>
      <c r="F1270" s="229">
        <v>34585</v>
      </c>
      <c r="H1270" s="214">
        <v>100</v>
      </c>
    </row>
    <row r="1271" spans="1:14" x14ac:dyDescent="0.25">
      <c r="A1271" s="148">
        <v>1388</v>
      </c>
      <c r="B1271" s="218">
        <v>44119</v>
      </c>
      <c r="C1271" s="217">
        <v>4285</v>
      </c>
      <c r="D1271" s="215" t="s">
        <v>2561</v>
      </c>
      <c r="F1271" s="229">
        <v>35562</v>
      </c>
      <c r="G1271" s="214" t="s">
        <v>2562</v>
      </c>
      <c r="H1271" s="214">
        <v>100</v>
      </c>
      <c r="I1271" s="217" t="s">
        <v>2563</v>
      </c>
      <c r="J1271" s="217" t="s">
        <v>2564</v>
      </c>
      <c r="N1271" s="214" t="s">
        <v>53</v>
      </c>
    </row>
    <row r="1272" spans="1:14" x14ac:dyDescent="0.25">
      <c r="A1272" s="148">
        <v>1389</v>
      </c>
      <c r="B1272" s="218">
        <v>44119</v>
      </c>
      <c r="C1272" s="217">
        <v>4286</v>
      </c>
      <c r="D1272" s="215" t="s">
        <v>2565</v>
      </c>
      <c r="F1272" s="229">
        <v>35562</v>
      </c>
      <c r="G1272" s="214" t="s">
        <v>2562</v>
      </c>
      <c r="H1272" s="214">
        <v>100</v>
      </c>
      <c r="I1272" s="217" t="s">
        <v>2566</v>
      </c>
      <c r="J1272" s="217" t="s">
        <v>2567</v>
      </c>
      <c r="N1272" s="214" t="s">
        <v>53</v>
      </c>
    </row>
    <row r="1273" spans="1:14" x14ac:dyDescent="0.25">
      <c r="A1273" s="148">
        <v>1390</v>
      </c>
      <c r="C1273" s="217">
        <v>4288</v>
      </c>
      <c r="D1273" s="215" t="s">
        <v>2761</v>
      </c>
      <c r="I1273" s="217" t="s">
        <v>2765</v>
      </c>
      <c r="J1273" s="217" t="s">
        <v>2766</v>
      </c>
    </row>
    <row r="1274" spans="1:14" x14ac:dyDescent="0.25">
      <c r="A1274" s="148">
        <v>1391</v>
      </c>
      <c r="C1274" s="217">
        <v>4291</v>
      </c>
      <c r="D1274" s="215" t="s">
        <v>2762</v>
      </c>
      <c r="I1274" s="217" t="s">
        <v>2767</v>
      </c>
      <c r="J1274" s="217" t="s">
        <v>2768</v>
      </c>
    </row>
    <row r="1275" spans="1:14" x14ac:dyDescent="0.25">
      <c r="A1275" s="148">
        <v>1392</v>
      </c>
      <c r="C1275" s="217">
        <v>4293</v>
      </c>
      <c r="D1275" s="215" t="s">
        <v>2763</v>
      </c>
      <c r="I1275" s="217" t="s">
        <v>2769</v>
      </c>
      <c r="J1275" s="217" t="s">
        <v>2770</v>
      </c>
    </row>
    <row r="1276" spans="1:14" x14ac:dyDescent="0.25">
      <c r="A1276" s="148">
        <v>1393</v>
      </c>
      <c r="C1276" s="217">
        <v>4298</v>
      </c>
      <c r="D1276" s="215" t="s">
        <v>2764</v>
      </c>
      <c r="I1276" s="217" t="s">
        <v>2771</v>
      </c>
      <c r="J1276" s="217" t="s">
        <v>2772</v>
      </c>
    </row>
    <row r="1277" spans="1:14" x14ac:dyDescent="0.25">
      <c r="A1277" s="148">
        <v>1394</v>
      </c>
    </row>
    <row r="1278" spans="1:14" x14ac:dyDescent="0.25">
      <c r="A1278" s="148">
        <v>1395</v>
      </c>
      <c r="C1278" s="217">
        <v>4307</v>
      </c>
      <c r="D1278" s="215" t="s">
        <v>676</v>
      </c>
      <c r="F1278" s="229">
        <v>36795</v>
      </c>
      <c r="G1278" s="214" t="s">
        <v>1777</v>
      </c>
      <c r="H1278" s="214">
        <v>200</v>
      </c>
    </row>
    <row r="1279" spans="1:14" x14ac:dyDescent="0.25">
      <c r="A1279" s="148">
        <v>1396</v>
      </c>
      <c r="C1279" s="217">
        <v>4309</v>
      </c>
      <c r="D1279" s="215" t="s">
        <v>2608</v>
      </c>
      <c r="F1279" s="229">
        <v>35796</v>
      </c>
      <c r="G1279" s="214" t="s">
        <v>1671</v>
      </c>
      <c r="H1279" s="214">
        <v>200</v>
      </c>
      <c r="N1279" s="214" t="s">
        <v>66</v>
      </c>
    </row>
    <row r="1280" spans="1:14" x14ac:dyDescent="0.25">
      <c r="A1280" s="148">
        <v>1397</v>
      </c>
      <c r="B1280" s="218">
        <v>44133</v>
      </c>
      <c r="C1280" s="217">
        <v>4311</v>
      </c>
      <c r="D1280" s="215" t="s">
        <v>2607</v>
      </c>
      <c r="F1280" s="229">
        <v>34669</v>
      </c>
      <c r="G1280" s="214" t="s">
        <v>1671</v>
      </c>
      <c r="H1280" s="214">
        <v>1000</v>
      </c>
      <c r="N1280" s="214" t="s">
        <v>66</v>
      </c>
    </row>
    <row r="1281" spans="1:14" x14ac:dyDescent="0.25">
      <c r="A1281" s="148">
        <v>1398</v>
      </c>
      <c r="B1281" s="218">
        <v>44133</v>
      </c>
      <c r="C1281" s="217">
        <v>4314</v>
      </c>
      <c r="D1281" s="215" t="s">
        <v>2606</v>
      </c>
      <c r="F1281" s="229">
        <v>33668</v>
      </c>
      <c r="G1281" s="214" t="s">
        <v>1671</v>
      </c>
      <c r="H1281" s="214">
        <v>500</v>
      </c>
      <c r="I1281" s="217" t="s">
        <v>2773</v>
      </c>
      <c r="J1281" s="217" t="s">
        <v>2774</v>
      </c>
      <c r="N1281" s="214" t="s">
        <v>66</v>
      </c>
    </row>
    <row r="1282" spans="1:14" x14ac:dyDescent="0.25">
      <c r="A1282" s="148">
        <v>1399</v>
      </c>
      <c r="B1282" s="218">
        <v>44134</v>
      </c>
      <c r="C1282" s="217">
        <v>4315</v>
      </c>
      <c r="D1282" s="215" t="s">
        <v>2775</v>
      </c>
      <c r="H1282" s="214">
        <v>500</v>
      </c>
      <c r="I1282" s="217" t="s">
        <v>2776</v>
      </c>
      <c r="J1282" s="217" t="s">
        <v>2777</v>
      </c>
      <c r="N1282" s="214" t="s">
        <v>66</v>
      </c>
    </row>
    <row r="1283" spans="1:14" x14ac:dyDescent="0.25">
      <c r="A1283" s="148">
        <v>1400</v>
      </c>
      <c r="B1283" s="218">
        <v>44139</v>
      </c>
      <c r="C1283" s="217">
        <v>4326</v>
      </c>
      <c r="D1283" s="215" t="s">
        <v>2781</v>
      </c>
      <c r="I1283" s="217" t="s">
        <v>2782</v>
      </c>
    </row>
    <row r="1284" spans="1:14" x14ac:dyDescent="0.25">
      <c r="A1284" s="148">
        <v>1401</v>
      </c>
      <c r="B1284" s="218">
        <v>44139</v>
      </c>
      <c r="C1284" s="217">
        <v>4329</v>
      </c>
      <c r="D1284" s="215" t="s">
        <v>2783</v>
      </c>
      <c r="I1284" s="217" t="s">
        <v>2784</v>
      </c>
    </row>
    <row r="1285" spans="1:14" x14ac:dyDescent="0.25">
      <c r="A1285" s="148">
        <v>1402</v>
      </c>
      <c r="B1285" s="218">
        <v>44139</v>
      </c>
      <c r="C1285" s="217">
        <v>4330</v>
      </c>
      <c r="D1285" s="215" t="s">
        <v>2785</v>
      </c>
      <c r="I1285" s="217" t="s">
        <v>2786</v>
      </c>
      <c r="J1285" s="217" t="s">
        <v>2787</v>
      </c>
    </row>
    <row r="1286" spans="1:14" x14ac:dyDescent="0.25">
      <c r="A1286" s="148">
        <v>1403</v>
      </c>
      <c r="B1286" s="218">
        <v>44142</v>
      </c>
      <c r="C1286" s="217">
        <v>4332</v>
      </c>
      <c r="D1286" s="215" t="s">
        <v>2778</v>
      </c>
      <c r="I1286" s="217" t="s">
        <v>2779</v>
      </c>
      <c r="J1286" s="217" t="s">
        <v>2780</v>
      </c>
    </row>
    <row r="1287" spans="1:14" x14ac:dyDescent="0.25">
      <c r="A1287" s="148">
        <v>1404</v>
      </c>
      <c r="B1287" s="218">
        <v>44144</v>
      </c>
      <c r="C1287" s="217">
        <v>4333</v>
      </c>
      <c r="D1287" s="215" t="s">
        <v>2788</v>
      </c>
      <c r="I1287" s="217" t="s">
        <v>2789</v>
      </c>
      <c r="J1287" s="217" t="s">
        <v>2790</v>
      </c>
    </row>
    <row r="1288" spans="1:14" x14ac:dyDescent="0.25">
      <c r="A1288" s="148">
        <v>1405</v>
      </c>
      <c r="B1288" s="218">
        <v>44150</v>
      </c>
      <c r="C1288" s="217">
        <v>4342</v>
      </c>
      <c r="D1288" s="215" t="s">
        <v>2791</v>
      </c>
      <c r="I1288" s="217" t="s">
        <v>2794</v>
      </c>
      <c r="J1288" s="217" t="s">
        <v>2795</v>
      </c>
    </row>
    <row r="1289" spans="1:14" x14ac:dyDescent="0.25">
      <c r="A1289" s="148">
        <v>1406</v>
      </c>
      <c r="B1289" s="218">
        <v>44150</v>
      </c>
      <c r="C1289" s="217">
        <v>4343</v>
      </c>
      <c r="D1289" s="215" t="s">
        <v>2792</v>
      </c>
      <c r="I1289" s="217" t="s">
        <v>2796</v>
      </c>
      <c r="J1289" s="217" t="s">
        <v>2797</v>
      </c>
    </row>
    <row r="1290" spans="1:14" x14ac:dyDescent="0.25">
      <c r="A1290" s="148">
        <v>1407</v>
      </c>
      <c r="B1290" s="218">
        <v>44150</v>
      </c>
      <c r="C1290" s="217">
        <v>4344</v>
      </c>
      <c r="D1290" s="215" t="s">
        <v>2793</v>
      </c>
      <c r="I1290" s="217" t="s">
        <v>2798</v>
      </c>
      <c r="J1290" s="217" t="s">
        <v>2799</v>
      </c>
    </row>
    <row r="1291" spans="1:14" x14ac:dyDescent="0.25">
      <c r="A1291" s="148">
        <v>1408</v>
      </c>
      <c r="B1291" s="218">
        <v>44152</v>
      </c>
      <c r="C1291" s="217">
        <v>4348</v>
      </c>
      <c r="D1291" s="215" t="s">
        <v>2804</v>
      </c>
      <c r="G1291" s="214" t="s">
        <v>1665</v>
      </c>
      <c r="I1291" s="217" t="s">
        <v>2805</v>
      </c>
      <c r="J1291" s="217" t="s">
        <v>2806</v>
      </c>
    </row>
    <row r="1292" spans="1:14" x14ac:dyDescent="0.25">
      <c r="A1292" s="148">
        <v>1409</v>
      </c>
      <c r="B1292" s="218">
        <v>44152</v>
      </c>
      <c r="C1292" s="217">
        <v>4349</v>
      </c>
      <c r="D1292" s="215" t="s">
        <v>2807</v>
      </c>
      <c r="G1292" s="214" t="s">
        <v>1665</v>
      </c>
      <c r="I1292" s="217" t="s">
        <v>2808</v>
      </c>
      <c r="J1292" s="217" t="s">
        <v>2809</v>
      </c>
    </row>
    <row r="1293" spans="1:14" x14ac:dyDescent="0.25">
      <c r="A1293" s="148">
        <v>1410</v>
      </c>
      <c r="B1293" s="218">
        <v>44152</v>
      </c>
      <c r="C1293" s="217">
        <v>4362</v>
      </c>
      <c r="D1293" s="215" t="s">
        <v>2810</v>
      </c>
      <c r="G1293" s="214" t="s">
        <v>1802</v>
      </c>
    </row>
    <row r="1294" spans="1:14" x14ac:dyDescent="0.25">
      <c r="A1294" s="148">
        <v>1411</v>
      </c>
      <c r="B1294" s="218">
        <v>44152</v>
      </c>
      <c r="C1294" s="217">
        <v>4363</v>
      </c>
      <c r="D1294" s="215" t="s">
        <v>2811</v>
      </c>
      <c r="I1294" s="217" t="s">
        <v>2812</v>
      </c>
      <c r="J1294" s="217" t="s">
        <v>2813</v>
      </c>
    </row>
    <row r="1295" spans="1:14" x14ac:dyDescent="0.25">
      <c r="A1295" s="148">
        <v>1412</v>
      </c>
      <c r="B1295" s="218">
        <v>44174</v>
      </c>
      <c r="C1295" s="217">
        <v>4368</v>
      </c>
      <c r="D1295" s="215" t="s">
        <v>2814</v>
      </c>
      <c r="G1295" s="214" t="s">
        <v>1802</v>
      </c>
      <c r="I1295" s="217" t="s">
        <v>2815</v>
      </c>
      <c r="J1295" s="217" t="s">
        <v>2816</v>
      </c>
    </row>
    <row r="1296" spans="1:14" x14ac:dyDescent="0.25">
      <c r="A1296" s="148">
        <v>1413</v>
      </c>
      <c r="B1296" s="218">
        <v>44176</v>
      </c>
      <c r="C1296" s="217">
        <v>4369</v>
      </c>
      <c r="D1296" s="215" t="s">
        <v>2817</v>
      </c>
      <c r="F1296" s="229">
        <v>34566</v>
      </c>
      <c r="G1296" s="214" t="s">
        <v>1665</v>
      </c>
      <c r="I1296" s="217" t="s">
        <v>2818</v>
      </c>
      <c r="J1296" s="217" t="s">
        <v>2819</v>
      </c>
    </row>
    <row r="1297" spans="1:14" x14ac:dyDescent="0.25">
      <c r="A1297" s="148">
        <v>1414</v>
      </c>
      <c r="B1297" s="218">
        <v>44180</v>
      </c>
      <c r="C1297" s="217">
        <v>4370</v>
      </c>
      <c r="D1297" s="215" t="s">
        <v>2820</v>
      </c>
      <c r="F1297" s="229">
        <v>38047</v>
      </c>
      <c r="I1297" s="217" t="s">
        <v>2821</v>
      </c>
      <c r="J1297" s="217" t="s">
        <v>2822</v>
      </c>
    </row>
    <row r="1298" spans="1:14" x14ac:dyDescent="0.25">
      <c r="A1298" s="148">
        <v>1415</v>
      </c>
      <c r="B1298" s="218">
        <v>44180</v>
      </c>
      <c r="C1298" s="217">
        <v>4372</v>
      </c>
      <c r="D1298" s="215" t="s">
        <v>2823</v>
      </c>
      <c r="I1298" s="217" t="s">
        <v>2824</v>
      </c>
      <c r="J1298" s="217" t="s">
        <v>2825</v>
      </c>
    </row>
    <row r="1299" spans="1:14" x14ac:dyDescent="0.25">
      <c r="A1299" s="148">
        <v>1416</v>
      </c>
      <c r="B1299" s="218">
        <v>44184</v>
      </c>
      <c r="C1299" s="217">
        <v>4377</v>
      </c>
      <c r="D1299" s="215" t="s">
        <v>1270</v>
      </c>
      <c r="I1299" s="217" t="s">
        <v>2826</v>
      </c>
      <c r="J1299" s="217" t="s">
        <v>2827</v>
      </c>
    </row>
    <row r="1300" spans="1:14" x14ac:dyDescent="0.25">
      <c r="A1300" s="148">
        <v>1417</v>
      </c>
      <c r="B1300" s="218">
        <v>44184</v>
      </c>
      <c r="C1300" s="217">
        <v>4378</v>
      </c>
      <c r="D1300" s="215" t="s">
        <v>2828</v>
      </c>
      <c r="H1300" s="214">
        <v>2000</v>
      </c>
      <c r="I1300" s="217" t="s">
        <v>2829</v>
      </c>
      <c r="J1300" s="217" t="s">
        <v>2830</v>
      </c>
      <c r="N1300" s="214" t="s">
        <v>53</v>
      </c>
    </row>
    <row r="1301" spans="1:14" x14ac:dyDescent="0.25">
      <c r="A1301" s="148">
        <v>1418</v>
      </c>
      <c r="B1301" s="218">
        <v>44193</v>
      </c>
      <c r="C1301" s="217">
        <v>4380</v>
      </c>
      <c r="D1301" s="215" t="s">
        <v>2831</v>
      </c>
      <c r="H1301" s="214">
        <v>500</v>
      </c>
      <c r="I1301" s="217" t="s">
        <v>2832</v>
      </c>
      <c r="J1301" s="217" t="s">
        <v>2833</v>
      </c>
      <c r="N1301" s="214" t="s">
        <v>53</v>
      </c>
    </row>
    <row r="1302" spans="1:14" x14ac:dyDescent="0.25">
      <c r="A1302" s="148">
        <v>1419</v>
      </c>
      <c r="B1302" s="218">
        <v>44193</v>
      </c>
      <c r="C1302" s="217">
        <v>4381</v>
      </c>
      <c r="D1302" s="215" t="s">
        <v>2834</v>
      </c>
      <c r="H1302" s="214">
        <v>500</v>
      </c>
      <c r="I1302" s="217" t="s">
        <v>2835</v>
      </c>
      <c r="J1302" s="217" t="s">
        <v>2836</v>
      </c>
      <c r="N1302" s="214" t="s">
        <v>53</v>
      </c>
    </row>
    <row r="1303" spans="1:14" x14ac:dyDescent="0.25">
      <c r="A1303" s="148">
        <v>1420</v>
      </c>
      <c r="B1303" s="218">
        <v>44194</v>
      </c>
      <c r="C1303" s="217">
        <v>4385</v>
      </c>
      <c r="D1303" s="215" t="s">
        <v>2837</v>
      </c>
      <c r="H1303" s="214">
        <v>500</v>
      </c>
      <c r="I1303" s="217" t="s">
        <v>2838</v>
      </c>
      <c r="J1303" s="217" t="s">
        <v>2839</v>
      </c>
      <c r="N1303" s="214" t="s">
        <v>53</v>
      </c>
    </row>
    <row r="1304" spans="1:14" x14ac:dyDescent="0.25">
      <c r="A1304" s="148">
        <v>1422</v>
      </c>
      <c r="B1304" s="218">
        <v>44196</v>
      </c>
      <c r="C1304" s="217">
        <v>4386</v>
      </c>
      <c r="D1304" s="215" t="s">
        <v>2800</v>
      </c>
      <c r="G1304" s="214" t="s">
        <v>2801</v>
      </c>
      <c r="H1304" s="214">
        <v>500</v>
      </c>
      <c r="I1304" s="217" t="s">
        <v>2802</v>
      </c>
      <c r="J1304" s="217" t="s">
        <v>2803</v>
      </c>
      <c r="N1304" s="214" t="s">
        <v>53</v>
      </c>
    </row>
    <row r="1305" spans="1:14" x14ac:dyDescent="0.25">
      <c r="A1305" s="148">
        <v>1424</v>
      </c>
      <c r="B1305" s="218">
        <v>44200</v>
      </c>
      <c r="C1305" s="217">
        <v>4388</v>
      </c>
      <c r="D1305" s="215" t="s">
        <v>2856</v>
      </c>
      <c r="F1305" s="229">
        <v>37515</v>
      </c>
      <c r="G1305" s="214" t="s">
        <v>1802</v>
      </c>
      <c r="H1305" s="214">
        <v>500</v>
      </c>
      <c r="I1305" s="217" t="s">
        <v>2857</v>
      </c>
      <c r="N1305" s="214" t="s">
        <v>53</v>
      </c>
    </row>
    <row r="1306" spans="1:14" x14ac:dyDescent="0.25">
      <c r="B1306" s="218">
        <v>44202</v>
      </c>
      <c r="C1306" s="217">
        <v>4394</v>
      </c>
      <c r="D1306" s="215" t="s">
        <v>2891</v>
      </c>
      <c r="I1306" s="217" t="s">
        <v>2921</v>
      </c>
      <c r="J1306" s="217" t="s">
        <v>2926</v>
      </c>
    </row>
    <row r="1307" spans="1:14" x14ac:dyDescent="0.25">
      <c r="B1307" s="218">
        <v>44203</v>
      </c>
      <c r="C1307" s="217">
        <v>4395</v>
      </c>
      <c r="D1307" s="215" t="s">
        <v>2892</v>
      </c>
      <c r="I1307" s="217" t="s">
        <v>2922</v>
      </c>
      <c r="J1307" s="217" t="s">
        <v>2925</v>
      </c>
    </row>
    <row r="1308" spans="1:14" x14ac:dyDescent="0.25">
      <c r="B1308" s="218">
        <v>44204</v>
      </c>
      <c r="C1308" s="217">
        <v>4398</v>
      </c>
      <c r="D1308" s="215" t="s">
        <v>671</v>
      </c>
      <c r="I1308" s="217" t="s">
        <v>2923</v>
      </c>
      <c r="J1308" s="217" t="s">
        <v>2924</v>
      </c>
    </row>
    <row r="1309" spans="1:14" x14ac:dyDescent="0.25">
      <c r="B1309" s="218">
        <v>44207</v>
      </c>
      <c r="C1309" s="217">
        <v>4399</v>
      </c>
      <c r="D1309" s="215" t="s">
        <v>2893</v>
      </c>
      <c r="I1309" s="217" t="s">
        <v>2913</v>
      </c>
      <c r="J1309" s="217" t="s">
        <v>2912</v>
      </c>
    </row>
    <row r="1310" spans="1:14" x14ac:dyDescent="0.25">
      <c r="B1310" s="218">
        <v>44207</v>
      </c>
      <c r="C1310" s="217">
        <v>4401</v>
      </c>
      <c r="D1310" s="215" t="s">
        <v>2894</v>
      </c>
      <c r="I1310" s="217" t="s">
        <v>2914</v>
      </c>
    </row>
    <row r="1311" spans="1:14" x14ac:dyDescent="0.25">
      <c r="B1311" s="218">
        <v>44208</v>
      </c>
      <c r="C1311" s="217">
        <v>4402</v>
      </c>
      <c r="D1311" s="215" t="s">
        <v>2895</v>
      </c>
      <c r="I1311" s="217" t="s">
        <v>2915</v>
      </c>
      <c r="J1311" s="217" t="s">
        <v>2911</v>
      </c>
    </row>
    <row r="1312" spans="1:14" x14ac:dyDescent="0.25">
      <c r="B1312" s="218">
        <v>44208</v>
      </c>
      <c r="C1312" s="217">
        <v>4403</v>
      </c>
      <c r="D1312" s="215" t="s">
        <v>2896</v>
      </c>
      <c r="J1312" s="217" t="s">
        <v>2910</v>
      </c>
    </row>
    <row r="1313" spans="1:10" x14ac:dyDescent="0.25">
      <c r="B1313" s="218">
        <v>44209</v>
      </c>
      <c r="C1313" s="217">
        <v>4404</v>
      </c>
      <c r="D1313" s="215" t="s">
        <v>2897</v>
      </c>
      <c r="I1313" s="217" t="s">
        <v>2916</v>
      </c>
      <c r="J1313" s="217" t="s">
        <v>2909</v>
      </c>
    </row>
    <row r="1314" spans="1:10" x14ac:dyDescent="0.25">
      <c r="B1314" s="218">
        <v>44215</v>
      </c>
      <c r="C1314" s="217">
        <v>4410</v>
      </c>
      <c r="D1314" s="215" t="s">
        <v>2898</v>
      </c>
      <c r="I1314" s="217" t="s">
        <v>2917</v>
      </c>
      <c r="J1314" s="217" t="s">
        <v>2908</v>
      </c>
    </row>
    <row r="1315" spans="1:10" x14ac:dyDescent="0.25">
      <c r="B1315" s="218">
        <v>44216</v>
      </c>
      <c r="C1315" s="217">
        <v>4413</v>
      </c>
      <c r="D1315" s="215" t="s">
        <v>2899</v>
      </c>
      <c r="J1315" s="217" t="s">
        <v>2907</v>
      </c>
    </row>
    <row r="1316" spans="1:10" x14ac:dyDescent="0.25">
      <c r="B1316" s="218">
        <v>44228</v>
      </c>
      <c r="C1316" s="217">
        <v>4431</v>
      </c>
      <c r="D1316" s="215" t="s">
        <v>2900</v>
      </c>
      <c r="I1316" s="217" t="s">
        <v>2918</v>
      </c>
      <c r="J1316" s="217" t="s">
        <v>2906</v>
      </c>
    </row>
    <row r="1317" spans="1:10" x14ac:dyDescent="0.25">
      <c r="B1317" s="218">
        <v>44228</v>
      </c>
      <c r="C1317" s="217">
        <v>4432</v>
      </c>
      <c r="D1317" s="215" t="s">
        <v>2901</v>
      </c>
      <c r="I1317" s="217" t="s">
        <v>2919</v>
      </c>
      <c r="J1317" s="217" t="s">
        <v>2905</v>
      </c>
    </row>
    <row r="1318" spans="1:10" x14ac:dyDescent="0.25">
      <c r="B1318" s="218">
        <v>44230</v>
      </c>
      <c r="C1318" s="217">
        <v>4434</v>
      </c>
      <c r="D1318" s="215" t="s">
        <v>2930</v>
      </c>
      <c r="I1318" s="217" t="s">
        <v>2931</v>
      </c>
      <c r="J1318" s="217" t="s">
        <v>2932</v>
      </c>
    </row>
    <row r="1319" spans="1:10" x14ac:dyDescent="0.25">
      <c r="B1319" s="218">
        <v>44231</v>
      </c>
      <c r="C1319" s="217">
        <v>4438</v>
      </c>
      <c r="D1319" s="215" t="s">
        <v>2944</v>
      </c>
    </row>
    <row r="1320" spans="1:10" x14ac:dyDescent="0.25">
      <c r="B1320" s="218">
        <v>44237</v>
      </c>
      <c r="C1320" s="217">
        <v>4440</v>
      </c>
      <c r="D1320" s="215" t="s">
        <v>1526</v>
      </c>
      <c r="I1320" s="217" t="s">
        <v>2920</v>
      </c>
      <c r="J1320" s="217" t="s">
        <v>2904</v>
      </c>
    </row>
    <row r="1321" spans="1:10" x14ac:dyDescent="0.25">
      <c r="B1321" s="218">
        <v>44238</v>
      </c>
      <c r="C1321" s="217">
        <v>4443</v>
      </c>
      <c r="D1321" s="215" t="s">
        <v>2902</v>
      </c>
      <c r="J1321" s="217" t="s">
        <v>2903</v>
      </c>
    </row>
    <row r="1322" spans="1:10" x14ac:dyDescent="0.25">
      <c r="B1322" s="218">
        <v>44239</v>
      </c>
      <c r="C1322" s="217">
        <v>4447</v>
      </c>
      <c r="D1322" s="215" t="s">
        <v>2927</v>
      </c>
      <c r="I1322" s="217" t="s">
        <v>2928</v>
      </c>
      <c r="J1322" s="217" t="s">
        <v>2929</v>
      </c>
    </row>
    <row r="1323" spans="1:10" x14ac:dyDescent="0.25">
      <c r="B1323" s="218">
        <v>44245</v>
      </c>
      <c r="C1323" s="217">
        <v>4449</v>
      </c>
      <c r="D1323" s="215" t="s">
        <v>2933</v>
      </c>
      <c r="J1323" s="217" t="s">
        <v>2934</v>
      </c>
    </row>
    <row r="1324" spans="1:10" x14ac:dyDescent="0.25">
      <c r="B1324" s="218">
        <v>44249</v>
      </c>
      <c r="C1324" s="217">
        <v>4450</v>
      </c>
      <c r="D1324" s="215" t="s">
        <v>2935</v>
      </c>
      <c r="I1324" s="217" t="s">
        <v>2936</v>
      </c>
      <c r="J1324" s="217" t="s">
        <v>2937</v>
      </c>
    </row>
    <row r="1325" spans="1:10" x14ac:dyDescent="0.25">
      <c r="A1325" s="148">
        <v>1444</v>
      </c>
      <c r="B1325" s="218">
        <v>44249</v>
      </c>
      <c r="C1325" s="217">
        <v>4451</v>
      </c>
      <c r="D1325" s="215" t="s">
        <v>2938</v>
      </c>
      <c r="I1325" s="217" t="s">
        <v>2939</v>
      </c>
    </row>
    <row r="1326" spans="1:10" x14ac:dyDescent="0.25">
      <c r="A1326" s="148">
        <v>1445</v>
      </c>
      <c r="B1326" s="218">
        <v>44256</v>
      </c>
      <c r="C1326" s="217">
        <v>4456</v>
      </c>
      <c r="D1326" s="215" t="s">
        <v>2940</v>
      </c>
      <c r="I1326" s="217" t="s">
        <v>2941</v>
      </c>
      <c r="J1326" s="217" t="s">
        <v>2942</v>
      </c>
    </row>
    <row r="1327" spans="1:10" x14ac:dyDescent="0.25">
      <c r="B1327" s="218">
        <v>44257</v>
      </c>
      <c r="C1327" s="217">
        <v>4457</v>
      </c>
      <c r="D1327" s="215" t="s">
        <v>2950</v>
      </c>
      <c r="I1327" s="217" t="s">
        <v>2951</v>
      </c>
      <c r="J1327" s="217" t="s">
        <v>2952</v>
      </c>
    </row>
    <row r="1328" spans="1:10" x14ac:dyDescent="0.25">
      <c r="B1328" s="218">
        <v>44264</v>
      </c>
      <c r="C1328" s="217">
        <v>4462</v>
      </c>
      <c r="D1328" s="215" t="s">
        <v>2949</v>
      </c>
      <c r="I1328" s="217" t="s">
        <v>2953</v>
      </c>
      <c r="J1328" s="217" t="s">
        <v>2954</v>
      </c>
    </row>
    <row r="1329" spans="2:10" x14ac:dyDescent="0.25">
      <c r="B1329" s="218">
        <v>44264</v>
      </c>
      <c r="C1329" s="217">
        <v>4463</v>
      </c>
      <c r="D1329" s="215" t="s">
        <v>2948</v>
      </c>
      <c r="I1329" s="217" t="s">
        <v>2955</v>
      </c>
    </row>
    <row r="1330" spans="2:10" x14ac:dyDescent="0.25">
      <c r="B1330" s="218">
        <v>44265</v>
      </c>
      <c r="C1330" s="217">
        <v>4464</v>
      </c>
      <c r="D1330" s="215" t="s">
        <v>2947</v>
      </c>
      <c r="I1330" s="217" t="s">
        <v>2956</v>
      </c>
      <c r="J1330" s="217" t="s">
        <v>2957</v>
      </c>
    </row>
    <row r="1331" spans="2:10" x14ac:dyDescent="0.25">
      <c r="B1331" s="218">
        <v>44267</v>
      </c>
      <c r="C1331" s="217">
        <v>4465</v>
      </c>
      <c r="D1331" s="215" t="s">
        <v>2946</v>
      </c>
      <c r="I1331" s="217" t="s">
        <v>2958</v>
      </c>
      <c r="J1331" s="217" t="s">
        <v>2959</v>
      </c>
    </row>
    <row r="1332" spans="2:10" x14ac:dyDescent="0.25">
      <c r="B1332" s="218">
        <v>44267</v>
      </c>
      <c r="C1332" s="217">
        <v>4466</v>
      </c>
      <c r="D1332" s="215" t="s">
        <v>3032</v>
      </c>
      <c r="I1332" s="217" t="s">
        <v>3033</v>
      </c>
      <c r="J1332" s="217" t="s">
        <v>3034</v>
      </c>
    </row>
    <row r="1333" spans="2:10" x14ac:dyDescent="0.25">
      <c r="B1333" s="218">
        <v>44267</v>
      </c>
      <c r="C1333" s="217">
        <v>4467</v>
      </c>
      <c r="D1333" s="215" t="s">
        <v>3042</v>
      </c>
      <c r="I1333" s="217" t="s">
        <v>3035</v>
      </c>
      <c r="J1333" s="217" t="s">
        <v>3036</v>
      </c>
    </row>
    <row r="1334" spans="2:10" x14ac:dyDescent="0.25">
      <c r="B1334" s="218">
        <v>44267</v>
      </c>
      <c r="C1334" s="217">
        <v>4469</v>
      </c>
      <c r="D1334" s="215" t="s">
        <v>3037</v>
      </c>
      <c r="J1334" s="217" t="s">
        <v>3038</v>
      </c>
    </row>
    <row r="1335" spans="2:10" x14ac:dyDescent="0.25">
      <c r="B1335" s="218">
        <v>44269</v>
      </c>
      <c r="C1335" s="217">
        <v>4471</v>
      </c>
      <c r="D1335" s="215" t="s">
        <v>3039</v>
      </c>
      <c r="I1335" s="217" t="s">
        <v>3040</v>
      </c>
      <c r="J1335" s="217" t="s">
        <v>3041</v>
      </c>
    </row>
    <row r="1336" spans="2:10" x14ac:dyDescent="0.25">
      <c r="B1336" s="218">
        <v>44237</v>
      </c>
      <c r="C1336" s="217">
        <v>4473</v>
      </c>
      <c r="D1336" s="215" t="s">
        <v>3043</v>
      </c>
      <c r="I1336" s="217" t="s">
        <v>3044</v>
      </c>
      <c r="J1336" s="217" t="s">
        <v>3045</v>
      </c>
    </row>
    <row r="1337" spans="2:10" x14ac:dyDescent="0.25">
      <c r="B1337" s="218">
        <v>44272</v>
      </c>
      <c r="C1337" s="217">
        <v>4476</v>
      </c>
      <c r="D1337" s="215" t="s">
        <v>3046</v>
      </c>
      <c r="I1337" s="217" t="s">
        <v>3047</v>
      </c>
      <c r="J1337" s="217" t="s">
        <v>3048</v>
      </c>
    </row>
    <row r="1338" spans="2:10" x14ac:dyDescent="0.25">
      <c r="B1338" s="218">
        <v>44272</v>
      </c>
      <c r="C1338" s="217">
        <v>4477</v>
      </c>
      <c r="D1338" s="215" t="s">
        <v>3049</v>
      </c>
      <c r="I1338" s="217" t="s">
        <v>3050</v>
      </c>
      <c r="J1338" s="217" t="s">
        <v>3051</v>
      </c>
    </row>
    <row r="1339" spans="2:10" x14ac:dyDescent="0.25">
      <c r="B1339" s="218">
        <v>44272</v>
      </c>
      <c r="C1339" s="217">
        <v>4478</v>
      </c>
      <c r="D1339" s="215" t="s">
        <v>3052</v>
      </c>
      <c r="I1339" s="217" t="s">
        <v>3053</v>
      </c>
      <c r="J1339" s="217" t="s">
        <v>3054</v>
      </c>
    </row>
    <row r="1340" spans="2:10" x14ac:dyDescent="0.25">
      <c r="B1340" s="218">
        <v>44272</v>
      </c>
      <c r="C1340" s="217">
        <v>4479</v>
      </c>
      <c r="D1340" s="215" t="s">
        <v>3055</v>
      </c>
      <c r="I1340" s="217" t="s">
        <v>3056</v>
      </c>
      <c r="J1340" s="217" t="s">
        <v>3057</v>
      </c>
    </row>
    <row r="1341" spans="2:10" x14ac:dyDescent="0.25">
      <c r="B1341" s="218">
        <v>44272</v>
      </c>
      <c r="C1341" s="217">
        <v>4481</v>
      </c>
      <c r="D1341" s="215" t="s">
        <v>3058</v>
      </c>
      <c r="J1341" s="217" t="s">
        <v>3059</v>
      </c>
    </row>
    <row r="1342" spans="2:10" x14ac:dyDescent="0.25">
      <c r="B1342" s="218">
        <v>44273</v>
      </c>
      <c r="C1342" s="217">
        <v>4482</v>
      </c>
      <c r="D1342" s="215" t="s">
        <v>3060</v>
      </c>
      <c r="I1342" s="217" t="s">
        <v>3061</v>
      </c>
      <c r="J1342" s="217" t="s">
        <v>3062</v>
      </c>
    </row>
    <row r="1343" spans="2:10" x14ac:dyDescent="0.25">
      <c r="B1343" s="218">
        <v>44274</v>
      </c>
      <c r="C1343" s="217">
        <v>4483</v>
      </c>
      <c r="D1343" s="215" t="s">
        <v>3063</v>
      </c>
      <c r="I1343" s="217" t="s">
        <v>3064</v>
      </c>
      <c r="J1343" s="217" t="s">
        <v>3065</v>
      </c>
    </row>
    <row r="1344" spans="2:10" x14ac:dyDescent="0.25">
      <c r="B1344" s="218">
        <v>44275</v>
      </c>
      <c r="C1344" s="217">
        <v>4484</v>
      </c>
      <c r="D1344" s="215" t="s">
        <v>3066</v>
      </c>
      <c r="I1344" s="217" t="s">
        <v>3067</v>
      </c>
      <c r="J1344" s="217" t="s">
        <v>3068</v>
      </c>
    </row>
    <row r="1345" spans="2:10" x14ac:dyDescent="0.25">
      <c r="B1345" s="218">
        <v>44275</v>
      </c>
      <c r="C1345" s="217">
        <v>4485</v>
      </c>
      <c r="D1345" s="215" t="s">
        <v>3069</v>
      </c>
      <c r="I1345" s="217" t="s">
        <v>3070</v>
      </c>
      <c r="J1345" s="217" t="s">
        <v>3071</v>
      </c>
    </row>
    <row r="1346" spans="2:10" x14ac:dyDescent="0.25">
      <c r="B1346" s="218">
        <v>44275</v>
      </c>
      <c r="C1346" s="217">
        <v>4486</v>
      </c>
      <c r="D1346" s="215" t="s">
        <v>3072</v>
      </c>
      <c r="I1346" s="217" t="s">
        <v>3073</v>
      </c>
      <c r="J1346" s="217" t="s">
        <v>3074</v>
      </c>
    </row>
    <row r="1347" spans="2:10" x14ac:dyDescent="0.25">
      <c r="B1347" s="218">
        <v>44277</v>
      </c>
      <c r="C1347" s="217">
        <v>4488</v>
      </c>
      <c r="D1347" s="215" t="s">
        <v>3075</v>
      </c>
      <c r="I1347" s="217" t="s">
        <v>3076</v>
      </c>
      <c r="J1347" s="217" t="s">
        <v>3077</v>
      </c>
    </row>
    <row r="1348" spans="2:10" x14ac:dyDescent="0.25">
      <c r="B1348" s="218">
        <v>44281</v>
      </c>
      <c r="C1348" s="217">
        <v>4489</v>
      </c>
      <c r="D1348" s="215" t="s">
        <v>3078</v>
      </c>
      <c r="I1348" s="217" t="s">
        <v>3079</v>
      </c>
    </row>
    <row r="1349" spans="2:10" x14ac:dyDescent="0.25">
      <c r="B1349" s="218">
        <v>44281</v>
      </c>
      <c r="C1349" s="217">
        <v>4490</v>
      </c>
      <c r="D1349" s="215" t="s">
        <v>3080</v>
      </c>
      <c r="J1349" s="217" t="s">
        <v>3081</v>
      </c>
    </row>
    <row r="1350" spans="2:10" x14ac:dyDescent="0.25">
      <c r="B1350" s="218" t="s">
        <v>3082</v>
      </c>
      <c r="C1350" s="217">
        <v>4491</v>
      </c>
      <c r="D1350" s="215" t="s">
        <v>3083</v>
      </c>
      <c r="I1350" s="217" t="s">
        <v>3084</v>
      </c>
    </row>
    <row r="1351" spans="2:10" x14ac:dyDescent="0.25">
      <c r="B1351" s="218">
        <v>44283</v>
      </c>
      <c r="C1351" s="217">
        <v>4492</v>
      </c>
      <c r="D1351" s="215" t="s">
        <v>3085</v>
      </c>
      <c r="I1351" s="217" t="s">
        <v>3086</v>
      </c>
    </row>
    <row r="1352" spans="2:10" x14ac:dyDescent="0.25">
      <c r="B1352" s="218">
        <v>44283</v>
      </c>
      <c r="C1352" s="217">
        <v>4493</v>
      </c>
      <c r="D1352" s="215" t="s">
        <v>3087</v>
      </c>
      <c r="J1352" s="217" t="s">
        <v>3088</v>
      </c>
    </row>
    <row r="1353" spans="2:10" x14ac:dyDescent="0.25">
      <c r="B1353" s="218"/>
      <c r="C1353" s="217">
        <v>4500</v>
      </c>
      <c r="D1353" s="215" t="s">
        <v>3089</v>
      </c>
      <c r="J1353" s="217" t="s">
        <v>3090</v>
      </c>
    </row>
    <row r="1354" spans="2:10" x14ac:dyDescent="0.25">
      <c r="B1354" s="218">
        <v>44383</v>
      </c>
      <c r="C1354" s="217">
        <v>4530</v>
      </c>
      <c r="D1354" s="215" t="s">
        <v>3092</v>
      </c>
      <c r="J1354" s="217" t="s">
        <v>3091</v>
      </c>
    </row>
    <row r="1355" spans="2:10" x14ac:dyDescent="0.25">
      <c r="B1355" s="218">
        <v>44390</v>
      </c>
      <c r="C1355" s="217">
        <v>4534</v>
      </c>
      <c r="D1355" s="215" t="s">
        <v>3093</v>
      </c>
      <c r="J1355" s="217" t="s">
        <v>3094</v>
      </c>
    </row>
    <row r="1356" spans="2:10" x14ac:dyDescent="0.25">
      <c r="B1356" s="218">
        <v>44390</v>
      </c>
      <c r="C1356" s="217">
        <v>4535</v>
      </c>
      <c r="D1356" s="215" t="s">
        <v>3095</v>
      </c>
      <c r="J1356" s="217" t="s">
        <v>3096</v>
      </c>
    </row>
    <row r="1357" spans="2:10" x14ac:dyDescent="0.25">
      <c r="B1357" s="218">
        <v>44391</v>
      </c>
      <c r="C1357" s="217">
        <v>4536</v>
      </c>
      <c r="D1357" s="215" t="s">
        <v>3097</v>
      </c>
      <c r="J1357" s="217" t="s">
        <v>3098</v>
      </c>
    </row>
    <row r="1358" spans="2:10" x14ac:dyDescent="0.25">
      <c r="B1358" s="218">
        <v>44396</v>
      </c>
      <c r="C1358" s="217">
        <v>4541</v>
      </c>
      <c r="D1358" s="215" t="s">
        <v>3099</v>
      </c>
      <c r="J1358" s="217" t="s">
        <v>3098</v>
      </c>
    </row>
    <row r="1359" spans="2:10" x14ac:dyDescent="0.25">
      <c r="B1359" s="218">
        <v>44403</v>
      </c>
      <c r="C1359" s="217">
        <v>4547</v>
      </c>
      <c r="D1359" s="215" t="s">
        <v>3100</v>
      </c>
      <c r="I1359" s="217" t="s">
        <v>3102</v>
      </c>
      <c r="J1359" s="217" t="s">
        <v>3101</v>
      </c>
    </row>
    <row r="1360" spans="2:10" x14ac:dyDescent="0.25">
      <c r="B1360" s="218">
        <v>44374</v>
      </c>
      <c r="C1360" s="217">
        <v>4548</v>
      </c>
      <c r="D1360" s="215" t="s">
        <v>3103</v>
      </c>
      <c r="J1360" s="217" t="s">
        <v>3104</v>
      </c>
    </row>
    <row r="1361" spans="2:10" x14ac:dyDescent="0.25">
      <c r="B1361" s="218">
        <v>44374</v>
      </c>
      <c r="C1361" s="217">
        <v>4552</v>
      </c>
      <c r="D1361" s="215" t="s">
        <v>3105</v>
      </c>
      <c r="I1361" s="217" t="s">
        <v>3106</v>
      </c>
      <c r="J1361" s="217" t="s">
        <v>3107</v>
      </c>
    </row>
    <row r="1362" spans="2:10" x14ac:dyDescent="0.25">
      <c r="B1362" s="218">
        <v>44374</v>
      </c>
      <c r="C1362" s="217">
        <v>4553</v>
      </c>
      <c r="D1362" s="215" t="s">
        <v>3108</v>
      </c>
      <c r="I1362" s="217" t="s">
        <v>3109</v>
      </c>
      <c r="J1362" s="217" t="s">
        <v>3110</v>
      </c>
    </row>
    <row r="1363" spans="2:10" x14ac:dyDescent="0.25">
      <c r="B1363" s="218"/>
      <c r="C1363" s="217">
        <v>4561</v>
      </c>
      <c r="D1363" s="215" t="s">
        <v>3111</v>
      </c>
      <c r="I1363" s="217" t="s">
        <v>3112</v>
      </c>
      <c r="J1363" s="217" t="s">
        <v>3113</v>
      </c>
    </row>
    <row r="1364" spans="2:10" x14ac:dyDescent="0.25">
      <c r="B1364" s="218"/>
      <c r="C1364" s="217">
        <v>4556</v>
      </c>
      <c r="D1364" s="215" t="s">
        <v>3114</v>
      </c>
      <c r="I1364" s="217" t="s">
        <v>3115</v>
      </c>
      <c r="J1364" s="217" t="s">
        <v>3116</v>
      </c>
    </row>
    <row r="1365" spans="2:10" x14ac:dyDescent="0.25">
      <c r="B1365" s="218">
        <v>44411</v>
      </c>
      <c r="C1365" s="217">
        <v>4565</v>
      </c>
      <c r="D1365" s="215" t="s">
        <v>3117</v>
      </c>
      <c r="I1365" s="217" t="s">
        <v>3118</v>
      </c>
      <c r="J1365" s="217" t="s">
        <v>3119</v>
      </c>
    </row>
    <row r="1366" spans="2:10" x14ac:dyDescent="0.25">
      <c r="B1366" s="218">
        <v>44411</v>
      </c>
      <c r="C1366" s="217">
        <v>4566</v>
      </c>
      <c r="D1366" s="215" t="s">
        <v>3120</v>
      </c>
      <c r="I1366" s="217" t="s">
        <v>3121</v>
      </c>
      <c r="J1366" s="217" t="s">
        <v>3122</v>
      </c>
    </row>
    <row r="1367" spans="2:10" x14ac:dyDescent="0.25">
      <c r="B1367" s="218">
        <v>44412</v>
      </c>
      <c r="C1367" s="217">
        <v>4569</v>
      </c>
      <c r="D1367" s="215" t="s">
        <v>3123</v>
      </c>
      <c r="J1367" s="217" t="s">
        <v>3124</v>
      </c>
    </row>
    <row r="1368" spans="2:10" x14ac:dyDescent="0.25">
      <c r="B1368" s="218">
        <v>44412</v>
      </c>
      <c r="C1368" s="217">
        <v>4570</v>
      </c>
      <c r="D1368" s="215" t="s">
        <v>3125</v>
      </c>
      <c r="I1368" s="217" t="s">
        <v>3126</v>
      </c>
      <c r="J1368" s="217" t="s">
        <v>3127</v>
      </c>
    </row>
    <row r="1369" spans="2:10" x14ac:dyDescent="0.25">
      <c r="B1369" s="218">
        <v>44413</v>
      </c>
      <c r="C1369" s="217">
        <v>4581</v>
      </c>
      <c r="D1369" s="215" t="s">
        <v>3128</v>
      </c>
      <c r="I1369" s="217" t="s">
        <v>3129</v>
      </c>
    </row>
    <row r="1370" spans="2:10" x14ac:dyDescent="0.25">
      <c r="B1370" s="218">
        <v>44413</v>
      </c>
      <c r="C1370" s="217">
        <v>4589</v>
      </c>
      <c r="D1370" s="215" t="s">
        <v>714</v>
      </c>
    </row>
    <row r="1371" spans="2:10" x14ac:dyDescent="0.25">
      <c r="B1371" s="218"/>
      <c r="C1371" s="217">
        <v>4591</v>
      </c>
      <c r="D1371" s="215" t="s">
        <v>3130</v>
      </c>
      <c r="J1371" s="217" t="s">
        <v>3131</v>
      </c>
    </row>
    <row r="1372" spans="2:10" x14ac:dyDescent="0.25">
      <c r="B1372" s="218">
        <v>44429</v>
      </c>
      <c r="C1372" s="217">
        <v>4602</v>
      </c>
      <c r="D1372" s="215" t="s">
        <v>3132</v>
      </c>
      <c r="I1372" s="217" t="s">
        <v>3133</v>
      </c>
    </row>
    <row r="1373" spans="2:10" x14ac:dyDescent="0.25">
      <c r="B1373" s="218">
        <v>44431</v>
      </c>
      <c r="C1373" s="217">
        <v>4605</v>
      </c>
      <c r="D1373" s="215" t="s">
        <v>3134</v>
      </c>
      <c r="I1373" s="217" t="s">
        <v>3135</v>
      </c>
      <c r="J1373" s="217" t="s">
        <v>3136</v>
      </c>
    </row>
    <row r="1374" spans="2:10" x14ac:dyDescent="0.25">
      <c r="B1374" s="218">
        <v>44433</v>
      </c>
      <c r="C1374" s="217">
        <v>4609</v>
      </c>
      <c r="D1374" s="215" t="s">
        <v>3137</v>
      </c>
      <c r="I1374" s="217" t="s">
        <v>3138</v>
      </c>
    </row>
    <row r="1375" spans="2:10" x14ac:dyDescent="0.25">
      <c r="B1375" s="218">
        <v>44433</v>
      </c>
      <c r="C1375" s="217">
        <v>4610</v>
      </c>
      <c r="D1375" s="215" t="s">
        <v>3139</v>
      </c>
      <c r="I1375" s="217" t="s">
        <v>3140</v>
      </c>
    </row>
    <row r="1376" spans="2:10" x14ac:dyDescent="0.25">
      <c r="B1376" s="218"/>
      <c r="C1376" s="217">
        <v>4613</v>
      </c>
      <c r="D1376" s="215" t="s">
        <v>3141</v>
      </c>
      <c r="I1376" s="217" t="s">
        <v>3142</v>
      </c>
      <c r="J1376" s="217" t="s">
        <v>3143</v>
      </c>
    </row>
    <row r="1377" spans="1:10" x14ac:dyDescent="0.25">
      <c r="B1377" s="218">
        <v>44441</v>
      </c>
      <c r="C1377" s="217">
        <v>4619</v>
      </c>
      <c r="D1377" s="215" t="s">
        <v>3144</v>
      </c>
      <c r="I1377" s="217" t="s">
        <v>3145</v>
      </c>
    </row>
    <row r="1378" spans="1:10" x14ac:dyDescent="0.25">
      <c r="A1378" s="233"/>
      <c r="B1378" s="218">
        <v>44441</v>
      </c>
      <c r="C1378" s="217">
        <v>4620</v>
      </c>
      <c r="D1378" s="215" t="s">
        <v>3146</v>
      </c>
      <c r="I1378" s="217" t="s">
        <v>3147</v>
      </c>
    </row>
    <row r="1379" spans="1:10" x14ac:dyDescent="0.25">
      <c r="B1379" s="218">
        <v>44442</v>
      </c>
      <c r="C1379" s="217">
        <v>4623</v>
      </c>
      <c r="D1379" s="215" t="s">
        <v>3148</v>
      </c>
      <c r="I1379" s="217" t="s">
        <v>3149</v>
      </c>
    </row>
    <row r="1380" spans="1:10" x14ac:dyDescent="0.25">
      <c r="B1380" s="218">
        <v>44446</v>
      </c>
      <c r="C1380" s="217">
        <v>4625</v>
      </c>
      <c r="D1380" s="215" t="s">
        <v>3150</v>
      </c>
      <c r="I1380" s="217" t="s">
        <v>3151</v>
      </c>
      <c r="J1380" s="217" t="s">
        <v>3152</v>
      </c>
    </row>
    <row r="1381" spans="1:10" x14ac:dyDescent="0.25">
      <c r="B1381" s="218">
        <v>44454</v>
      </c>
      <c r="C1381" s="217">
        <v>4635</v>
      </c>
      <c r="D1381" s="215" t="s">
        <v>3153</v>
      </c>
      <c r="I1381" s="217" t="s">
        <v>3154</v>
      </c>
      <c r="J1381" s="217" t="s">
        <v>3155</v>
      </c>
    </row>
    <row r="1382" spans="1:10" x14ac:dyDescent="0.25">
      <c r="B1382" s="218">
        <v>44457</v>
      </c>
      <c r="C1382" s="217">
        <v>4636</v>
      </c>
      <c r="D1382" s="215" t="s">
        <v>3156</v>
      </c>
      <c r="I1382" s="217" t="s">
        <v>3157</v>
      </c>
      <c r="J1382" s="217" t="s">
        <v>3158</v>
      </c>
    </row>
    <row r="1383" spans="1:10" x14ac:dyDescent="0.25">
      <c r="B1383" s="218">
        <v>44457</v>
      </c>
      <c r="C1383" s="217">
        <v>4637</v>
      </c>
      <c r="D1383" s="215" t="s">
        <v>3159</v>
      </c>
      <c r="I1383" s="217" t="s">
        <v>3161</v>
      </c>
      <c r="J1383" s="217" t="s">
        <v>3160</v>
      </c>
    </row>
    <row r="1384" spans="1:10" x14ac:dyDescent="0.25">
      <c r="B1384" s="218">
        <v>44457</v>
      </c>
      <c r="C1384" s="217">
        <v>4638</v>
      </c>
      <c r="D1384" s="215" t="s">
        <v>3162</v>
      </c>
      <c r="I1384" s="217" t="s">
        <v>3163</v>
      </c>
      <c r="J1384" s="217" t="s">
        <v>3164</v>
      </c>
    </row>
    <row r="1385" spans="1:10" x14ac:dyDescent="0.25">
      <c r="B1385" s="218">
        <v>44460</v>
      </c>
      <c r="C1385" s="217">
        <v>4639</v>
      </c>
      <c r="D1385" s="215" t="s">
        <v>3165</v>
      </c>
      <c r="I1385" s="217" t="s">
        <v>3166</v>
      </c>
    </row>
    <row r="1386" spans="1:10" x14ac:dyDescent="0.25">
      <c r="B1386" s="218">
        <v>44462</v>
      </c>
      <c r="C1386" s="217">
        <v>4641</v>
      </c>
      <c r="D1386" s="215" t="s">
        <v>3167</v>
      </c>
      <c r="I1386" s="217" t="s">
        <v>3168</v>
      </c>
      <c r="J1386" s="217" t="s">
        <v>3169</v>
      </c>
    </row>
    <row r="1387" spans="1:10" x14ac:dyDescent="0.25">
      <c r="B1387" s="218">
        <v>44463</v>
      </c>
      <c r="C1387" s="217">
        <v>4642</v>
      </c>
      <c r="D1387" s="215" t="s">
        <v>3170</v>
      </c>
      <c r="I1387" s="217" t="s">
        <v>3171</v>
      </c>
      <c r="J1387" s="217" t="s">
        <v>3172</v>
      </c>
    </row>
    <row r="1388" spans="1:10" x14ac:dyDescent="0.25">
      <c r="B1388" s="218">
        <v>44467</v>
      </c>
      <c r="C1388" s="217">
        <v>4644</v>
      </c>
      <c r="D1388" s="215" t="s">
        <v>3173</v>
      </c>
      <c r="I1388" s="217" t="s">
        <v>3174</v>
      </c>
      <c r="J1388" s="217" t="s">
        <v>3175</v>
      </c>
    </row>
    <row r="1389" spans="1:10" x14ac:dyDescent="0.25">
      <c r="B1389" s="218">
        <v>44468</v>
      </c>
      <c r="C1389" s="217">
        <v>4645</v>
      </c>
      <c r="D1389" s="215" t="s">
        <v>3176</v>
      </c>
      <c r="I1389" s="217" t="s">
        <v>3177</v>
      </c>
    </row>
    <row r="1390" spans="1:10" x14ac:dyDescent="0.25">
      <c r="B1390" s="218">
        <v>44469</v>
      </c>
      <c r="C1390" s="217">
        <v>4647</v>
      </c>
      <c r="D1390" s="215" t="s">
        <v>3178</v>
      </c>
      <c r="I1390" s="217" t="s">
        <v>3179</v>
      </c>
      <c r="J1390" s="217" t="s">
        <v>3180</v>
      </c>
    </row>
    <row r="1391" spans="1:10" x14ac:dyDescent="0.25">
      <c r="B1391" s="218">
        <v>44473</v>
      </c>
      <c r="C1391" s="217">
        <v>4649</v>
      </c>
      <c r="D1391" s="215" t="s">
        <v>3181</v>
      </c>
      <c r="J1391" s="217" t="s">
        <v>3182</v>
      </c>
    </row>
    <row r="1392" spans="1:10" x14ac:dyDescent="0.25">
      <c r="B1392" s="218"/>
      <c r="C1392" s="217">
        <v>4651</v>
      </c>
      <c r="D1392" s="215" t="s">
        <v>3183</v>
      </c>
      <c r="I1392" s="217" t="s">
        <v>3184</v>
      </c>
      <c r="J1392" s="217" t="s">
        <v>3185</v>
      </c>
    </row>
    <row r="1393" spans="2:10" x14ac:dyDescent="0.25">
      <c r="B1393" s="218"/>
      <c r="C1393" s="217">
        <v>4652</v>
      </c>
      <c r="D1393" s="215" t="s">
        <v>3186</v>
      </c>
      <c r="I1393" s="217" t="s">
        <v>3187</v>
      </c>
    </row>
    <row r="1394" spans="2:10" x14ac:dyDescent="0.25">
      <c r="B1394" s="218">
        <v>44480</v>
      </c>
      <c r="C1394" s="217">
        <v>4653</v>
      </c>
      <c r="D1394" s="215" t="s">
        <v>1400</v>
      </c>
      <c r="I1394" s="217" t="s">
        <v>3188</v>
      </c>
      <c r="J1394" s="217" t="s">
        <v>3189</v>
      </c>
    </row>
    <row r="1395" spans="2:10" x14ac:dyDescent="0.25">
      <c r="B1395" s="218">
        <v>44481</v>
      </c>
      <c r="C1395" s="217">
        <v>4654</v>
      </c>
      <c r="D1395" s="215" t="s">
        <v>708</v>
      </c>
      <c r="I1395" s="217" t="s">
        <v>3190</v>
      </c>
      <c r="J1395" s="217" t="s">
        <v>3191</v>
      </c>
    </row>
    <row r="1396" spans="2:10" x14ac:dyDescent="0.25">
      <c r="B1396" s="218">
        <v>44485</v>
      </c>
      <c r="C1396" s="217">
        <v>4655</v>
      </c>
      <c r="D1396" s="215" t="s">
        <v>3192</v>
      </c>
      <c r="I1396" s="217" t="s">
        <v>3193</v>
      </c>
      <c r="J1396" s="217" t="s">
        <v>3194</v>
      </c>
    </row>
    <row r="1397" spans="2:10" x14ac:dyDescent="0.25">
      <c r="B1397" s="218">
        <v>44487</v>
      </c>
      <c r="C1397" s="217">
        <v>4656</v>
      </c>
      <c r="D1397" s="215" t="s">
        <v>3195</v>
      </c>
      <c r="I1397" s="217" t="s">
        <v>3196</v>
      </c>
      <c r="J1397" s="217" t="s">
        <v>3197</v>
      </c>
    </row>
    <row r="1398" spans="2:10" x14ac:dyDescent="0.25">
      <c r="B1398" s="218">
        <v>44488</v>
      </c>
      <c r="C1398" s="217">
        <v>4657</v>
      </c>
      <c r="D1398" s="215" t="s">
        <v>3198</v>
      </c>
      <c r="J1398" s="217" t="s">
        <v>3199</v>
      </c>
    </row>
    <row r="1399" spans="2:10" x14ac:dyDescent="0.25">
      <c r="B1399" s="218">
        <v>44489</v>
      </c>
      <c r="C1399" s="217">
        <v>4658</v>
      </c>
      <c r="D1399" s="215" t="s">
        <v>3200</v>
      </c>
      <c r="I1399" s="217" t="s">
        <v>3201</v>
      </c>
    </row>
    <row r="1400" spans="2:10" x14ac:dyDescent="0.25">
      <c r="B1400" s="218">
        <v>44491</v>
      </c>
      <c r="C1400" s="217">
        <v>4661</v>
      </c>
      <c r="D1400" s="215" t="s">
        <v>1098</v>
      </c>
      <c r="I1400" s="217" t="s">
        <v>3202</v>
      </c>
    </row>
    <row r="1401" spans="2:10" x14ac:dyDescent="0.25">
      <c r="B1401" s="218">
        <v>44492</v>
      </c>
      <c r="C1401" s="217">
        <v>4662</v>
      </c>
      <c r="D1401" s="215" t="s">
        <v>3203</v>
      </c>
      <c r="I1401" s="217" t="s">
        <v>3204</v>
      </c>
      <c r="J1401" s="217" t="s">
        <v>3205</v>
      </c>
    </row>
    <row r="1402" spans="2:10" x14ac:dyDescent="0.25">
      <c r="B1402" s="218">
        <v>44494</v>
      </c>
      <c r="C1402" s="217">
        <v>4663</v>
      </c>
      <c r="D1402" s="215" t="s">
        <v>3206</v>
      </c>
      <c r="I1402" s="217" t="s">
        <v>3207</v>
      </c>
      <c r="J1402" s="217" t="s">
        <v>3208</v>
      </c>
    </row>
    <row r="1403" spans="2:10" x14ac:dyDescent="0.25">
      <c r="B1403" s="218">
        <v>44494</v>
      </c>
      <c r="C1403" s="217">
        <v>4664</v>
      </c>
      <c r="D1403" s="215" t="s">
        <v>3209</v>
      </c>
      <c r="I1403" s="217" t="s">
        <v>3210</v>
      </c>
      <c r="J1403" s="217" t="s">
        <v>3211</v>
      </c>
    </row>
    <row r="1404" spans="2:10" x14ac:dyDescent="0.25">
      <c r="B1404" s="233">
        <v>44496</v>
      </c>
      <c r="C1404" s="217">
        <v>4666</v>
      </c>
      <c r="D1404" s="215" t="s">
        <v>3212</v>
      </c>
      <c r="J1404" s="217" t="s">
        <v>3213</v>
      </c>
    </row>
    <row r="1405" spans="2:10" x14ac:dyDescent="0.25">
      <c r="B1405" s="218">
        <v>44497</v>
      </c>
      <c r="C1405" s="217">
        <v>4667</v>
      </c>
      <c r="D1405" s="215" t="s">
        <v>3214</v>
      </c>
      <c r="I1405" s="217" t="s">
        <v>3220</v>
      </c>
    </row>
    <row r="1406" spans="2:10" x14ac:dyDescent="0.25">
      <c r="B1406" s="218">
        <v>44498</v>
      </c>
      <c r="C1406" s="217">
        <v>4668</v>
      </c>
      <c r="D1406" s="215" t="s">
        <v>3215</v>
      </c>
      <c r="I1406" s="217" t="s">
        <v>3216</v>
      </c>
      <c r="J1406" s="217" t="s">
        <v>3217</v>
      </c>
    </row>
    <row r="1407" spans="2:10" x14ac:dyDescent="0.25">
      <c r="B1407" s="218">
        <v>44498</v>
      </c>
      <c r="C1407" s="217">
        <v>4669</v>
      </c>
      <c r="D1407" s="215" t="s">
        <v>3218</v>
      </c>
      <c r="I1407" s="217" t="s">
        <v>3219</v>
      </c>
      <c r="J1407" s="217" t="s">
        <v>3217</v>
      </c>
    </row>
    <row r="1408" spans="2:10" x14ac:dyDescent="0.25">
      <c r="B1408" s="218">
        <v>44499</v>
      </c>
      <c r="C1408" s="217">
        <v>4671</v>
      </c>
      <c r="D1408" s="215" t="s">
        <v>3221</v>
      </c>
      <c r="I1408" s="217" t="s">
        <v>3222</v>
      </c>
    </row>
    <row r="1409" spans="2:10" x14ac:dyDescent="0.25">
      <c r="B1409" s="218">
        <v>44500</v>
      </c>
      <c r="C1409" s="217">
        <v>4674</v>
      </c>
      <c r="D1409" s="215" t="s">
        <v>3223</v>
      </c>
      <c r="I1409" s="217" t="s">
        <v>3224</v>
      </c>
    </row>
    <row r="1410" spans="2:10" x14ac:dyDescent="0.25">
      <c r="B1410" s="218"/>
      <c r="C1410" s="217">
        <v>4675</v>
      </c>
      <c r="D1410" s="215" t="s">
        <v>3225</v>
      </c>
      <c r="I1410" s="217" t="s">
        <v>3226</v>
      </c>
      <c r="J1410" s="217" t="s">
        <v>3227</v>
      </c>
    </row>
    <row r="1411" spans="2:10" x14ac:dyDescent="0.25">
      <c r="B1411" s="218"/>
      <c r="C1411" s="217">
        <v>4676</v>
      </c>
      <c r="D1411" s="215" t="s">
        <v>3228</v>
      </c>
      <c r="I1411" s="217" t="s">
        <v>3229</v>
      </c>
    </row>
    <row r="1412" spans="2:10" x14ac:dyDescent="0.25">
      <c r="B1412" s="218"/>
      <c r="C1412" s="217">
        <v>4679</v>
      </c>
      <c r="D1412" s="215" t="s">
        <v>3230</v>
      </c>
      <c r="I1412" s="217" t="s">
        <v>3231</v>
      </c>
      <c r="J1412" s="217" t="s">
        <v>3232</v>
      </c>
    </row>
    <row r="1413" spans="2:10" x14ac:dyDescent="0.25">
      <c r="B1413" s="218"/>
      <c r="C1413" s="217">
        <v>4681</v>
      </c>
      <c r="D1413" s="215" t="s">
        <v>3233</v>
      </c>
      <c r="J1413" s="217" t="s">
        <v>3234</v>
      </c>
    </row>
    <row r="1414" spans="2:10" x14ac:dyDescent="0.25">
      <c r="B1414" s="218">
        <v>44513</v>
      </c>
      <c r="C1414" s="217">
        <v>4683</v>
      </c>
      <c r="D1414" s="215" t="s">
        <v>3235</v>
      </c>
    </row>
    <row r="1415" spans="2:10" x14ac:dyDescent="0.25">
      <c r="B1415" s="218">
        <v>44513</v>
      </c>
      <c r="C1415" s="217">
        <v>4684</v>
      </c>
      <c r="D1415" s="215" t="s">
        <v>3236</v>
      </c>
      <c r="J1415" s="217" t="s">
        <v>3237</v>
      </c>
    </row>
    <row r="1416" spans="2:10" x14ac:dyDescent="0.25">
      <c r="B1416" s="218">
        <v>44513</v>
      </c>
      <c r="C1416" s="217">
        <v>4685</v>
      </c>
      <c r="D1416" s="215" t="s">
        <v>3238</v>
      </c>
      <c r="J1416" s="217" t="s">
        <v>3239</v>
      </c>
    </row>
    <row r="1417" spans="2:10" x14ac:dyDescent="0.25">
      <c r="B1417" s="218">
        <v>44516</v>
      </c>
      <c r="C1417" s="217">
        <v>4688</v>
      </c>
      <c r="D1417" s="215" t="s">
        <v>3240</v>
      </c>
      <c r="J1417" s="217" t="s">
        <v>3241</v>
      </c>
    </row>
    <row r="1418" spans="2:10" x14ac:dyDescent="0.25">
      <c r="B1418" s="218">
        <v>44517</v>
      </c>
      <c r="C1418" s="217">
        <v>4689</v>
      </c>
      <c r="D1418" s="215" t="s">
        <v>3242</v>
      </c>
      <c r="J1418" s="217" t="s">
        <v>3243</v>
      </c>
    </row>
    <row r="1419" spans="2:10" x14ac:dyDescent="0.25">
      <c r="B1419" s="218">
        <v>44517</v>
      </c>
      <c r="C1419" s="217">
        <v>4690</v>
      </c>
      <c r="D1419" s="215" t="s">
        <v>3244</v>
      </c>
      <c r="J1419" s="217" t="s">
        <v>3245</v>
      </c>
    </row>
    <row r="1420" spans="2:10" x14ac:dyDescent="0.25">
      <c r="B1420" s="218">
        <v>44517</v>
      </c>
      <c r="C1420" s="217">
        <v>4691</v>
      </c>
      <c r="D1420" s="215" t="s">
        <v>3246</v>
      </c>
      <c r="J1420" s="217" t="s">
        <v>3247</v>
      </c>
    </row>
    <row r="1421" spans="2:10" x14ac:dyDescent="0.25">
      <c r="B1421" s="218">
        <v>44520</v>
      </c>
      <c r="C1421" s="217">
        <v>4694</v>
      </c>
      <c r="D1421" s="215" t="s">
        <v>3248</v>
      </c>
      <c r="J1421" s="217" t="s">
        <v>3249</v>
      </c>
    </row>
    <row r="1422" spans="2:10" x14ac:dyDescent="0.25">
      <c r="B1422" s="218">
        <v>44526</v>
      </c>
      <c r="C1422" s="217">
        <v>4697</v>
      </c>
      <c r="D1422" s="215" t="s">
        <v>3250</v>
      </c>
      <c r="I1422" s="217" t="s">
        <v>3251</v>
      </c>
      <c r="J1422" s="217" t="s">
        <v>3252</v>
      </c>
    </row>
    <row r="1423" spans="2:10" x14ac:dyDescent="0.25">
      <c r="B1423" s="218">
        <v>44527</v>
      </c>
      <c r="C1423" s="217">
        <v>4698</v>
      </c>
      <c r="D1423" s="215" t="s">
        <v>3253</v>
      </c>
      <c r="J1423" s="217" t="s">
        <v>3254</v>
      </c>
    </row>
    <row r="1424" spans="2:10" x14ac:dyDescent="0.25">
      <c r="B1424" s="218">
        <v>44527</v>
      </c>
      <c r="C1424" s="217">
        <v>4699</v>
      </c>
      <c r="D1424" s="215" t="s">
        <v>3255</v>
      </c>
      <c r="I1424" s="217" t="s">
        <v>3256</v>
      </c>
      <c r="J1424" s="217" t="s">
        <v>3254</v>
      </c>
    </row>
    <row r="1425" spans="2:10" x14ac:dyDescent="0.25">
      <c r="B1425" s="218">
        <v>44529</v>
      </c>
      <c r="C1425" s="217">
        <v>4700</v>
      </c>
      <c r="D1425" s="215" t="s">
        <v>3257</v>
      </c>
      <c r="J1425" s="217" t="s">
        <v>3258</v>
      </c>
    </row>
    <row r="1426" spans="2:10" x14ac:dyDescent="0.25">
      <c r="B1426" s="218">
        <v>44560</v>
      </c>
      <c r="C1426" s="217">
        <v>4703</v>
      </c>
      <c r="D1426" s="215" t="s">
        <v>3259</v>
      </c>
      <c r="I1426" s="217" t="s">
        <v>3260</v>
      </c>
      <c r="J1426" s="217" t="s">
        <v>3261</v>
      </c>
    </row>
    <row r="1427" spans="2:10" x14ac:dyDescent="0.25">
      <c r="B1427" s="218">
        <v>44560</v>
      </c>
      <c r="C1427" s="217">
        <v>4704</v>
      </c>
      <c r="D1427" s="215" t="s">
        <v>3262</v>
      </c>
      <c r="I1427" s="217" t="s">
        <v>3263</v>
      </c>
      <c r="J1427" s="217" t="s">
        <v>3264</v>
      </c>
    </row>
    <row r="1428" spans="2:10" x14ac:dyDescent="0.25">
      <c r="B1428" s="218">
        <v>44533</v>
      </c>
      <c r="C1428" s="217">
        <v>4705</v>
      </c>
      <c r="D1428" s="215" t="s">
        <v>3265</v>
      </c>
      <c r="I1428" s="217" t="s">
        <v>3266</v>
      </c>
      <c r="J1428" s="217" t="s">
        <v>3267</v>
      </c>
    </row>
    <row r="1429" spans="2:10" x14ac:dyDescent="0.25">
      <c r="B1429" s="218">
        <v>44533</v>
      </c>
      <c r="C1429" s="217">
        <v>4706</v>
      </c>
      <c r="D1429" s="215" t="s">
        <v>3268</v>
      </c>
      <c r="I1429" s="217" t="s">
        <v>3269</v>
      </c>
      <c r="J1429" s="217" t="s">
        <v>3270</v>
      </c>
    </row>
    <row r="1430" spans="2:10" x14ac:dyDescent="0.25">
      <c r="B1430" s="218">
        <v>44533</v>
      </c>
      <c r="C1430" s="217">
        <v>4707</v>
      </c>
      <c r="D1430" s="215" t="s">
        <v>690</v>
      </c>
      <c r="J1430" s="217" t="s">
        <v>3271</v>
      </c>
    </row>
    <row r="1431" spans="2:10" x14ac:dyDescent="0.25">
      <c r="B1431" s="218">
        <v>44537</v>
      </c>
      <c r="C1431" s="217">
        <v>4711</v>
      </c>
      <c r="D1431" s="215" t="s">
        <v>3272</v>
      </c>
      <c r="I1431" s="217" t="s">
        <v>3273</v>
      </c>
      <c r="J1431" s="217" t="s">
        <v>3274</v>
      </c>
    </row>
    <row r="1432" spans="2:10" x14ac:dyDescent="0.25">
      <c r="B1432" s="218">
        <v>44539</v>
      </c>
      <c r="C1432" s="217">
        <v>4715</v>
      </c>
      <c r="D1432" s="215" t="s">
        <v>3275</v>
      </c>
      <c r="I1432" s="217" t="s">
        <v>3276</v>
      </c>
      <c r="J1432" s="217" t="s">
        <v>3277</v>
      </c>
    </row>
    <row r="1433" spans="2:10" x14ac:dyDescent="0.25">
      <c r="B1433" s="218">
        <v>44539</v>
      </c>
      <c r="C1433" s="217">
        <v>4716</v>
      </c>
      <c r="D1433" s="215" t="s">
        <v>3278</v>
      </c>
      <c r="I1433" s="217" t="s">
        <v>3279</v>
      </c>
      <c r="J1433" s="217" t="s">
        <v>3280</v>
      </c>
    </row>
    <row r="1434" spans="2:10" x14ac:dyDescent="0.25">
      <c r="B1434" s="218">
        <v>44541</v>
      </c>
      <c r="C1434" s="217">
        <v>4718</v>
      </c>
      <c r="D1434" s="215" t="s">
        <v>1736</v>
      </c>
      <c r="I1434" s="217" t="s">
        <v>3281</v>
      </c>
      <c r="J1434" s="217" t="s">
        <v>3282</v>
      </c>
    </row>
    <row r="1435" spans="2:10" x14ac:dyDescent="0.25">
      <c r="B1435" s="218">
        <v>44541</v>
      </c>
      <c r="C1435" s="217">
        <v>4719</v>
      </c>
      <c r="D1435" s="215" t="s">
        <v>1366</v>
      </c>
      <c r="I1435" s="217" t="s">
        <v>3283</v>
      </c>
      <c r="J1435" s="217" t="s">
        <v>3284</v>
      </c>
    </row>
    <row r="1436" spans="2:10" x14ac:dyDescent="0.25">
      <c r="B1436" s="218">
        <v>44541</v>
      </c>
      <c r="C1436" s="217">
        <v>4720</v>
      </c>
      <c r="D1436" s="215" t="s">
        <v>3285</v>
      </c>
      <c r="I1436" s="217" t="s">
        <v>3286</v>
      </c>
      <c r="J1436" s="217" t="s">
        <v>3287</v>
      </c>
    </row>
    <row r="1437" spans="2:10" x14ac:dyDescent="0.25">
      <c r="B1437" s="218">
        <v>44542</v>
      </c>
      <c r="C1437" s="217">
        <v>4721</v>
      </c>
      <c r="D1437" s="215" t="s">
        <v>737</v>
      </c>
      <c r="I1437" s="217" t="s">
        <v>3288</v>
      </c>
      <c r="J1437" s="217" t="s">
        <v>3289</v>
      </c>
    </row>
    <row r="1438" spans="2:10" x14ac:dyDescent="0.25">
      <c r="B1438" s="218">
        <v>44543</v>
      </c>
      <c r="C1438" s="217">
        <v>4724</v>
      </c>
      <c r="D1438" s="215" t="s">
        <v>3290</v>
      </c>
      <c r="I1438" s="217" t="s">
        <v>3291</v>
      </c>
      <c r="J1438" s="217" t="s">
        <v>3292</v>
      </c>
    </row>
    <row r="1439" spans="2:10" x14ac:dyDescent="0.25">
      <c r="B1439" s="218">
        <v>44543</v>
      </c>
      <c r="C1439" s="217">
        <v>4725</v>
      </c>
      <c r="D1439" s="215" t="s">
        <v>3293</v>
      </c>
      <c r="I1439" s="217" t="s">
        <v>3294</v>
      </c>
      <c r="J1439" s="217" t="s">
        <v>3295</v>
      </c>
    </row>
    <row r="1440" spans="2:10" x14ac:dyDescent="0.25">
      <c r="B1440" s="218">
        <v>44543</v>
      </c>
      <c r="C1440" s="217">
        <v>4726</v>
      </c>
      <c r="D1440" s="215" t="s">
        <v>3296</v>
      </c>
      <c r="I1440" s="217" t="s">
        <v>3297</v>
      </c>
      <c r="J1440" s="217" t="s">
        <v>3298</v>
      </c>
    </row>
    <row r="1441" spans="2:10" x14ac:dyDescent="0.25">
      <c r="B1441" s="218">
        <v>44543</v>
      </c>
      <c r="C1441" s="217">
        <v>4727</v>
      </c>
      <c r="D1441" s="215" t="s">
        <v>3299</v>
      </c>
      <c r="I1441" s="217" t="s">
        <v>3300</v>
      </c>
      <c r="J1441" s="217" t="s">
        <v>3301</v>
      </c>
    </row>
    <row r="1442" spans="2:10" x14ac:dyDescent="0.25">
      <c r="B1442" s="218">
        <v>44543</v>
      </c>
      <c r="C1442" s="217">
        <v>4728</v>
      </c>
      <c r="D1442" s="215" t="s">
        <v>3302</v>
      </c>
      <c r="I1442" s="217" t="s">
        <v>3303</v>
      </c>
      <c r="J1442" s="217" t="s">
        <v>3304</v>
      </c>
    </row>
    <row r="1443" spans="2:10" x14ac:dyDescent="0.25">
      <c r="B1443" s="218">
        <v>44543</v>
      </c>
      <c r="C1443" s="217">
        <v>4729</v>
      </c>
      <c r="D1443" s="215" t="s">
        <v>3305</v>
      </c>
      <c r="I1443" s="217" t="s">
        <v>3306</v>
      </c>
      <c r="J1443" s="217" t="s">
        <v>3307</v>
      </c>
    </row>
    <row r="1444" spans="2:10" x14ac:dyDescent="0.25">
      <c r="B1444" s="218">
        <v>44543</v>
      </c>
      <c r="C1444" s="217">
        <v>4730</v>
      </c>
      <c r="D1444" s="215" t="s">
        <v>3308</v>
      </c>
      <c r="I1444" s="217" t="s">
        <v>3309</v>
      </c>
      <c r="J1444" s="217" t="s">
        <v>3310</v>
      </c>
    </row>
    <row r="1445" spans="2:10" x14ac:dyDescent="0.25">
      <c r="B1445" s="218">
        <v>44545</v>
      </c>
      <c r="C1445" s="217">
        <v>4735</v>
      </c>
      <c r="D1445" s="215" t="s">
        <v>3311</v>
      </c>
      <c r="I1445" s="217" t="s">
        <v>3312</v>
      </c>
      <c r="J1445" s="217" t="s">
        <v>3313</v>
      </c>
    </row>
    <row r="1446" spans="2:10" x14ac:dyDescent="0.25">
      <c r="B1446" s="218">
        <v>44548</v>
      </c>
      <c r="C1446" s="217">
        <v>4736</v>
      </c>
      <c r="D1446" s="215" t="s">
        <v>3314</v>
      </c>
      <c r="I1446" s="217" t="s">
        <v>3315</v>
      </c>
      <c r="J1446" s="217" t="s">
        <v>3316</v>
      </c>
    </row>
    <row r="1447" spans="2:10" x14ac:dyDescent="0.25">
      <c r="B1447" s="218">
        <v>44550</v>
      </c>
      <c r="C1447" s="217">
        <v>4737</v>
      </c>
      <c r="D1447" s="215" t="s">
        <v>3317</v>
      </c>
      <c r="I1447" s="217" t="s">
        <v>3318</v>
      </c>
      <c r="J1447" s="217" t="s">
        <v>3321</v>
      </c>
    </row>
    <row r="1448" spans="2:10" x14ac:dyDescent="0.25">
      <c r="B1448" s="218">
        <v>44550</v>
      </c>
      <c r="C1448" s="217">
        <v>4738</v>
      </c>
      <c r="D1448" s="215" t="s">
        <v>3319</v>
      </c>
      <c r="J1448" s="217" t="s">
        <v>3320</v>
      </c>
    </row>
    <row r="1449" spans="2:10" x14ac:dyDescent="0.25">
      <c r="B1449" s="218">
        <v>44550</v>
      </c>
      <c r="C1449" s="217">
        <v>4739</v>
      </c>
      <c r="D1449" s="215" t="s">
        <v>3322</v>
      </c>
      <c r="J1449" s="217" t="s">
        <v>3323</v>
      </c>
    </row>
    <row r="1450" spans="2:10" x14ac:dyDescent="0.25">
      <c r="B1450" s="218">
        <v>44550</v>
      </c>
      <c r="C1450" s="217">
        <v>4741</v>
      </c>
      <c r="D1450" s="215" t="s">
        <v>3324</v>
      </c>
      <c r="I1450" s="217" t="s">
        <v>3325</v>
      </c>
      <c r="J1450" s="217" t="s">
        <v>3326</v>
      </c>
    </row>
    <row r="1451" spans="2:10" x14ac:dyDescent="0.25">
      <c r="B1451" s="218">
        <v>44551</v>
      </c>
      <c r="C1451" s="217">
        <v>4742</v>
      </c>
      <c r="D1451" s="215" t="s">
        <v>3327</v>
      </c>
      <c r="I1451" s="217" t="s">
        <v>3328</v>
      </c>
      <c r="J1451" s="217" t="s">
        <v>3329</v>
      </c>
    </row>
    <row r="1452" spans="2:10" x14ac:dyDescent="0.25">
      <c r="B1452" s="218">
        <v>44551</v>
      </c>
      <c r="C1452" s="217">
        <v>4743</v>
      </c>
      <c r="D1452" s="215" t="s">
        <v>3330</v>
      </c>
      <c r="I1452" s="217" t="s">
        <v>3331</v>
      </c>
      <c r="J1452" s="217" t="s">
        <v>3332</v>
      </c>
    </row>
    <row r="1453" spans="2:10" x14ac:dyDescent="0.25">
      <c r="B1453" s="218">
        <v>44554</v>
      </c>
      <c r="C1453" s="217">
        <v>4747</v>
      </c>
      <c r="D1453" s="215" t="s">
        <v>3333</v>
      </c>
      <c r="I1453" s="217" t="s">
        <v>3334</v>
      </c>
      <c r="J1453" s="217" t="s">
        <v>3335</v>
      </c>
    </row>
    <row r="1454" spans="2:10" x14ac:dyDescent="0.25">
      <c r="B1454" s="218">
        <v>44554</v>
      </c>
      <c r="C1454" s="217">
        <v>4748</v>
      </c>
      <c r="D1454" s="215" t="s">
        <v>3336</v>
      </c>
      <c r="I1454" s="217" t="s">
        <v>3337</v>
      </c>
      <c r="J1454" s="217" t="s">
        <v>3338</v>
      </c>
    </row>
    <row r="1455" spans="2:10" x14ac:dyDescent="0.25">
      <c r="B1455" s="218">
        <v>44554</v>
      </c>
      <c r="C1455" s="217">
        <v>4749</v>
      </c>
      <c r="D1455" s="215" t="s">
        <v>3339</v>
      </c>
      <c r="I1455" s="217" t="s">
        <v>3340</v>
      </c>
      <c r="J1455" s="217" t="s">
        <v>3341</v>
      </c>
    </row>
    <row r="1456" spans="2:10" x14ac:dyDescent="0.25">
      <c r="B1456" s="218">
        <v>44554</v>
      </c>
      <c r="C1456" s="217">
        <v>4750</v>
      </c>
      <c r="D1456" s="215" t="s">
        <v>3342</v>
      </c>
      <c r="I1456" s="217" t="s">
        <v>3343</v>
      </c>
      <c r="J1456" s="217" t="s">
        <v>3341</v>
      </c>
    </row>
    <row r="1457" spans="2:10" x14ac:dyDescent="0.25">
      <c r="B1457" s="218">
        <v>44558</v>
      </c>
      <c r="C1457" s="217">
        <v>4752</v>
      </c>
      <c r="D1457" s="215" t="s">
        <v>3344</v>
      </c>
      <c r="I1457" s="217" t="s">
        <v>3345</v>
      </c>
      <c r="J1457" s="217" t="s">
        <v>3346</v>
      </c>
    </row>
    <row r="1458" spans="2:10" x14ac:dyDescent="0.25">
      <c r="B1458" s="218">
        <v>44227</v>
      </c>
      <c r="C1458" s="217">
        <v>4756</v>
      </c>
      <c r="D1458" s="215" t="s">
        <v>3347</v>
      </c>
      <c r="I1458" s="217" t="s">
        <v>3348</v>
      </c>
      <c r="J1458" s="217" t="s">
        <v>3349</v>
      </c>
    </row>
    <row r="1459" spans="2:10" x14ac:dyDescent="0.25">
      <c r="B1459" s="218">
        <v>44565</v>
      </c>
      <c r="C1459" s="217">
        <v>4757</v>
      </c>
      <c r="D1459" s="215" t="s">
        <v>3350</v>
      </c>
      <c r="I1459" s="217" t="s">
        <v>3352</v>
      </c>
      <c r="J1459" s="217" t="s">
        <v>3351</v>
      </c>
    </row>
    <row r="1460" spans="2:10" x14ac:dyDescent="0.25">
      <c r="B1460" s="218" t="s">
        <v>3353</v>
      </c>
      <c r="C1460" s="217">
        <v>4758</v>
      </c>
      <c r="D1460" s="215" t="s">
        <v>3354</v>
      </c>
      <c r="I1460" s="217" t="s">
        <v>3355</v>
      </c>
      <c r="J1460" s="217" t="s">
        <v>3356</v>
      </c>
    </row>
    <row r="1461" spans="2:10" x14ac:dyDescent="0.25">
      <c r="B1461" s="218">
        <v>44564</v>
      </c>
      <c r="C1461" s="217">
        <v>4759</v>
      </c>
      <c r="D1461" s="215" t="s">
        <v>3357</v>
      </c>
      <c r="I1461" s="217" t="s">
        <v>3358</v>
      </c>
      <c r="J1461" s="217" t="s">
        <v>3359</v>
      </c>
    </row>
    <row r="1462" spans="2:10" x14ac:dyDescent="0.25">
      <c r="B1462" s="218">
        <v>44566</v>
      </c>
      <c r="C1462" s="217">
        <v>4761</v>
      </c>
      <c r="D1462" s="215" t="s">
        <v>3360</v>
      </c>
      <c r="I1462" s="217" t="s">
        <v>3361</v>
      </c>
      <c r="J1462" s="217" t="s">
        <v>3362</v>
      </c>
    </row>
    <row r="1463" spans="2:10" x14ac:dyDescent="0.25">
      <c r="B1463" s="218">
        <v>44567</v>
      </c>
      <c r="C1463" s="217">
        <v>4762</v>
      </c>
      <c r="D1463" s="215" t="s">
        <v>3363</v>
      </c>
      <c r="I1463" s="217" t="s">
        <v>3364</v>
      </c>
      <c r="J1463" s="217" t="s">
        <v>3365</v>
      </c>
    </row>
    <row r="1464" spans="2:10" x14ac:dyDescent="0.25">
      <c r="B1464" s="218">
        <v>44902</v>
      </c>
      <c r="C1464" s="217">
        <v>4764</v>
      </c>
      <c r="D1464" s="215" t="s">
        <v>3366</v>
      </c>
      <c r="I1464" s="217" t="s">
        <v>3367</v>
      </c>
      <c r="J1464" s="217" t="s">
        <v>3368</v>
      </c>
    </row>
    <row r="1465" spans="2:10" x14ac:dyDescent="0.25">
      <c r="B1465" s="218">
        <v>44902</v>
      </c>
      <c r="C1465" s="217">
        <v>4765</v>
      </c>
      <c r="D1465" s="215" t="s">
        <v>3369</v>
      </c>
      <c r="I1465" s="217" t="s">
        <v>3370</v>
      </c>
      <c r="J1465" s="217" t="s">
        <v>3289</v>
      </c>
    </row>
    <row r="1466" spans="2:10" x14ac:dyDescent="0.25">
      <c r="B1466" s="218">
        <v>44902</v>
      </c>
      <c r="C1466" s="217">
        <v>4767</v>
      </c>
      <c r="D1466" s="215" t="s">
        <v>3371</v>
      </c>
      <c r="I1466" s="217" t="s">
        <v>3372</v>
      </c>
      <c r="J1466" s="217" t="s">
        <v>3289</v>
      </c>
    </row>
    <row r="1467" spans="2:10" x14ac:dyDescent="0.25">
      <c r="B1467" s="218">
        <v>44568</v>
      </c>
      <c r="C1467" s="217">
        <v>4768</v>
      </c>
      <c r="D1467" s="215" t="s">
        <v>3373</v>
      </c>
      <c r="I1467" s="217" t="s">
        <v>3374</v>
      </c>
      <c r="J1467" s="217" t="s">
        <v>3375</v>
      </c>
    </row>
    <row r="1468" spans="2:10" x14ac:dyDescent="0.25">
      <c r="B1468" s="218">
        <v>44571</v>
      </c>
      <c r="C1468" s="217">
        <v>4771</v>
      </c>
      <c r="D1468" s="215" t="s">
        <v>3376</v>
      </c>
      <c r="I1468" s="217" t="s">
        <v>3377</v>
      </c>
      <c r="J1468" s="217" t="s">
        <v>3378</v>
      </c>
    </row>
    <row r="1469" spans="2:10" x14ac:dyDescent="0.25">
      <c r="B1469" s="218">
        <v>44571</v>
      </c>
      <c r="C1469" s="217">
        <v>4772</v>
      </c>
      <c r="D1469" s="215" t="s">
        <v>3379</v>
      </c>
      <c r="I1469" s="217" t="s">
        <v>3380</v>
      </c>
      <c r="J1469" s="217" t="s">
        <v>3381</v>
      </c>
    </row>
    <row r="1470" spans="2:10" x14ac:dyDescent="0.25">
      <c r="B1470" s="218">
        <v>44571</v>
      </c>
      <c r="C1470" s="217">
        <v>4775</v>
      </c>
      <c r="D1470" s="215" t="s">
        <v>3382</v>
      </c>
      <c r="I1470" s="217" t="s">
        <v>3383</v>
      </c>
      <c r="J1470" s="217" t="s">
        <v>3384</v>
      </c>
    </row>
    <row r="1471" spans="2:10" x14ac:dyDescent="0.25">
      <c r="B1471" s="218">
        <v>44572</v>
      </c>
      <c r="C1471" s="217">
        <v>4776</v>
      </c>
      <c r="D1471" s="215" t="s">
        <v>3385</v>
      </c>
      <c r="J1471" s="217" t="s">
        <v>3386</v>
      </c>
    </row>
    <row r="1472" spans="2:10" x14ac:dyDescent="0.25">
      <c r="B1472" s="218">
        <v>44572</v>
      </c>
      <c r="C1472" s="217">
        <v>4777</v>
      </c>
      <c r="D1472" s="215" t="s">
        <v>681</v>
      </c>
      <c r="I1472" s="217" t="s">
        <v>3387</v>
      </c>
      <c r="J1472" s="217" t="s">
        <v>3388</v>
      </c>
    </row>
    <row r="1473" spans="2:10" x14ac:dyDescent="0.25">
      <c r="B1473" s="218">
        <v>44572</v>
      </c>
      <c r="C1473" s="217">
        <v>4778</v>
      </c>
      <c r="D1473" s="215" t="s">
        <v>3389</v>
      </c>
      <c r="I1473" s="217" t="s">
        <v>3390</v>
      </c>
      <c r="J1473" s="217" t="s">
        <v>3391</v>
      </c>
    </row>
    <row r="1474" spans="2:10" x14ac:dyDescent="0.25">
      <c r="B1474" s="218">
        <v>44572</v>
      </c>
      <c r="C1474" s="217">
        <v>4779</v>
      </c>
      <c r="D1474" s="215" t="s">
        <v>3392</v>
      </c>
      <c r="I1474" s="217" t="s">
        <v>3393</v>
      </c>
      <c r="J1474" s="217" t="s">
        <v>3394</v>
      </c>
    </row>
    <row r="1475" spans="2:10" x14ac:dyDescent="0.25">
      <c r="B1475" s="218">
        <v>44575</v>
      </c>
      <c r="C1475" s="217">
        <v>4780</v>
      </c>
      <c r="D1475" s="215" t="s">
        <v>3395</v>
      </c>
      <c r="I1475" s="217" t="s">
        <v>3396</v>
      </c>
      <c r="J1475" s="217" t="s">
        <v>3397</v>
      </c>
    </row>
    <row r="1476" spans="2:10" x14ac:dyDescent="0.25">
      <c r="B1476" s="218">
        <v>44576</v>
      </c>
      <c r="C1476" s="217">
        <v>4781</v>
      </c>
      <c r="D1476" s="215" t="s">
        <v>3398</v>
      </c>
      <c r="I1476" s="217" t="s">
        <v>3399</v>
      </c>
      <c r="J1476" s="217" t="s">
        <v>3400</v>
      </c>
    </row>
    <row r="1477" spans="2:10" x14ac:dyDescent="0.25">
      <c r="B1477" s="218">
        <v>44576</v>
      </c>
      <c r="C1477" s="217">
        <v>4782</v>
      </c>
      <c r="D1477" s="215" t="s">
        <v>3401</v>
      </c>
      <c r="I1477" s="217" t="s">
        <v>3402</v>
      </c>
      <c r="J1477" s="217" t="s">
        <v>3403</v>
      </c>
    </row>
    <row r="1478" spans="2:10" x14ac:dyDescent="0.25">
      <c r="B1478" s="218">
        <v>44581</v>
      </c>
      <c r="C1478" s="217">
        <v>4785</v>
      </c>
      <c r="D1478" s="215" t="s">
        <v>3404</v>
      </c>
      <c r="I1478" s="217" t="s">
        <v>3405</v>
      </c>
      <c r="J1478" s="217" t="s">
        <v>3406</v>
      </c>
    </row>
    <row r="1479" spans="2:10" x14ac:dyDescent="0.25">
      <c r="B1479" s="218">
        <v>44583</v>
      </c>
      <c r="C1479" s="217">
        <v>4786</v>
      </c>
      <c r="D1479" s="215" t="s">
        <v>3407</v>
      </c>
      <c r="I1479" s="217" t="s">
        <v>3408</v>
      </c>
      <c r="J1479" s="217" t="s">
        <v>3409</v>
      </c>
    </row>
    <row r="1480" spans="2:10" x14ac:dyDescent="0.25">
      <c r="B1480" s="218">
        <v>44583</v>
      </c>
      <c r="C1480" s="217">
        <v>4788</v>
      </c>
      <c r="D1480" s="215" t="s">
        <v>3410</v>
      </c>
    </row>
    <row r="1481" spans="2:10" x14ac:dyDescent="0.25">
      <c r="B1481" s="218">
        <v>44585</v>
      </c>
      <c r="C1481" s="217">
        <v>4790</v>
      </c>
      <c r="D1481" s="215" t="s">
        <v>3411</v>
      </c>
      <c r="I1481" s="217" t="s">
        <v>3412</v>
      </c>
      <c r="J1481" s="217" t="s">
        <v>3413</v>
      </c>
    </row>
    <row r="1482" spans="2:10" x14ac:dyDescent="0.25">
      <c r="C1482" s="217">
        <v>4791</v>
      </c>
      <c r="D1482" s="214" t="s">
        <v>3414</v>
      </c>
      <c r="I1482" s="217" t="s">
        <v>3415</v>
      </c>
      <c r="J1482" s="217" t="s">
        <v>3416</v>
      </c>
    </row>
    <row r="1483" spans="2:10" x14ac:dyDescent="0.25">
      <c r="B1483" s="218">
        <v>44585</v>
      </c>
      <c r="C1483" s="217">
        <v>4792</v>
      </c>
      <c r="D1483" s="214" t="s">
        <v>3417</v>
      </c>
      <c r="I1483" s="217" t="s">
        <v>3418</v>
      </c>
      <c r="J1483" s="217" t="s">
        <v>3419</v>
      </c>
    </row>
    <row r="1484" spans="2:10" x14ac:dyDescent="0.25">
      <c r="B1484" s="218">
        <v>44586</v>
      </c>
      <c r="C1484" s="217">
        <v>4793</v>
      </c>
      <c r="D1484" s="214" t="s">
        <v>3420</v>
      </c>
      <c r="I1484" s="217" t="s">
        <v>3421</v>
      </c>
      <c r="J1484" s="217" t="s">
        <v>3422</v>
      </c>
    </row>
    <row r="1485" spans="2:10" x14ac:dyDescent="0.25">
      <c r="B1485" s="218">
        <v>44586</v>
      </c>
      <c r="C1485" s="217">
        <v>4794</v>
      </c>
      <c r="D1485" s="214" t="s">
        <v>3423</v>
      </c>
      <c r="I1485" s="217" t="s">
        <v>3421</v>
      </c>
      <c r="J1485" s="217" t="s">
        <v>3422</v>
      </c>
    </row>
    <row r="1486" spans="2:10" x14ac:dyDescent="0.25">
      <c r="B1486" s="218">
        <v>44588</v>
      </c>
      <c r="C1486" s="217">
        <v>4797</v>
      </c>
      <c r="D1486" s="214" t="s">
        <v>3424</v>
      </c>
      <c r="I1486" s="217" t="s">
        <v>3425</v>
      </c>
      <c r="J1486" s="217" t="s">
        <v>3426</v>
      </c>
    </row>
    <row r="1487" spans="2:10" x14ac:dyDescent="0.25">
      <c r="B1487" s="218">
        <v>44589</v>
      </c>
      <c r="C1487" s="217">
        <v>4798</v>
      </c>
      <c r="D1487" s="214" t="s">
        <v>3427</v>
      </c>
      <c r="I1487" s="217" t="s">
        <v>3428</v>
      </c>
      <c r="J1487" s="217" t="s">
        <v>3429</v>
      </c>
    </row>
    <row r="1488" spans="2:10" x14ac:dyDescent="0.25">
      <c r="B1488" s="218">
        <v>44589</v>
      </c>
      <c r="C1488" s="217">
        <v>4799</v>
      </c>
      <c r="D1488" s="214" t="s">
        <v>3430</v>
      </c>
      <c r="I1488" s="217" t="s">
        <v>3431</v>
      </c>
      <c r="J1488" s="217" t="s">
        <v>3432</v>
      </c>
    </row>
    <row r="1489" spans="2:10" x14ac:dyDescent="0.25">
      <c r="B1489" s="218">
        <v>44590</v>
      </c>
      <c r="C1489" s="217">
        <v>4800</v>
      </c>
      <c r="D1489" s="214" t="s">
        <v>3433</v>
      </c>
      <c r="I1489" s="217" t="s">
        <v>3434</v>
      </c>
      <c r="J1489" s="217" t="s">
        <v>3435</v>
      </c>
    </row>
    <row r="1490" spans="2:10" x14ac:dyDescent="0.25">
      <c r="B1490" s="218">
        <v>44593</v>
      </c>
      <c r="C1490" s="217">
        <v>4803</v>
      </c>
      <c r="D1490" s="214" t="s">
        <v>3436</v>
      </c>
      <c r="J1490" s="217" t="s">
        <v>3437</v>
      </c>
    </row>
    <row r="1491" spans="2:10" x14ac:dyDescent="0.25">
      <c r="B1491" s="218">
        <v>44593</v>
      </c>
      <c r="C1491" s="217">
        <v>4804</v>
      </c>
      <c r="D1491" s="214" t="s">
        <v>3438</v>
      </c>
      <c r="J1491" s="217" t="s">
        <v>3439</v>
      </c>
    </row>
    <row r="1492" spans="2:10" x14ac:dyDescent="0.25">
      <c r="B1492" s="218">
        <v>44593</v>
      </c>
      <c r="C1492" s="217">
        <v>4805</v>
      </c>
      <c r="D1492" s="214" t="s">
        <v>3440</v>
      </c>
      <c r="J1492" s="217" t="s">
        <v>3441</v>
      </c>
    </row>
    <row r="1493" spans="2:10" x14ac:dyDescent="0.25">
      <c r="B1493" s="218">
        <v>44593</v>
      </c>
      <c r="C1493" s="217">
        <v>4806</v>
      </c>
      <c r="D1493" s="214" t="s">
        <v>3442</v>
      </c>
      <c r="J1493" s="217" t="s">
        <v>3443</v>
      </c>
    </row>
    <row r="1494" spans="2:10" x14ac:dyDescent="0.25">
      <c r="B1494" s="218">
        <v>44595</v>
      </c>
      <c r="C1494" s="217">
        <v>4808</v>
      </c>
      <c r="D1494" s="214" t="s">
        <v>3444</v>
      </c>
      <c r="I1494" s="217" t="s">
        <v>3445</v>
      </c>
      <c r="J1494" s="217" t="s">
        <v>3446</v>
      </c>
    </row>
    <row r="1495" spans="2:10" x14ac:dyDescent="0.25">
      <c r="B1495" s="218">
        <v>44595</v>
      </c>
      <c r="C1495" s="217">
        <v>4810</v>
      </c>
      <c r="D1495" s="214" t="s">
        <v>3447</v>
      </c>
      <c r="I1495" s="217" t="s">
        <v>3448</v>
      </c>
      <c r="J1495" s="217" t="s">
        <v>3449</v>
      </c>
    </row>
    <row r="1496" spans="2:10" x14ac:dyDescent="0.25">
      <c r="B1496" s="218">
        <v>44597</v>
      </c>
      <c r="C1496" s="217">
        <v>4812</v>
      </c>
      <c r="D1496" s="214" t="s">
        <v>3450</v>
      </c>
    </row>
    <row r="1497" spans="2:10" x14ac:dyDescent="0.25">
      <c r="B1497" s="218">
        <v>44599</v>
      </c>
      <c r="C1497" s="217">
        <v>4813</v>
      </c>
      <c r="D1497" s="214" t="s">
        <v>3451</v>
      </c>
      <c r="I1497" s="217" t="s">
        <v>3452</v>
      </c>
      <c r="J1497" s="217" t="s">
        <v>3453</v>
      </c>
    </row>
    <row r="1498" spans="2:10" x14ac:dyDescent="0.25">
      <c r="B1498" s="218">
        <v>44600</v>
      </c>
      <c r="C1498" s="217">
        <v>4814</v>
      </c>
      <c r="D1498" s="214" t="s">
        <v>3454</v>
      </c>
      <c r="I1498" s="217" t="s">
        <v>3455</v>
      </c>
      <c r="J1498" s="217" t="s">
        <v>3456</v>
      </c>
    </row>
    <row r="1499" spans="2:10" x14ac:dyDescent="0.25">
      <c r="B1499" s="218">
        <v>44600</v>
      </c>
      <c r="C1499" s="217">
        <v>4815</v>
      </c>
      <c r="D1499" s="214" t="s">
        <v>3457</v>
      </c>
      <c r="I1499" s="217" t="s">
        <v>3458</v>
      </c>
      <c r="J1499" s="217" t="s">
        <v>3459</v>
      </c>
    </row>
    <row r="1500" spans="2:10" x14ac:dyDescent="0.25">
      <c r="B1500" s="218">
        <v>44601</v>
      </c>
      <c r="C1500" s="217">
        <v>4816</v>
      </c>
      <c r="D1500" s="214" t="s">
        <v>3460</v>
      </c>
      <c r="I1500" s="217" t="s">
        <v>3461</v>
      </c>
      <c r="J1500" s="217" t="s">
        <v>3462</v>
      </c>
    </row>
    <row r="1501" spans="2:10" x14ac:dyDescent="0.25">
      <c r="B1501" s="218">
        <v>44606</v>
      </c>
      <c r="C1501" s="217">
        <v>4818</v>
      </c>
      <c r="D1501" s="214" t="s">
        <v>3463</v>
      </c>
      <c r="I1501" s="217" t="s">
        <v>3464</v>
      </c>
      <c r="J1501" s="217" t="s">
        <v>3465</v>
      </c>
    </row>
    <row r="1502" spans="2:10" x14ac:dyDescent="0.25">
      <c r="B1502" s="218">
        <v>44608</v>
      </c>
      <c r="C1502" s="217">
        <v>4822</v>
      </c>
      <c r="D1502" s="214" t="s">
        <v>3466</v>
      </c>
      <c r="I1502" s="217" t="s">
        <v>3467</v>
      </c>
    </row>
    <row r="1503" spans="2:10" x14ac:dyDescent="0.25">
      <c r="B1503" s="218"/>
      <c r="C1503" s="217">
        <v>4823</v>
      </c>
      <c r="D1503" s="214" t="s">
        <v>3468</v>
      </c>
      <c r="J1503" s="217" t="s">
        <v>3469</v>
      </c>
    </row>
    <row r="1504" spans="2:10" x14ac:dyDescent="0.25">
      <c r="B1504" s="218"/>
      <c r="C1504" s="217">
        <v>4828</v>
      </c>
      <c r="D1504" s="214" t="s">
        <v>3470</v>
      </c>
      <c r="I1504" s="217" t="s">
        <v>3471</v>
      </c>
      <c r="J1504" s="217" t="s">
        <v>3472</v>
      </c>
    </row>
    <row r="1505" spans="1:16" ht="15" x14ac:dyDescent="0.25">
      <c r="B1505" s="148"/>
      <c r="C1505" s="236">
        <v>4829</v>
      </c>
      <c r="D1505" s="234" t="s">
        <v>3473</v>
      </c>
      <c r="E1505" s="148"/>
      <c r="F1505" s="148"/>
      <c r="G1505" s="148"/>
      <c r="H1505" s="148"/>
      <c r="I1505" s="217" t="s">
        <v>3474</v>
      </c>
      <c r="J1505" s="148">
        <v>8797023785</v>
      </c>
      <c r="K1505" s="148"/>
      <c r="L1505" s="148"/>
      <c r="M1505" s="148"/>
      <c r="N1505" s="148"/>
      <c r="O1505" s="148"/>
    </row>
    <row r="1506" spans="1:16" ht="15" x14ac:dyDescent="0.25">
      <c r="C1506" s="217">
        <v>4832</v>
      </c>
      <c r="D1506" s="218" t="s">
        <v>3475</v>
      </c>
      <c r="E1506" s="218"/>
      <c r="F1506" s="218"/>
      <c r="G1506" s="218"/>
      <c r="H1506" s="218"/>
      <c r="I1506" s="217" t="s">
        <v>3476</v>
      </c>
      <c r="J1506" s="218"/>
    </row>
    <row r="1507" spans="1:16" x14ac:dyDescent="0.25">
      <c r="A1507" s="148">
        <v>1631</v>
      </c>
      <c r="B1507" s="218">
        <v>44620</v>
      </c>
      <c r="C1507" s="217">
        <v>4833</v>
      </c>
      <c r="D1507" s="215" t="s">
        <v>2972</v>
      </c>
      <c r="I1507" s="217" t="s">
        <v>2973</v>
      </c>
      <c r="J1507" s="217" t="s">
        <v>2974</v>
      </c>
      <c r="O1507" s="214" t="s">
        <v>53</v>
      </c>
      <c r="P1507" s="233">
        <v>37544</v>
      </c>
    </row>
    <row r="1508" spans="1:16" x14ac:dyDescent="0.25">
      <c r="A1508" s="148">
        <v>1632</v>
      </c>
      <c r="B1508" s="218">
        <v>44622</v>
      </c>
      <c r="C1508" s="217">
        <v>4834</v>
      </c>
      <c r="D1508" s="215" t="s">
        <v>3477</v>
      </c>
      <c r="I1508" s="217" t="s">
        <v>2975</v>
      </c>
      <c r="J1508" s="217" t="s">
        <v>2976</v>
      </c>
      <c r="P1508" s="233">
        <v>39062</v>
      </c>
    </row>
    <row r="1509" spans="1:16" x14ac:dyDescent="0.25">
      <c r="A1509" s="148">
        <v>1633</v>
      </c>
      <c r="B1509" s="218">
        <v>44622</v>
      </c>
      <c r="C1509" s="217">
        <v>4836</v>
      </c>
      <c r="D1509" s="215" t="s">
        <v>2966</v>
      </c>
      <c r="H1509" s="214">
        <v>500</v>
      </c>
      <c r="I1509" s="217" t="s">
        <v>2977</v>
      </c>
      <c r="J1509" s="217" t="s">
        <v>2978</v>
      </c>
      <c r="K1509" s="214">
        <v>0</v>
      </c>
      <c r="L1509" s="214">
        <v>0</v>
      </c>
      <c r="M1509" s="214">
        <v>0</v>
      </c>
      <c r="N1509" s="214" t="s">
        <v>53</v>
      </c>
      <c r="O1509" s="214" t="s">
        <v>53</v>
      </c>
    </row>
    <row r="1510" spans="1:16" x14ac:dyDescent="0.25">
      <c r="A1510" s="147">
        <v>1634</v>
      </c>
      <c r="B1510" s="218">
        <v>44622</v>
      </c>
      <c r="C1510" s="217">
        <v>4837</v>
      </c>
      <c r="D1510" s="215" t="s">
        <v>2967</v>
      </c>
      <c r="I1510" s="217" t="s">
        <v>2980</v>
      </c>
      <c r="J1510" s="217" t="s">
        <v>2979</v>
      </c>
      <c r="N1510" s="214" t="s">
        <v>54</v>
      </c>
      <c r="O1510" s="214" t="s">
        <v>54</v>
      </c>
      <c r="P1510" s="233">
        <v>40148</v>
      </c>
    </row>
    <row r="1511" spans="1:16" x14ac:dyDescent="0.25">
      <c r="A1511" s="147">
        <v>1635</v>
      </c>
      <c r="B1511" s="218">
        <v>44622</v>
      </c>
      <c r="C1511" s="217">
        <v>4839</v>
      </c>
      <c r="D1511" s="215" t="s">
        <v>2969</v>
      </c>
      <c r="I1511" s="217" t="s">
        <v>2981</v>
      </c>
      <c r="J1511" s="217" t="s">
        <v>2982</v>
      </c>
      <c r="K1511" s="214">
        <v>0</v>
      </c>
      <c r="L1511" s="214">
        <v>0</v>
      </c>
      <c r="M1511" s="214">
        <v>0</v>
      </c>
      <c r="N1511" s="214" t="s">
        <v>54</v>
      </c>
      <c r="O1511" s="234" t="s">
        <v>54</v>
      </c>
      <c r="P1511" s="233">
        <v>29952</v>
      </c>
    </row>
    <row r="1512" spans="1:16" x14ac:dyDescent="0.25">
      <c r="A1512" s="147">
        <v>1636</v>
      </c>
      <c r="B1512" s="218">
        <v>44622</v>
      </c>
      <c r="C1512" s="217">
        <v>4840</v>
      </c>
      <c r="D1512" s="215" t="s">
        <v>2968</v>
      </c>
      <c r="H1512" s="214">
        <v>300</v>
      </c>
      <c r="I1512" s="217" t="s">
        <v>2971</v>
      </c>
      <c r="J1512" s="217" t="s">
        <v>2983</v>
      </c>
      <c r="K1512" s="214">
        <v>0</v>
      </c>
      <c r="L1512" s="214">
        <v>0</v>
      </c>
      <c r="M1512" s="214">
        <v>0</v>
      </c>
      <c r="N1512" s="214" t="s">
        <v>66</v>
      </c>
      <c r="O1512" s="234" t="s">
        <v>54</v>
      </c>
      <c r="P1512" s="233">
        <v>29763</v>
      </c>
    </row>
    <row r="1513" spans="1:16" x14ac:dyDescent="0.25">
      <c r="A1513" s="147">
        <v>1637</v>
      </c>
      <c r="B1513" s="218">
        <v>44624</v>
      </c>
      <c r="C1513" s="217">
        <v>4845</v>
      </c>
      <c r="D1513" s="215" t="s">
        <v>2984</v>
      </c>
      <c r="H1513" s="214">
        <v>100</v>
      </c>
      <c r="I1513" s="217" t="s">
        <v>2985</v>
      </c>
      <c r="J1513" s="217" t="s">
        <v>2986</v>
      </c>
      <c r="K1513" s="214">
        <v>0</v>
      </c>
      <c r="L1513" s="214">
        <v>0</v>
      </c>
      <c r="M1513" s="214">
        <v>0</v>
      </c>
      <c r="N1513" s="214" t="s">
        <v>54</v>
      </c>
      <c r="O1513" s="234" t="s">
        <v>53</v>
      </c>
      <c r="P1513" s="233">
        <v>31413</v>
      </c>
    </row>
    <row r="1514" spans="1:16" x14ac:dyDescent="0.25">
      <c r="A1514" s="147">
        <v>1638</v>
      </c>
      <c r="B1514" s="218">
        <v>44624</v>
      </c>
      <c r="C1514" s="217">
        <v>4846</v>
      </c>
      <c r="D1514" s="215" t="s">
        <v>2992</v>
      </c>
    </row>
    <row r="1515" spans="1:16" x14ac:dyDescent="0.25">
      <c r="A1515" s="147">
        <v>1639</v>
      </c>
      <c r="B1515" s="218">
        <v>44624</v>
      </c>
      <c r="C1515" s="217">
        <v>4847</v>
      </c>
      <c r="D1515" s="215" t="s">
        <v>1213</v>
      </c>
    </row>
    <row r="1516" spans="1:16" x14ac:dyDescent="0.25">
      <c r="A1516" s="147">
        <v>1640</v>
      </c>
      <c r="B1516" s="218">
        <v>44625</v>
      </c>
      <c r="C1516" s="217">
        <v>4848</v>
      </c>
      <c r="D1516" s="215" t="s">
        <v>2993</v>
      </c>
      <c r="H1516" s="214">
        <v>2000</v>
      </c>
      <c r="I1516" s="217" t="s">
        <v>2994</v>
      </c>
      <c r="K1516" s="214" t="s">
        <v>53</v>
      </c>
      <c r="L1516" s="214" t="s">
        <v>53</v>
      </c>
      <c r="M1516" s="214" t="s">
        <v>53</v>
      </c>
      <c r="N1516" s="214" t="s">
        <v>53</v>
      </c>
      <c r="O1516" s="234" t="s">
        <v>53</v>
      </c>
    </row>
    <row r="1517" spans="1:16" x14ac:dyDescent="0.25">
      <c r="A1517" s="147">
        <v>1641</v>
      </c>
      <c r="B1517" s="218">
        <v>44627</v>
      </c>
      <c r="C1517" s="217">
        <v>4849</v>
      </c>
      <c r="D1517" s="215" t="s">
        <v>2988</v>
      </c>
      <c r="H1517" s="214">
        <v>1000</v>
      </c>
      <c r="I1517" s="217" t="s">
        <v>2991</v>
      </c>
      <c r="K1517" s="214" t="s">
        <v>54</v>
      </c>
      <c r="L1517" s="214" t="s">
        <v>54</v>
      </c>
      <c r="M1517" s="214" t="s">
        <v>54</v>
      </c>
      <c r="N1517" s="214" t="s">
        <v>53</v>
      </c>
      <c r="O1517" s="234" t="s">
        <v>53</v>
      </c>
      <c r="P1517" s="233">
        <v>25779</v>
      </c>
    </row>
    <row r="1518" spans="1:16" x14ac:dyDescent="0.25">
      <c r="A1518" s="147">
        <v>1642</v>
      </c>
      <c r="B1518" s="218">
        <v>44627</v>
      </c>
      <c r="C1518" s="217">
        <v>4850</v>
      </c>
      <c r="D1518" s="215" t="s">
        <v>2989</v>
      </c>
      <c r="H1518" s="214">
        <v>500</v>
      </c>
      <c r="I1518" s="217" t="s">
        <v>2990</v>
      </c>
      <c r="K1518" s="214" t="s">
        <v>54</v>
      </c>
      <c r="L1518" s="214" t="s">
        <v>54</v>
      </c>
      <c r="M1518" s="214" t="s">
        <v>54</v>
      </c>
      <c r="N1518" s="214" t="s">
        <v>54</v>
      </c>
      <c r="O1518" s="234" t="s">
        <v>54</v>
      </c>
      <c r="P1518" s="233">
        <v>39083</v>
      </c>
    </row>
    <row r="1519" spans="1:16" x14ac:dyDescent="0.25">
      <c r="A1519" s="147">
        <v>1643</v>
      </c>
      <c r="C1519" s="217">
        <v>4851</v>
      </c>
      <c r="D1519" s="215" t="s">
        <v>2995</v>
      </c>
      <c r="J1519" s="217" t="s">
        <v>2999</v>
      </c>
    </row>
    <row r="1520" spans="1:16" x14ac:dyDescent="0.25">
      <c r="A1520" s="147">
        <v>1644</v>
      </c>
      <c r="C1520" s="217">
        <v>4852</v>
      </c>
      <c r="D1520" s="215" t="s">
        <v>2996</v>
      </c>
      <c r="I1520" s="217" t="s">
        <v>3001</v>
      </c>
      <c r="J1520" s="217" t="s">
        <v>3000</v>
      </c>
      <c r="O1520" s="218">
        <v>44657</v>
      </c>
    </row>
    <row r="1521" spans="1:10" x14ac:dyDescent="0.25">
      <c r="A1521" s="147">
        <v>1645</v>
      </c>
      <c r="C1521" s="217">
        <v>4853</v>
      </c>
      <c r="D1521" s="215" t="s">
        <v>2997</v>
      </c>
      <c r="I1521" s="217" t="s">
        <v>3002</v>
      </c>
      <c r="J1521" s="217" t="s">
        <v>3003</v>
      </c>
    </row>
    <row r="1522" spans="1:10" x14ac:dyDescent="0.25">
      <c r="A1522" s="147">
        <v>1646</v>
      </c>
      <c r="C1522" s="217">
        <v>4854</v>
      </c>
      <c r="D1522" s="215" t="s">
        <v>2998</v>
      </c>
      <c r="I1522" s="217" t="s">
        <v>3004</v>
      </c>
      <c r="J1522" s="217" t="s">
        <v>3005</v>
      </c>
    </row>
    <row r="1523" spans="1:10" ht="15" x14ac:dyDescent="0.25">
      <c r="A1523" s="147">
        <v>1647</v>
      </c>
      <c r="B1523" s="218">
        <v>44628</v>
      </c>
      <c r="C1523" s="217">
        <v>4855</v>
      </c>
      <c r="D1523" s="235" t="s">
        <v>3011</v>
      </c>
      <c r="E1523" s="148"/>
      <c r="F1523" s="148"/>
      <c r="G1523" s="148" t="s">
        <v>3025</v>
      </c>
      <c r="H1523" s="148"/>
      <c r="I1523" s="148"/>
      <c r="J1523" s="148"/>
    </row>
    <row r="1524" spans="1:10" x14ac:dyDescent="0.25">
      <c r="A1524" s="147">
        <v>1648</v>
      </c>
      <c r="B1524" s="218">
        <v>44628</v>
      </c>
      <c r="C1524" s="217">
        <v>4856</v>
      </c>
      <c r="D1524" s="235" t="s">
        <v>778</v>
      </c>
      <c r="G1524" s="148" t="s">
        <v>3025</v>
      </c>
    </row>
    <row r="1525" spans="1:10" x14ac:dyDescent="0.25">
      <c r="A1525" s="147">
        <v>1649</v>
      </c>
      <c r="B1525" s="218">
        <v>44628</v>
      </c>
      <c r="C1525" s="217">
        <v>4857</v>
      </c>
      <c r="D1525" s="235" t="s">
        <v>3026</v>
      </c>
      <c r="F1525" s="229">
        <v>36731</v>
      </c>
      <c r="G1525" s="148" t="s">
        <v>3025</v>
      </c>
    </row>
    <row r="1526" spans="1:10" x14ac:dyDescent="0.25">
      <c r="A1526" s="147">
        <v>1650</v>
      </c>
      <c r="B1526" s="218">
        <v>44628</v>
      </c>
      <c r="C1526" s="217">
        <v>4858</v>
      </c>
      <c r="D1526" s="215" t="s">
        <v>3027</v>
      </c>
      <c r="F1526" s="229">
        <v>31267</v>
      </c>
    </row>
    <row r="1527" spans="1:10" x14ac:dyDescent="0.25">
      <c r="A1527" s="147">
        <v>1651</v>
      </c>
      <c r="B1527" s="218">
        <v>44628</v>
      </c>
      <c r="C1527" s="217">
        <v>4859</v>
      </c>
      <c r="D1527" s="215" t="s">
        <v>3028</v>
      </c>
      <c r="F1527" s="229">
        <v>35078</v>
      </c>
    </row>
    <row r="1528" spans="1:10" x14ac:dyDescent="0.25">
      <c r="A1528" s="147">
        <v>1652</v>
      </c>
      <c r="B1528" s="218">
        <v>44628</v>
      </c>
      <c r="C1528" s="217">
        <v>4860</v>
      </c>
      <c r="D1528" s="215" t="s">
        <v>3029</v>
      </c>
      <c r="F1528" s="229">
        <v>34096</v>
      </c>
    </row>
    <row r="1529" spans="1:10" x14ac:dyDescent="0.25">
      <c r="A1529" s="147">
        <v>1653</v>
      </c>
      <c r="B1529" s="218">
        <v>44628</v>
      </c>
      <c r="C1529" s="217">
        <v>4861</v>
      </c>
      <c r="D1529" s="215" t="s">
        <v>3030</v>
      </c>
      <c r="F1529" s="229">
        <v>28575</v>
      </c>
    </row>
    <row r="1530" spans="1:10" x14ac:dyDescent="0.25">
      <c r="A1530" s="147">
        <v>1654</v>
      </c>
      <c r="B1530" s="218">
        <v>44628</v>
      </c>
      <c r="C1530" s="217">
        <v>4862</v>
      </c>
      <c r="D1530" s="215" t="s">
        <v>3031</v>
      </c>
      <c r="F1530" s="229">
        <v>29637</v>
      </c>
    </row>
    <row r="1531" spans="1:10" x14ac:dyDescent="0.25">
      <c r="A1531" s="147">
        <v>1655</v>
      </c>
      <c r="C1531" s="217">
        <v>4864</v>
      </c>
      <c r="D1531" s="215" t="s">
        <v>3008</v>
      </c>
      <c r="I1531" s="217" t="s">
        <v>3006</v>
      </c>
      <c r="J1531" s="217" t="s">
        <v>3007</v>
      </c>
    </row>
    <row r="1532" spans="1:10" x14ac:dyDescent="0.25">
      <c r="A1532" s="147">
        <v>1656</v>
      </c>
      <c r="C1532" s="217">
        <v>4865</v>
      </c>
      <c r="D1532" s="215" t="s">
        <v>3009</v>
      </c>
      <c r="J1532" s="217" t="s">
        <v>3016</v>
      </c>
    </row>
    <row r="1533" spans="1:10" x14ac:dyDescent="0.25">
      <c r="A1533" s="147">
        <v>1657</v>
      </c>
      <c r="C1533" s="217">
        <v>4866</v>
      </c>
      <c r="D1533" s="215" t="s">
        <v>3010</v>
      </c>
      <c r="J1533" s="217" t="s">
        <v>3017</v>
      </c>
    </row>
    <row r="1534" spans="1:10" x14ac:dyDescent="0.25">
      <c r="A1534" s="147">
        <v>1658</v>
      </c>
      <c r="B1534" s="218">
        <v>44634</v>
      </c>
      <c r="C1534" s="217">
        <v>4867</v>
      </c>
      <c r="D1534" s="215" t="s">
        <v>3015</v>
      </c>
      <c r="I1534" s="217" t="s">
        <v>3018</v>
      </c>
      <c r="J1534" s="217" t="s">
        <v>3019</v>
      </c>
    </row>
    <row r="1535" spans="1:10" x14ac:dyDescent="0.25">
      <c r="A1535" s="147">
        <v>1659</v>
      </c>
      <c r="B1535" s="218">
        <v>44635</v>
      </c>
      <c r="C1535" s="217">
        <v>4868</v>
      </c>
      <c r="D1535" s="215" t="s">
        <v>3014</v>
      </c>
      <c r="I1535" s="217" t="s">
        <v>3021</v>
      </c>
      <c r="J1535" s="217" t="s">
        <v>3020</v>
      </c>
    </row>
    <row r="1536" spans="1:10" x14ac:dyDescent="0.25">
      <c r="A1536" s="147">
        <v>1660</v>
      </c>
      <c r="B1536" s="218">
        <v>44635</v>
      </c>
      <c r="C1536" s="217">
        <v>4869</v>
      </c>
      <c r="D1536" s="215" t="s">
        <v>668</v>
      </c>
      <c r="J1536" s="217" t="s">
        <v>3022</v>
      </c>
    </row>
    <row r="1537" spans="1:15" x14ac:dyDescent="0.25">
      <c r="A1537" s="147">
        <v>1661</v>
      </c>
      <c r="B1537" s="218">
        <v>44635</v>
      </c>
      <c r="C1537" s="217">
        <v>4870</v>
      </c>
      <c r="D1537" s="215" t="s">
        <v>3013</v>
      </c>
      <c r="J1537" s="217" t="s">
        <v>3023</v>
      </c>
    </row>
    <row r="1538" spans="1:15" x14ac:dyDescent="0.25">
      <c r="A1538" s="147">
        <v>1662</v>
      </c>
      <c r="B1538" s="218">
        <v>44635</v>
      </c>
      <c r="C1538" s="217">
        <v>4871</v>
      </c>
      <c r="D1538" s="215" t="s">
        <v>3012</v>
      </c>
      <c r="J1538" s="217" t="s">
        <v>3024</v>
      </c>
      <c r="O1538" s="214" t="s">
        <v>66</v>
      </c>
    </row>
    <row r="1539" spans="1:15" x14ac:dyDescent="0.25">
      <c r="A1539" s="147">
        <v>1663</v>
      </c>
      <c r="B1539" s="218">
        <v>44641</v>
      </c>
      <c r="C1539" s="217" t="s">
        <v>3478</v>
      </c>
      <c r="D1539" s="215" t="s">
        <v>3481</v>
      </c>
      <c r="I1539" s="217" t="s">
        <v>3488</v>
      </c>
      <c r="J1539" s="217" t="s">
        <v>3489</v>
      </c>
      <c r="O1539" s="214" t="s">
        <v>66</v>
      </c>
    </row>
    <row r="1540" spans="1:15" x14ac:dyDescent="0.25">
      <c r="A1540" s="147">
        <v>1664</v>
      </c>
      <c r="B1540" s="218">
        <v>44643</v>
      </c>
      <c r="C1540" s="217" t="s">
        <v>3479</v>
      </c>
      <c r="D1540" s="215" t="s">
        <v>3482</v>
      </c>
      <c r="I1540" s="217" t="s">
        <v>3486</v>
      </c>
      <c r="J1540" s="217" t="s">
        <v>3487</v>
      </c>
      <c r="K1540" s="214" t="s">
        <v>53</v>
      </c>
      <c r="M1540" s="214" t="s">
        <v>66</v>
      </c>
    </row>
    <row r="1541" spans="1:15" x14ac:dyDescent="0.25">
      <c r="A1541" s="147">
        <v>1665</v>
      </c>
      <c r="B1541" s="218">
        <v>44644</v>
      </c>
      <c r="C1541" s="217" t="s">
        <v>3480</v>
      </c>
      <c r="D1541" s="215" t="s">
        <v>3483</v>
      </c>
      <c r="F1541" s="229">
        <v>31778</v>
      </c>
      <c r="H1541" s="214">
        <v>500</v>
      </c>
      <c r="I1541" s="217" t="s">
        <v>3484</v>
      </c>
      <c r="J1541" s="217" t="s">
        <v>3485</v>
      </c>
      <c r="K1541" s="214" t="s">
        <v>53</v>
      </c>
      <c r="M1541" s="214" t="s">
        <v>66</v>
      </c>
      <c r="N1541" s="214" t="s">
        <v>66</v>
      </c>
      <c r="O1541" s="214" t="s">
        <v>66</v>
      </c>
    </row>
    <row r="1542" spans="1:15" x14ac:dyDescent="0.25">
      <c r="A1542" s="147">
        <v>1666</v>
      </c>
      <c r="B1542" s="218">
        <v>44646</v>
      </c>
      <c r="C1542" s="217" t="s">
        <v>3495</v>
      </c>
      <c r="D1542" s="215" t="s">
        <v>3497</v>
      </c>
      <c r="H1542" s="214">
        <v>100</v>
      </c>
    </row>
    <row r="1543" spans="1:15" x14ac:dyDescent="0.25">
      <c r="A1543" s="147">
        <v>1667</v>
      </c>
      <c r="B1543" s="218">
        <v>44646</v>
      </c>
      <c r="C1543" s="217" t="s">
        <v>3496</v>
      </c>
      <c r="D1543" s="215" t="s">
        <v>3498</v>
      </c>
      <c r="H1543" s="214">
        <v>100</v>
      </c>
    </row>
    <row r="1544" spans="1:15" x14ac:dyDescent="0.25">
      <c r="A1544" s="147">
        <v>1668</v>
      </c>
      <c r="B1544" s="218">
        <v>44656</v>
      </c>
      <c r="C1544" s="217" t="s">
        <v>3499</v>
      </c>
      <c r="D1544" s="215" t="s">
        <v>3502</v>
      </c>
      <c r="H1544" s="214">
        <v>1000</v>
      </c>
      <c r="J1544" s="217" t="s">
        <v>3505</v>
      </c>
    </row>
    <row r="1545" spans="1:15" x14ac:dyDescent="0.25">
      <c r="A1545" s="147">
        <v>1669</v>
      </c>
      <c r="B1545" s="218">
        <v>44656</v>
      </c>
      <c r="C1545" s="217" t="s">
        <v>3500</v>
      </c>
      <c r="D1545" s="215" t="s">
        <v>3503</v>
      </c>
      <c r="I1545" s="217" t="s">
        <v>3509</v>
      </c>
      <c r="J1545" s="217" t="s">
        <v>3506</v>
      </c>
    </row>
    <row r="1546" spans="1:15" x14ac:dyDescent="0.25">
      <c r="A1546" s="147">
        <v>1670</v>
      </c>
      <c r="B1546" s="218">
        <v>44657</v>
      </c>
      <c r="C1546" s="217" t="s">
        <v>3501</v>
      </c>
      <c r="D1546" s="215" t="s">
        <v>3504</v>
      </c>
      <c r="H1546" s="214">
        <v>100</v>
      </c>
      <c r="I1546" s="217" t="s">
        <v>3508</v>
      </c>
      <c r="J1546" s="217" t="s">
        <v>3507</v>
      </c>
      <c r="N1546" s="214" t="s">
        <v>53</v>
      </c>
    </row>
    <row r="1547" spans="1:15" x14ac:dyDescent="0.25">
      <c r="A1547" s="147">
        <v>1671</v>
      </c>
    </row>
    <row r="1548" spans="1:15" x14ac:dyDescent="0.25">
      <c r="A1548" s="147">
        <v>1672</v>
      </c>
    </row>
    <row r="1549" spans="1:15" x14ac:dyDescent="0.25">
      <c r="A1549" s="147">
        <v>1673</v>
      </c>
    </row>
    <row r="1550" spans="1:15" x14ac:dyDescent="0.25">
      <c r="A1550" s="147">
        <v>1674</v>
      </c>
    </row>
    <row r="1551" spans="1:15" x14ac:dyDescent="0.25">
      <c r="A1551" s="147">
        <v>1675</v>
      </c>
    </row>
    <row r="1552" spans="1:15" x14ac:dyDescent="0.25">
      <c r="A1552" s="147">
        <v>1676</v>
      </c>
    </row>
  </sheetData>
  <autoFilter ref="B1:N1331" xr:uid="{00000000-0009-0000-0000-000000000000}">
    <sortState xmlns:xlrd2="http://schemas.microsoft.com/office/spreadsheetml/2017/richdata2" ref="B2:N1194">
      <sortCondition ref="C2:C1194"/>
    </sortState>
  </autoFilter>
  <sortState xmlns:xlrd2="http://schemas.microsoft.com/office/spreadsheetml/2017/richdata2" ref="B2:J16">
    <sortCondition ref="C2:C16"/>
  </sortState>
  <customSheetViews>
    <customSheetView guid="{A0CE3161-5061-442F-A27F-2BA55581F316}" showAutoFilter="1">
      <pane ySplit="1" topLeftCell="A1242" activePane="bottomLeft" state="frozen"/>
      <selection pane="bottomLeft" activeCell="D1257" sqref="D1257"/>
      <pageMargins left="0.70866141732283472" right="0.70866141732283472" top="0.35433070866141736" bottom="0.35433070866141736" header="0.31496062992125984" footer="0.31496062992125984"/>
      <pageSetup paperSize="9" orientation="portrait" r:id="rId1"/>
      <autoFilter ref="B1:O1331" xr:uid="{1486C16C-D34F-41BD-8EAE-88B356C7F963}">
        <sortState xmlns:xlrd2="http://schemas.microsoft.com/office/spreadsheetml/2017/richdata2" ref="B2:O1194">
          <sortCondition ref="C2:C1194"/>
        </sortState>
      </autoFilter>
    </customSheetView>
    <customSheetView guid="{2FF9BCA9-095C-4E73-9C86-2243907C0824}" scale="55" showAutoFilter="1">
      <pane ySplit="1" topLeftCell="A1272" activePane="bottomLeft" state="frozen"/>
      <selection pane="bottomLeft" activeCell="U1294" sqref="U1294"/>
      <pageMargins left="0.70866141732283472" right="0.70866141732283472" top="0.35433070866141736" bottom="0.35433070866141736" header="0.31496062992125984" footer="0.31496062992125984"/>
      <pageSetup paperSize="9" orientation="portrait" r:id="rId2"/>
      <autoFilter ref="B1:O1331" xr:uid="{8CC74BEC-5CA8-4FF6-8D87-02A4CCDC8888}">
        <sortState xmlns:xlrd2="http://schemas.microsoft.com/office/spreadsheetml/2017/richdata2" ref="B2:O1194">
          <sortCondition ref="C2:C1194"/>
        </sortState>
      </autoFilter>
    </customSheetView>
    <customSheetView guid="{EB31AAB7-3CD3-47EA-8FB3-E6304DCC89B3}" showAutoFilter="1" hiddenColumns="1">
      <pane ySplit="1" topLeftCell="A1333" activePane="bottomLeft" state="frozen"/>
      <selection pane="bottomLeft" activeCell="A1340" sqref="A1340"/>
      <pageMargins left="0.70866141732283472" right="0.70866141732283472" top="0.35433070866141736" bottom="0.35433070866141736" header="0.31496062992125984" footer="0.31496062992125984"/>
      <pageSetup paperSize="9" orientation="portrait" r:id="rId3"/>
      <autoFilter ref="B1:O1331" xr:uid="{5BBF4045-8418-4020-961D-B4B26193E480}">
        <sortState xmlns:xlrd2="http://schemas.microsoft.com/office/spreadsheetml/2017/richdata2" ref="B2:O1194">
          <sortCondition ref="C2:C1194"/>
        </sortState>
      </autoFilter>
    </customSheetView>
    <customSheetView guid="{1459FC0D-58BA-4BEC-951C-298999986759}" showAutoFilter="1">
      <pane ySplit="1" topLeftCell="A1345" activePane="bottomLeft" state="frozen"/>
      <selection pane="bottomLeft" activeCell="E1347" sqref="E1347"/>
      <pageMargins left="0.70866141732283472" right="0.70866141732283472" top="0.35433070866141736" bottom="0.35433070866141736" header="0.31496062992125984" footer="0.31496062992125984"/>
      <pageSetup paperSize="9" orientation="portrait" r:id="rId4"/>
      <autoFilter ref="B1:O1331" xr:uid="{FC645C0B-F064-497C-9F7D-FF829BFB28A4}">
        <sortState xmlns:xlrd2="http://schemas.microsoft.com/office/spreadsheetml/2017/richdata2" ref="B2:O1194">
          <sortCondition ref="C2:C1194"/>
        </sortState>
      </autoFilter>
    </customSheetView>
  </customSheetViews>
  <conditionalFormatting sqref="K1506:L1048576 K1:L1504">
    <cfRule type="cellIs" dxfId="6" priority="7" operator="equal">
      <formula>"Y"</formula>
    </cfRule>
  </conditionalFormatting>
  <conditionalFormatting sqref="L1506:L1048576 L1:L1504">
    <cfRule type="cellIs" dxfId="5" priority="2" operator="greaterThan">
      <formula>0</formula>
    </cfRule>
    <cfRule type="cellIs" dxfId="4" priority="6" operator="equal">
      <formula>"Y"</formula>
    </cfRule>
  </conditionalFormatting>
  <conditionalFormatting sqref="M1506:M1048576 M1:M1504">
    <cfRule type="cellIs" dxfId="3" priority="5" operator="equal">
      <formula>"Y"</formula>
    </cfRule>
  </conditionalFormatting>
  <conditionalFormatting sqref="N1506:N1048576 N1:N1504">
    <cfRule type="cellIs" dxfId="2" priority="1" operator="equal">
      <formula>"Y"</formula>
    </cfRule>
    <cfRule type="cellIs" dxfId="1" priority="4" operator="equal">
      <formula>"Y"</formula>
    </cfRule>
  </conditionalFormatting>
  <conditionalFormatting sqref="K1506:K1048576 K1:K1504">
    <cfRule type="cellIs" dxfId="0" priority="3" operator="greaterThan">
      <formula>0</formula>
    </cfRule>
  </conditionalFormatting>
  <pageMargins left="0.70866141732283472" right="0.70866141732283472" top="0.35433070866141736" bottom="0.35433070866141736" header="0.31496062992125984" footer="0.31496062992125984"/>
  <pageSetup paperSize="9" orientation="portrait"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E1C0-1571-4BB2-AA19-4C2AD71DC7AC}">
  <dimension ref="A1:H2"/>
  <sheetViews>
    <sheetView tabSelected="1" workbookViewId="0">
      <selection activeCell="C2" sqref="C2"/>
    </sheetView>
  </sheetViews>
  <sheetFormatPr defaultRowHeight="15" x14ac:dyDescent="0.25"/>
  <cols>
    <col min="1" max="1" width="12.7109375" customWidth="1"/>
    <col min="2" max="2" width="11.42578125" customWidth="1"/>
    <col min="3" max="3" width="25.42578125" customWidth="1"/>
    <col min="4" max="4" width="14.42578125" customWidth="1"/>
    <col min="5" max="5" width="10.85546875" customWidth="1"/>
    <col min="6" max="6" width="9.140625" style="237"/>
    <col min="7" max="7" width="9" style="237" customWidth="1"/>
    <col min="8" max="8" width="11.42578125" style="237" customWidth="1"/>
  </cols>
  <sheetData>
    <row r="1" spans="1:8" x14ac:dyDescent="0.25">
      <c r="A1" t="s">
        <v>1</v>
      </c>
      <c r="B1" t="s">
        <v>3490</v>
      </c>
      <c r="C1" t="s">
        <v>29</v>
      </c>
      <c r="D1" t="s">
        <v>475</v>
      </c>
      <c r="E1" t="s">
        <v>3494</v>
      </c>
      <c r="F1" s="237" t="s">
        <v>1703</v>
      </c>
      <c r="G1" s="237" t="s">
        <v>3491</v>
      </c>
      <c r="H1" s="237" t="s">
        <v>2253</v>
      </c>
    </row>
    <row r="2" spans="1:8" x14ac:dyDescent="0.25">
      <c r="A2" s="41">
        <v>44655</v>
      </c>
      <c r="B2" t="s">
        <v>3492</v>
      </c>
      <c r="C2" t="s">
        <v>3493</v>
      </c>
      <c r="D2">
        <v>7430933065</v>
      </c>
      <c r="E2" t="s">
        <v>1658</v>
      </c>
      <c r="F2" s="237">
        <v>2000</v>
      </c>
    </row>
  </sheetData>
  <customSheetViews>
    <customSheetView guid="{A0CE3161-5061-442F-A27F-2BA55581F316}">
      <selection activeCell="G10" sqref="G10"/>
      <pageMargins left="0.7" right="0.7" top="0.75" bottom="0.75" header="0.3" footer="0.3"/>
    </customSheetView>
    <customSheetView guid="{2FF9BCA9-095C-4E73-9C86-2243907C0824}">
      <selection activeCell="G10" sqref="G10"/>
      <pageMargins left="0.7" right="0.7" top="0.75" bottom="0.75" header="0.3" footer="0.3"/>
    </customSheetView>
    <customSheetView guid="{EB31AAB7-3CD3-47EA-8FB3-E6304DCC89B3}">
      <selection activeCell="G10" sqref="G10"/>
      <pageMargins left="0.7" right="0.7" top="0.75" bottom="0.75" header="0.3" footer="0.3"/>
    </customSheetView>
    <customSheetView guid="{1459FC0D-58BA-4BEC-951C-298999986759}">
      <selection activeCell="G10" sqref="G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FC2417"/>
  <sheetViews>
    <sheetView zoomScaleNormal="100" workbookViewId="0">
      <pane ySplit="3" topLeftCell="A2398" activePane="bottomLeft" state="frozen"/>
      <selection pane="bottomLeft" activeCell="J2409" sqref="J2409"/>
    </sheetView>
  </sheetViews>
  <sheetFormatPr defaultRowHeight="15" x14ac:dyDescent="0.25"/>
  <cols>
    <col min="1" max="1" width="14.28515625" style="4" customWidth="1"/>
    <col min="2" max="2" width="17.7109375" style="63" customWidth="1"/>
    <col min="3" max="3" width="23.140625" customWidth="1"/>
    <col min="4" max="4" width="18" style="63" customWidth="1"/>
    <col min="5" max="5" width="9.140625" style="178" customWidth="1"/>
    <col min="6" max="6" width="11.85546875" style="2" customWidth="1"/>
    <col min="7" max="7" width="9.28515625" style="2" bestFit="1" customWidth="1"/>
    <col min="8" max="9" width="9.28515625" bestFit="1" customWidth="1"/>
  </cols>
  <sheetData>
    <row r="2" spans="1:10" x14ac:dyDescent="0.25">
      <c r="F2" s="2">
        <f>COUNT(B1:B223)</f>
        <v>139</v>
      </c>
      <c r="G2" s="3">
        <f>SUM(G4:G29)</f>
        <v>385.79999999999995</v>
      </c>
    </row>
    <row r="3" spans="1:10" x14ac:dyDescent="0.25">
      <c r="A3" s="4" t="s">
        <v>1</v>
      </c>
      <c r="B3" s="63" t="s">
        <v>28</v>
      </c>
      <c r="C3" t="s">
        <v>29</v>
      </c>
      <c r="D3" s="63" t="s">
        <v>30</v>
      </c>
      <c r="E3" s="178" t="s">
        <v>31</v>
      </c>
      <c r="F3" s="2" t="s">
        <v>32</v>
      </c>
      <c r="G3" s="2" t="s">
        <v>35</v>
      </c>
      <c r="H3" s="2" t="s">
        <v>218</v>
      </c>
      <c r="I3" s="2" t="s">
        <v>27</v>
      </c>
      <c r="J3" s="2" t="s">
        <v>233</v>
      </c>
    </row>
    <row r="4" spans="1:10" x14ac:dyDescent="0.25">
      <c r="A4" s="5">
        <v>43321</v>
      </c>
      <c r="B4" s="63">
        <v>503</v>
      </c>
      <c r="C4" t="s">
        <v>33</v>
      </c>
      <c r="E4" s="178" t="s">
        <v>53</v>
      </c>
      <c r="F4" s="2">
        <v>50</v>
      </c>
      <c r="G4" s="3">
        <f t="shared" ref="G4:G12" si="0">IF(E4="y",20,IF(E4="N",10,0))+F4*0.4%</f>
        <v>20.2</v>
      </c>
    </row>
    <row r="5" spans="1:10" x14ac:dyDescent="0.25">
      <c r="A5" s="5">
        <v>43321</v>
      </c>
      <c r="B5" s="63">
        <v>504</v>
      </c>
      <c r="C5" t="s">
        <v>34</v>
      </c>
      <c r="E5" s="178" t="s">
        <v>53</v>
      </c>
      <c r="F5" s="2">
        <v>100</v>
      </c>
      <c r="G5" s="3">
        <f t="shared" si="0"/>
        <v>20.399999999999999</v>
      </c>
    </row>
    <row r="6" spans="1:10" x14ac:dyDescent="0.25">
      <c r="A6" s="5">
        <v>43322</v>
      </c>
      <c r="B6" s="63">
        <v>503</v>
      </c>
      <c r="C6" t="s">
        <v>33</v>
      </c>
      <c r="E6" s="178">
        <v>0</v>
      </c>
      <c r="F6" s="2">
        <v>3000</v>
      </c>
      <c r="G6" s="3">
        <f t="shared" si="0"/>
        <v>12</v>
      </c>
    </row>
    <row r="7" spans="1:10" x14ac:dyDescent="0.25">
      <c r="A7" s="5">
        <v>43322</v>
      </c>
      <c r="B7" s="63">
        <v>504</v>
      </c>
      <c r="C7" t="s">
        <v>34</v>
      </c>
      <c r="E7" s="178">
        <v>0</v>
      </c>
      <c r="F7" s="2">
        <v>600</v>
      </c>
      <c r="G7" s="3">
        <f t="shared" si="0"/>
        <v>2.4</v>
      </c>
    </row>
    <row r="8" spans="1:10" x14ac:dyDescent="0.25">
      <c r="A8" s="5">
        <v>43340</v>
      </c>
      <c r="B8" s="63">
        <v>517</v>
      </c>
      <c r="C8" t="s">
        <v>36</v>
      </c>
      <c r="E8" s="178" t="s">
        <v>53</v>
      </c>
      <c r="F8" s="2">
        <v>100</v>
      </c>
      <c r="G8" s="3">
        <f t="shared" si="0"/>
        <v>20.399999999999999</v>
      </c>
    </row>
    <row r="9" spans="1:10" x14ac:dyDescent="0.25">
      <c r="A9" s="5">
        <v>43340</v>
      </c>
      <c r="B9" s="63">
        <v>518</v>
      </c>
      <c r="C9" t="s">
        <v>37</v>
      </c>
      <c r="D9" s="199"/>
      <c r="E9" s="178" t="s">
        <v>53</v>
      </c>
      <c r="F9" s="2">
        <v>500</v>
      </c>
      <c r="G9" s="3">
        <f t="shared" si="0"/>
        <v>22</v>
      </c>
    </row>
    <row r="10" spans="1:10" x14ac:dyDescent="0.25">
      <c r="A10" s="5">
        <v>43357</v>
      </c>
      <c r="B10" s="63">
        <v>526</v>
      </c>
      <c r="C10" t="s">
        <v>38</v>
      </c>
      <c r="D10" s="199"/>
      <c r="E10" s="178" t="s">
        <v>53</v>
      </c>
      <c r="F10" s="2">
        <v>500</v>
      </c>
      <c r="G10" s="3">
        <f t="shared" si="0"/>
        <v>22</v>
      </c>
    </row>
    <row r="11" spans="1:10" x14ac:dyDescent="0.25">
      <c r="A11" s="5">
        <v>43358</v>
      </c>
      <c r="B11" s="63">
        <v>527</v>
      </c>
      <c r="C11" t="s">
        <v>39</v>
      </c>
      <c r="D11" s="199"/>
      <c r="E11" s="178" t="s">
        <v>53</v>
      </c>
      <c r="F11" s="2">
        <v>500</v>
      </c>
      <c r="G11" s="3">
        <f t="shared" si="0"/>
        <v>22</v>
      </c>
    </row>
    <row r="12" spans="1:10" x14ac:dyDescent="0.25">
      <c r="A12" s="5">
        <v>43367</v>
      </c>
      <c r="B12" s="63">
        <v>532</v>
      </c>
      <c r="C12" t="s">
        <v>40</v>
      </c>
      <c r="D12" s="199"/>
      <c r="E12" s="178" t="s">
        <v>53</v>
      </c>
      <c r="F12" s="2">
        <v>200</v>
      </c>
      <c r="G12" s="3">
        <f t="shared" si="0"/>
        <v>20.8</v>
      </c>
    </row>
    <row r="13" spans="1:10" x14ac:dyDescent="0.25">
      <c r="A13" s="5">
        <v>43368</v>
      </c>
      <c r="B13" s="63">
        <v>533</v>
      </c>
      <c r="C13" t="s">
        <v>41</v>
      </c>
      <c r="D13" s="199"/>
      <c r="E13" s="178" t="s">
        <v>53</v>
      </c>
      <c r="F13" s="2">
        <v>100</v>
      </c>
      <c r="G13" s="3">
        <f>IF(E13="y",20,IF(E13="N",10,0))+F13*0.4%</f>
        <v>20.399999999999999</v>
      </c>
    </row>
    <row r="14" spans="1:10" x14ac:dyDescent="0.25">
      <c r="A14" s="5">
        <v>43368</v>
      </c>
      <c r="B14" s="63">
        <v>534</v>
      </c>
      <c r="C14" t="s">
        <v>42</v>
      </c>
      <c r="D14" s="199"/>
      <c r="E14" s="178" t="s">
        <v>53</v>
      </c>
      <c r="F14" s="2">
        <v>100</v>
      </c>
      <c r="G14" s="3">
        <f t="shared" ref="G14:G29" si="1">IF(E14="y",20,IF(E14="N",10,0))+F14*0.4%</f>
        <v>20.399999999999999</v>
      </c>
    </row>
    <row r="15" spans="1:10" x14ac:dyDescent="0.25">
      <c r="A15" s="5">
        <v>43369</v>
      </c>
      <c r="B15" s="63">
        <v>535</v>
      </c>
      <c r="C15" t="s">
        <v>43</v>
      </c>
      <c r="D15" s="199"/>
      <c r="E15" s="178" t="s">
        <v>53</v>
      </c>
      <c r="F15" s="2">
        <v>200</v>
      </c>
      <c r="G15" s="3">
        <f t="shared" si="1"/>
        <v>20.8</v>
      </c>
    </row>
    <row r="16" spans="1:10" x14ac:dyDescent="0.25">
      <c r="A16" s="5">
        <v>43370</v>
      </c>
      <c r="B16" s="63">
        <v>536</v>
      </c>
      <c r="C16" t="s">
        <v>44</v>
      </c>
      <c r="D16" s="199"/>
      <c r="E16" s="178" t="s">
        <v>53</v>
      </c>
      <c r="F16" s="2">
        <v>400</v>
      </c>
      <c r="G16" s="3">
        <f t="shared" si="1"/>
        <v>21.6</v>
      </c>
    </row>
    <row r="17" spans="1:9" x14ac:dyDescent="0.25">
      <c r="A17" s="5">
        <v>43370</v>
      </c>
      <c r="B17" s="63">
        <v>537</v>
      </c>
      <c r="C17" t="s">
        <v>45</v>
      </c>
      <c r="D17" s="199"/>
      <c r="E17" s="178" t="s">
        <v>53</v>
      </c>
      <c r="F17" s="2">
        <v>500</v>
      </c>
      <c r="G17" s="3">
        <f t="shared" si="1"/>
        <v>22</v>
      </c>
    </row>
    <row r="18" spans="1:9" x14ac:dyDescent="0.25">
      <c r="A18" s="5"/>
      <c r="B18" s="63">
        <v>518</v>
      </c>
      <c r="C18" t="s">
        <v>37</v>
      </c>
      <c r="D18" s="199"/>
      <c r="F18" s="2">
        <v>1000</v>
      </c>
      <c r="G18" s="3">
        <f t="shared" si="1"/>
        <v>4</v>
      </c>
    </row>
    <row r="19" spans="1:9" x14ac:dyDescent="0.25">
      <c r="A19" s="5">
        <v>43386</v>
      </c>
      <c r="B19" s="63">
        <v>545</v>
      </c>
      <c r="C19" t="s">
        <v>52</v>
      </c>
      <c r="D19" s="199">
        <v>9572923483</v>
      </c>
      <c r="E19" s="178" t="s">
        <v>54</v>
      </c>
      <c r="G19" s="3">
        <f t="shared" si="1"/>
        <v>10</v>
      </c>
    </row>
    <row r="20" spans="1:9" x14ac:dyDescent="0.25">
      <c r="A20" s="5">
        <v>43398</v>
      </c>
      <c r="B20" s="63">
        <v>545</v>
      </c>
      <c r="C20" t="s">
        <v>52</v>
      </c>
      <c r="D20" s="199"/>
      <c r="E20" s="178">
        <v>0</v>
      </c>
      <c r="F20" s="2">
        <v>1000</v>
      </c>
      <c r="G20" s="3">
        <f t="shared" si="1"/>
        <v>4</v>
      </c>
    </row>
    <row r="21" spans="1:9" x14ac:dyDescent="0.25">
      <c r="A21" s="7"/>
      <c r="B21" s="64"/>
      <c r="C21" s="8"/>
      <c r="D21" s="200"/>
      <c r="E21" s="9">
        <f>COUNTIF(E4:E20,"Y")</f>
        <v>12</v>
      </c>
      <c r="F21" s="14">
        <f>SUM(F19:F20)</f>
        <v>1000</v>
      </c>
      <c r="G21" s="14">
        <f>SUM(G19:G20)</f>
        <v>14</v>
      </c>
      <c r="H21" s="8">
        <f>G21*0.8</f>
        <v>11.200000000000001</v>
      </c>
      <c r="I21" s="8">
        <f>H21*0.95</f>
        <v>10.64</v>
      </c>
    </row>
    <row r="22" spans="1:9" x14ac:dyDescent="0.25">
      <c r="A22" s="5">
        <v>43410</v>
      </c>
      <c r="C22" t="s">
        <v>55</v>
      </c>
      <c r="D22" s="199"/>
      <c r="F22" s="2">
        <v>3000</v>
      </c>
      <c r="G22" s="3">
        <f t="shared" si="1"/>
        <v>12</v>
      </c>
    </row>
    <row r="23" spans="1:9" x14ac:dyDescent="0.25">
      <c r="A23" s="5">
        <v>43423</v>
      </c>
      <c r="C23" t="s">
        <v>56</v>
      </c>
      <c r="D23" s="199"/>
      <c r="F23" s="2">
        <v>1500</v>
      </c>
      <c r="G23" s="3">
        <f t="shared" si="1"/>
        <v>6</v>
      </c>
    </row>
    <row r="24" spans="1:9" x14ac:dyDescent="0.25">
      <c r="A24" s="7"/>
      <c r="B24" s="64"/>
      <c r="C24" s="8"/>
      <c r="D24" s="200"/>
      <c r="E24" s="9"/>
      <c r="F24" s="14">
        <f>SUM(F22:F23)</f>
        <v>4500</v>
      </c>
      <c r="G24" s="14">
        <f>SUM(G22:G23)</f>
        <v>18</v>
      </c>
      <c r="H24" s="8">
        <f>G24*0.8</f>
        <v>14.4</v>
      </c>
      <c r="I24" s="8">
        <f>H24*0.95</f>
        <v>13.68</v>
      </c>
    </row>
    <row r="25" spans="1:9" x14ac:dyDescent="0.25">
      <c r="A25" s="5">
        <v>43439</v>
      </c>
      <c r="C25" t="s">
        <v>56</v>
      </c>
      <c r="D25" s="199"/>
      <c r="F25" s="2">
        <v>500</v>
      </c>
      <c r="G25" s="3">
        <f t="shared" si="1"/>
        <v>2</v>
      </c>
    </row>
    <row r="26" spans="1:9" x14ac:dyDescent="0.25">
      <c r="A26" s="5">
        <v>43449</v>
      </c>
      <c r="C26" t="s">
        <v>56</v>
      </c>
      <c r="D26" s="199"/>
      <c r="F26" s="2">
        <v>1000</v>
      </c>
      <c r="G26" s="3">
        <f t="shared" si="1"/>
        <v>4</v>
      </c>
    </row>
    <row r="27" spans="1:9" x14ac:dyDescent="0.25">
      <c r="A27" s="5">
        <v>43454</v>
      </c>
      <c r="C27" t="s">
        <v>56</v>
      </c>
      <c r="D27" s="199"/>
      <c r="F27" s="2">
        <v>500</v>
      </c>
      <c r="G27" s="3">
        <f t="shared" si="1"/>
        <v>2</v>
      </c>
    </row>
    <row r="28" spans="1:9" x14ac:dyDescent="0.25">
      <c r="A28" s="5">
        <v>43462</v>
      </c>
      <c r="B28" s="63">
        <v>603</v>
      </c>
      <c r="C28" t="s">
        <v>49</v>
      </c>
      <c r="D28" s="199"/>
      <c r="E28" s="178" t="s">
        <v>53</v>
      </c>
      <c r="F28" s="2">
        <v>500</v>
      </c>
      <c r="G28" s="3">
        <f t="shared" si="1"/>
        <v>22</v>
      </c>
    </row>
    <row r="29" spans="1:9" x14ac:dyDescent="0.25">
      <c r="A29" s="6">
        <v>43464</v>
      </c>
      <c r="B29" s="63">
        <v>608</v>
      </c>
      <c r="C29" t="s">
        <v>50</v>
      </c>
      <c r="D29" s="199"/>
      <c r="E29" s="178" t="s">
        <v>53</v>
      </c>
      <c r="F29" s="2">
        <v>100</v>
      </c>
      <c r="G29" s="3">
        <f t="shared" si="1"/>
        <v>20.399999999999999</v>
      </c>
    </row>
    <row r="30" spans="1:9" x14ac:dyDescent="0.25">
      <c r="A30" s="11"/>
      <c r="B30" s="64"/>
      <c r="C30" s="8"/>
      <c r="D30" s="200"/>
      <c r="E30" s="9"/>
      <c r="F30" s="14">
        <f>SUM(F25:F29)</f>
        <v>2600</v>
      </c>
      <c r="G30" s="14">
        <f>SUM(G25:G29)</f>
        <v>50.4</v>
      </c>
      <c r="H30" s="8">
        <f>G30*0.8</f>
        <v>40.32</v>
      </c>
      <c r="I30" s="10">
        <f>H30*0.95</f>
        <v>38.303999999999995</v>
      </c>
    </row>
    <row r="31" spans="1:9" x14ac:dyDescent="0.25">
      <c r="A31" s="6">
        <v>43467</v>
      </c>
      <c r="C31" t="s">
        <v>56</v>
      </c>
      <c r="F31" s="2">
        <v>500</v>
      </c>
      <c r="G31" s="3">
        <f t="shared" ref="G31:G60" si="2">IF(E31="y",25,IF(E31="N",10,0))+IF(F31&gt;5000,20,F31*0.4%)</f>
        <v>2</v>
      </c>
    </row>
    <row r="32" spans="1:9" x14ac:dyDescent="0.25">
      <c r="A32" s="6">
        <v>43468</v>
      </c>
      <c r="B32" s="63">
        <v>609</v>
      </c>
      <c r="C32" t="s">
        <v>51</v>
      </c>
      <c r="D32" s="199">
        <v>6200119253</v>
      </c>
      <c r="E32" s="178" t="s">
        <v>53</v>
      </c>
      <c r="F32" s="2">
        <v>400</v>
      </c>
      <c r="G32" s="3">
        <f t="shared" si="2"/>
        <v>26.6</v>
      </c>
    </row>
    <row r="33" spans="1:7" x14ac:dyDescent="0.25">
      <c r="A33" s="6">
        <v>43473</v>
      </c>
      <c r="C33" t="s">
        <v>56</v>
      </c>
      <c r="D33" s="199"/>
      <c r="F33" s="2">
        <v>2000</v>
      </c>
      <c r="G33" s="3">
        <f t="shared" si="2"/>
        <v>8</v>
      </c>
    </row>
    <row r="34" spans="1:7" x14ac:dyDescent="0.25">
      <c r="A34" s="6">
        <v>43473</v>
      </c>
      <c r="C34" t="s">
        <v>56</v>
      </c>
      <c r="D34" s="199"/>
      <c r="F34" s="2">
        <v>2000</v>
      </c>
      <c r="G34" s="3">
        <f t="shared" si="2"/>
        <v>8</v>
      </c>
    </row>
    <row r="35" spans="1:7" x14ac:dyDescent="0.25">
      <c r="A35" s="6">
        <v>43473</v>
      </c>
      <c r="B35" s="63">
        <v>347</v>
      </c>
      <c r="C35" t="s">
        <v>58</v>
      </c>
      <c r="D35" s="199"/>
      <c r="F35" s="2">
        <v>2000</v>
      </c>
      <c r="G35" s="3">
        <f t="shared" si="2"/>
        <v>8</v>
      </c>
    </row>
    <row r="36" spans="1:7" x14ac:dyDescent="0.25">
      <c r="A36" s="6">
        <v>43475</v>
      </c>
      <c r="B36" s="63">
        <v>535</v>
      </c>
      <c r="D36" s="199"/>
      <c r="F36" s="2">
        <v>1000</v>
      </c>
      <c r="G36" s="3">
        <f t="shared" si="2"/>
        <v>4</v>
      </c>
    </row>
    <row r="37" spans="1:7" x14ac:dyDescent="0.25">
      <c r="A37" s="6">
        <v>43476</v>
      </c>
      <c r="B37" s="63">
        <v>617</v>
      </c>
      <c r="C37" t="s">
        <v>65</v>
      </c>
      <c r="D37" s="199"/>
      <c r="E37" s="178" t="s">
        <v>66</v>
      </c>
      <c r="F37" s="2">
        <v>1000</v>
      </c>
      <c r="G37" s="3">
        <f t="shared" si="2"/>
        <v>29</v>
      </c>
    </row>
    <row r="38" spans="1:7" x14ac:dyDescent="0.25">
      <c r="A38" s="6">
        <v>43476</v>
      </c>
      <c r="C38" t="s">
        <v>56</v>
      </c>
      <c r="D38" s="199"/>
      <c r="F38" s="2">
        <v>2000</v>
      </c>
      <c r="G38" s="3">
        <f t="shared" si="2"/>
        <v>8</v>
      </c>
    </row>
    <row r="39" spans="1:7" x14ac:dyDescent="0.25">
      <c r="A39" s="6">
        <v>43479</v>
      </c>
      <c r="B39" s="63">
        <v>620</v>
      </c>
      <c r="C39" t="s">
        <v>67</v>
      </c>
      <c r="D39" s="199"/>
      <c r="E39" s="178" t="s">
        <v>66</v>
      </c>
      <c r="F39" s="2">
        <v>500</v>
      </c>
      <c r="G39" s="3">
        <f t="shared" si="2"/>
        <v>27</v>
      </c>
    </row>
    <row r="40" spans="1:7" x14ac:dyDescent="0.25">
      <c r="A40" s="6">
        <v>43479</v>
      </c>
      <c r="B40" s="63">
        <v>617</v>
      </c>
      <c r="C40" t="s">
        <v>3</v>
      </c>
      <c r="D40" s="199"/>
      <c r="F40" s="2">
        <v>350</v>
      </c>
      <c r="G40" s="3">
        <f t="shared" si="2"/>
        <v>1.4000000000000001</v>
      </c>
    </row>
    <row r="41" spans="1:7" x14ac:dyDescent="0.25">
      <c r="A41" s="6">
        <v>43479</v>
      </c>
      <c r="B41" s="63">
        <v>503</v>
      </c>
      <c r="C41" t="s">
        <v>3</v>
      </c>
      <c r="D41" s="199"/>
      <c r="F41" s="2">
        <v>2000</v>
      </c>
      <c r="G41" s="3">
        <f t="shared" si="2"/>
        <v>8</v>
      </c>
    </row>
    <row r="42" spans="1:7" x14ac:dyDescent="0.25">
      <c r="A42" s="6">
        <v>43479</v>
      </c>
      <c r="B42" s="63">
        <v>504</v>
      </c>
      <c r="C42" t="s">
        <v>3</v>
      </c>
      <c r="D42" s="199"/>
      <c r="F42" s="2">
        <v>3000</v>
      </c>
      <c r="G42" s="3">
        <f t="shared" si="2"/>
        <v>12</v>
      </c>
    </row>
    <row r="43" spans="1:7" x14ac:dyDescent="0.25">
      <c r="A43" s="6">
        <v>43481</v>
      </c>
      <c r="B43" s="63">
        <v>617</v>
      </c>
      <c r="C43" t="s">
        <v>3</v>
      </c>
      <c r="D43" s="199"/>
      <c r="F43" s="2">
        <v>300</v>
      </c>
      <c r="G43" s="3">
        <f t="shared" si="2"/>
        <v>1.2</v>
      </c>
    </row>
    <row r="44" spans="1:7" x14ac:dyDescent="0.25">
      <c r="A44" s="6">
        <v>43482</v>
      </c>
      <c r="B44" s="63">
        <v>617</v>
      </c>
      <c r="C44" t="s">
        <v>3</v>
      </c>
      <c r="D44" s="199"/>
      <c r="F44" s="2">
        <v>2000</v>
      </c>
      <c r="G44" s="3">
        <f t="shared" si="2"/>
        <v>8</v>
      </c>
    </row>
    <row r="45" spans="1:7" x14ac:dyDescent="0.25">
      <c r="A45" s="6">
        <v>43482</v>
      </c>
      <c r="B45" s="63">
        <v>617</v>
      </c>
      <c r="C45" t="s">
        <v>68</v>
      </c>
      <c r="D45" s="199"/>
      <c r="F45" s="2">
        <v>518</v>
      </c>
      <c r="G45" s="3">
        <f t="shared" si="2"/>
        <v>2.0720000000000001</v>
      </c>
    </row>
    <row r="46" spans="1:7" x14ac:dyDescent="0.25">
      <c r="A46" s="6">
        <v>43484</v>
      </c>
      <c r="C46" t="s">
        <v>72</v>
      </c>
      <c r="D46" s="199"/>
      <c r="F46" s="2">
        <v>200</v>
      </c>
      <c r="G46" s="3">
        <f t="shared" si="2"/>
        <v>0.8</v>
      </c>
    </row>
    <row r="47" spans="1:7" x14ac:dyDescent="0.25">
      <c r="A47" s="6">
        <v>43486</v>
      </c>
      <c r="B47" s="63">
        <v>630</v>
      </c>
      <c r="C47" t="s">
        <v>74</v>
      </c>
      <c r="D47" s="199"/>
      <c r="E47" s="178" t="s">
        <v>66</v>
      </c>
      <c r="F47" s="2">
        <v>100</v>
      </c>
      <c r="G47" s="3">
        <f t="shared" si="2"/>
        <v>25.4</v>
      </c>
    </row>
    <row r="48" spans="1:7" x14ac:dyDescent="0.25">
      <c r="A48" s="6">
        <v>43486</v>
      </c>
      <c r="B48" s="63">
        <v>631</v>
      </c>
      <c r="C48" t="s">
        <v>74</v>
      </c>
      <c r="D48" s="199"/>
      <c r="E48" s="178" t="s">
        <v>66</v>
      </c>
      <c r="F48" s="2">
        <v>100</v>
      </c>
      <c r="G48" s="3">
        <f t="shared" si="2"/>
        <v>25.4</v>
      </c>
    </row>
    <row r="49" spans="1:9" x14ac:dyDescent="0.25">
      <c r="A49" s="6">
        <v>43487</v>
      </c>
      <c r="B49" s="63">
        <v>631</v>
      </c>
      <c r="C49" t="s">
        <v>73</v>
      </c>
      <c r="D49" s="199"/>
      <c r="F49" s="2">
        <v>500</v>
      </c>
      <c r="G49" s="3">
        <f t="shared" si="2"/>
        <v>2</v>
      </c>
    </row>
    <row r="50" spans="1:9" x14ac:dyDescent="0.25">
      <c r="A50" s="6">
        <v>43487</v>
      </c>
      <c r="B50" s="63">
        <v>503</v>
      </c>
      <c r="C50" t="s">
        <v>73</v>
      </c>
      <c r="D50" s="199"/>
      <c r="F50" s="2">
        <v>1500</v>
      </c>
      <c r="G50" s="3">
        <f t="shared" si="2"/>
        <v>6</v>
      </c>
    </row>
    <row r="51" spans="1:9" x14ac:dyDescent="0.25">
      <c r="A51" s="6">
        <v>43488</v>
      </c>
      <c r="B51" s="63">
        <v>504</v>
      </c>
      <c r="C51" t="s">
        <v>3</v>
      </c>
      <c r="D51" s="199"/>
      <c r="F51" s="2">
        <v>1800</v>
      </c>
      <c r="G51" s="3">
        <f t="shared" si="2"/>
        <v>7.2</v>
      </c>
    </row>
    <row r="52" spans="1:9" x14ac:dyDescent="0.25">
      <c r="A52" s="6">
        <v>43488</v>
      </c>
      <c r="B52" s="63">
        <v>630</v>
      </c>
      <c r="C52" t="s">
        <v>3</v>
      </c>
      <c r="D52" s="199"/>
      <c r="F52" s="2">
        <v>1000</v>
      </c>
      <c r="G52" s="3">
        <f t="shared" si="2"/>
        <v>4</v>
      </c>
    </row>
    <row r="53" spans="1:9" x14ac:dyDescent="0.25">
      <c r="A53" s="6">
        <v>43489</v>
      </c>
      <c r="B53" s="63">
        <v>635</v>
      </c>
      <c r="C53" t="s">
        <v>74</v>
      </c>
      <c r="D53" s="199"/>
      <c r="E53" s="178" t="s">
        <v>66</v>
      </c>
      <c r="F53" s="2">
        <v>1000</v>
      </c>
      <c r="G53" s="3">
        <f t="shared" si="2"/>
        <v>29</v>
      </c>
    </row>
    <row r="54" spans="1:9" x14ac:dyDescent="0.25">
      <c r="A54" s="6">
        <v>43489</v>
      </c>
      <c r="C54" t="s">
        <v>72</v>
      </c>
      <c r="D54" s="199"/>
      <c r="F54" s="2">
        <v>1700</v>
      </c>
      <c r="G54" s="3">
        <f t="shared" si="2"/>
        <v>6.8</v>
      </c>
    </row>
    <row r="55" spans="1:9" x14ac:dyDescent="0.25">
      <c r="A55" s="6">
        <v>43490</v>
      </c>
      <c r="B55" s="63">
        <v>504</v>
      </c>
      <c r="C55" t="s">
        <v>72</v>
      </c>
      <c r="D55" s="199"/>
      <c r="F55" s="2">
        <v>2850</v>
      </c>
      <c r="G55" s="3">
        <f t="shared" si="2"/>
        <v>11.4</v>
      </c>
    </row>
    <row r="56" spans="1:9" x14ac:dyDescent="0.25">
      <c r="A56" s="6">
        <v>43493</v>
      </c>
      <c r="B56" s="63">
        <v>504</v>
      </c>
      <c r="C56" t="s">
        <v>72</v>
      </c>
      <c r="D56" s="199"/>
      <c r="F56" s="2">
        <v>2500</v>
      </c>
      <c r="G56" s="3">
        <f t="shared" si="2"/>
        <v>10</v>
      </c>
    </row>
    <row r="57" spans="1:9" x14ac:dyDescent="0.25">
      <c r="A57" s="6">
        <v>43493</v>
      </c>
      <c r="C57" t="s">
        <v>93</v>
      </c>
      <c r="D57" s="199"/>
      <c r="F57" s="2">
        <v>2800</v>
      </c>
      <c r="G57" s="3">
        <f t="shared" si="2"/>
        <v>11.200000000000001</v>
      </c>
    </row>
    <row r="58" spans="1:9" x14ac:dyDescent="0.25">
      <c r="A58" s="6">
        <v>43493</v>
      </c>
      <c r="B58" s="63">
        <v>503</v>
      </c>
      <c r="C58" t="s">
        <v>72</v>
      </c>
      <c r="D58" s="199"/>
      <c r="F58" s="2">
        <v>300</v>
      </c>
      <c r="G58" s="3">
        <f t="shared" si="2"/>
        <v>1.2</v>
      </c>
    </row>
    <row r="59" spans="1:9" x14ac:dyDescent="0.25">
      <c r="A59" s="6">
        <v>43494</v>
      </c>
      <c r="B59" s="63">
        <v>504</v>
      </c>
      <c r="C59" t="s">
        <v>72</v>
      </c>
      <c r="D59" s="199"/>
      <c r="F59" s="2">
        <v>1500</v>
      </c>
      <c r="G59" s="3">
        <f t="shared" si="2"/>
        <v>6</v>
      </c>
    </row>
    <row r="60" spans="1:9" x14ac:dyDescent="0.25">
      <c r="A60" s="6">
        <v>43495</v>
      </c>
      <c r="B60" s="63">
        <v>642</v>
      </c>
      <c r="C60" t="s">
        <v>74</v>
      </c>
      <c r="D60" s="199"/>
      <c r="E60" s="178" t="s">
        <v>66</v>
      </c>
      <c r="F60" s="2">
        <v>500</v>
      </c>
      <c r="G60" s="3">
        <f t="shared" si="2"/>
        <v>27</v>
      </c>
    </row>
    <row r="61" spans="1:9" x14ac:dyDescent="0.25">
      <c r="A61" s="6">
        <v>43496</v>
      </c>
      <c r="C61" t="s">
        <v>72</v>
      </c>
      <c r="D61" s="199"/>
      <c r="F61" s="2">
        <v>500</v>
      </c>
      <c r="G61" s="3">
        <f>IF(E61="y",25,IF(E61="N",10,0))+IF(F61&gt;5000,20,F61*0.4%)</f>
        <v>2</v>
      </c>
    </row>
    <row r="62" spans="1:9" x14ac:dyDescent="0.25">
      <c r="A62" s="6">
        <v>43496</v>
      </c>
      <c r="C62" t="s">
        <v>72</v>
      </c>
      <c r="D62" s="199"/>
      <c r="F62" s="2">
        <v>500</v>
      </c>
      <c r="G62" s="3">
        <f>IF(E62="y",25,IF(E62="N",10,0))+IF(F62&gt;5000,20,F62*0.4%)</f>
        <v>2</v>
      </c>
    </row>
    <row r="63" spans="1:9" x14ac:dyDescent="0.25">
      <c r="A63" s="6">
        <v>43496</v>
      </c>
      <c r="B63" s="63">
        <v>504</v>
      </c>
      <c r="C63" t="s">
        <v>72</v>
      </c>
      <c r="D63" s="199"/>
      <c r="F63" s="2">
        <v>750</v>
      </c>
      <c r="G63" s="3">
        <f>IF(E63="y",25,IF(E63="N",10,0))+IF(F63&gt;5000,20,F63*0.4%)</f>
        <v>3</v>
      </c>
    </row>
    <row r="64" spans="1:9" x14ac:dyDescent="0.25">
      <c r="A64" s="12"/>
      <c r="B64" s="64"/>
      <c r="C64" s="8"/>
      <c r="D64" s="200"/>
      <c r="E64" s="9"/>
      <c r="F64" s="14">
        <f>SUM(F31:F63)</f>
        <v>39668</v>
      </c>
      <c r="G64" s="14">
        <f>SUM(G31:G63)</f>
        <v>333.67199999999997</v>
      </c>
      <c r="H64" s="8">
        <f>G64*0.8</f>
        <v>266.93759999999997</v>
      </c>
      <c r="I64" s="8">
        <f>H64*0.95</f>
        <v>253.59071999999998</v>
      </c>
    </row>
    <row r="65" spans="1:7" x14ac:dyDescent="0.25">
      <c r="A65" s="6">
        <v>43499</v>
      </c>
      <c r="B65" s="63">
        <v>630</v>
      </c>
      <c r="C65" t="s">
        <v>100</v>
      </c>
      <c r="D65" s="199"/>
      <c r="F65" s="2">
        <v>1000</v>
      </c>
      <c r="G65" s="3">
        <f t="shared" ref="G65:G161" si="3">IF(E65="y",25,IF(E65="N",10,0))+IF(F65&gt;5000,20,F65*0.4%)</f>
        <v>4</v>
      </c>
    </row>
    <row r="66" spans="1:7" x14ac:dyDescent="0.25">
      <c r="A66" s="6">
        <v>43501</v>
      </c>
      <c r="B66" s="63">
        <v>504</v>
      </c>
      <c r="C66" t="s">
        <v>99</v>
      </c>
      <c r="D66" s="199"/>
      <c r="F66" s="2">
        <v>2000</v>
      </c>
      <c r="G66" s="3">
        <f t="shared" si="3"/>
        <v>8</v>
      </c>
    </row>
    <row r="67" spans="1:7" x14ac:dyDescent="0.25">
      <c r="A67" s="6">
        <v>43501</v>
      </c>
      <c r="C67" t="s">
        <v>97</v>
      </c>
      <c r="D67" s="199"/>
      <c r="F67" s="2">
        <v>2000</v>
      </c>
      <c r="G67" s="3">
        <f t="shared" si="3"/>
        <v>8</v>
      </c>
    </row>
    <row r="68" spans="1:7" x14ac:dyDescent="0.25">
      <c r="A68" s="6">
        <v>43502</v>
      </c>
      <c r="C68" t="s">
        <v>97</v>
      </c>
      <c r="F68" s="2">
        <v>100</v>
      </c>
      <c r="G68" s="3">
        <f t="shared" si="3"/>
        <v>0.4</v>
      </c>
    </row>
    <row r="69" spans="1:7" x14ac:dyDescent="0.25">
      <c r="A69" s="6">
        <v>43502</v>
      </c>
      <c r="B69" s="63">
        <v>652</v>
      </c>
      <c r="C69" t="s">
        <v>74</v>
      </c>
      <c r="E69" s="178" t="s">
        <v>66</v>
      </c>
      <c r="F69" s="2">
        <v>600</v>
      </c>
      <c r="G69" s="3">
        <f t="shared" si="3"/>
        <v>27.4</v>
      </c>
    </row>
    <row r="70" spans="1:7" x14ac:dyDescent="0.25">
      <c r="A70" s="6">
        <v>43504</v>
      </c>
      <c r="C70" t="s">
        <v>64</v>
      </c>
      <c r="F70" s="2">
        <v>2500</v>
      </c>
      <c r="G70" s="3">
        <f t="shared" si="3"/>
        <v>10</v>
      </c>
    </row>
    <row r="71" spans="1:7" x14ac:dyDescent="0.25">
      <c r="A71" s="6">
        <v>43505</v>
      </c>
      <c r="B71" s="63">
        <v>374</v>
      </c>
      <c r="C71" t="s">
        <v>101</v>
      </c>
      <c r="F71" s="2">
        <v>2000</v>
      </c>
      <c r="G71" s="3">
        <f t="shared" si="3"/>
        <v>8</v>
      </c>
    </row>
    <row r="72" spans="1:7" x14ac:dyDescent="0.25">
      <c r="A72" s="6">
        <v>43505</v>
      </c>
      <c r="B72" s="63">
        <v>504</v>
      </c>
      <c r="C72" t="s">
        <v>104</v>
      </c>
      <c r="F72" s="2">
        <v>3000</v>
      </c>
      <c r="G72" s="3">
        <f t="shared" si="3"/>
        <v>12</v>
      </c>
    </row>
    <row r="73" spans="1:7" x14ac:dyDescent="0.25">
      <c r="A73" s="6">
        <v>43508</v>
      </c>
      <c r="B73" s="63">
        <v>663</v>
      </c>
      <c r="C73" t="s">
        <v>74</v>
      </c>
      <c r="E73" s="178" t="s">
        <v>66</v>
      </c>
      <c r="F73" s="2">
        <v>100</v>
      </c>
      <c r="G73" s="3">
        <f t="shared" si="3"/>
        <v>25.4</v>
      </c>
    </row>
    <row r="74" spans="1:7" x14ac:dyDescent="0.25">
      <c r="A74" s="6">
        <v>43510</v>
      </c>
      <c r="C74" t="s">
        <v>106</v>
      </c>
      <c r="F74" s="2">
        <v>3000</v>
      </c>
      <c r="G74" s="3">
        <f t="shared" si="3"/>
        <v>12</v>
      </c>
    </row>
    <row r="75" spans="1:7" x14ac:dyDescent="0.25">
      <c r="A75" s="6">
        <v>43510</v>
      </c>
      <c r="B75" s="63">
        <v>665</v>
      </c>
      <c r="C75" t="s">
        <v>74</v>
      </c>
      <c r="E75" s="178" t="s">
        <v>107</v>
      </c>
      <c r="G75" s="3">
        <f t="shared" si="3"/>
        <v>10</v>
      </c>
    </row>
    <row r="76" spans="1:7" x14ac:dyDescent="0.25">
      <c r="A76" s="6">
        <v>43511</v>
      </c>
      <c r="C76" t="s">
        <v>72</v>
      </c>
      <c r="D76" s="63">
        <v>8527079965</v>
      </c>
      <c r="F76" s="2">
        <v>2100</v>
      </c>
      <c r="G76" s="3">
        <f t="shared" si="3"/>
        <v>8.4</v>
      </c>
    </row>
    <row r="77" spans="1:7" x14ac:dyDescent="0.25">
      <c r="A77" s="6">
        <v>43512</v>
      </c>
      <c r="B77" s="63">
        <v>630</v>
      </c>
      <c r="C77" t="s">
        <v>72</v>
      </c>
      <c r="F77" s="2">
        <v>1000</v>
      </c>
      <c r="G77" s="3">
        <f t="shared" si="3"/>
        <v>4</v>
      </c>
    </row>
    <row r="78" spans="1:7" x14ac:dyDescent="0.25">
      <c r="A78" s="6">
        <v>43512</v>
      </c>
      <c r="B78" s="63">
        <v>504</v>
      </c>
      <c r="C78" t="s">
        <v>108</v>
      </c>
      <c r="F78" s="2">
        <v>3000</v>
      </c>
      <c r="G78" s="3">
        <f t="shared" si="3"/>
        <v>12</v>
      </c>
    </row>
    <row r="79" spans="1:7" x14ac:dyDescent="0.25">
      <c r="A79" s="6">
        <v>43512</v>
      </c>
      <c r="C79" t="s">
        <v>108</v>
      </c>
      <c r="F79" s="2">
        <v>6000</v>
      </c>
      <c r="G79" s="3">
        <f t="shared" si="3"/>
        <v>20</v>
      </c>
    </row>
    <row r="80" spans="1:7" x14ac:dyDescent="0.25">
      <c r="A80" s="6">
        <v>43514</v>
      </c>
      <c r="B80" s="63">
        <v>630</v>
      </c>
      <c r="F80" s="2">
        <v>1000</v>
      </c>
      <c r="G80" s="3">
        <f t="shared" si="3"/>
        <v>4</v>
      </c>
    </row>
    <row r="81" spans="1:7" x14ac:dyDescent="0.25">
      <c r="A81" s="6">
        <v>43514</v>
      </c>
      <c r="B81" s="63">
        <v>504</v>
      </c>
      <c r="F81" s="2">
        <v>2000</v>
      </c>
      <c r="G81" s="3">
        <f t="shared" si="3"/>
        <v>8</v>
      </c>
    </row>
    <row r="82" spans="1:7" x14ac:dyDescent="0.25">
      <c r="A82" s="6">
        <v>43516</v>
      </c>
      <c r="C82" t="s">
        <v>109</v>
      </c>
      <c r="F82" s="2">
        <v>10000</v>
      </c>
      <c r="G82" s="3">
        <f t="shared" si="3"/>
        <v>20</v>
      </c>
    </row>
    <row r="83" spans="1:7" x14ac:dyDescent="0.25">
      <c r="A83" s="6">
        <v>43516</v>
      </c>
      <c r="B83" s="63">
        <v>374</v>
      </c>
      <c r="C83" t="s">
        <v>109</v>
      </c>
      <c r="F83" s="2">
        <v>10000</v>
      </c>
      <c r="G83" s="3">
        <f t="shared" si="3"/>
        <v>20</v>
      </c>
    </row>
    <row r="84" spans="1:7" x14ac:dyDescent="0.25">
      <c r="A84" s="6">
        <v>43516</v>
      </c>
      <c r="C84" t="s">
        <v>109</v>
      </c>
      <c r="F84" s="2">
        <v>10000</v>
      </c>
      <c r="G84" s="3">
        <f t="shared" si="3"/>
        <v>20</v>
      </c>
    </row>
    <row r="85" spans="1:7" x14ac:dyDescent="0.25">
      <c r="A85" s="6">
        <v>43516</v>
      </c>
      <c r="C85" t="s">
        <v>109</v>
      </c>
      <c r="D85" s="63">
        <v>8527079965</v>
      </c>
      <c r="F85" s="2">
        <v>2000</v>
      </c>
      <c r="G85" s="3">
        <f t="shared" si="3"/>
        <v>8</v>
      </c>
    </row>
    <row r="86" spans="1:7" x14ac:dyDescent="0.25">
      <c r="A86" s="6">
        <v>43516</v>
      </c>
      <c r="C86" t="s">
        <v>109</v>
      </c>
      <c r="D86" s="63">
        <v>8527079965</v>
      </c>
      <c r="F86" s="2">
        <v>2000</v>
      </c>
      <c r="G86" s="3">
        <f t="shared" si="3"/>
        <v>8</v>
      </c>
    </row>
    <row r="87" spans="1:7" x14ac:dyDescent="0.25">
      <c r="A87" s="6">
        <v>43517</v>
      </c>
      <c r="B87" s="63">
        <v>670</v>
      </c>
      <c r="C87" t="s">
        <v>111</v>
      </c>
      <c r="E87" s="178" t="s">
        <v>66</v>
      </c>
      <c r="F87" s="2">
        <v>100</v>
      </c>
      <c r="G87" s="3">
        <f t="shared" si="3"/>
        <v>25.4</v>
      </c>
    </row>
    <row r="88" spans="1:7" x14ac:dyDescent="0.25">
      <c r="A88" s="6">
        <v>43517</v>
      </c>
      <c r="B88" s="63">
        <v>675</v>
      </c>
      <c r="C88" t="s">
        <v>110</v>
      </c>
      <c r="D88" s="63">
        <v>7292826382</v>
      </c>
      <c r="E88" s="178" t="s">
        <v>66</v>
      </c>
      <c r="F88" s="2">
        <v>300</v>
      </c>
      <c r="G88" s="3">
        <f t="shared" si="3"/>
        <v>26.2</v>
      </c>
    </row>
    <row r="89" spans="1:7" x14ac:dyDescent="0.25">
      <c r="A89" s="6">
        <v>43519</v>
      </c>
      <c r="C89" t="s">
        <v>113</v>
      </c>
      <c r="F89" s="2">
        <v>2000</v>
      </c>
      <c r="G89" s="3">
        <f t="shared" si="3"/>
        <v>8</v>
      </c>
    </row>
    <row r="90" spans="1:7" x14ac:dyDescent="0.25">
      <c r="A90" s="6">
        <v>43520</v>
      </c>
      <c r="B90" s="63">
        <v>374</v>
      </c>
      <c r="C90" t="s">
        <v>114</v>
      </c>
      <c r="F90" s="2">
        <v>7000</v>
      </c>
      <c r="G90" s="3">
        <f t="shared" si="3"/>
        <v>20</v>
      </c>
    </row>
    <row r="91" spans="1:7" x14ac:dyDescent="0.25">
      <c r="A91" s="6">
        <v>43520</v>
      </c>
      <c r="B91" s="63">
        <v>374</v>
      </c>
      <c r="C91" t="s">
        <v>115</v>
      </c>
      <c r="F91" s="2">
        <v>7000</v>
      </c>
      <c r="G91" s="3">
        <f t="shared" si="3"/>
        <v>20</v>
      </c>
    </row>
    <row r="92" spans="1:7" x14ac:dyDescent="0.25">
      <c r="A92" s="6">
        <v>43520</v>
      </c>
      <c r="B92" s="63">
        <v>374</v>
      </c>
      <c r="C92" t="s">
        <v>117</v>
      </c>
      <c r="F92" s="2">
        <v>3000</v>
      </c>
      <c r="G92" s="3">
        <f t="shared" si="3"/>
        <v>12</v>
      </c>
    </row>
    <row r="93" spans="1:7" x14ac:dyDescent="0.25">
      <c r="A93" s="6">
        <v>43521</v>
      </c>
      <c r="B93" s="63">
        <v>503</v>
      </c>
      <c r="C93" t="s">
        <v>118</v>
      </c>
      <c r="F93" s="2">
        <v>3000</v>
      </c>
      <c r="G93" s="3">
        <f t="shared" si="3"/>
        <v>12</v>
      </c>
    </row>
    <row r="94" spans="1:7" x14ac:dyDescent="0.25">
      <c r="A94" s="6">
        <v>43522</v>
      </c>
      <c r="B94" s="63">
        <v>686</v>
      </c>
      <c r="C94" t="s">
        <v>127</v>
      </c>
      <c r="E94" s="178" t="s">
        <v>107</v>
      </c>
      <c r="G94" s="3">
        <f t="shared" si="3"/>
        <v>10</v>
      </c>
    </row>
    <row r="95" spans="1:7" x14ac:dyDescent="0.25">
      <c r="A95" s="6">
        <v>43523</v>
      </c>
      <c r="B95" s="63">
        <v>686</v>
      </c>
      <c r="F95" s="2">
        <v>100</v>
      </c>
      <c r="G95" s="3">
        <f t="shared" si="3"/>
        <v>0.4</v>
      </c>
    </row>
    <row r="96" spans="1:7" x14ac:dyDescent="0.25">
      <c r="A96" s="6">
        <v>43523</v>
      </c>
      <c r="B96" s="63">
        <v>503</v>
      </c>
      <c r="F96" s="2">
        <v>5000</v>
      </c>
      <c r="G96" s="3">
        <f t="shared" si="3"/>
        <v>20</v>
      </c>
    </row>
    <row r="97" spans="1:9" x14ac:dyDescent="0.25">
      <c r="A97" s="6">
        <v>43523</v>
      </c>
      <c r="C97" t="s">
        <v>121</v>
      </c>
      <c r="F97" s="2">
        <v>1000</v>
      </c>
      <c r="G97" s="3">
        <f t="shared" si="3"/>
        <v>4</v>
      </c>
    </row>
    <row r="98" spans="1:9" x14ac:dyDescent="0.25">
      <c r="A98" s="6">
        <v>43523</v>
      </c>
      <c r="C98" t="s">
        <v>3</v>
      </c>
      <c r="F98" s="2">
        <v>3000</v>
      </c>
      <c r="G98" s="3">
        <f t="shared" si="3"/>
        <v>12</v>
      </c>
    </row>
    <row r="99" spans="1:9" x14ac:dyDescent="0.25">
      <c r="A99" s="6">
        <v>43524</v>
      </c>
      <c r="B99" s="63">
        <v>675</v>
      </c>
      <c r="C99" t="s">
        <v>122</v>
      </c>
      <c r="F99" s="2">
        <v>500</v>
      </c>
      <c r="G99" s="3">
        <f t="shared" si="3"/>
        <v>2</v>
      </c>
    </row>
    <row r="100" spans="1:9" x14ac:dyDescent="0.25">
      <c r="A100" s="6">
        <v>43524</v>
      </c>
      <c r="B100" s="63">
        <v>630</v>
      </c>
      <c r="C100" t="s">
        <v>121</v>
      </c>
      <c r="F100" s="2">
        <v>5500</v>
      </c>
      <c r="G100" s="3">
        <f t="shared" si="3"/>
        <v>20</v>
      </c>
    </row>
    <row r="101" spans="1:9" x14ac:dyDescent="0.25">
      <c r="A101" s="6">
        <v>43524</v>
      </c>
      <c r="B101" s="63">
        <v>503</v>
      </c>
      <c r="C101" t="s">
        <v>125</v>
      </c>
      <c r="F101" s="2">
        <v>1000</v>
      </c>
      <c r="G101" s="3">
        <f t="shared" si="3"/>
        <v>4</v>
      </c>
    </row>
    <row r="102" spans="1:9" x14ac:dyDescent="0.25">
      <c r="A102" s="6">
        <v>43524</v>
      </c>
      <c r="C102" t="s">
        <v>126</v>
      </c>
      <c r="F102" s="2">
        <v>7200</v>
      </c>
      <c r="G102" s="3">
        <f t="shared" si="3"/>
        <v>20</v>
      </c>
    </row>
    <row r="103" spans="1:9" x14ac:dyDescent="0.25">
      <c r="A103" s="6">
        <v>43524</v>
      </c>
      <c r="B103" s="63">
        <v>682</v>
      </c>
      <c r="C103" t="s">
        <v>128</v>
      </c>
      <c r="E103" s="178" t="s">
        <v>107</v>
      </c>
      <c r="G103" s="3">
        <f t="shared" si="3"/>
        <v>10</v>
      </c>
    </row>
    <row r="104" spans="1:9" x14ac:dyDescent="0.25">
      <c r="A104" s="12"/>
      <c r="B104" s="65"/>
      <c r="C104" s="12"/>
      <c r="D104" s="65"/>
      <c r="E104" s="9"/>
      <c r="F104" s="13">
        <f>SUM(F65:F103)</f>
        <v>111100</v>
      </c>
      <c r="G104" s="14">
        <f>SUM(G65:G103)</f>
        <v>483.59999999999997</v>
      </c>
      <c r="H104" s="13">
        <f>G104*0.8</f>
        <v>386.88</v>
      </c>
      <c r="I104" s="13">
        <f>+H104*0.95</f>
        <v>367.536</v>
      </c>
    </row>
    <row r="105" spans="1:9" x14ac:dyDescent="0.25">
      <c r="A105" s="6">
        <v>43526</v>
      </c>
      <c r="B105" s="63">
        <v>675</v>
      </c>
      <c r="C105" t="s">
        <v>132</v>
      </c>
      <c r="F105" s="2">
        <v>1500</v>
      </c>
      <c r="G105" s="3">
        <f t="shared" si="3"/>
        <v>6</v>
      </c>
      <c r="I105" s="15"/>
    </row>
    <row r="106" spans="1:9" x14ac:dyDescent="0.25">
      <c r="A106" s="16">
        <v>43526</v>
      </c>
      <c r="B106" s="66">
        <v>691</v>
      </c>
      <c r="C106" s="17" t="s">
        <v>133</v>
      </c>
      <c r="D106" s="66">
        <v>8210808013</v>
      </c>
      <c r="E106" s="18" t="s">
        <v>66</v>
      </c>
      <c r="F106" s="19">
        <v>500</v>
      </c>
      <c r="G106" s="20">
        <f t="shared" si="3"/>
        <v>27</v>
      </c>
      <c r="I106" s="15"/>
    </row>
    <row r="107" spans="1:9" x14ac:dyDescent="0.25">
      <c r="A107" s="6">
        <v>43526</v>
      </c>
      <c r="C107" t="s">
        <v>135</v>
      </c>
      <c r="F107" s="2">
        <v>2000</v>
      </c>
      <c r="G107" s="3">
        <f t="shared" si="3"/>
        <v>8</v>
      </c>
      <c r="I107" s="15"/>
    </row>
    <row r="108" spans="1:9" x14ac:dyDescent="0.25">
      <c r="A108" s="6">
        <v>43527</v>
      </c>
      <c r="B108" s="63">
        <v>630</v>
      </c>
      <c r="C108" t="s">
        <v>3</v>
      </c>
      <c r="F108" s="2">
        <v>3500</v>
      </c>
      <c r="G108" s="3">
        <f t="shared" si="3"/>
        <v>14</v>
      </c>
      <c r="I108" s="15"/>
    </row>
    <row r="109" spans="1:9" x14ac:dyDescent="0.25">
      <c r="A109" s="6">
        <v>43527</v>
      </c>
      <c r="B109" s="63">
        <v>535</v>
      </c>
      <c r="C109" t="s">
        <v>3</v>
      </c>
      <c r="F109" s="2">
        <v>200</v>
      </c>
      <c r="G109" s="3">
        <f t="shared" si="3"/>
        <v>0.8</v>
      </c>
      <c r="I109" s="15"/>
    </row>
    <row r="110" spans="1:9" x14ac:dyDescent="0.25">
      <c r="A110" s="6">
        <v>43527</v>
      </c>
      <c r="B110" s="63">
        <v>630</v>
      </c>
      <c r="C110" t="s">
        <v>136</v>
      </c>
      <c r="F110" s="2">
        <v>2000</v>
      </c>
      <c r="G110" s="3">
        <f t="shared" si="3"/>
        <v>8</v>
      </c>
      <c r="I110" s="15"/>
    </row>
    <row r="111" spans="1:9" x14ac:dyDescent="0.25">
      <c r="A111" s="6">
        <v>43529</v>
      </c>
      <c r="C111" t="s">
        <v>121</v>
      </c>
      <c r="F111" s="2">
        <v>6000</v>
      </c>
      <c r="G111" s="3">
        <f t="shared" si="3"/>
        <v>20</v>
      </c>
      <c r="I111" s="15"/>
    </row>
    <row r="112" spans="1:9" x14ac:dyDescent="0.25">
      <c r="A112" s="6">
        <v>43529</v>
      </c>
      <c r="C112" t="s">
        <v>141</v>
      </c>
      <c r="F112" s="2">
        <v>2000</v>
      </c>
      <c r="G112" s="3">
        <f t="shared" si="3"/>
        <v>8</v>
      </c>
      <c r="I112" s="15"/>
    </row>
    <row r="113" spans="1:9" x14ac:dyDescent="0.25">
      <c r="A113" s="6">
        <v>43529</v>
      </c>
      <c r="C113" t="s">
        <v>142</v>
      </c>
      <c r="F113" s="2">
        <v>2000</v>
      </c>
      <c r="G113" s="3">
        <f t="shared" si="3"/>
        <v>8</v>
      </c>
      <c r="I113" s="15"/>
    </row>
    <row r="114" spans="1:9" x14ac:dyDescent="0.25">
      <c r="A114" s="16">
        <v>43529</v>
      </c>
      <c r="B114" s="66">
        <v>692</v>
      </c>
      <c r="C114" s="17" t="s">
        <v>150</v>
      </c>
      <c r="D114" s="66"/>
      <c r="E114" s="18" t="s">
        <v>66</v>
      </c>
      <c r="F114" s="19">
        <v>100</v>
      </c>
      <c r="G114" s="20">
        <f t="shared" si="3"/>
        <v>25.4</v>
      </c>
      <c r="I114" s="15"/>
    </row>
    <row r="115" spans="1:9" x14ac:dyDescent="0.25">
      <c r="A115" s="16">
        <v>43529</v>
      </c>
      <c r="B115" s="66">
        <v>693</v>
      </c>
      <c r="C115" s="17" t="s">
        <v>145</v>
      </c>
      <c r="D115" s="66"/>
      <c r="E115" s="18" t="s">
        <v>66</v>
      </c>
      <c r="F115" s="19">
        <v>100</v>
      </c>
      <c r="G115" s="20">
        <f t="shared" si="3"/>
        <v>25.4</v>
      </c>
      <c r="I115" s="15"/>
    </row>
    <row r="116" spans="1:9" x14ac:dyDescent="0.25">
      <c r="A116" s="6">
        <v>43529</v>
      </c>
      <c r="B116" s="63">
        <v>693</v>
      </c>
      <c r="C116" t="s">
        <v>3</v>
      </c>
      <c r="F116" s="2">
        <v>1500</v>
      </c>
      <c r="G116" s="3">
        <f t="shared" si="3"/>
        <v>6</v>
      </c>
      <c r="I116" s="15"/>
    </row>
    <row r="117" spans="1:9" x14ac:dyDescent="0.25">
      <c r="A117" s="6">
        <v>43529</v>
      </c>
      <c r="B117" s="63">
        <v>503</v>
      </c>
      <c r="C117" t="s">
        <v>3</v>
      </c>
      <c r="F117" s="2">
        <v>1500</v>
      </c>
      <c r="G117" s="3">
        <f t="shared" si="3"/>
        <v>6</v>
      </c>
      <c r="I117" s="15"/>
    </row>
    <row r="118" spans="1:9" x14ac:dyDescent="0.25">
      <c r="A118" s="6">
        <v>43529</v>
      </c>
      <c r="C118" t="s">
        <v>121</v>
      </c>
      <c r="F118" s="2">
        <v>2000</v>
      </c>
      <c r="G118" s="3">
        <f t="shared" si="3"/>
        <v>8</v>
      </c>
      <c r="I118" s="15"/>
    </row>
    <row r="119" spans="1:9" x14ac:dyDescent="0.25">
      <c r="A119" s="6">
        <v>43529</v>
      </c>
      <c r="B119" s="63">
        <v>675</v>
      </c>
      <c r="C119" t="s">
        <v>149</v>
      </c>
      <c r="F119" s="2">
        <v>2000</v>
      </c>
      <c r="G119" s="3">
        <f t="shared" si="3"/>
        <v>8</v>
      </c>
      <c r="I119" s="15"/>
    </row>
    <row r="120" spans="1:9" x14ac:dyDescent="0.25">
      <c r="A120" s="6">
        <v>43530</v>
      </c>
      <c r="B120" s="63">
        <v>503</v>
      </c>
      <c r="C120" t="s">
        <v>118</v>
      </c>
      <c r="F120" s="2">
        <v>5000</v>
      </c>
      <c r="G120" s="3">
        <f t="shared" si="3"/>
        <v>20</v>
      </c>
      <c r="I120" s="15"/>
    </row>
    <row r="121" spans="1:9" x14ac:dyDescent="0.25">
      <c r="A121" s="6">
        <v>43531</v>
      </c>
      <c r="C121">
        <v>330398708759</v>
      </c>
      <c r="F121" s="2">
        <v>1500</v>
      </c>
      <c r="G121" s="3">
        <f t="shared" si="3"/>
        <v>6</v>
      </c>
      <c r="I121" s="15"/>
    </row>
    <row r="122" spans="1:9" x14ac:dyDescent="0.25">
      <c r="A122" s="6">
        <v>43531</v>
      </c>
      <c r="F122" s="2">
        <v>2000</v>
      </c>
      <c r="G122" s="3">
        <f t="shared" si="3"/>
        <v>8</v>
      </c>
      <c r="I122" s="15"/>
    </row>
    <row r="123" spans="1:9" x14ac:dyDescent="0.25">
      <c r="A123" s="6">
        <v>43531</v>
      </c>
      <c r="F123" s="2">
        <v>500</v>
      </c>
      <c r="G123" s="3">
        <f t="shared" si="3"/>
        <v>2</v>
      </c>
      <c r="I123" s="15"/>
    </row>
    <row r="124" spans="1:9" x14ac:dyDescent="0.25">
      <c r="A124" s="6">
        <v>43531</v>
      </c>
      <c r="F124" s="2">
        <v>2000</v>
      </c>
      <c r="G124" s="3">
        <f t="shared" si="3"/>
        <v>8</v>
      </c>
      <c r="I124" s="15"/>
    </row>
    <row r="125" spans="1:9" x14ac:dyDescent="0.25">
      <c r="A125" s="6">
        <v>43532</v>
      </c>
      <c r="B125" s="63">
        <v>630</v>
      </c>
      <c r="C125" t="s">
        <v>154</v>
      </c>
      <c r="F125" s="2">
        <v>1000</v>
      </c>
      <c r="G125" s="3">
        <f t="shared" si="3"/>
        <v>4</v>
      </c>
      <c r="I125" s="15"/>
    </row>
    <row r="126" spans="1:9" x14ac:dyDescent="0.25">
      <c r="A126" s="6">
        <v>43532</v>
      </c>
      <c r="C126" t="s">
        <v>57</v>
      </c>
      <c r="F126" s="2">
        <v>2000</v>
      </c>
      <c r="G126" s="3">
        <f t="shared" si="3"/>
        <v>8</v>
      </c>
      <c r="I126" s="15"/>
    </row>
    <row r="127" spans="1:9" x14ac:dyDescent="0.25">
      <c r="A127" s="6">
        <v>43532</v>
      </c>
      <c r="C127" t="s">
        <v>152</v>
      </c>
      <c r="F127" s="2">
        <v>1500</v>
      </c>
      <c r="G127" s="3">
        <f t="shared" si="3"/>
        <v>6</v>
      </c>
      <c r="I127" s="15"/>
    </row>
    <row r="128" spans="1:9" x14ac:dyDescent="0.25">
      <c r="A128" s="6">
        <v>43532</v>
      </c>
      <c r="C128" t="s">
        <v>153</v>
      </c>
      <c r="F128" s="2">
        <v>1500</v>
      </c>
      <c r="G128" s="3">
        <f t="shared" si="3"/>
        <v>6</v>
      </c>
      <c r="I128" s="15"/>
    </row>
    <row r="129" spans="1:9" x14ac:dyDescent="0.25">
      <c r="A129" s="6">
        <v>43532</v>
      </c>
      <c r="C129" t="s">
        <v>155</v>
      </c>
      <c r="F129" s="2">
        <v>1000</v>
      </c>
      <c r="G129" s="3">
        <f t="shared" si="3"/>
        <v>4</v>
      </c>
      <c r="I129" s="15"/>
    </row>
    <row r="130" spans="1:9" x14ac:dyDescent="0.25">
      <c r="A130" s="6">
        <v>43532</v>
      </c>
      <c r="C130" t="s">
        <v>155</v>
      </c>
      <c r="F130" s="2">
        <v>3000</v>
      </c>
      <c r="G130" s="3">
        <f t="shared" si="3"/>
        <v>12</v>
      </c>
      <c r="I130" s="15"/>
    </row>
    <row r="131" spans="1:9" x14ac:dyDescent="0.25">
      <c r="A131" s="16" t="s">
        <v>157</v>
      </c>
      <c r="B131" s="66">
        <v>701</v>
      </c>
      <c r="C131" s="17" t="s">
        <v>62</v>
      </c>
      <c r="D131" s="66"/>
      <c r="E131" s="18" t="s">
        <v>66</v>
      </c>
      <c r="F131" s="19">
        <v>500</v>
      </c>
      <c r="G131" s="20">
        <f t="shared" si="3"/>
        <v>27</v>
      </c>
      <c r="I131" s="15"/>
    </row>
    <row r="132" spans="1:9" x14ac:dyDescent="0.25">
      <c r="A132" s="6" t="s">
        <v>157</v>
      </c>
      <c r="B132" s="63">
        <v>630</v>
      </c>
      <c r="C132" t="s">
        <v>3</v>
      </c>
      <c r="F132" s="2">
        <v>1000</v>
      </c>
      <c r="G132" s="3">
        <f t="shared" si="3"/>
        <v>4</v>
      </c>
      <c r="I132" s="15"/>
    </row>
    <row r="133" spans="1:9" x14ac:dyDescent="0.25">
      <c r="A133" s="6" t="s">
        <v>157</v>
      </c>
      <c r="B133" s="63">
        <v>631</v>
      </c>
      <c r="C133" t="s">
        <v>3</v>
      </c>
      <c r="F133" s="2">
        <v>1000</v>
      </c>
      <c r="G133" s="3">
        <f t="shared" si="3"/>
        <v>4</v>
      </c>
      <c r="I133" s="15"/>
    </row>
    <row r="134" spans="1:9" x14ac:dyDescent="0.25">
      <c r="A134" s="6" t="s">
        <v>157</v>
      </c>
      <c r="B134" s="63">
        <v>672</v>
      </c>
      <c r="C134" t="s">
        <v>121</v>
      </c>
      <c r="F134" s="2">
        <v>500</v>
      </c>
      <c r="G134" s="3">
        <f t="shared" si="3"/>
        <v>2</v>
      </c>
      <c r="I134" s="15"/>
    </row>
    <row r="135" spans="1:9" x14ac:dyDescent="0.25">
      <c r="A135" s="6">
        <v>43537</v>
      </c>
      <c r="C135" t="s">
        <v>136</v>
      </c>
      <c r="F135" s="2">
        <v>2000</v>
      </c>
      <c r="G135" s="3">
        <f t="shared" si="3"/>
        <v>8</v>
      </c>
      <c r="I135" s="15"/>
    </row>
    <row r="136" spans="1:9" x14ac:dyDescent="0.25">
      <c r="A136" s="6">
        <v>43537</v>
      </c>
      <c r="F136" s="2">
        <v>2000</v>
      </c>
      <c r="G136" s="3">
        <f t="shared" si="3"/>
        <v>8</v>
      </c>
      <c r="I136" s="15"/>
    </row>
    <row r="137" spans="1:9" x14ac:dyDescent="0.25">
      <c r="A137" s="6">
        <v>43537</v>
      </c>
      <c r="B137" s="63" t="s">
        <v>163</v>
      </c>
      <c r="C137" t="s">
        <v>162</v>
      </c>
      <c r="F137" s="2">
        <v>4700</v>
      </c>
      <c r="G137" s="3">
        <f t="shared" si="3"/>
        <v>18.8</v>
      </c>
      <c r="I137" s="15"/>
    </row>
    <row r="138" spans="1:9" x14ac:dyDescent="0.25">
      <c r="A138" s="16">
        <v>43538</v>
      </c>
      <c r="B138" s="66">
        <v>710</v>
      </c>
      <c r="C138" s="17" t="s">
        <v>164</v>
      </c>
      <c r="D138" s="66"/>
      <c r="E138" s="18" t="s">
        <v>66</v>
      </c>
      <c r="F138" s="19">
        <v>100</v>
      </c>
      <c r="G138" s="20">
        <f t="shared" si="3"/>
        <v>25.4</v>
      </c>
      <c r="I138" s="15"/>
    </row>
    <row r="139" spans="1:9" x14ac:dyDescent="0.25">
      <c r="A139" s="6">
        <v>43538</v>
      </c>
      <c r="B139" s="63">
        <v>503</v>
      </c>
      <c r="F139" s="2">
        <v>5000</v>
      </c>
      <c r="G139" s="3">
        <f t="shared" si="3"/>
        <v>20</v>
      </c>
      <c r="I139" s="15"/>
    </row>
    <row r="140" spans="1:9" x14ac:dyDescent="0.25">
      <c r="A140" s="6">
        <v>43538</v>
      </c>
      <c r="B140" s="63">
        <v>672</v>
      </c>
      <c r="C140" t="s">
        <v>167</v>
      </c>
      <c r="F140" s="2">
        <v>8000</v>
      </c>
      <c r="G140" s="3">
        <f t="shared" si="3"/>
        <v>20</v>
      </c>
      <c r="I140" s="15"/>
    </row>
    <row r="141" spans="1:9" x14ac:dyDescent="0.25">
      <c r="A141" s="6">
        <v>43538</v>
      </c>
      <c r="C141" t="s">
        <v>136</v>
      </c>
      <c r="E141" s="178" t="s">
        <v>203</v>
      </c>
      <c r="F141" s="2">
        <v>8000</v>
      </c>
      <c r="G141" s="3">
        <f t="shared" si="3"/>
        <v>20</v>
      </c>
      <c r="I141" s="15"/>
    </row>
    <row r="142" spans="1:9" x14ac:dyDescent="0.25">
      <c r="A142" s="6">
        <v>43538</v>
      </c>
      <c r="B142" s="63">
        <v>682</v>
      </c>
      <c r="F142" s="2">
        <v>8000</v>
      </c>
      <c r="G142" s="3">
        <f t="shared" si="3"/>
        <v>20</v>
      </c>
      <c r="I142" s="15"/>
    </row>
    <row r="143" spans="1:9" x14ac:dyDescent="0.25">
      <c r="A143" s="6">
        <v>43538</v>
      </c>
      <c r="F143" s="2">
        <v>8000</v>
      </c>
      <c r="G143" s="3">
        <f t="shared" si="3"/>
        <v>20</v>
      </c>
      <c r="I143" s="15"/>
    </row>
    <row r="144" spans="1:9" x14ac:dyDescent="0.25">
      <c r="A144" s="6">
        <v>43538</v>
      </c>
      <c r="F144" s="2">
        <v>2000</v>
      </c>
      <c r="G144" s="3">
        <f t="shared" si="3"/>
        <v>8</v>
      </c>
      <c r="I144" s="15"/>
    </row>
    <row r="145" spans="1:9" x14ac:dyDescent="0.25">
      <c r="A145" s="6">
        <v>43540</v>
      </c>
      <c r="B145" s="63">
        <v>631</v>
      </c>
      <c r="C145" t="s">
        <v>3</v>
      </c>
      <c r="F145" s="2">
        <v>400</v>
      </c>
      <c r="G145" s="3">
        <f t="shared" si="3"/>
        <v>1.6</v>
      </c>
      <c r="I145" s="15"/>
    </row>
    <row r="146" spans="1:9" x14ac:dyDescent="0.25">
      <c r="A146" s="6">
        <v>43542</v>
      </c>
      <c r="C146" t="s">
        <v>95</v>
      </c>
      <c r="F146" s="2">
        <v>3000</v>
      </c>
      <c r="G146" s="3">
        <f t="shared" si="3"/>
        <v>12</v>
      </c>
      <c r="I146" s="15"/>
    </row>
    <row r="147" spans="1:9" x14ac:dyDescent="0.25">
      <c r="A147" s="6">
        <v>43542</v>
      </c>
      <c r="B147" s="63">
        <v>374</v>
      </c>
      <c r="C147" t="s">
        <v>3</v>
      </c>
      <c r="F147" s="2">
        <v>3000</v>
      </c>
      <c r="G147" s="3">
        <f t="shared" si="3"/>
        <v>12</v>
      </c>
      <c r="I147" s="15"/>
    </row>
    <row r="148" spans="1:9" x14ac:dyDescent="0.25">
      <c r="A148" s="6">
        <v>43542</v>
      </c>
      <c r="C148" t="s">
        <v>173</v>
      </c>
      <c r="F148" s="2">
        <v>3000</v>
      </c>
      <c r="G148" s="3">
        <f t="shared" si="3"/>
        <v>12</v>
      </c>
      <c r="I148" s="15"/>
    </row>
    <row r="149" spans="1:9" x14ac:dyDescent="0.25">
      <c r="A149" s="6">
        <v>43544</v>
      </c>
      <c r="B149" s="63">
        <v>617</v>
      </c>
      <c r="C149" t="s">
        <v>3</v>
      </c>
      <c r="F149" s="2">
        <v>1100</v>
      </c>
      <c r="G149" s="3">
        <f t="shared" si="3"/>
        <v>4.4000000000000004</v>
      </c>
      <c r="I149" s="15"/>
    </row>
    <row r="150" spans="1:9" x14ac:dyDescent="0.25">
      <c r="A150" s="6">
        <v>43544</v>
      </c>
      <c r="C150" t="s">
        <v>172</v>
      </c>
      <c r="F150" s="2">
        <v>1000</v>
      </c>
      <c r="G150" s="3">
        <f t="shared" si="3"/>
        <v>4</v>
      </c>
      <c r="I150" s="15"/>
    </row>
    <row r="151" spans="1:9" x14ac:dyDescent="0.25">
      <c r="A151" s="6">
        <v>43547</v>
      </c>
      <c r="C151" t="s">
        <v>174</v>
      </c>
      <c r="F151" s="2">
        <v>500</v>
      </c>
      <c r="G151" s="3">
        <f t="shared" si="3"/>
        <v>2</v>
      </c>
      <c r="I151" s="15"/>
    </row>
    <row r="152" spans="1:9" x14ac:dyDescent="0.25">
      <c r="A152" s="6">
        <v>43548</v>
      </c>
      <c r="B152" s="63">
        <v>630</v>
      </c>
      <c r="C152" t="s">
        <v>175</v>
      </c>
      <c r="F152" s="2">
        <v>1000</v>
      </c>
      <c r="G152" s="3">
        <f t="shared" si="3"/>
        <v>4</v>
      </c>
      <c r="I152" s="15"/>
    </row>
    <row r="153" spans="1:9" x14ac:dyDescent="0.25">
      <c r="A153" s="6">
        <v>43550</v>
      </c>
      <c r="B153" s="63">
        <v>636</v>
      </c>
      <c r="C153" t="s">
        <v>175</v>
      </c>
      <c r="F153" s="2">
        <v>200</v>
      </c>
      <c r="G153" s="3">
        <f t="shared" si="3"/>
        <v>0.8</v>
      </c>
      <c r="I153" s="15"/>
    </row>
    <row r="154" spans="1:9" x14ac:dyDescent="0.25">
      <c r="A154" s="6">
        <v>43550</v>
      </c>
      <c r="B154" s="63">
        <v>725</v>
      </c>
      <c r="C154" t="s">
        <v>164</v>
      </c>
      <c r="E154" s="178" t="s">
        <v>53</v>
      </c>
      <c r="G154" s="3">
        <f t="shared" si="3"/>
        <v>25</v>
      </c>
      <c r="I154" s="15"/>
    </row>
    <row r="155" spans="1:9" x14ac:dyDescent="0.25">
      <c r="A155" s="6">
        <v>43551</v>
      </c>
      <c r="B155" s="63">
        <v>672</v>
      </c>
      <c r="C155" t="s">
        <v>3</v>
      </c>
      <c r="F155" s="2">
        <v>10000</v>
      </c>
      <c r="G155" s="3">
        <f t="shared" si="3"/>
        <v>20</v>
      </c>
      <c r="I155" s="15"/>
    </row>
    <row r="156" spans="1:9" x14ac:dyDescent="0.25">
      <c r="A156" s="6">
        <v>43551</v>
      </c>
      <c r="B156" s="63">
        <v>617</v>
      </c>
      <c r="C156" t="s">
        <v>3</v>
      </c>
      <c r="F156" s="2">
        <v>1150</v>
      </c>
      <c r="G156" s="3">
        <f t="shared" si="3"/>
        <v>4.6000000000000005</v>
      </c>
      <c r="I156" s="15"/>
    </row>
    <row r="157" spans="1:9" x14ac:dyDescent="0.25">
      <c r="A157" s="6">
        <v>43551</v>
      </c>
      <c r="B157" s="63">
        <v>374</v>
      </c>
      <c r="C157" t="s">
        <v>3</v>
      </c>
      <c r="F157" s="2">
        <v>3000</v>
      </c>
      <c r="G157" s="3">
        <f t="shared" si="3"/>
        <v>12</v>
      </c>
      <c r="I157" s="15"/>
    </row>
    <row r="158" spans="1:9" x14ac:dyDescent="0.25">
      <c r="A158" s="6">
        <v>43551</v>
      </c>
      <c r="B158" s="63">
        <v>729</v>
      </c>
      <c r="C158" t="s">
        <v>164</v>
      </c>
      <c r="E158" s="178" t="s">
        <v>53</v>
      </c>
      <c r="F158" s="2">
        <v>500</v>
      </c>
      <c r="G158" s="3">
        <f t="shared" si="3"/>
        <v>27</v>
      </c>
      <c r="I158" s="15"/>
    </row>
    <row r="159" spans="1:9" x14ac:dyDescent="0.25">
      <c r="A159" s="6">
        <v>43552</v>
      </c>
      <c r="B159" s="63">
        <v>730</v>
      </c>
      <c r="C159" t="s">
        <v>164</v>
      </c>
      <c r="E159" s="178" t="s">
        <v>66</v>
      </c>
      <c r="F159" s="2">
        <v>1000</v>
      </c>
      <c r="G159" s="3">
        <f t="shared" si="3"/>
        <v>29</v>
      </c>
      <c r="I159" s="15"/>
    </row>
    <row r="160" spans="1:9" x14ac:dyDescent="0.25">
      <c r="A160" s="6">
        <v>43552</v>
      </c>
      <c r="B160" s="63">
        <v>672</v>
      </c>
      <c r="C160" t="s">
        <v>180</v>
      </c>
      <c r="F160" s="2">
        <v>10000</v>
      </c>
      <c r="G160" s="3">
        <f t="shared" si="3"/>
        <v>20</v>
      </c>
      <c r="I160" s="15"/>
    </row>
    <row r="161" spans="1:9" x14ac:dyDescent="0.25">
      <c r="A161" s="6">
        <v>43554</v>
      </c>
      <c r="B161" s="63" t="s">
        <v>181</v>
      </c>
      <c r="C161" t="s">
        <v>3</v>
      </c>
      <c r="F161" s="2">
        <v>2000</v>
      </c>
      <c r="G161" s="3">
        <f t="shared" si="3"/>
        <v>8</v>
      </c>
      <c r="I161" s="15"/>
    </row>
    <row r="162" spans="1:9" x14ac:dyDescent="0.25">
      <c r="A162" s="12"/>
      <c r="B162" s="65"/>
      <c r="C162" s="12"/>
      <c r="D162" s="65"/>
      <c r="E162" s="9">
        <f>COUNTIF(E105:E161,"Y")</f>
        <v>8</v>
      </c>
      <c r="F162" s="13">
        <f>SUM(F105:F161)</f>
        <v>139550</v>
      </c>
      <c r="G162" s="13">
        <f>SUM(G105:G161)</f>
        <v>666.19999999999993</v>
      </c>
      <c r="H162" s="13">
        <f>G162*0.8</f>
        <v>532.95999999999992</v>
      </c>
      <c r="I162" s="13">
        <f>+H162*0.95</f>
        <v>506.3119999999999</v>
      </c>
    </row>
    <row r="163" spans="1:9" x14ac:dyDescent="0.25">
      <c r="A163" s="6">
        <v>43559</v>
      </c>
      <c r="B163" s="63">
        <v>737</v>
      </c>
      <c r="C163" t="s">
        <v>164</v>
      </c>
      <c r="E163" s="178" t="s">
        <v>66</v>
      </c>
      <c r="F163" s="2">
        <v>1000</v>
      </c>
      <c r="G163" s="3">
        <f t="shared" ref="G163:G188" si="4">IF(E163="y",25,IF(E163="N",10,0))+IF(F163&gt;5000,20,F163*0.4%)</f>
        <v>29</v>
      </c>
    </row>
    <row r="164" spans="1:9" x14ac:dyDescent="0.25">
      <c r="A164" s="6">
        <v>43559</v>
      </c>
      <c r="B164" s="63">
        <v>738</v>
      </c>
      <c r="C164" t="s">
        <v>164</v>
      </c>
      <c r="E164" s="178" t="s">
        <v>66</v>
      </c>
      <c r="F164" s="2">
        <v>500</v>
      </c>
      <c r="G164" s="3">
        <f t="shared" si="4"/>
        <v>27</v>
      </c>
    </row>
    <row r="165" spans="1:9" x14ac:dyDescent="0.25">
      <c r="A165" s="6">
        <v>43561</v>
      </c>
      <c r="C165" t="s">
        <v>95</v>
      </c>
      <c r="F165" s="2">
        <v>8500</v>
      </c>
      <c r="G165" s="3">
        <f t="shared" si="4"/>
        <v>20</v>
      </c>
    </row>
    <row r="166" spans="1:9" x14ac:dyDescent="0.25">
      <c r="A166" s="6">
        <v>43565</v>
      </c>
      <c r="C166" t="s">
        <v>189</v>
      </c>
      <c r="F166" s="2">
        <v>5000</v>
      </c>
      <c r="G166" s="3">
        <f t="shared" si="4"/>
        <v>20</v>
      </c>
    </row>
    <row r="167" spans="1:9" x14ac:dyDescent="0.25">
      <c r="A167" s="6">
        <v>43565</v>
      </c>
      <c r="C167" t="s">
        <v>129</v>
      </c>
      <c r="F167" s="2">
        <v>2000</v>
      </c>
      <c r="G167" s="3">
        <f t="shared" si="4"/>
        <v>8</v>
      </c>
    </row>
    <row r="168" spans="1:9" x14ac:dyDescent="0.25">
      <c r="A168" s="6">
        <v>43565</v>
      </c>
      <c r="C168" t="s">
        <v>58</v>
      </c>
      <c r="F168" s="2">
        <v>2300</v>
      </c>
      <c r="G168" s="3">
        <f t="shared" si="4"/>
        <v>9.2000000000000011</v>
      </c>
    </row>
    <row r="169" spans="1:9" x14ac:dyDescent="0.25">
      <c r="A169" s="6">
        <v>43565</v>
      </c>
      <c r="C169" t="s">
        <v>188</v>
      </c>
      <c r="F169" s="2">
        <v>1000</v>
      </c>
      <c r="G169" s="3">
        <f t="shared" si="4"/>
        <v>4</v>
      </c>
    </row>
    <row r="170" spans="1:9" x14ac:dyDescent="0.25">
      <c r="A170" s="6">
        <v>43565</v>
      </c>
      <c r="C170" t="s">
        <v>187</v>
      </c>
      <c r="F170" s="2">
        <v>1500</v>
      </c>
      <c r="G170" s="3">
        <f t="shared" si="4"/>
        <v>6</v>
      </c>
    </row>
    <row r="171" spans="1:9" x14ac:dyDescent="0.25">
      <c r="A171" s="6">
        <v>43566</v>
      </c>
      <c r="B171" s="63">
        <v>743</v>
      </c>
      <c r="C171" t="s">
        <v>191</v>
      </c>
      <c r="E171" s="178" t="s">
        <v>66</v>
      </c>
      <c r="F171" s="2">
        <v>300</v>
      </c>
      <c r="G171" s="3">
        <f t="shared" si="4"/>
        <v>26.2</v>
      </c>
    </row>
    <row r="172" spans="1:9" x14ac:dyDescent="0.25">
      <c r="A172" s="6">
        <v>43567</v>
      </c>
      <c r="C172" t="s">
        <v>193</v>
      </c>
      <c r="F172" s="2">
        <v>1500</v>
      </c>
      <c r="G172" s="3">
        <f t="shared" si="4"/>
        <v>6</v>
      </c>
    </row>
    <row r="173" spans="1:9" x14ac:dyDescent="0.25">
      <c r="A173" s="6">
        <v>43567</v>
      </c>
      <c r="B173" s="63">
        <v>693</v>
      </c>
      <c r="C173" t="s">
        <v>194</v>
      </c>
      <c r="F173" s="2">
        <v>1500</v>
      </c>
      <c r="G173" s="3">
        <f t="shared" si="4"/>
        <v>6</v>
      </c>
    </row>
    <row r="174" spans="1:9" x14ac:dyDescent="0.25">
      <c r="A174" s="6">
        <v>43569</v>
      </c>
      <c r="C174" t="s">
        <v>195</v>
      </c>
      <c r="F174" s="2">
        <v>6900</v>
      </c>
      <c r="G174" s="3">
        <f t="shared" si="4"/>
        <v>20</v>
      </c>
    </row>
    <row r="175" spans="1:9" x14ac:dyDescent="0.25">
      <c r="A175" s="6">
        <v>43570</v>
      </c>
      <c r="B175" s="63">
        <v>503</v>
      </c>
      <c r="C175" t="s">
        <v>3</v>
      </c>
      <c r="F175" s="2">
        <v>7000</v>
      </c>
      <c r="G175" s="3">
        <f t="shared" si="4"/>
        <v>20</v>
      </c>
    </row>
    <row r="176" spans="1:9" x14ac:dyDescent="0.25">
      <c r="A176" s="6">
        <v>43570</v>
      </c>
      <c r="B176" s="63">
        <v>630</v>
      </c>
      <c r="C176" t="s">
        <v>3</v>
      </c>
      <c r="F176" s="2">
        <v>7000</v>
      </c>
      <c r="G176" s="3">
        <f t="shared" si="4"/>
        <v>20</v>
      </c>
    </row>
    <row r="177" spans="1:9" x14ac:dyDescent="0.25">
      <c r="A177" s="6">
        <v>43571</v>
      </c>
      <c r="B177" s="63">
        <v>665</v>
      </c>
      <c r="C177" t="s">
        <v>197</v>
      </c>
      <c r="F177" s="2">
        <v>100</v>
      </c>
      <c r="G177" s="3">
        <f t="shared" si="4"/>
        <v>0.4</v>
      </c>
    </row>
    <row r="178" spans="1:9" x14ac:dyDescent="0.25">
      <c r="A178" s="6">
        <v>43572</v>
      </c>
      <c r="C178" t="s">
        <v>129</v>
      </c>
      <c r="F178" s="2">
        <v>2200</v>
      </c>
      <c r="G178" s="3">
        <f t="shared" si="4"/>
        <v>8.8000000000000007</v>
      </c>
    </row>
    <row r="179" spans="1:9" x14ac:dyDescent="0.25">
      <c r="A179" s="6">
        <v>43572</v>
      </c>
      <c r="C179" t="s">
        <v>129</v>
      </c>
      <c r="F179" s="2">
        <v>2200</v>
      </c>
      <c r="G179" s="3">
        <f t="shared" si="4"/>
        <v>8.8000000000000007</v>
      </c>
    </row>
    <row r="180" spans="1:9" x14ac:dyDescent="0.25">
      <c r="A180" s="6">
        <v>43574</v>
      </c>
      <c r="C180" t="s">
        <v>202</v>
      </c>
      <c r="F180" s="2">
        <v>3000</v>
      </c>
      <c r="G180" s="3">
        <f t="shared" si="4"/>
        <v>12</v>
      </c>
    </row>
    <row r="181" spans="1:9" x14ac:dyDescent="0.25">
      <c r="A181" s="6">
        <v>43575</v>
      </c>
      <c r="B181" s="63">
        <v>755</v>
      </c>
      <c r="C181" t="s">
        <v>74</v>
      </c>
      <c r="E181" s="178" t="s">
        <v>66</v>
      </c>
      <c r="F181" s="2">
        <v>100</v>
      </c>
      <c r="G181" s="3">
        <f t="shared" si="4"/>
        <v>25.4</v>
      </c>
    </row>
    <row r="182" spans="1:9" x14ac:dyDescent="0.25">
      <c r="A182" s="6">
        <v>43577</v>
      </c>
      <c r="B182" s="63">
        <v>631</v>
      </c>
      <c r="C182" t="s">
        <v>3</v>
      </c>
      <c r="F182" s="2">
        <v>2500</v>
      </c>
      <c r="G182" s="3">
        <f t="shared" si="4"/>
        <v>10</v>
      </c>
    </row>
    <row r="183" spans="1:9" x14ac:dyDescent="0.25">
      <c r="A183" s="6">
        <v>43578</v>
      </c>
      <c r="B183" s="63">
        <v>757</v>
      </c>
      <c r="C183" t="s">
        <v>160</v>
      </c>
      <c r="E183" s="178" t="s">
        <v>66</v>
      </c>
      <c r="F183" s="2">
        <v>100</v>
      </c>
      <c r="G183" s="3">
        <f t="shared" si="4"/>
        <v>25.4</v>
      </c>
    </row>
    <row r="184" spans="1:9" x14ac:dyDescent="0.25">
      <c r="A184" s="6">
        <v>43578</v>
      </c>
      <c r="B184" s="63">
        <v>630</v>
      </c>
      <c r="C184" t="s">
        <v>204</v>
      </c>
      <c r="F184" s="2">
        <v>1200</v>
      </c>
      <c r="G184" s="3">
        <f t="shared" si="4"/>
        <v>4.8</v>
      </c>
    </row>
    <row r="185" spans="1:9" x14ac:dyDescent="0.25">
      <c r="A185" s="6">
        <v>43580</v>
      </c>
      <c r="B185" s="63">
        <v>760</v>
      </c>
      <c r="C185" t="s">
        <v>205</v>
      </c>
      <c r="E185" s="178" t="s">
        <v>66</v>
      </c>
      <c r="F185" s="2">
        <v>100</v>
      </c>
      <c r="G185" s="3">
        <f t="shared" si="4"/>
        <v>25.4</v>
      </c>
    </row>
    <row r="186" spans="1:9" x14ac:dyDescent="0.25">
      <c r="A186" s="6">
        <v>43580</v>
      </c>
      <c r="B186" s="63">
        <v>761</v>
      </c>
      <c r="C186" t="s">
        <v>205</v>
      </c>
      <c r="E186" s="178" t="s">
        <v>66</v>
      </c>
      <c r="F186" s="2">
        <v>100</v>
      </c>
      <c r="G186" s="3">
        <f t="shared" si="4"/>
        <v>25.4</v>
      </c>
    </row>
    <row r="187" spans="1:9" x14ac:dyDescent="0.25">
      <c r="A187" s="6">
        <v>43585</v>
      </c>
      <c r="B187" s="63">
        <v>535</v>
      </c>
      <c r="C187" t="s">
        <v>206</v>
      </c>
      <c r="F187" s="2">
        <v>200</v>
      </c>
      <c r="G187" s="3">
        <f t="shared" si="4"/>
        <v>0.8</v>
      </c>
    </row>
    <row r="188" spans="1:9" x14ac:dyDescent="0.25">
      <c r="A188" s="6">
        <v>43585</v>
      </c>
      <c r="B188" s="63">
        <v>374</v>
      </c>
      <c r="C188" t="s">
        <v>193</v>
      </c>
      <c r="F188" s="2">
        <v>1000</v>
      </c>
      <c r="G188" s="3">
        <f t="shared" si="4"/>
        <v>4</v>
      </c>
    </row>
    <row r="189" spans="1:9" x14ac:dyDescent="0.25">
      <c r="A189" s="12"/>
      <c r="B189" s="65"/>
      <c r="C189" s="12"/>
      <c r="D189" s="65"/>
      <c r="E189" s="9">
        <f>COUNTIF(E163:E188,"Y")</f>
        <v>7</v>
      </c>
      <c r="F189" s="13">
        <f>SUM(F163:F188)</f>
        <v>58800</v>
      </c>
      <c r="G189" s="13">
        <f>SUM(G163:G188)</f>
        <v>372.59999999999997</v>
      </c>
      <c r="H189" s="13">
        <f>G189*0.8</f>
        <v>298.08</v>
      </c>
      <c r="I189" s="13">
        <f>H189*0.95</f>
        <v>283.17599999999999</v>
      </c>
    </row>
    <row r="190" spans="1:9" x14ac:dyDescent="0.25">
      <c r="A190" s="6">
        <v>43587</v>
      </c>
      <c r="B190" s="63">
        <v>504</v>
      </c>
      <c r="C190" t="s">
        <v>121</v>
      </c>
      <c r="F190" s="2">
        <v>10000</v>
      </c>
      <c r="G190" s="3">
        <f t="shared" ref="G190:G227" si="5">IF(E190="y",25,IF(E190="N",10,0))+IF(F190&gt;5000,20,F190*0.4%)</f>
        <v>20</v>
      </c>
    </row>
    <row r="191" spans="1:9" x14ac:dyDescent="0.25">
      <c r="A191" s="6">
        <v>43587</v>
      </c>
      <c r="B191" s="63">
        <v>765</v>
      </c>
      <c r="C191" t="s">
        <v>208</v>
      </c>
      <c r="E191" s="178" t="s">
        <v>66</v>
      </c>
      <c r="F191" s="2">
        <v>5000</v>
      </c>
      <c r="G191" s="3">
        <f t="shared" si="5"/>
        <v>45</v>
      </c>
    </row>
    <row r="192" spans="1:9" x14ac:dyDescent="0.25">
      <c r="A192" s="6">
        <v>43587</v>
      </c>
      <c r="B192" s="63">
        <v>766</v>
      </c>
      <c r="C192" s="22" t="s">
        <v>208</v>
      </c>
      <c r="E192" s="178" t="s">
        <v>66</v>
      </c>
      <c r="F192" s="2">
        <v>100</v>
      </c>
      <c r="G192" s="3">
        <f t="shared" si="5"/>
        <v>25.4</v>
      </c>
    </row>
    <row r="193" spans="1:7" x14ac:dyDescent="0.25">
      <c r="A193" s="6">
        <v>43587</v>
      </c>
      <c r="B193" s="63">
        <v>767</v>
      </c>
      <c r="C193" s="22" t="s">
        <v>208</v>
      </c>
      <c r="E193" s="178" t="s">
        <v>66</v>
      </c>
      <c r="F193" s="2">
        <v>100</v>
      </c>
      <c r="G193" s="3">
        <f t="shared" si="5"/>
        <v>25.4</v>
      </c>
    </row>
    <row r="194" spans="1:7" x14ac:dyDescent="0.25">
      <c r="A194" s="6">
        <v>43587</v>
      </c>
      <c r="B194" s="63">
        <v>761</v>
      </c>
      <c r="C194" t="s">
        <v>209</v>
      </c>
      <c r="F194" s="2">
        <v>5000</v>
      </c>
      <c r="G194" s="3">
        <f t="shared" si="5"/>
        <v>20</v>
      </c>
    </row>
    <row r="195" spans="1:7" x14ac:dyDescent="0.25">
      <c r="A195" s="6">
        <v>43588</v>
      </c>
      <c r="B195" s="63">
        <v>768</v>
      </c>
      <c r="C195" t="s">
        <v>208</v>
      </c>
      <c r="E195" s="178" t="s">
        <v>66</v>
      </c>
      <c r="F195" s="2">
        <v>100</v>
      </c>
      <c r="G195" s="3">
        <f t="shared" si="5"/>
        <v>25.4</v>
      </c>
    </row>
    <row r="196" spans="1:7" x14ac:dyDescent="0.25">
      <c r="A196" s="6">
        <v>43588</v>
      </c>
      <c r="B196" s="63">
        <v>769</v>
      </c>
      <c r="C196" t="s">
        <v>74</v>
      </c>
      <c r="E196" s="178" t="s">
        <v>66</v>
      </c>
      <c r="F196" s="2">
        <v>500</v>
      </c>
      <c r="G196" s="3">
        <f t="shared" si="5"/>
        <v>27</v>
      </c>
    </row>
    <row r="197" spans="1:7" x14ac:dyDescent="0.25">
      <c r="A197" s="6">
        <v>43588</v>
      </c>
      <c r="B197" s="63">
        <v>770</v>
      </c>
      <c r="C197" s="22" t="s">
        <v>74</v>
      </c>
      <c r="E197" s="178" t="s">
        <v>66</v>
      </c>
      <c r="F197" s="2">
        <v>500</v>
      </c>
      <c r="G197" s="3">
        <f t="shared" si="5"/>
        <v>27</v>
      </c>
    </row>
    <row r="198" spans="1:7" x14ac:dyDescent="0.25">
      <c r="A198" s="6">
        <v>43588</v>
      </c>
      <c r="B198" s="63">
        <v>771</v>
      </c>
      <c r="C198" s="22" t="s">
        <v>74</v>
      </c>
      <c r="E198" s="178" t="s">
        <v>66</v>
      </c>
      <c r="F198" s="2">
        <v>500</v>
      </c>
      <c r="G198" s="3">
        <f t="shared" si="5"/>
        <v>27</v>
      </c>
    </row>
    <row r="199" spans="1:7" x14ac:dyDescent="0.25">
      <c r="A199" s="6">
        <v>43588</v>
      </c>
      <c r="B199" s="63">
        <v>772</v>
      </c>
      <c r="C199" s="22" t="s">
        <v>74</v>
      </c>
      <c r="E199" s="178" t="s">
        <v>66</v>
      </c>
      <c r="F199" s="2">
        <v>100</v>
      </c>
      <c r="G199" s="3">
        <f t="shared" si="5"/>
        <v>25.4</v>
      </c>
    </row>
    <row r="200" spans="1:7" x14ac:dyDescent="0.25">
      <c r="A200" s="6">
        <v>43588</v>
      </c>
      <c r="B200" s="63">
        <v>504</v>
      </c>
      <c r="C200" t="s">
        <v>3</v>
      </c>
      <c r="F200" s="2">
        <v>5000</v>
      </c>
      <c r="G200" s="3">
        <f t="shared" si="5"/>
        <v>20</v>
      </c>
    </row>
    <row r="201" spans="1:7" x14ac:dyDescent="0.25">
      <c r="A201" s="6">
        <v>43591</v>
      </c>
      <c r="B201" s="63">
        <v>504</v>
      </c>
      <c r="C201" t="s">
        <v>3</v>
      </c>
      <c r="F201" s="2">
        <v>10000</v>
      </c>
      <c r="G201" s="3">
        <f t="shared" si="5"/>
        <v>20</v>
      </c>
    </row>
    <row r="202" spans="1:7" x14ac:dyDescent="0.25">
      <c r="A202" s="6">
        <v>43591</v>
      </c>
      <c r="B202" s="63">
        <v>773</v>
      </c>
      <c r="C202" t="s">
        <v>190</v>
      </c>
      <c r="E202" s="178" t="s">
        <v>66</v>
      </c>
      <c r="F202" s="2">
        <v>1000</v>
      </c>
      <c r="G202" s="3">
        <f t="shared" si="5"/>
        <v>29</v>
      </c>
    </row>
    <row r="203" spans="1:7" x14ac:dyDescent="0.25">
      <c r="A203" s="6">
        <v>43592</v>
      </c>
      <c r="B203" s="63">
        <v>504</v>
      </c>
      <c r="C203" t="s">
        <v>3</v>
      </c>
      <c r="F203" s="2">
        <v>2000</v>
      </c>
      <c r="G203" s="3">
        <f t="shared" si="5"/>
        <v>8</v>
      </c>
    </row>
    <row r="204" spans="1:7" s="22" customFormat="1" x14ac:dyDescent="0.25">
      <c r="A204" s="6">
        <v>43592</v>
      </c>
      <c r="B204" s="63">
        <v>603</v>
      </c>
      <c r="C204" s="22" t="s">
        <v>3</v>
      </c>
      <c r="D204" s="63"/>
      <c r="E204" s="178"/>
      <c r="F204" s="2">
        <v>1500</v>
      </c>
      <c r="G204" s="3">
        <f t="shared" si="5"/>
        <v>6</v>
      </c>
    </row>
    <row r="205" spans="1:7" s="22" customFormat="1" x14ac:dyDescent="0.25">
      <c r="A205" s="6">
        <v>43592</v>
      </c>
      <c r="B205" s="63">
        <v>693</v>
      </c>
      <c r="C205" s="22" t="s">
        <v>121</v>
      </c>
      <c r="D205" s="63"/>
      <c r="E205" s="178"/>
      <c r="F205" s="2">
        <v>1000</v>
      </c>
      <c r="G205" s="3">
        <f t="shared" si="5"/>
        <v>4</v>
      </c>
    </row>
    <row r="206" spans="1:7" s="22" customFormat="1" x14ac:dyDescent="0.25">
      <c r="A206" s="6">
        <v>43592</v>
      </c>
      <c r="B206" s="63">
        <v>630</v>
      </c>
      <c r="C206" s="22" t="s">
        <v>3</v>
      </c>
      <c r="D206" s="63"/>
      <c r="E206" s="178"/>
      <c r="F206" s="2">
        <v>1500</v>
      </c>
      <c r="G206" s="3">
        <f t="shared" si="5"/>
        <v>6</v>
      </c>
    </row>
    <row r="207" spans="1:7" s="22" customFormat="1" x14ac:dyDescent="0.25">
      <c r="A207" s="6">
        <v>43593</v>
      </c>
      <c r="B207" s="63"/>
      <c r="C207" s="22" t="s">
        <v>121</v>
      </c>
      <c r="D207" s="63"/>
      <c r="E207" s="178"/>
      <c r="F207" s="2">
        <v>4500</v>
      </c>
      <c r="G207" s="3">
        <f t="shared" si="5"/>
        <v>18</v>
      </c>
    </row>
    <row r="208" spans="1:7" s="22" customFormat="1" x14ac:dyDescent="0.25">
      <c r="A208" s="6">
        <v>43593</v>
      </c>
      <c r="B208" s="63">
        <v>693</v>
      </c>
      <c r="C208" s="22" t="s">
        <v>3</v>
      </c>
      <c r="D208" s="63"/>
      <c r="E208" s="178"/>
      <c r="F208" s="2">
        <v>1000</v>
      </c>
      <c r="G208" s="3">
        <f t="shared" si="5"/>
        <v>4</v>
      </c>
    </row>
    <row r="209" spans="1:10" s="22" customFormat="1" x14ac:dyDescent="0.25">
      <c r="A209" s="6">
        <v>43596</v>
      </c>
      <c r="B209" s="63">
        <v>630</v>
      </c>
      <c r="C209" s="22" t="s">
        <v>3</v>
      </c>
      <c r="D209" s="63"/>
      <c r="E209" s="178"/>
      <c r="F209" s="2">
        <v>2000</v>
      </c>
      <c r="G209" s="3">
        <f t="shared" si="5"/>
        <v>8</v>
      </c>
    </row>
    <row r="210" spans="1:10" s="22" customFormat="1" x14ac:dyDescent="0.25">
      <c r="A210" s="6">
        <v>43598</v>
      </c>
      <c r="B210" s="63">
        <v>672</v>
      </c>
      <c r="C210" s="22" t="s">
        <v>3</v>
      </c>
      <c r="D210" s="63"/>
      <c r="E210" s="178"/>
      <c r="F210" s="2">
        <v>1500</v>
      </c>
      <c r="G210" s="3">
        <f t="shared" si="5"/>
        <v>6</v>
      </c>
    </row>
    <row r="211" spans="1:10" s="22" customFormat="1" x14ac:dyDescent="0.25">
      <c r="A211" s="6">
        <v>43599</v>
      </c>
      <c r="B211" s="63">
        <v>504</v>
      </c>
      <c r="C211" s="22" t="s">
        <v>231</v>
      </c>
      <c r="D211" s="63"/>
      <c r="E211" s="178"/>
      <c r="F211" s="2">
        <v>3200</v>
      </c>
      <c r="G211" s="3">
        <f t="shared" si="5"/>
        <v>12.8</v>
      </c>
    </row>
    <row r="212" spans="1:10" s="22" customFormat="1" x14ac:dyDescent="0.25">
      <c r="A212" s="6">
        <v>43599</v>
      </c>
      <c r="B212" s="63"/>
      <c r="C212" s="22" t="s">
        <v>57</v>
      </c>
      <c r="D212" s="63"/>
      <c r="E212" s="178"/>
      <c r="F212" s="2">
        <v>2300</v>
      </c>
      <c r="G212" s="3">
        <f t="shared" si="5"/>
        <v>9.2000000000000011</v>
      </c>
    </row>
    <row r="213" spans="1:10" s="22" customFormat="1" x14ac:dyDescent="0.25">
      <c r="A213" s="6">
        <v>43599</v>
      </c>
      <c r="B213" s="63"/>
      <c r="C213" s="22" t="s">
        <v>129</v>
      </c>
      <c r="D213" s="63"/>
      <c r="E213" s="178"/>
      <c r="F213" s="2">
        <v>500</v>
      </c>
      <c r="G213" s="3">
        <f t="shared" si="5"/>
        <v>2</v>
      </c>
    </row>
    <row r="214" spans="1:10" s="22" customFormat="1" x14ac:dyDescent="0.25">
      <c r="A214" s="6">
        <v>43600</v>
      </c>
      <c r="B214" s="63"/>
      <c r="C214" s="22" t="s">
        <v>156</v>
      </c>
      <c r="D214" s="63"/>
      <c r="E214" s="178"/>
      <c r="F214" s="2">
        <v>1000</v>
      </c>
      <c r="G214" s="3">
        <f t="shared" si="5"/>
        <v>4</v>
      </c>
    </row>
    <row r="215" spans="1:10" x14ac:dyDescent="0.25">
      <c r="A215" s="12"/>
      <c r="B215" s="65"/>
      <c r="C215" s="12"/>
      <c r="D215" s="65"/>
      <c r="E215" s="9">
        <f>COUNTIF(E190:E214,"Y")</f>
        <v>9</v>
      </c>
      <c r="F215" s="13">
        <f>SUM(F190:F214)</f>
        <v>59900</v>
      </c>
      <c r="G215" s="13">
        <f>SUM(G190:G214)</f>
        <v>424.6</v>
      </c>
      <c r="H215" s="13">
        <f>G215*0.8</f>
        <v>339.68000000000006</v>
      </c>
      <c r="I215" s="13">
        <f>H215*0.95</f>
        <v>322.69600000000003</v>
      </c>
      <c r="J215" s="12"/>
    </row>
    <row r="216" spans="1:10" x14ac:dyDescent="0.25">
      <c r="G216" s="3"/>
    </row>
    <row r="217" spans="1:10" x14ac:dyDescent="0.25">
      <c r="A217" s="6">
        <v>43622</v>
      </c>
      <c r="C217" t="s">
        <v>156</v>
      </c>
      <c r="E217" s="178" t="s">
        <v>294</v>
      </c>
      <c r="F217" s="2">
        <v>1500</v>
      </c>
      <c r="G217" s="3">
        <f t="shared" si="5"/>
        <v>6</v>
      </c>
    </row>
    <row r="218" spans="1:10" x14ac:dyDescent="0.25">
      <c r="A218" s="6">
        <v>43625</v>
      </c>
      <c r="B218" s="63">
        <v>631</v>
      </c>
      <c r="C218" s="22" t="s">
        <v>236</v>
      </c>
      <c r="E218" s="178" t="s">
        <v>293</v>
      </c>
      <c r="F218" s="2">
        <v>3500</v>
      </c>
      <c r="G218" s="3">
        <f t="shared" si="5"/>
        <v>14</v>
      </c>
    </row>
    <row r="219" spans="1:10" x14ac:dyDescent="0.25">
      <c r="A219" s="6">
        <v>43625</v>
      </c>
      <c r="C219" t="s">
        <v>195</v>
      </c>
      <c r="E219" s="178" t="s">
        <v>203</v>
      </c>
      <c r="F219" s="2">
        <v>500</v>
      </c>
      <c r="G219" s="3">
        <v>5</v>
      </c>
      <c r="I219">
        <f>F219+F228</f>
        <v>1000</v>
      </c>
    </row>
    <row r="220" spans="1:10" x14ac:dyDescent="0.25">
      <c r="A220" s="6">
        <v>43720</v>
      </c>
      <c r="C220" t="s">
        <v>156</v>
      </c>
      <c r="E220" s="178" t="s">
        <v>294</v>
      </c>
      <c r="F220" s="2">
        <v>720</v>
      </c>
      <c r="G220" s="3">
        <f t="shared" si="5"/>
        <v>2.88</v>
      </c>
    </row>
    <row r="221" spans="1:10" x14ac:dyDescent="0.25">
      <c r="A221" s="6">
        <v>43720</v>
      </c>
      <c r="B221" s="63">
        <v>851</v>
      </c>
      <c r="C221" t="s">
        <v>237</v>
      </c>
      <c r="E221" s="178" t="s">
        <v>66</v>
      </c>
      <c r="F221" s="2">
        <v>200</v>
      </c>
      <c r="G221" s="3">
        <f t="shared" si="5"/>
        <v>25.8</v>
      </c>
    </row>
    <row r="222" spans="1:10" x14ac:dyDescent="0.25">
      <c r="A222" s="6">
        <v>43726</v>
      </c>
      <c r="B222" s="63">
        <v>630</v>
      </c>
      <c r="C222" t="s">
        <v>238</v>
      </c>
      <c r="E222" s="178" t="s">
        <v>293</v>
      </c>
      <c r="F222" s="2">
        <v>1500</v>
      </c>
      <c r="G222" s="3">
        <f t="shared" si="5"/>
        <v>6</v>
      </c>
    </row>
    <row r="223" spans="1:10" x14ac:dyDescent="0.25">
      <c r="A223" s="6">
        <v>43634</v>
      </c>
      <c r="C223" t="s">
        <v>58</v>
      </c>
      <c r="E223" s="178" t="s">
        <v>293</v>
      </c>
      <c r="F223" s="2">
        <v>2300</v>
      </c>
      <c r="G223" s="3">
        <f t="shared" si="5"/>
        <v>9.2000000000000011</v>
      </c>
    </row>
    <row r="224" spans="1:10" x14ac:dyDescent="0.25">
      <c r="A224" s="6">
        <v>43635</v>
      </c>
      <c r="C224" t="s">
        <v>72</v>
      </c>
      <c r="E224" s="178" t="s">
        <v>294</v>
      </c>
      <c r="F224" s="2">
        <v>2000</v>
      </c>
      <c r="G224" s="3">
        <f t="shared" si="5"/>
        <v>8</v>
      </c>
    </row>
    <row r="225" spans="1:11" s="22" customFormat="1" x14ac:dyDescent="0.25">
      <c r="A225" s="6">
        <v>43636</v>
      </c>
      <c r="B225" s="63">
        <v>535</v>
      </c>
      <c r="C225" s="22" t="s">
        <v>73</v>
      </c>
      <c r="D225" s="63"/>
      <c r="E225" s="178" t="s">
        <v>293</v>
      </c>
      <c r="F225" s="2">
        <v>1200</v>
      </c>
      <c r="G225" s="3">
        <f t="shared" si="5"/>
        <v>4.8</v>
      </c>
    </row>
    <row r="226" spans="1:11" s="22" customFormat="1" x14ac:dyDescent="0.25">
      <c r="A226" s="6">
        <v>43643</v>
      </c>
      <c r="B226" s="63">
        <v>894</v>
      </c>
      <c r="C226" s="22" t="s">
        <v>239</v>
      </c>
      <c r="D226" s="63"/>
      <c r="E226" s="178" t="s">
        <v>66</v>
      </c>
      <c r="F226" s="2">
        <v>100</v>
      </c>
      <c r="G226" s="3">
        <f t="shared" si="5"/>
        <v>25.4</v>
      </c>
    </row>
    <row r="227" spans="1:11" s="22" customFormat="1" x14ac:dyDescent="0.25">
      <c r="A227" s="6">
        <v>43644</v>
      </c>
      <c r="B227" s="63">
        <v>896</v>
      </c>
      <c r="C227" s="22" t="s">
        <v>241</v>
      </c>
      <c r="D227" s="63"/>
      <c r="E227" s="178" t="s">
        <v>66</v>
      </c>
      <c r="F227" s="2">
        <v>100</v>
      </c>
      <c r="G227" s="3">
        <f t="shared" si="5"/>
        <v>25.4</v>
      </c>
    </row>
    <row r="228" spans="1:11" s="22" customFormat="1" x14ac:dyDescent="0.25">
      <c r="A228" s="6">
        <v>43644</v>
      </c>
      <c r="B228" s="63"/>
      <c r="C228" s="22" t="s">
        <v>58</v>
      </c>
      <c r="D228" s="63"/>
      <c r="E228" s="178" t="s">
        <v>203</v>
      </c>
      <c r="F228" s="2">
        <v>500</v>
      </c>
      <c r="G228" s="3">
        <v>5</v>
      </c>
    </row>
    <row r="229" spans="1:11" x14ac:dyDescent="0.25">
      <c r="A229" s="12"/>
      <c r="B229" s="65"/>
      <c r="C229" s="12"/>
      <c r="D229" s="65"/>
      <c r="E229" s="9">
        <f>COUNTIF(E216:E227,"Y")</f>
        <v>3</v>
      </c>
      <c r="F229" s="13">
        <f>SUM(F217:F228)</f>
        <v>14120</v>
      </c>
      <c r="G229" s="13">
        <f>SUM(G217:G228)</f>
        <v>137.47999999999999</v>
      </c>
      <c r="H229" s="13">
        <f>G229*0.8</f>
        <v>109.98399999999999</v>
      </c>
      <c r="I229" s="13">
        <f>H229*0.95</f>
        <v>104.48479999999999</v>
      </c>
      <c r="J229" s="13"/>
    </row>
    <row r="230" spans="1:11" x14ac:dyDescent="0.25">
      <c r="A230" s="6">
        <v>43651</v>
      </c>
      <c r="C230" t="s">
        <v>242</v>
      </c>
      <c r="F230" s="2">
        <v>1000</v>
      </c>
      <c r="G230" s="3">
        <f>IF(E230="y",25,IF(OR(E230="N", E230="RD"),10,0))+IF(F230&gt;5000,20,F230*0.4%)+IF(E230="PMSBY",1,IF(E230="PMJJBY",30,0))</f>
        <v>4</v>
      </c>
    </row>
    <row r="231" spans="1:11" x14ac:dyDescent="0.25">
      <c r="A231" s="6">
        <v>43654</v>
      </c>
      <c r="C231" t="s">
        <v>97</v>
      </c>
      <c r="F231" s="2">
        <v>3000</v>
      </c>
      <c r="G231" s="3">
        <f t="shared" ref="G231:G269" si="6">IF(E231="y",25,IF(OR(E231="N", E231="RD"),10,0))+IF(F231&gt;5000,20,F231*0.4%)+IF(E231="PMSBY",1,IF(E231="PMJJBY",30,0))</f>
        <v>12</v>
      </c>
      <c r="K231">
        <f>66+22</f>
        <v>88</v>
      </c>
    </row>
    <row r="232" spans="1:11" x14ac:dyDescent="0.25">
      <c r="A232" s="6">
        <v>43654</v>
      </c>
      <c r="B232" s="63">
        <v>503</v>
      </c>
      <c r="C232" s="22" t="s">
        <v>245</v>
      </c>
      <c r="F232" s="2">
        <v>5000</v>
      </c>
      <c r="G232" s="3">
        <f t="shared" si="6"/>
        <v>20</v>
      </c>
    </row>
    <row r="233" spans="1:11" x14ac:dyDescent="0.25">
      <c r="A233" s="6">
        <v>43655</v>
      </c>
      <c r="B233" s="63">
        <v>503</v>
      </c>
      <c r="C233" s="22" t="s">
        <v>245</v>
      </c>
      <c r="F233" s="2">
        <v>7000</v>
      </c>
      <c r="G233" s="3">
        <f t="shared" si="6"/>
        <v>20</v>
      </c>
    </row>
    <row r="234" spans="1:11" x14ac:dyDescent="0.25">
      <c r="A234" s="6">
        <v>43655</v>
      </c>
      <c r="B234" s="63">
        <v>374</v>
      </c>
      <c r="C234" t="s">
        <v>244</v>
      </c>
      <c r="F234" s="2">
        <v>1000</v>
      </c>
      <c r="G234" s="3">
        <f t="shared" si="6"/>
        <v>4</v>
      </c>
    </row>
    <row r="235" spans="1:11" x14ac:dyDescent="0.25">
      <c r="A235" s="6">
        <v>43655</v>
      </c>
      <c r="C235" t="s">
        <v>246</v>
      </c>
      <c r="E235" s="178" t="s">
        <v>247</v>
      </c>
      <c r="F235" s="2">
        <v>1000</v>
      </c>
      <c r="G235" s="3">
        <f t="shared" si="6"/>
        <v>14</v>
      </c>
    </row>
    <row r="236" spans="1:11" x14ac:dyDescent="0.25">
      <c r="A236" s="6">
        <v>43655</v>
      </c>
      <c r="B236" s="63">
        <v>914</v>
      </c>
      <c r="C236" t="s">
        <v>248</v>
      </c>
      <c r="E236" s="178" t="s">
        <v>66</v>
      </c>
      <c r="F236" s="2">
        <v>500</v>
      </c>
      <c r="G236" s="3">
        <f t="shared" si="6"/>
        <v>27</v>
      </c>
    </row>
    <row r="237" spans="1:11" x14ac:dyDescent="0.25">
      <c r="A237" s="6">
        <v>43655</v>
      </c>
      <c r="C237" t="s">
        <v>253</v>
      </c>
      <c r="E237" s="178" t="s">
        <v>247</v>
      </c>
      <c r="F237" s="2">
        <v>200</v>
      </c>
      <c r="G237" s="3">
        <f t="shared" si="6"/>
        <v>10.8</v>
      </c>
    </row>
    <row r="238" spans="1:11" x14ac:dyDescent="0.25">
      <c r="A238" s="6">
        <v>43655</v>
      </c>
      <c r="C238" s="22" t="s">
        <v>253</v>
      </c>
      <c r="E238" s="178" t="s">
        <v>254</v>
      </c>
      <c r="F238" s="2">
        <v>12</v>
      </c>
      <c r="G238" s="3">
        <f t="shared" si="6"/>
        <v>1.048</v>
      </c>
    </row>
    <row r="239" spans="1:11" x14ac:dyDescent="0.25">
      <c r="A239" s="6">
        <v>43656</v>
      </c>
      <c r="B239" s="63">
        <v>916</v>
      </c>
      <c r="C239" t="s">
        <v>255</v>
      </c>
      <c r="E239" s="178" t="s">
        <v>66</v>
      </c>
      <c r="F239" s="2">
        <v>2000</v>
      </c>
      <c r="G239" s="2">
        <f t="shared" si="6"/>
        <v>33</v>
      </c>
    </row>
    <row r="240" spans="1:11" x14ac:dyDescent="0.25">
      <c r="A240" s="6">
        <v>43656</v>
      </c>
      <c r="C240" s="22" t="s">
        <v>255</v>
      </c>
      <c r="E240" s="178" t="s">
        <v>254</v>
      </c>
      <c r="F240" s="2">
        <v>12</v>
      </c>
      <c r="G240" s="2">
        <f t="shared" si="6"/>
        <v>1.048</v>
      </c>
    </row>
    <row r="241" spans="1:7" x14ac:dyDescent="0.25">
      <c r="A241" s="6">
        <v>43656</v>
      </c>
      <c r="C241" s="22" t="s">
        <v>255</v>
      </c>
      <c r="E241" s="178" t="s">
        <v>256</v>
      </c>
      <c r="F241" s="2">
        <v>330</v>
      </c>
      <c r="G241" s="2">
        <f t="shared" si="6"/>
        <v>31.32</v>
      </c>
    </row>
    <row r="242" spans="1:7" x14ac:dyDescent="0.25">
      <c r="A242" s="6">
        <v>43656</v>
      </c>
      <c r="B242" s="63">
        <v>917</v>
      </c>
      <c r="C242" t="s">
        <v>258</v>
      </c>
      <c r="E242" s="178" t="s">
        <v>53</v>
      </c>
      <c r="F242" s="2">
        <v>500</v>
      </c>
      <c r="G242" s="2">
        <f t="shared" si="6"/>
        <v>27</v>
      </c>
    </row>
    <row r="243" spans="1:7" x14ac:dyDescent="0.25">
      <c r="A243" s="6">
        <v>43656</v>
      </c>
      <c r="C243" t="s">
        <v>129</v>
      </c>
      <c r="E243" s="178" t="s">
        <v>247</v>
      </c>
      <c r="F243" s="2">
        <v>500</v>
      </c>
      <c r="G243" s="2">
        <f t="shared" si="6"/>
        <v>12</v>
      </c>
    </row>
    <row r="244" spans="1:7" x14ac:dyDescent="0.25">
      <c r="A244" s="6">
        <v>43656</v>
      </c>
      <c r="C244" t="s">
        <v>104</v>
      </c>
      <c r="E244" s="178" t="s">
        <v>247</v>
      </c>
      <c r="F244" s="2">
        <v>2000</v>
      </c>
      <c r="G244" s="2">
        <f t="shared" si="6"/>
        <v>18</v>
      </c>
    </row>
    <row r="245" spans="1:7" x14ac:dyDescent="0.25">
      <c r="A245" s="6">
        <v>43657</v>
      </c>
      <c r="B245" s="63">
        <v>921</v>
      </c>
      <c r="C245" t="s">
        <v>260</v>
      </c>
      <c r="E245" s="178" t="s">
        <v>66</v>
      </c>
      <c r="F245" s="2">
        <v>200</v>
      </c>
      <c r="G245" s="2">
        <f t="shared" si="6"/>
        <v>25.8</v>
      </c>
    </row>
    <row r="246" spans="1:7" s="22" customFormat="1" x14ac:dyDescent="0.25">
      <c r="A246" s="6">
        <v>43657</v>
      </c>
      <c r="B246" s="63">
        <v>922</v>
      </c>
      <c r="D246" s="63"/>
      <c r="E246" s="178" t="s">
        <v>66</v>
      </c>
      <c r="F246" s="2">
        <v>1000</v>
      </c>
      <c r="G246" s="2">
        <f t="shared" si="6"/>
        <v>29</v>
      </c>
    </row>
    <row r="247" spans="1:7" s="22" customFormat="1" x14ac:dyDescent="0.25">
      <c r="A247" s="6">
        <v>43657</v>
      </c>
      <c r="B247" s="63"/>
      <c r="C247" s="22" t="s">
        <v>264</v>
      </c>
      <c r="D247" s="63"/>
      <c r="E247" s="178"/>
      <c r="F247" s="2">
        <v>8000</v>
      </c>
      <c r="G247" s="2">
        <f t="shared" si="6"/>
        <v>20</v>
      </c>
    </row>
    <row r="248" spans="1:7" s="22" customFormat="1" x14ac:dyDescent="0.25">
      <c r="A248" s="6">
        <v>43657</v>
      </c>
      <c r="B248" s="63"/>
      <c r="C248" s="22" t="s">
        <v>265</v>
      </c>
      <c r="D248" s="63"/>
      <c r="E248" s="178"/>
      <c r="F248" s="2">
        <v>750</v>
      </c>
      <c r="G248" s="2">
        <f t="shared" si="6"/>
        <v>3</v>
      </c>
    </row>
    <row r="249" spans="1:7" s="22" customFormat="1" x14ac:dyDescent="0.25">
      <c r="A249" s="6">
        <v>43658</v>
      </c>
      <c r="B249" s="63" t="s">
        <v>267</v>
      </c>
      <c r="C249" s="22" t="s">
        <v>58</v>
      </c>
      <c r="D249" s="63"/>
      <c r="E249" s="178" t="s">
        <v>247</v>
      </c>
      <c r="F249" s="2">
        <v>200</v>
      </c>
      <c r="G249" s="2">
        <f t="shared" si="6"/>
        <v>10.8</v>
      </c>
    </row>
    <row r="250" spans="1:7" s="22" customFormat="1" x14ac:dyDescent="0.25">
      <c r="A250" s="6">
        <v>43658</v>
      </c>
      <c r="B250" s="63"/>
      <c r="C250" s="22" t="s">
        <v>58</v>
      </c>
      <c r="D250" s="63"/>
      <c r="E250" s="178" t="s">
        <v>256</v>
      </c>
      <c r="F250" s="2">
        <v>330</v>
      </c>
      <c r="G250" s="2">
        <f t="shared" si="6"/>
        <v>31.32</v>
      </c>
    </row>
    <row r="251" spans="1:7" s="22" customFormat="1" x14ac:dyDescent="0.25">
      <c r="A251" s="6">
        <v>43659</v>
      </c>
      <c r="B251" s="63">
        <v>923</v>
      </c>
      <c r="C251" s="22" t="s">
        <v>268</v>
      </c>
      <c r="D251" s="63"/>
      <c r="E251" s="178" t="s">
        <v>107</v>
      </c>
      <c r="F251" s="2">
        <v>0</v>
      </c>
      <c r="G251" s="2">
        <f t="shared" si="6"/>
        <v>10</v>
      </c>
    </row>
    <row r="252" spans="1:7" s="22" customFormat="1" x14ac:dyDescent="0.25">
      <c r="A252" s="6">
        <v>43661</v>
      </c>
      <c r="B252" s="63">
        <v>926</v>
      </c>
      <c r="C252" s="22" t="s">
        <v>269</v>
      </c>
      <c r="D252" s="63"/>
      <c r="E252" s="178" t="s">
        <v>53</v>
      </c>
      <c r="F252" s="2">
        <v>100</v>
      </c>
      <c r="G252" s="2">
        <f t="shared" si="6"/>
        <v>25.4</v>
      </c>
    </row>
    <row r="253" spans="1:7" s="22" customFormat="1" x14ac:dyDescent="0.25">
      <c r="A253" s="6">
        <v>43662</v>
      </c>
      <c r="B253" s="63">
        <v>926</v>
      </c>
      <c r="C253" s="22" t="s">
        <v>269</v>
      </c>
      <c r="D253" s="63"/>
      <c r="E253" s="178"/>
      <c r="F253" s="2">
        <v>900</v>
      </c>
      <c r="G253" s="2">
        <f t="shared" si="6"/>
        <v>3.6</v>
      </c>
    </row>
    <row r="254" spans="1:7" s="22" customFormat="1" x14ac:dyDescent="0.25">
      <c r="A254" s="6">
        <v>43662</v>
      </c>
      <c r="B254" s="63">
        <v>1278</v>
      </c>
      <c r="C254" s="22" t="s">
        <v>274</v>
      </c>
      <c r="D254" s="63"/>
      <c r="E254" s="178"/>
      <c r="F254" s="2">
        <v>850</v>
      </c>
      <c r="G254" s="2">
        <f t="shared" si="6"/>
        <v>3.4</v>
      </c>
    </row>
    <row r="255" spans="1:7" x14ac:dyDescent="0.25">
      <c r="A255" s="6">
        <v>43662</v>
      </c>
      <c r="B255" s="63">
        <v>630</v>
      </c>
      <c r="C255" t="s">
        <v>238</v>
      </c>
      <c r="F255" s="2">
        <v>1000</v>
      </c>
      <c r="G255" s="2">
        <f t="shared" si="6"/>
        <v>4</v>
      </c>
    </row>
    <row r="256" spans="1:7" s="22" customFormat="1" x14ac:dyDescent="0.25">
      <c r="A256" s="6">
        <v>43662</v>
      </c>
      <c r="B256" s="63">
        <v>928</v>
      </c>
      <c r="C256" s="22" t="s">
        <v>275</v>
      </c>
      <c r="D256" s="63"/>
      <c r="E256" s="178" t="s">
        <v>66</v>
      </c>
      <c r="F256" s="2">
        <v>100</v>
      </c>
      <c r="G256" s="2">
        <f t="shared" si="6"/>
        <v>25.4</v>
      </c>
    </row>
    <row r="257" spans="1:10" s="22" customFormat="1" x14ac:dyDescent="0.25">
      <c r="A257" s="6">
        <v>43662</v>
      </c>
      <c r="B257" s="63">
        <v>929</v>
      </c>
      <c r="C257" s="22" t="s">
        <v>276</v>
      </c>
      <c r="D257" s="63"/>
      <c r="E257" s="178" t="s">
        <v>66</v>
      </c>
      <c r="F257" s="2">
        <v>100</v>
      </c>
      <c r="G257" s="2">
        <f t="shared" si="6"/>
        <v>25.4</v>
      </c>
    </row>
    <row r="258" spans="1:10" s="22" customFormat="1" x14ac:dyDescent="0.25">
      <c r="A258" s="6">
        <v>43663</v>
      </c>
      <c r="B258" s="63">
        <v>930</v>
      </c>
      <c r="C258" s="22" t="s">
        <v>279</v>
      </c>
      <c r="D258" s="63"/>
      <c r="E258" s="178" t="s">
        <v>66</v>
      </c>
      <c r="F258" s="2">
        <v>1000</v>
      </c>
      <c r="G258" s="2">
        <f t="shared" si="6"/>
        <v>29</v>
      </c>
    </row>
    <row r="259" spans="1:10" s="22" customFormat="1" x14ac:dyDescent="0.25">
      <c r="A259" s="6">
        <v>43663</v>
      </c>
      <c r="B259" s="63"/>
      <c r="C259" s="22" t="s">
        <v>97</v>
      </c>
      <c r="D259" s="63"/>
      <c r="E259" s="178"/>
      <c r="F259" s="2">
        <v>6500</v>
      </c>
      <c r="G259" s="2">
        <f t="shared" si="6"/>
        <v>20</v>
      </c>
    </row>
    <row r="260" spans="1:10" s="22" customFormat="1" x14ac:dyDescent="0.25">
      <c r="A260" s="6">
        <v>43663</v>
      </c>
      <c r="B260" s="63">
        <v>504</v>
      </c>
      <c r="C260" s="22" t="s">
        <v>3</v>
      </c>
      <c r="D260" s="63"/>
      <c r="E260" s="178"/>
      <c r="F260" s="2">
        <v>5000</v>
      </c>
      <c r="G260" s="2">
        <f t="shared" si="6"/>
        <v>20</v>
      </c>
    </row>
    <row r="261" spans="1:10" s="22" customFormat="1" x14ac:dyDescent="0.25">
      <c r="A261" s="6">
        <v>43663</v>
      </c>
      <c r="B261" s="63">
        <v>931</v>
      </c>
      <c r="C261" s="22" t="s">
        <v>282</v>
      </c>
      <c r="D261" s="63"/>
      <c r="E261" s="178" t="s">
        <v>66</v>
      </c>
      <c r="F261" s="2">
        <v>500</v>
      </c>
      <c r="G261" s="2">
        <f t="shared" si="6"/>
        <v>27</v>
      </c>
    </row>
    <row r="262" spans="1:10" s="22" customFormat="1" x14ac:dyDescent="0.25">
      <c r="A262" s="6">
        <v>43664</v>
      </c>
      <c r="B262" s="63">
        <v>934</v>
      </c>
      <c r="C262" s="22" t="s">
        <v>287</v>
      </c>
      <c r="D262" s="63"/>
      <c r="E262" s="178" t="s">
        <v>107</v>
      </c>
      <c r="F262" s="2">
        <v>0</v>
      </c>
      <c r="G262" s="2">
        <f t="shared" si="6"/>
        <v>10</v>
      </c>
    </row>
    <row r="263" spans="1:10" s="22" customFormat="1" x14ac:dyDescent="0.25">
      <c r="A263" s="6">
        <v>43664</v>
      </c>
      <c r="B263" s="63">
        <v>935</v>
      </c>
      <c r="C263" s="22" t="s">
        <v>286</v>
      </c>
      <c r="D263" s="63"/>
      <c r="E263" s="178" t="s">
        <v>107</v>
      </c>
      <c r="F263" s="2">
        <v>0</v>
      </c>
      <c r="G263" s="2">
        <f t="shared" si="6"/>
        <v>10</v>
      </c>
    </row>
    <row r="264" spans="1:10" s="22" customFormat="1" x14ac:dyDescent="0.25">
      <c r="A264" s="6">
        <v>43666</v>
      </c>
      <c r="B264" s="63">
        <v>940</v>
      </c>
      <c r="C264" s="22" t="s">
        <v>290</v>
      </c>
      <c r="D264" s="63"/>
      <c r="E264" s="178" t="s">
        <v>66</v>
      </c>
      <c r="F264" s="2">
        <v>200</v>
      </c>
      <c r="G264" s="2">
        <f t="shared" si="6"/>
        <v>25.8</v>
      </c>
    </row>
    <row r="265" spans="1:10" s="22" customFormat="1" x14ac:dyDescent="0.25">
      <c r="A265" s="6">
        <v>43668</v>
      </c>
      <c r="B265" s="63">
        <v>923</v>
      </c>
      <c r="C265" s="22" t="s">
        <v>291</v>
      </c>
      <c r="D265" s="63"/>
      <c r="E265" s="178"/>
      <c r="F265" s="2">
        <v>400</v>
      </c>
      <c r="G265" s="2">
        <f t="shared" si="6"/>
        <v>1.6</v>
      </c>
    </row>
    <row r="266" spans="1:10" s="22" customFormat="1" x14ac:dyDescent="0.25">
      <c r="A266" s="6">
        <v>43669</v>
      </c>
      <c r="B266" s="63"/>
      <c r="C266" s="22" t="s">
        <v>292</v>
      </c>
      <c r="D266" s="63"/>
      <c r="E266" s="178"/>
      <c r="F266" s="2">
        <v>1950</v>
      </c>
      <c r="G266" s="2">
        <f t="shared" si="6"/>
        <v>7.8</v>
      </c>
    </row>
    <row r="267" spans="1:10" s="22" customFormat="1" x14ac:dyDescent="0.25">
      <c r="A267" s="6">
        <v>43669</v>
      </c>
      <c r="B267" s="63">
        <v>504</v>
      </c>
      <c r="C267" s="22" t="s">
        <v>231</v>
      </c>
      <c r="D267" s="63"/>
      <c r="E267" s="178"/>
      <c r="F267" s="2">
        <v>1000</v>
      </c>
      <c r="G267" s="2">
        <f t="shared" si="6"/>
        <v>4</v>
      </c>
    </row>
    <row r="268" spans="1:10" s="22" customFormat="1" x14ac:dyDescent="0.25">
      <c r="A268" s="6">
        <v>43670</v>
      </c>
      <c r="B268" s="63">
        <v>944</v>
      </c>
      <c r="C268" s="22" t="s">
        <v>296</v>
      </c>
      <c r="D268" s="63"/>
      <c r="E268" s="178" t="s">
        <v>66</v>
      </c>
      <c r="F268" s="2">
        <v>200</v>
      </c>
      <c r="G268" s="2">
        <f t="shared" si="6"/>
        <v>25.8</v>
      </c>
    </row>
    <row r="269" spans="1:10" s="22" customFormat="1" x14ac:dyDescent="0.25">
      <c r="A269" s="6">
        <v>43671</v>
      </c>
      <c r="B269" s="63">
        <v>672</v>
      </c>
      <c r="C269" s="22" t="s">
        <v>297</v>
      </c>
      <c r="D269" s="63"/>
      <c r="E269" s="178"/>
      <c r="F269" s="2">
        <v>3000</v>
      </c>
      <c r="G269" s="2">
        <f t="shared" si="6"/>
        <v>12</v>
      </c>
    </row>
    <row r="270" spans="1:10" s="22" customFormat="1" x14ac:dyDescent="0.25">
      <c r="A270" s="6">
        <v>43671</v>
      </c>
      <c r="B270" s="63">
        <v>374</v>
      </c>
      <c r="C270" s="22" t="s">
        <v>114</v>
      </c>
      <c r="D270" s="63"/>
      <c r="E270" s="178"/>
      <c r="F270" s="2">
        <v>300</v>
      </c>
      <c r="G270" s="2">
        <f>IF(E270="y",25,IF(OR(E270="N", E270="RD"),10,0))+IF(F270&gt;5000,20,F270*0.4%)+IF(E270="PMSBY",1,IF(E270="PMJJBY",30,0))</f>
        <v>1.2</v>
      </c>
    </row>
    <row r="272" spans="1:10" x14ac:dyDescent="0.25">
      <c r="A272" s="12"/>
      <c r="B272" s="65"/>
      <c r="C272" s="12"/>
      <c r="D272" s="65"/>
      <c r="E272" s="9">
        <f>COUNTIF(E230:E271,"Y")+COUNTIF(E230:E271,"N")</f>
        <v>15</v>
      </c>
      <c r="F272" s="14">
        <f>SUM(F230:F271)</f>
        <v>57634</v>
      </c>
      <c r="G272" s="14">
        <f>SUM(G230:G271)</f>
        <v>646.53599999999994</v>
      </c>
      <c r="H272" s="14">
        <f>G272*0.8</f>
        <v>517.22879999999998</v>
      </c>
      <c r="I272" s="14">
        <f>H272*0.95</f>
        <v>491.36735999999996</v>
      </c>
      <c r="J272">
        <v>495.98</v>
      </c>
    </row>
    <row r="274" spans="1:7" x14ac:dyDescent="0.25">
      <c r="A274" s="6">
        <v>43678</v>
      </c>
      <c r="C274" t="s">
        <v>72</v>
      </c>
      <c r="F274" s="2">
        <v>800</v>
      </c>
      <c r="G274" s="2">
        <f>IF(E274="y",25,IF(OR(E274="N", E274="RD",E274="I"),10,0))+IF(F274&gt;5000,20,F274*0.4%)+IF(E274="PMSBY",1,IF(E274="PMJJBY",30,0))</f>
        <v>3.2</v>
      </c>
    </row>
    <row r="275" spans="1:7" x14ac:dyDescent="0.25">
      <c r="A275" s="6">
        <v>43678</v>
      </c>
      <c r="B275" s="63">
        <v>636</v>
      </c>
      <c r="C275" t="s">
        <v>3</v>
      </c>
      <c r="F275" s="2">
        <v>200</v>
      </c>
      <c r="G275" s="2">
        <f t="shared" ref="G275:G296" si="7">IF(E275="y",25,IF(OR(E275="N", E275="RD",E275="I"),10,0))+IF(F275&gt;5000,20,F275*0.4%)+IF(E275="PMSBY",1,IF(E275="PMJJBY",30,0))</f>
        <v>0.8</v>
      </c>
    </row>
    <row r="276" spans="1:7" x14ac:dyDescent="0.25">
      <c r="A276" s="6">
        <v>43681</v>
      </c>
      <c r="B276" s="63">
        <v>627</v>
      </c>
      <c r="C276" t="s">
        <v>129</v>
      </c>
      <c r="F276" s="2">
        <v>1500</v>
      </c>
      <c r="G276" s="2">
        <f t="shared" si="7"/>
        <v>6</v>
      </c>
    </row>
    <row r="277" spans="1:7" x14ac:dyDescent="0.25">
      <c r="A277" s="6">
        <v>43681</v>
      </c>
      <c r="C277" t="s">
        <v>72</v>
      </c>
      <c r="F277" s="2">
        <v>1600</v>
      </c>
      <c r="G277" s="2">
        <f t="shared" si="7"/>
        <v>6.4</v>
      </c>
    </row>
    <row r="278" spans="1:7" x14ac:dyDescent="0.25">
      <c r="A278" s="6">
        <v>43682</v>
      </c>
      <c r="B278" s="63">
        <v>960</v>
      </c>
      <c r="C278" t="s">
        <v>300</v>
      </c>
      <c r="E278" s="178" t="s">
        <v>66</v>
      </c>
      <c r="F278" s="2">
        <v>100</v>
      </c>
      <c r="G278" s="2">
        <f t="shared" si="7"/>
        <v>25.4</v>
      </c>
    </row>
    <row r="279" spans="1:7" x14ac:dyDescent="0.25">
      <c r="A279" s="6">
        <v>43684</v>
      </c>
      <c r="B279" s="63">
        <v>630</v>
      </c>
      <c r="C279" t="s">
        <v>238</v>
      </c>
      <c r="F279" s="2">
        <v>7500</v>
      </c>
      <c r="G279" s="2">
        <f t="shared" si="7"/>
        <v>20</v>
      </c>
    </row>
    <row r="280" spans="1:7" s="22" customFormat="1" x14ac:dyDescent="0.25">
      <c r="A280" s="6">
        <v>43684</v>
      </c>
      <c r="B280" s="63">
        <v>964</v>
      </c>
      <c r="C280" s="22" t="s">
        <v>300</v>
      </c>
      <c r="D280" s="63"/>
      <c r="E280" s="178" t="s">
        <v>66</v>
      </c>
      <c r="F280" s="2">
        <v>2000</v>
      </c>
      <c r="G280" s="2">
        <f t="shared" si="7"/>
        <v>33</v>
      </c>
    </row>
    <row r="281" spans="1:7" x14ac:dyDescent="0.25">
      <c r="A281" s="6">
        <v>43685</v>
      </c>
      <c r="C281" t="s">
        <v>304</v>
      </c>
      <c r="F281" s="2">
        <v>6000</v>
      </c>
      <c r="G281" s="2">
        <f t="shared" si="7"/>
        <v>20</v>
      </c>
    </row>
    <row r="282" spans="1:7" x14ac:dyDescent="0.25">
      <c r="A282" s="6">
        <v>43685</v>
      </c>
      <c r="B282" s="63">
        <v>374</v>
      </c>
      <c r="C282" t="s">
        <v>305</v>
      </c>
      <c r="F282" s="2">
        <v>4000</v>
      </c>
      <c r="G282" s="2">
        <f t="shared" si="7"/>
        <v>16</v>
      </c>
    </row>
    <row r="283" spans="1:7" x14ac:dyDescent="0.25">
      <c r="A283" s="6">
        <v>43685</v>
      </c>
      <c r="C283" t="s">
        <v>193</v>
      </c>
      <c r="E283" s="178" t="s">
        <v>203</v>
      </c>
      <c r="F283" s="2">
        <v>4000</v>
      </c>
      <c r="G283" s="2">
        <f t="shared" si="7"/>
        <v>26</v>
      </c>
    </row>
    <row r="284" spans="1:7" x14ac:dyDescent="0.25">
      <c r="A284" s="6">
        <v>43685</v>
      </c>
      <c r="B284" s="63">
        <v>1278</v>
      </c>
      <c r="C284" t="s">
        <v>292</v>
      </c>
      <c r="F284" s="2">
        <v>1650</v>
      </c>
      <c r="G284" s="2">
        <f t="shared" si="7"/>
        <v>6.6000000000000005</v>
      </c>
    </row>
    <row r="285" spans="1:7" s="22" customFormat="1" x14ac:dyDescent="0.25">
      <c r="A285" s="6">
        <v>43686</v>
      </c>
      <c r="B285" s="63"/>
      <c r="C285" s="22" t="s">
        <v>242</v>
      </c>
      <c r="D285" s="63"/>
      <c r="E285" s="178"/>
      <c r="F285" s="2">
        <v>3000</v>
      </c>
      <c r="G285" s="2">
        <f t="shared" si="7"/>
        <v>12</v>
      </c>
    </row>
    <row r="286" spans="1:7" s="22" customFormat="1" x14ac:dyDescent="0.25">
      <c r="A286" s="6">
        <v>43686</v>
      </c>
      <c r="B286" s="63"/>
      <c r="C286" s="22" t="s">
        <v>242</v>
      </c>
      <c r="D286" s="63"/>
      <c r="E286" s="178"/>
      <c r="F286" s="2">
        <v>4000</v>
      </c>
      <c r="G286" s="2">
        <f t="shared" si="7"/>
        <v>16</v>
      </c>
    </row>
    <row r="287" spans="1:7" s="22" customFormat="1" x14ac:dyDescent="0.25">
      <c r="A287" s="6">
        <v>43687</v>
      </c>
      <c r="B287" s="63"/>
      <c r="C287" s="22" t="s">
        <v>187</v>
      </c>
      <c r="D287" s="63"/>
      <c r="E287" s="178"/>
      <c r="F287" s="2">
        <v>1000</v>
      </c>
      <c r="G287" s="2">
        <f t="shared" si="7"/>
        <v>4</v>
      </c>
    </row>
    <row r="288" spans="1:7" s="22" customFormat="1" x14ac:dyDescent="0.25">
      <c r="A288" s="6">
        <v>43689</v>
      </c>
      <c r="B288" s="63"/>
      <c r="C288" s="22" t="s">
        <v>305</v>
      </c>
      <c r="D288" s="63"/>
      <c r="E288" s="178"/>
      <c r="F288" s="2">
        <v>2400</v>
      </c>
      <c r="G288" s="2">
        <f t="shared" si="7"/>
        <v>9.6</v>
      </c>
    </row>
    <row r="289" spans="1:10" s="22" customFormat="1" x14ac:dyDescent="0.25">
      <c r="A289" s="6">
        <v>43689</v>
      </c>
      <c r="B289" s="63"/>
      <c r="C289" s="22" t="s">
        <v>129</v>
      </c>
      <c r="D289" s="63"/>
      <c r="E289" s="178"/>
      <c r="F289" s="2">
        <v>1300</v>
      </c>
      <c r="G289" s="2">
        <f t="shared" si="7"/>
        <v>5.2</v>
      </c>
    </row>
    <row r="290" spans="1:10" s="22" customFormat="1" x14ac:dyDescent="0.25">
      <c r="A290" s="6">
        <v>43689</v>
      </c>
      <c r="B290" s="63"/>
      <c r="C290" s="22" t="s">
        <v>309</v>
      </c>
      <c r="D290" s="63"/>
      <c r="E290" s="178"/>
      <c r="F290" s="2">
        <v>2000</v>
      </c>
      <c r="G290" s="2">
        <f t="shared" si="7"/>
        <v>8</v>
      </c>
    </row>
    <row r="291" spans="1:10" s="22" customFormat="1" x14ac:dyDescent="0.25">
      <c r="A291" s="6">
        <v>43693</v>
      </c>
      <c r="B291" s="63">
        <v>966</v>
      </c>
      <c r="C291" s="22" t="s">
        <v>311</v>
      </c>
      <c r="D291" s="63"/>
      <c r="E291" s="178" t="s">
        <v>66</v>
      </c>
      <c r="F291" s="2">
        <v>100</v>
      </c>
      <c r="G291" s="2">
        <f t="shared" si="7"/>
        <v>25.4</v>
      </c>
    </row>
    <row r="292" spans="1:10" s="22" customFormat="1" x14ac:dyDescent="0.25">
      <c r="A292" s="6">
        <v>43694</v>
      </c>
      <c r="B292" s="63">
        <v>969</v>
      </c>
      <c r="C292" s="22" t="s">
        <v>312</v>
      </c>
      <c r="D292" s="63"/>
      <c r="E292" s="178" t="s">
        <v>66</v>
      </c>
      <c r="F292" s="2">
        <v>100</v>
      </c>
      <c r="G292" s="2">
        <f t="shared" si="7"/>
        <v>25.4</v>
      </c>
    </row>
    <row r="293" spans="1:10" s="22" customFormat="1" x14ac:dyDescent="0.25">
      <c r="A293" s="6">
        <v>43703</v>
      </c>
      <c r="B293" s="63">
        <v>984</v>
      </c>
      <c r="C293" s="22" t="s">
        <v>313</v>
      </c>
      <c r="D293" s="63"/>
      <c r="E293" s="178" t="s">
        <v>66</v>
      </c>
      <c r="F293" s="2">
        <v>500</v>
      </c>
      <c r="G293" s="2">
        <f t="shared" si="7"/>
        <v>27</v>
      </c>
    </row>
    <row r="294" spans="1:10" s="22" customFormat="1" x14ac:dyDescent="0.25">
      <c r="A294" s="6">
        <v>43703</v>
      </c>
      <c r="B294" s="63"/>
      <c r="C294" s="22" t="s">
        <v>161</v>
      </c>
      <c r="D294" s="63"/>
      <c r="E294" s="178"/>
      <c r="F294" s="2">
        <v>2200</v>
      </c>
      <c r="G294" s="2">
        <f t="shared" si="7"/>
        <v>8.8000000000000007</v>
      </c>
    </row>
    <row r="295" spans="1:10" s="22" customFormat="1" x14ac:dyDescent="0.25">
      <c r="A295" s="6">
        <v>43703</v>
      </c>
      <c r="B295" s="63">
        <v>504</v>
      </c>
      <c r="C295" s="22" t="s">
        <v>161</v>
      </c>
      <c r="D295" s="63"/>
      <c r="E295" s="178"/>
      <c r="F295" s="2">
        <v>4000</v>
      </c>
      <c r="G295" s="2">
        <f t="shared" si="7"/>
        <v>16</v>
      </c>
    </row>
    <row r="296" spans="1:10" s="22" customFormat="1" x14ac:dyDescent="0.25">
      <c r="A296" s="6">
        <v>43706</v>
      </c>
      <c r="B296" s="63"/>
      <c r="C296" s="22" t="s">
        <v>156</v>
      </c>
      <c r="D296" s="63"/>
      <c r="E296" s="178"/>
      <c r="F296" s="2">
        <v>500</v>
      </c>
      <c r="G296" s="2">
        <f t="shared" si="7"/>
        <v>2</v>
      </c>
    </row>
    <row r="298" spans="1:10" x14ac:dyDescent="0.25">
      <c r="A298" s="13"/>
      <c r="B298" s="67"/>
      <c r="C298" s="13"/>
      <c r="D298" s="67"/>
      <c r="E298" s="9">
        <f>COUNTIF(E274:E297,"Y")</f>
        <v>5</v>
      </c>
      <c r="F298" s="13">
        <f>SUM(F274:F297)</f>
        <v>50450</v>
      </c>
      <c r="G298" s="13">
        <f>SUM(G274:G297)</f>
        <v>322.8</v>
      </c>
      <c r="H298" s="13">
        <f>G298*0.8</f>
        <v>258.24</v>
      </c>
      <c r="I298" s="13">
        <f>H298*0.95</f>
        <v>245.328</v>
      </c>
      <c r="J298">
        <v>261.29000000000002</v>
      </c>
    </row>
    <row r="302" spans="1:10" x14ac:dyDescent="0.25">
      <c r="A302" s="6">
        <v>43713</v>
      </c>
    </row>
    <row r="303" spans="1:10" x14ac:dyDescent="0.25">
      <c r="A303" s="6">
        <v>43711</v>
      </c>
      <c r="C303" t="s">
        <v>71</v>
      </c>
      <c r="F303">
        <v>300</v>
      </c>
      <c r="G303" s="3">
        <f t="shared" ref="G303:G322" si="8">IF(E303="y",25,IF(OR(E303="N", E303="RD",E303="I"),10,0))+IF(F303&gt;5000,20,F303*0.4%)+IF(E303="PMSBY",1,IF(E303="PMJJBY",30,0))</f>
        <v>1.2</v>
      </c>
    </row>
    <row r="304" spans="1:10" x14ac:dyDescent="0.25">
      <c r="A304" s="6">
        <v>43712</v>
      </c>
      <c r="C304" t="s">
        <v>161</v>
      </c>
      <c r="F304">
        <v>7000</v>
      </c>
      <c r="G304" s="3">
        <f t="shared" si="8"/>
        <v>20</v>
      </c>
    </row>
    <row r="305" spans="1:7" x14ac:dyDescent="0.25">
      <c r="A305" s="6">
        <v>43712</v>
      </c>
      <c r="C305" t="s">
        <v>161</v>
      </c>
      <c r="F305">
        <v>200</v>
      </c>
      <c r="G305" s="3">
        <f t="shared" si="8"/>
        <v>0.8</v>
      </c>
    </row>
    <row r="306" spans="1:7" x14ac:dyDescent="0.25">
      <c r="A306" s="6">
        <v>43713</v>
      </c>
      <c r="C306" t="s">
        <v>161</v>
      </c>
      <c r="F306">
        <v>400</v>
      </c>
      <c r="G306" s="3">
        <f t="shared" si="8"/>
        <v>1.6</v>
      </c>
    </row>
    <row r="307" spans="1:7" x14ac:dyDescent="0.25">
      <c r="A307" s="6">
        <v>43713</v>
      </c>
      <c r="C307" t="s">
        <v>161</v>
      </c>
      <c r="E307" s="178" t="s">
        <v>66</v>
      </c>
      <c r="F307">
        <v>100</v>
      </c>
      <c r="G307" s="3">
        <f t="shared" si="8"/>
        <v>25.4</v>
      </c>
    </row>
    <row r="308" spans="1:7" x14ac:dyDescent="0.25">
      <c r="A308" s="6">
        <v>43714</v>
      </c>
      <c r="C308" t="s">
        <v>95</v>
      </c>
      <c r="F308">
        <v>1000</v>
      </c>
      <c r="G308" s="3">
        <f t="shared" si="8"/>
        <v>4</v>
      </c>
    </row>
    <row r="309" spans="1:7" x14ac:dyDescent="0.25">
      <c r="A309" s="6">
        <v>43714</v>
      </c>
      <c r="C309" t="s">
        <v>95</v>
      </c>
      <c r="F309">
        <v>500</v>
      </c>
      <c r="G309" s="3">
        <f t="shared" si="8"/>
        <v>2</v>
      </c>
    </row>
    <row r="310" spans="1:7" x14ac:dyDescent="0.25">
      <c r="A310" s="6">
        <v>43714</v>
      </c>
      <c r="C310" t="s">
        <v>161</v>
      </c>
      <c r="F310">
        <v>2000</v>
      </c>
      <c r="G310" s="3">
        <f t="shared" si="8"/>
        <v>8</v>
      </c>
    </row>
    <row r="311" spans="1:7" x14ac:dyDescent="0.25">
      <c r="A311" s="6">
        <v>43718</v>
      </c>
      <c r="C311" t="s">
        <v>161</v>
      </c>
      <c r="F311">
        <v>300</v>
      </c>
      <c r="G311" s="3">
        <f t="shared" si="8"/>
        <v>1.2</v>
      </c>
    </row>
    <row r="312" spans="1:7" x14ac:dyDescent="0.25">
      <c r="A312" s="6">
        <v>43721</v>
      </c>
      <c r="C312" t="s">
        <v>317</v>
      </c>
      <c r="F312">
        <v>2010</v>
      </c>
      <c r="G312" s="3">
        <f t="shared" si="8"/>
        <v>8.0400000000000009</v>
      </c>
    </row>
    <row r="313" spans="1:7" x14ac:dyDescent="0.25">
      <c r="A313" s="6">
        <v>43721</v>
      </c>
      <c r="C313" t="s">
        <v>307</v>
      </c>
      <c r="F313">
        <v>1500</v>
      </c>
      <c r="G313" s="3">
        <f t="shared" si="8"/>
        <v>6</v>
      </c>
    </row>
    <row r="314" spans="1:7" x14ac:dyDescent="0.25">
      <c r="A314" s="6">
        <v>43724</v>
      </c>
      <c r="C314" t="s">
        <v>318</v>
      </c>
      <c r="F314">
        <v>600</v>
      </c>
      <c r="G314" s="3">
        <f t="shared" si="8"/>
        <v>2.4</v>
      </c>
    </row>
    <row r="315" spans="1:7" x14ac:dyDescent="0.25">
      <c r="A315" s="6">
        <v>43724</v>
      </c>
      <c r="C315" t="s">
        <v>48</v>
      </c>
      <c r="F315">
        <v>200</v>
      </c>
      <c r="G315" s="3">
        <f t="shared" si="8"/>
        <v>0.8</v>
      </c>
    </row>
    <row r="316" spans="1:7" x14ac:dyDescent="0.25">
      <c r="A316" s="6">
        <v>43726</v>
      </c>
      <c r="B316" s="63">
        <v>1005</v>
      </c>
      <c r="C316" t="s">
        <v>320</v>
      </c>
      <c r="E316" s="178" t="s">
        <v>66</v>
      </c>
      <c r="F316" s="2">
        <v>500</v>
      </c>
      <c r="G316" s="2">
        <f t="shared" si="8"/>
        <v>27</v>
      </c>
    </row>
    <row r="317" spans="1:7" x14ac:dyDescent="0.25">
      <c r="A317" s="6">
        <v>43728</v>
      </c>
      <c r="C317" t="s">
        <v>48</v>
      </c>
      <c r="F317" s="2">
        <v>2000</v>
      </c>
      <c r="G317" s="2">
        <f t="shared" si="8"/>
        <v>8</v>
      </c>
    </row>
    <row r="318" spans="1:7" x14ac:dyDescent="0.25">
      <c r="A318" s="6">
        <v>43728</v>
      </c>
      <c r="C318" t="s">
        <v>48</v>
      </c>
      <c r="F318" s="2">
        <v>5000</v>
      </c>
      <c r="G318" s="2">
        <f t="shared" si="8"/>
        <v>20</v>
      </c>
    </row>
    <row r="319" spans="1:7" x14ac:dyDescent="0.25">
      <c r="A319" s="6">
        <v>43731</v>
      </c>
      <c r="B319" s="63">
        <v>1013</v>
      </c>
      <c r="C319" t="s">
        <v>74</v>
      </c>
      <c r="E319" s="178" t="s">
        <v>66</v>
      </c>
      <c r="F319" s="2">
        <v>200</v>
      </c>
      <c r="G319" s="2">
        <f t="shared" si="8"/>
        <v>25.8</v>
      </c>
    </row>
    <row r="320" spans="1:7" x14ac:dyDescent="0.25">
      <c r="A320" s="6">
        <v>43731</v>
      </c>
      <c r="B320" s="63">
        <v>1014</v>
      </c>
      <c r="C320" s="22" t="s">
        <v>74</v>
      </c>
      <c r="E320" s="178" t="s">
        <v>66</v>
      </c>
      <c r="F320" s="2">
        <v>200</v>
      </c>
      <c r="G320" s="2">
        <f t="shared" si="8"/>
        <v>25.8</v>
      </c>
    </row>
    <row r="321" spans="1:10" x14ac:dyDescent="0.25">
      <c r="A321" s="6">
        <v>43732</v>
      </c>
      <c r="B321" s="63">
        <v>682</v>
      </c>
      <c r="C321" t="s">
        <v>129</v>
      </c>
      <c r="F321" s="2">
        <v>2080</v>
      </c>
      <c r="G321" s="2">
        <f t="shared" si="8"/>
        <v>8.32</v>
      </c>
    </row>
    <row r="322" spans="1:10" x14ac:dyDescent="0.25">
      <c r="A322" s="6">
        <v>43738</v>
      </c>
      <c r="C322" t="s">
        <v>72</v>
      </c>
      <c r="F322" s="2">
        <v>2000</v>
      </c>
      <c r="G322" s="2">
        <f t="shared" si="8"/>
        <v>8</v>
      </c>
    </row>
    <row r="323" spans="1:10" x14ac:dyDescent="0.25">
      <c r="A323" s="12"/>
      <c r="B323" s="64"/>
      <c r="C323" s="8"/>
      <c r="D323" s="64"/>
      <c r="E323" s="9">
        <f>COUNTIF(E299:E322,"Y")</f>
        <v>4</v>
      </c>
      <c r="F323" s="24">
        <f>SUM(F299:F322)</f>
        <v>28090</v>
      </c>
      <c r="G323" s="14">
        <f>SUM(G303:G322)</f>
        <v>204.36</v>
      </c>
      <c r="H323" s="8">
        <f>G323*0.8</f>
        <v>163.48800000000003</v>
      </c>
      <c r="I323" s="8">
        <f>H323*0.95</f>
        <v>155.31360000000001</v>
      </c>
      <c r="J323">
        <v>155</v>
      </c>
    </row>
    <row r="325" spans="1:10" x14ac:dyDescent="0.25">
      <c r="A325" s="6">
        <v>43739</v>
      </c>
      <c r="C325" t="s">
        <v>270</v>
      </c>
      <c r="F325" s="2">
        <v>2300</v>
      </c>
      <c r="G325" s="3">
        <f t="shared" ref="G325:G345" si="9">IF(E325="y",25,IF(OR(E325="N", E325="RD",E325="I"),10,0))+IF(F325&gt;5000,20,F325*0.4%)+IF(E325="PMSBY",1,IF(E325="PMJJBY",30,0))</f>
        <v>9.2000000000000011</v>
      </c>
    </row>
    <row r="326" spans="1:10" x14ac:dyDescent="0.25">
      <c r="A326" s="6">
        <v>43741</v>
      </c>
      <c r="B326" s="63">
        <v>630</v>
      </c>
      <c r="C326" t="s">
        <v>270</v>
      </c>
      <c r="F326" s="2">
        <v>1500</v>
      </c>
      <c r="G326" s="3">
        <f t="shared" si="9"/>
        <v>6</v>
      </c>
    </row>
    <row r="327" spans="1:10" x14ac:dyDescent="0.25">
      <c r="A327" s="6">
        <v>43741</v>
      </c>
      <c r="B327" s="63">
        <v>1019</v>
      </c>
      <c r="C327" t="s">
        <v>74</v>
      </c>
      <c r="E327" s="178" t="s">
        <v>66</v>
      </c>
      <c r="F327" s="2">
        <v>500</v>
      </c>
      <c r="G327" s="3">
        <f t="shared" si="9"/>
        <v>27</v>
      </c>
    </row>
    <row r="328" spans="1:10" x14ac:dyDescent="0.25">
      <c r="A328" s="6">
        <v>43742</v>
      </c>
      <c r="B328" s="63">
        <v>1020</v>
      </c>
      <c r="C328" s="22" t="s">
        <v>74</v>
      </c>
      <c r="E328" s="178" t="s">
        <v>66</v>
      </c>
      <c r="F328" s="2">
        <v>1000</v>
      </c>
      <c r="G328" s="3">
        <f t="shared" si="9"/>
        <v>29</v>
      </c>
    </row>
    <row r="329" spans="1:10" x14ac:dyDescent="0.25">
      <c r="A329" s="6">
        <v>43742</v>
      </c>
      <c r="B329" s="63">
        <v>944</v>
      </c>
      <c r="C329" t="s">
        <v>270</v>
      </c>
      <c r="F329" s="2">
        <v>3000</v>
      </c>
      <c r="G329" s="3">
        <f t="shared" si="9"/>
        <v>12</v>
      </c>
    </row>
    <row r="330" spans="1:10" x14ac:dyDescent="0.25">
      <c r="A330" s="6">
        <v>43743</v>
      </c>
      <c r="B330" s="63">
        <v>1023</v>
      </c>
      <c r="C330" t="s">
        <v>74</v>
      </c>
      <c r="E330" s="178" t="s">
        <v>66</v>
      </c>
      <c r="F330" s="2">
        <v>500</v>
      </c>
      <c r="G330" s="3">
        <f t="shared" si="9"/>
        <v>27</v>
      </c>
    </row>
    <row r="331" spans="1:10" x14ac:dyDescent="0.25">
      <c r="A331" s="6">
        <v>43743</v>
      </c>
      <c r="B331" s="63">
        <v>944</v>
      </c>
      <c r="C331" t="s">
        <v>270</v>
      </c>
      <c r="F331" s="2">
        <v>2000</v>
      </c>
      <c r="G331" s="3">
        <f t="shared" si="9"/>
        <v>8</v>
      </c>
    </row>
    <row r="332" spans="1:10" x14ac:dyDescent="0.25">
      <c r="A332" s="6">
        <v>43749</v>
      </c>
      <c r="C332" t="s">
        <v>328</v>
      </c>
      <c r="F332" s="2">
        <v>4000</v>
      </c>
      <c r="G332" s="3">
        <f t="shared" si="9"/>
        <v>16</v>
      </c>
    </row>
    <row r="333" spans="1:10" s="22" customFormat="1" x14ac:dyDescent="0.25">
      <c r="A333" s="6">
        <v>43751</v>
      </c>
      <c r="B333" s="63"/>
      <c r="C333" s="22" t="s">
        <v>329</v>
      </c>
      <c r="D333" s="63"/>
      <c r="E333" s="178"/>
      <c r="F333" s="2">
        <v>5000</v>
      </c>
      <c r="G333" s="3">
        <f t="shared" si="9"/>
        <v>20</v>
      </c>
    </row>
    <row r="334" spans="1:10" s="22" customFormat="1" x14ac:dyDescent="0.25">
      <c r="A334" s="6">
        <v>43753</v>
      </c>
      <c r="B334" s="63">
        <v>1033</v>
      </c>
      <c r="D334" s="63"/>
      <c r="E334" s="178" t="s">
        <v>66</v>
      </c>
      <c r="F334" s="2">
        <v>100</v>
      </c>
      <c r="G334" s="3">
        <f t="shared" si="9"/>
        <v>25.4</v>
      </c>
    </row>
    <row r="335" spans="1:10" s="22" customFormat="1" x14ac:dyDescent="0.25">
      <c r="A335" s="6">
        <v>43753</v>
      </c>
      <c r="B335" s="63">
        <v>1034</v>
      </c>
      <c r="D335" s="63"/>
      <c r="E335" s="178" t="s">
        <v>66</v>
      </c>
      <c r="F335" s="2">
        <v>100</v>
      </c>
      <c r="G335" s="3">
        <f t="shared" si="9"/>
        <v>25.4</v>
      </c>
    </row>
    <row r="336" spans="1:10" s="22" customFormat="1" x14ac:dyDescent="0.25">
      <c r="A336" s="6">
        <v>43749</v>
      </c>
      <c r="B336" s="63">
        <v>504</v>
      </c>
      <c r="C336" s="22" t="s">
        <v>3</v>
      </c>
      <c r="D336" s="63"/>
      <c r="E336" s="178"/>
      <c r="F336" s="2">
        <v>4500</v>
      </c>
      <c r="G336" s="3">
        <f t="shared" si="9"/>
        <v>18</v>
      </c>
    </row>
    <row r="337" spans="1:10" s="22" customFormat="1" x14ac:dyDescent="0.25">
      <c r="A337" s="6">
        <v>43755</v>
      </c>
      <c r="B337" s="63">
        <v>1038</v>
      </c>
      <c r="C337" s="22" t="s">
        <v>74</v>
      </c>
      <c r="D337" s="63"/>
      <c r="E337" s="178" t="s">
        <v>66</v>
      </c>
      <c r="F337" s="2">
        <v>100</v>
      </c>
      <c r="G337" s="3">
        <f t="shared" si="9"/>
        <v>25.4</v>
      </c>
    </row>
    <row r="338" spans="1:10" s="22" customFormat="1" x14ac:dyDescent="0.25">
      <c r="A338" s="6">
        <v>43756</v>
      </c>
      <c r="B338" s="63">
        <v>1039</v>
      </c>
      <c r="C338" s="22" t="s">
        <v>74</v>
      </c>
      <c r="D338" s="63"/>
      <c r="E338" s="178" t="s">
        <v>53</v>
      </c>
      <c r="F338" s="2">
        <v>100</v>
      </c>
      <c r="G338" s="3">
        <f t="shared" si="9"/>
        <v>25.4</v>
      </c>
    </row>
    <row r="339" spans="1:10" s="22" customFormat="1" x14ac:dyDescent="0.25">
      <c r="A339" s="6">
        <v>43759</v>
      </c>
      <c r="B339" s="63">
        <v>1057</v>
      </c>
      <c r="C339" s="22" t="s">
        <v>330</v>
      </c>
      <c r="D339" s="63"/>
      <c r="E339" s="178" t="s">
        <v>66</v>
      </c>
      <c r="F339" s="2">
        <v>200</v>
      </c>
      <c r="G339" s="3">
        <f t="shared" si="9"/>
        <v>25.8</v>
      </c>
    </row>
    <row r="340" spans="1:10" s="22" customFormat="1" x14ac:dyDescent="0.25">
      <c r="A340" s="6">
        <v>43759</v>
      </c>
      <c r="B340" s="63">
        <v>1058</v>
      </c>
      <c r="C340" s="22" t="s">
        <v>331</v>
      </c>
      <c r="D340" s="63"/>
      <c r="E340" s="178" t="s">
        <v>66</v>
      </c>
      <c r="F340" s="2">
        <v>100</v>
      </c>
      <c r="G340" s="3">
        <f t="shared" si="9"/>
        <v>25.4</v>
      </c>
    </row>
    <row r="341" spans="1:10" s="22" customFormat="1" x14ac:dyDescent="0.25">
      <c r="A341" s="6">
        <v>43759</v>
      </c>
      <c r="B341" s="63">
        <v>1059</v>
      </c>
      <c r="C341" s="22" t="s">
        <v>332</v>
      </c>
      <c r="D341" s="63"/>
      <c r="E341" s="178" t="s">
        <v>66</v>
      </c>
      <c r="F341" s="2">
        <v>100</v>
      </c>
      <c r="G341" s="3">
        <f t="shared" si="9"/>
        <v>25.4</v>
      </c>
    </row>
    <row r="342" spans="1:10" s="22" customFormat="1" x14ac:dyDescent="0.25">
      <c r="A342" s="6">
        <v>43767</v>
      </c>
      <c r="B342" s="63">
        <v>1063</v>
      </c>
      <c r="C342" s="22" t="s">
        <v>333</v>
      </c>
      <c r="D342" s="63"/>
      <c r="E342" s="178" t="s">
        <v>66</v>
      </c>
      <c r="F342" s="2">
        <v>1000</v>
      </c>
      <c r="G342" s="3">
        <f t="shared" si="9"/>
        <v>29</v>
      </c>
    </row>
    <row r="343" spans="1:10" s="22" customFormat="1" x14ac:dyDescent="0.25">
      <c r="A343" s="6">
        <v>43767</v>
      </c>
      <c r="B343" s="63"/>
      <c r="C343" s="22" t="s">
        <v>71</v>
      </c>
      <c r="D343" s="63"/>
      <c r="E343" s="178"/>
      <c r="F343" s="2">
        <v>1000</v>
      </c>
      <c r="G343" s="3">
        <f t="shared" si="9"/>
        <v>4</v>
      </c>
    </row>
    <row r="344" spans="1:10" s="22" customFormat="1" x14ac:dyDescent="0.25">
      <c r="A344" s="6">
        <v>43768</v>
      </c>
      <c r="B344" s="63">
        <v>630</v>
      </c>
      <c r="C344" s="22" t="s">
        <v>19</v>
      </c>
      <c r="D344" s="63"/>
      <c r="E344" s="178"/>
      <c r="F344" s="2">
        <v>1100</v>
      </c>
      <c r="G344" s="3">
        <f t="shared" si="9"/>
        <v>4.4000000000000004</v>
      </c>
    </row>
    <row r="345" spans="1:10" s="22" customFormat="1" x14ac:dyDescent="0.25">
      <c r="A345" s="6">
        <v>43768</v>
      </c>
      <c r="B345" s="63">
        <v>1067</v>
      </c>
      <c r="C345" s="22" t="s">
        <v>160</v>
      </c>
      <c r="D345" s="63"/>
      <c r="E345" s="178" t="s">
        <v>66</v>
      </c>
      <c r="F345" s="2">
        <v>100</v>
      </c>
      <c r="G345" s="3">
        <f t="shared" si="9"/>
        <v>25.4</v>
      </c>
    </row>
    <row r="346" spans="1:10" s="22" customFormat="1" x14ac:dyDescent="0.25">
      <c r="A346" s="6">
        <v>43768</v>
      </c>
      <c r="B346" s="63">
        <v>1068</v>
      </c>
      <c r="C346" s="22" t="s">
        <v>160</v>
      </c>
      <c r="D346" s="63"/>
      <c r="E346" s="178"/>
      <c r="F346" s="2"/>
      <c r="G346" s="3"/>
    </row>
    <row r="347" spans="1:10" x14ac:dyDescent="0.25">
      <c r="G347" s="3"/>
    </row>
    <row r="348" spans="1:10" x14ac:dyDescent="0.25">
      <c r="A348" s="8"/>
      <c r="B348" s="64"/>
      <c r="C348" s="8"/>
      <c r="D348" s="64"/>
      <c r="E348" s="9">
        <f>COUNTIF(E325:E347,"Y")</f>
        <v>12</v>
      </c>
      <c r="F348" s="8">
        <f>SUM(F325:F347)</f>
        <v>28300</v>
      </c>
      <c r="G348" s="10">
        <f>SUM(G325:G347)</f>
        <v>413.19999999999993</v>
      </c>
      <c r="H348" s="8">
        <f>G348*0.8</f>
        <v>330.55999999999995</v>
      </c>
      <c r="I348" s="8">
        <f>H348*0.95</f>
        <v>314.03199999999993</v>
      </c>
      <c r="J348">
        <v>98.53</v>
      </c>
    </row>
    <row r="350" spans="1:10" x14ac:dyDescent="0.25">
      <c r="A350" s="6">
        <v>43778</v>
      </c>
      <c r="B350" s="63">
        <v>1071</v>
      </c>
      <c r="C350" t="s">
        <v>160</v>
      </c>
      <c r="E350" s="178" t="s">
        <v>66</v>
      </c>
      <c r="F350" s="2">
        <v>470</v>
      </c>
      <c r="G350" s="2">
        <f t="shared" ref="G350:G356" si="10">IF(E350="y",25,IF(OR(E350="N", E350="RD",E350="I"),10,0))+IF(F350&gt;5000,20,F350*0.4%)+IF(E350="PMSBY",1,IF(E350="PMJJBY",30,0))</f>
        <v>26.88</v>
      </c>
    </row>
    <row r="351" spans="1:10" x14ac:dyDescent="0.25">
      <c r="A351" s="6">
        <v>43780</v>
      </c>
      <c r="B351" s="63">
        <v>665</v>
      </c>
      <c r="C351" t="s">
        <v>3</v>
      </c>
      <c r="F351" s="2">
        <v>1000</v>
      </c>
      <c r="G351" s="2">
        <f t="shared" si="10"/>
        <v>4</v>
      </c>
    </row>
    <row r="352" spans="1:10" x14ac:dyDescent="0.25">
      <c r="A352" s="6">
        <v>43780</v>
      </c>
      <c r="C352" s="22" t="s">
        <v>71</v>
      </c>
      <c r="F352" s="2">
        <v>200</v>
      </c>
      <c r="G352" s="2">
        <f t="shared" si="10"/>
        <v>0.8</v>
      </c>
    </row>
    <row r="353" spans="1:10" x14ac:dyDescent="0.25">
      <c r="A353" s="6">
        <v>43789</v>
      </c>
      <c r="B353" s="63">
        <v>1076</v>
      </c>
      <c r="C353" t="s">
        <v>160</v>
      </c>
      <c r="E353" s="178" t="s">
        <v>66</v>
      </c>
      <c r="F353" s="2">
        <v>500</v>
      </c>
      <c r="G353" s="2">
        <f t="shared" si="10"/>
        <v>27</v>
      </c>
    </row>
    <row r="354" spans="1:10" x14ac:dyDescent="0.25">
      <c r="A354" s="6">
        <v>43789</v>
      </c>
      <c r="B354" s="63">
        <v>1077</v>
      </c>
      <c r="C354" s="22" t="s">
        <v>160</v>
      </c>
      <c r="E354" s="178" t="s">
        <v>66</v>
      </c>
      <c r="F354" s="2">
        <v>500</v>
      </c>
      <c r="G354" s="2">
        <f t="shared" si="10"/>
        <v>27</v>
      </c>
    </row>
    <row r="355" spans="1:10" x14ac:dyDescent="0.25">
      <c r="A355" s="6">
        <v>43790</v>
      </c>
      <c r="B355" s="63">
        <v>504</v>
      </c>
      <c r="C355" t="s">
        <v>3</v>
      </c>
      <c r="F355" s="2">
        <v>1500</v>
      </c>
      <c r="G355" s="2">
        <f t="shared" si="10"/>
        <v>6</v>
      </c>
    </row>
    <row r="356" spans="1:10" x14ac:dyDescent="0.25">
      <c r="A356" s="6">
        <v>43795</v>
      </c>
      <c r="F356" s="2">
        <v>1000</v>
      </c>
      <c r="G356" s="2">
        <f t="shared" si="10"/>
        <v>4</v>
      </c>
      <c r="H356" s="22"/>
      <c r="I356" s="22"/>
    </row>
    <row r="358" spans="1:10" x14ac:dyDescent="0.25">
      <c r="A358" s="8"/>
      <c r="B358" s="64"/>
      <c r="C358" s="8"/>
      <c r="D358" s="64"/>
      <c r="E358" s="9">
        <f>COUNTIF(E350:E357,"Y")</f>
        <v>3</v>
      </c>
      <c r="F358" s="8">
        <f>SUM(F350:F357)</f>
        <v>5170</v>
      </c>
      <c r="G358" s="8">
        <f>SUM(G350:G357)</f>
        <v>95.68</v>
      </c>
      <c r="H358" s="8">
        <f>G358*0.8</f>
        <v>76.544000000000011</v>
      </c>
      <c r="I358" s="8">
        <f>H358*0.95</f>
        <v>72.716800000000006</v>
      </c>
      <c r="J358">
        <v>51.59</v>
      </c>
    </row>
    <row r="363" spans="1:10" x14ac:dyDescent="0.25">
      <c r="A363" s="6">
        <v>43831</v>
      </c>
      <c r="B363" s="63">
        <v>944</v>
      </c>
      <c r="C363" t="s">
        <v>48</v>
      </c>
      <c r="F363" s="2">
        <v>1500</v>
      </c>
      <c r="G363" s="2">
        <f>IF(E363="y",25,IF(OR(E363="N", E363="RD",E363="I"),10,0))+IF(F363&gt;5000,20,F363*0.4%)+IF(E363="PMSBY",1,IF(E363="PMJJBY",30,0))</f>
        <v>6</v>
      </c>
    </row>
    <row r="364" spans="1:10" x14ac:dyDescent="0.25">
      <c r="A364" s="6">
        <v>43832</v>
      </c>
      <c r="C364" t="s">
        <v>121</v>
      </c>
      <c r="F364" s="2">
        <v>2000</v>
      </c>
      <c r="G364" s="2">
        <f t="shared" ref="G364:G371" si="11">IF(E364="y",25,IF(OR(E364="N", E364="RD",E364="I"),10,0))+IF(F364&gt;5000,20,F364*0.4%)+IF(E364="PMSBY",1,IF(E364="PMJJBY",30,0))</f>
        <v>8</v>
      </c>
    </row>
    <row r="365" spans="1:10" x14ac:dyDescent="0.25">
      <c r="A365" s="6">
        <v>43836</v>
      </c>
      <c r="C365" s="22" t="s">
        <v>121</v>
      </c>
      <c r="F365" s="2">
        <v>3000</v>
      </c>
      <c r="G365" s="2">
        <f t="shared" si="11"/>
        <v>12</v>
      </c>
    </row>
    <row r="366" spans="1:10" x14ac:dyDescent="0.25">
      <c r="A366" s="6">
        <v>43839</v>
      </c>
      <c r="B366" s="63">
        <v>1099</v>
      </c>
      <c r="C366" t="s">
        <v>343</v>
      </c>
      <c r="E366" s="178" t="s">
        <v>66</v>
      </c>
      <c r="F366" s="2">
        <v>500</v>
      </c>
      <c r="G366" s="2">
        <f t="shared" si="11"/>
        <v>27</v>
      </c>
    </row>
    <row r="367" spans="1:10" x14ac:dyDescent="0.25">
      <c r="A367" s="6">
        <v>43839</v>
      </c>
      <c r="C367" t="s">
        <v>344</v>
      </c>
      <c r="F367" s="2">
        <v>6000</v>
      </c>
      <c r="G367" s="2">
        <f t="shared" si="11"/>
        <v>20</v>
      </c>
    </row>
    <row r="368" spans="1:10" x14ac:dyDescent="0.25">
      <c r="A368" s="6">
        <v>43841</v>
      </c>
      <c r="C368" t="s">
        <v>346</v>
      </c>
      <c r="F368" s="2">
        <v>1000</v>
      </c>
      <c r="G368" s="2">
        <f t="shared" si="11"/>
        <v>4</v>
      </c>
    </row>
    <row r="369" spans="1:9" x14ac:dyDescent="0.25">
      <c r="A369" s="6">
        <v>43843</v>
      </c>
      <c r="B369" s="63">
        <v>1102</v>
      </c>
      <c r="C369" t="s">
        <v>300</v>
      </c>
      <c r="E369" s="178" t="s">
        <v>66</v>
      </c>
      <c r="F369" s="2">
        <v>500</v>
      </c>
      <c r="G369" s="2">
        <f t="shared" si="11"/>
        <v>27</v>
      </c>
    </row>
    <row r="370" spans="1:9" x14ac:dyDescent="0.25">
      <c r="A370" s="6">
        <v>43847</v>
      </c>
      <c r="B370" s="63">
        <v>1103</v>
      </c>
      <c r="C370" s="22" t="s">
        <v>300</v>
      </c>
      <c r="E370" s="178" t="s">
        <v>53</v>
      </c>
      <c r="F370" s="2">
        <v>100</v>
      </c>
      <c r="G370" s="2">
        <f t="shared" si="11"/>
        <v>25.4</v>
      </c>
    </row>
    <row r="371" spans="1:9" x14ac:dyDescent="0.25">
      <c r="F371" s="2">
        <v>500</v>
      </c>
      <c r="G371" s="2">
        <f t="shared" si="11"/>
        <v>2</v>
      </c>
    </row>
    <row r="373" spans="1:9" x14ac:dyDescent="0.25">
      <c r="A373" s="8"/>
      <c r="B373" s="64"/>
      <c r="C373" s="8"/>
      <c r="D373" s="64"/>
      <c r="E373" s="9"/>
      <c r="F373" s="8"/>
      <c r="G373" s="8">
        <f>SUM(G363:G372)</f>
        <v>131.4</v>
      </c>
      <c r="H373" s="8">
        <f>G373*0.8</f>
        <v>105.12</v>
      </c>
      <c r="I373" s="8">
        <f>H373:H39099</f>
        <v>105.12</v>
      </c>
    </row>
    <row r="376" spans="1:9" x14ac:dyDescent="0.25">
      <c r="A376" s="6">
        <v>43863</v>
      </c>
      <c r="F376" s="2">
        <v>3000</v>
      </c>
      <c r="G376" s="2">
        <f>IF(E376="y",25,IF(OR(E376="N", E376="RD",E376="I"),10,0))+IF(F376&gt;5000,20,F376*0.4%)+IF(E376="PMSBY",1,IF(E376="PMJJBY",30,0))</f>
        <v>12</v>
      </c>
    </row>
    <row r="377" spans="1:9" x14ac:dyDescent="0.25">
      <c r="A377" s="6">
        <v>43864</v>
      </c>
      <c r="C377" t="s">
        <v>351</v>
      </c>
      <c r="F377" s="2">
        <v>3000</v>
      </c>
      <c r="G377" s="2">
        <f t="shared" ref="G377:G416" si="12">IF(E377="y",25,IF(OR(E377="N", E377="RD",E377="I"),10,0))+IF(F377&gt;5000,20,F377*0.4%)+IF(E377="PMSBY",1,IF(E377="PMJJBY",30,0))</f>
        <v>12</v>
      </c>
    </row>
    <row r="378" spans="1:9" x14ac:dyDescent="0.25">
      <c r="A378" s="6">
        <v>43868</v>
      </c>
      <c r="F378" s="2">
        <v>4000</v>
      </c>
      <c r="G378" s="2">
        <f t="shared" si="12"/>
        <v>16</v>
      </c>
    </row>
    <row r="379" spans="1:9" x14ac:dyDescent="0.25">
      <c r="A379" s="6">
        <v>43868</v>
      </c>
      <c r="B379" s="63">
        <v>1107</v>
      </c>
      <c r="C379" t="s">
        <v>352</v>
      </c>
      <c r="E379" s="178" t="s">
        <v>66</v>
      </c>
      <c r="F379" s="2">
        <v>500</v>
      </c>
      <c r="G379" s="2">
        <f t="shared" si="12"/>
        <v>27</v>
      </c>
    </row>
    <row r="380" spans="1:9" x14ac:dyDescent="0.25">
      <c r="A380" s="6">
        <v>43871</v>
      </c>
      <c r="B380" s="63">
        <v>1111</v>
      </c>
      <c r="C380" s="22" t="s">
        <v>352</v>
      </c>
      <c r="E380" s="178" t="s">
        <v>66</v>
      </c>
      <c r="F380" s="2">
        <v>500</v>
      </c>
      <c r="G380" s="2">
        <f t="shared" si="12"/>
        <v>27</v>
      </c>
    </row>
    <row r="381" spans="1:9" x14ac:dyDescent="0.25">
      <c r="A381" s="6">
        <v>43874</v>
      </c>
      <c r="C381" t="s">
        <v>353</v>
      </c>
      <c r="F381" s="2">
        <v>500</v>
      </c>
      <c r="G381" s="2">
        <f t="shared" si="12"/>
        <v>2</v>
      </c>
    </row>
    <row r="382" spans="1:9" x14ac:dyDescent="0.25">
      <c r="A382" s="6">
        <v>43874</v>
      </c>
      <c r="B382" s="63">
        <v>1114</v>
      </c>
      <c r="C382" t="s">
        <v>352</v>
      </c>
      <c r="F382" s="2">
        <v>500</v>
      </c>
      <c r="G382" s="2">
        <f t="shared" si="12"/>
        <v>2</v>
      </c>
    </row>
    <row r="383" spans="1:9" x14ac:dyDescent="0.25">
      <c r="A383" s="6">
        <v>43874</v>
      </c>
      <c r="C383" t="s">
        <v>353</v>
      </c>
      <c r="F383" s="2">
        <v>8000</v>
      </c>
      <c r="G383" s="2">
        <f t="shared" si="12"/>
        <v>20</v>
      </c>
    </row>
    <row r="384" spans="1:9" x14ac:dyDescent="0.25">
      <c r="A384" s="6">
        <v>43874</v>
      </c>
      <c r="C384" t="s">
        <v>354</v>
      </c>
      <c r="E384" s="178" t="s">
        <v>66</v>
      </c>
      <c r="F384" s="2">
        <v>7500</v>
      </c>
      <c r="G384" s="2">
        <f t="shared" si="12"/>
        <v>45</v>
      </c>
    </row>
    <row r="385" spans="1:9" x14ac:dyDescent="0.25">
      <c r="A385" s="6">
        <v>43874</v>
      </c>
      <c r="B385" s="63">
        <v>1113</v>
      </c>
      <c r="C385" t="s">
        <v>352</v>
      </c>
      <c r="E385" s="178" t="s">
        <v>66</v>
      </c>
      <c r="F385" s="2">
        <v>200</v>
      </c>
      <c r="G385" s="2">
        <f t="shared" si="12"/>
        <v>25.8</v>
      </c>
    </row>
    <row r="386" spans="1:9" x14ac:dyDescent="0.25">
      <c r="A386" s="4" t="s">
        <v>355</v>
      </c>
      <c r="B386" s="63">
        <v>1115</v>
      </c>
      <c r="C386" s="22" t="s">
        <v>352</v>
      </c>
      <c r="E386" s="178" t="s">
        <v>53</v>
      </c>
      <c r="F386" s="2">
        <v>200</v>
      </c>
      <c r="G386" s="2">
        <f t="shared" si="12"/>
        <v>25.8</v>
      </c>
    </row>
    <row r="387" spans="1:9" x14ac:dyDescent="0.25">
      <c r="A387" s="6">
        <v>43879</v>
      </c>
      <c r="B387" s="63">
        <v>1123</v>
      </c>
      <c r="C387" s="22" t="s">
        <v>352</v>
      </c>
      <c r="E387" s="178" t="s">
        <v>53</v>
      </c>
      <c r="F387" s="2">
        <v>400</v>
      </c>
      <c r="G387" s="2">
        <f t="shared" si="12"/>
        <v>26.6</v>
      </c>
    </row>
    <row r="388" spans="1:9" x14ac:dyDescent="0.25">
      <c r="A388" s="6">
        <v>43881</v>
      </c>
      <c r="B388" s="63">
        <v>1125</v>
      </c>
      <c r="C388" s="22" t="s">
        <v>352</v>
      </c>
      <c r="E388" s="178" t="s">
        <v>53</v>
      </c>
      <c r="F388" s="2">
        <v>500</v>
      </c>
      <c r="G388" s="2">
        <f t="shared" si="12"/>
        <v>27</v>
      </c>
    </row>
    <row r="389" spans="1:9" x14ac:dyDescent="0.25">
      <c r="A389" s="6">
        <v>43881</v>
      </c>
      <c r="B389" s="63">
        <v>1126</v>
      </c>
      <c r="C389" s="22" t="s">
        <v>352</v>
      </c>
      <c r="E389" s="178" t="s">
        <v>53</v>
      </c>
      <c r="F389" s="2">
        <v>500</v>
      </c>
      <c r="G389" s="2">
        <f t="shared" si="12"/>
        <v>27</v>
      </c>
    </row>
    <row r="390" spans="1:9" x14ac:dyDescent="0.25">
      <c r="A390" s="6">
        <v>43885</v>
      </c>
      <c r="C390" t="s">
        <v>125</v>
      </c>
      <c r="F390" s="2">
        <v>2000</v>
      </c>
      <c r="G390" s="2">
        <f t="shared" si="12"/>
        <v>8</v>
      </c>
    </row>
    <row r="391" spans="1:9" x14ac:dyDescent="0.25">
      <c r="A391" s="6">
        <v>43885</v>
      </c>
      <c r="B391" s="63">
        <v>1127</v>
      </c>
      <c r="C391" t="s">
        <v>352</v>
      </c>
      <c r="E391" s="178" t="s">
        <v>66</v>
      </c>
      <c r="F391" s="2">
        <v>100</v>
      </c>
      <c r="G391" s="2">
        <f t="shared" si="12"/>
        <v>25.4</v>
      </c>
    </row>
    <row r="392" spans="1:9" x14ac:dyDescent="0.25">
      <c r="A392" s="6">
        <v>43886</v>
      </c>
      <c r="F392" s="2">
        <v>1000</v>
      </c>
      <c r="G392" s="2">
        <f t="shared" si="12"/>
        <v>4</v>
      </c>
    </row>
    <row r="393" spans="1:9" x14ac:dyDescent="0.25">
      <c r="A393" s="6">
        <v>43886</v>
      </c>
      <c r="F393" s="2">
        <v>2000</v>
      </c>
      <c r="G393" s="2">
        <f t="shared" si="12"/>
        <v>8</v>
      </c>
    </row>
    <row r="394" spans="1:9" x14ac:dyDescent="0.25">
      <c r="A394" s="6">
        <v>43886</v>
      </c>
      <c r="F394" s="2">
        <v>300</v>
      </c>
      <c r="G394" s="2">
        <f t="shared" si="12"/>
        <v>1.2</v>
      </c>
    </row>
    <row r="395" spans="1:9" x14ac:dyDescent="0.25">
      <c r="F395" s="2">
        <v>1000</v>
      </c>
      <c r="G395" s="2">
        <f t="shared" si="12"/>
        <v>4</v>
      </c>
    </row>
    <row r="396" spans="1:9" x14ac:dyDescent="0.25">
      <c r="F396" s="2">
        <v>800</v>
      </c>
      <c r="G396" s="2">
        <f t="shared" si="12"/>
        <v>3.2</v>
      </c>
    </row>
    <row r="397" spans="1:9" x14ac:dyDescent="0.25">
      <c r="A397" s="6">
        <v>43888</v>
      </c>
      <c r="B397" s="63">
        <v>1130</v>
      </c>
      <c r="C397" t="s">
        <v>356</v>
      </c>
      <c r="E397" s="178" t="s">
        <v>53</v>
      </c>
      <c r="F397" s="2">
        <v>100</v>
      </c>
      <c r="G397" s="2">
        <f t="shared" si="12"/>
        <v>25.4</v>
      </c>
    </row>
    <row r="398" spans="1:9" x14ac:dyDescent="0.25">
      <c r="A398" s="6">
        <v>43888</v>
      </c>
      <c r="B398" s="63">
        <v>1131</v>
      </c>
      <c r="C398" t="s">
        <v>356</v>
      </c>
      <c r="E398" s="178" t="s">
        <v>66</v>
      </c>
      <c r="F398" s="2">
        <v>100</v>
      </c>
      <c r="G398" s="2">
        <f t="shared" si="12"/>
        <v>25.4</v>
      </c>
    </row>
    <row r="399" spans="1:9" x14ac:dyDescent="0.25">
      <c r="A399" s="6">
        <v>43888</v>
      </c>
      <c r="F399" s="2">
        <v>2900</v>
      </c>
      <c r="G399" s="2">
        <f t="shared" si="12"/>
        <v>11.6</v>
      </c>
    </row>
    <row r="400" spans="1:9" x14ac:dyDescent="0.25">
      <c r="A400" s="8"/>
      <c r="B400" s="64"/>
      <c r="C400" s="8"/>
      <c r="D400" s="64"/>
      <c r="E400" s="9">
        <f>COUNTIF(E376:E399,"Y")</f>
        <v>11</v>
      </c>
      <c r="F400" s="8">
        <f>SUM(F376:F399)</f>
        <v>39600</v>
      </c>
      <c r="G400" s="8">
        <f>SUM(G376:G399)</f>
        <v>411.4</v>
      </c>
      <c r="H400" s="8">
        <f>G400*0.8</f>
        <v>329.12</v>
      </c>
      <c r="I400" s="8">
        <f>H400*0.95</f>
        <v>312.66399999999999</v>
      </c>
    </row>
    <row r="403" spans="1:7" x14ac:dyDescent="0.25">
      <c r="A403" s="6">
        <v>43892</v>
      </c>
      <c r="B403" s="63">
        <v>1134</v>
      </c>
      <c r="C403" t="s">
        <v>357</v>
      </c>
      <c r="E403" s="178" t="s">
        <v>66</v>
      </c>
      <c r="F403" s="2">
        <v>200</v>
      </c>
      <c r="G403" s="2">
        <f t="shared" si="12"/>
        <v>25.8</v>
      </c>
    </row>
    <row r="404" spans="1:7" x14ac:dyDescent="0.25">
      <c r="A404" s="6">
        <v>43892</v>
      </c>
      <c r="B404" s="63">
        <v>1135</v>
      </c>
      <c r="C404" s="22" t="s">
        <v>357</v>
      </c>
      <c r="E404" s="178" t="s">
        <v>66</v>
      </c>
      <c r="F404" s="2">
        <v>500</v>
      </c>
      <c r="G404" s="2">
        <f t="shared" si="12"/>
        <v>27</v>
      </c>
    </row>
    <row r="405" spans="1:7" x14ac:dyDescent="0.25">
      <c r="A405" s="6">
        <v>43893</v>
      </c>
      <c r="C405" t="s">
        <v>71</v>
      </c>
      <c r="F405" s="2">
        <v>2000</v>
      </c>
      <c r="G405" s="2">
        <f t="shared" si="12"/>
        <v>8</v>
      </c>
    </row>
    <row r="406" spans="1:7" x14ac:dyDescent="0.25">
      <c r="A406" s="6">
        <v>43896</v>
      </c>
      <c r="C406" s="22" t="s">
        <v>3</v>
      </c>
      <c r="F406" s="2">
        <v>500</v>
      </c>
      <c r="G406" s="2">
        <f t="shared" si="12"/>
        <v>2</v>
      </c>
    </row>
    <row r="407" spans="1:7" x14ac:dyDescent="0.25">
      <c r="A407" s="6">
        <v>43902</v>
      </c>
      <c r="C407" t="s">
        <v>129</v>
      </c>
      <c r="F407" s="2">
        <v>4700</v>
      </c>
      <c r="G407" s="2">
        <f t="shared" si="12"/>
        <v>18.8</v>
      </c>
    </row>
    <row r="408" spans="1:7" x14ac:dyDescent="0.25">
      <c r="A408" s="6">
        <v>43905</v>
      </c>
      <c r="C408" t="s">
        <v>71</v>
      </c>
      <c r="F408" s="2">
        <v>2900</v>
      </c>
      <c r="G408" s="2">
        <f t="shared" si="12"/>
        <v>11.6</v>
      </c>
    </row>
    <row r="409" spans="1:7" x14ac:dyDescent="0.25">
      <c r="A409" s="6">
        <v>43906</v>
      </c>
      <c r="C409" t="s">
        <v>3</v>
      </c>
      <c r="F409" s="2">
        <v>2100</v>
      </c>
      <c r="G409" s="2">
        <f t="shared" si="12"/>
        <v>8.4</v>
      </c>
    </row>
    <row r="410" spans="1:7" x14ac:dyDescent="0.25">
      <c r="A410" s="6">
        <v>43907</v>
      </c>
      <c r="C410" s="22" t="s">
        <v>3</v>
      </c>
      <c r="F410" s="2">
        <v>1500</v>
      </c>
      <c r="G410" s="2">
        <f t="shared" si="12"/>
        <v>6</v>
      </c>
    </row>
    <row r="411" spans="1:7" x14ac:dyDescent="0.25">
      <c r="A411" s="6">
        <v>43907</v>
      </c>
      <c r="C411" t="s">
        <v>71</v>
      </c>
      <c r="F411" s="2">
        <v>5000</v>
      </c>
      <c r="G411" s="2">
        <f t="shared" si="12"/>
        <v>20</v>
      </c>
    </row>
    <row r="412" spans="1:7" x14ac:dyDescent="0.25">
      <c r="A412" s="6">
        <v>43907</v>
      </c>
      <c r="B412" s="63">
        <v>1144</v>
      </c>
      <c r="E412" s="178" t="s">
        <v>66</v>
      </c>
      <c r="F412" s="2">
        <v>3000</v>
      </c>
      <c r="G412" s="2">
        <f t="shared" si="12"/>
        <v>37</v>
      </c>
    </row>
    <row r="413" spans="1:7" x14ac:dyDescent="0.25">
      <c r="A413" s="6">
        <v>43907</v>
      </c>
      <c r="B413" s="63">
        <v>1145</v>
      </c>
      <c r="E413" s="178" t="s">
        <v>66</v>
      </c>
      <c r="F413" s="2">
        <v>1000</v>
      </c>
      <c r="G413" s="2">
        <f t="shared" si="12"/>
        <v>29</v>
      </c>
    </row>
    <row r="414" spans="1:7" x14ac:dyDescent="0.25">
      <c r="A414" s="6">
        <v>43908</v>
      </c>
      <c r="B414" s="63">
        <v>1278</v>
      </c>
      <c r="C414" t="s">
        <v>362</v>
      </c>
      <c r="F414" s="2">
        <v>2000</v>
      </c>
      <c r="G414" s="2">
        <f t="shared" si="12"/>
        <v>8</v>
      </c>
    </row>
    <row r="415" spans="1:7" x14ac:dyDescent="0.25">
      <c r="A415" s="25">
        <v>43909</v>
      </c>
      <c r="B415" s="63">
        <v>1147</v>
      </c>
      <c r="E415" s="178" t="s">
        <v>66</v>
      </c>
      <c r="F415" s="2">
        <v>300</v>
      </c>
      <c r="G415" s="2">
        <f t="shared" si="12"/>
        <v>26.2</v>
      </c>
    </row>
    <row r="416" spans="1:7" x14ac:dyDescent="0.25">
      <c r="A416" s="6">
        <v>43911</v>
      </c>
      <c r="B416" s="63">
        <v>1152</v>
      </c>
      <c r="E416" s="178" t="s">
        <v>66</v>
      </c>
      <c r="F416" s="2">
        <v>300</v>
      </c>
      <c r="G416" s="2">
        <f t="shared" si="12"/>
        <v>26.2</v>
      </c>
    </row>
    <row r="418" spans="1:9" x14ac:dyDescent="0.25">
      <c r="A418" s="8"/>
      <c r="B418" s="64"/>
      <c r="C418" s="8"/>
      <c r="D418" s="64"/>
      <c r="E418" s="9">
        <f>COUNTIF(E403:E417,"Y")</f>
        <v>6</v>
      </c>
      <c r="F418" s="8">
        <f>SUM(F403:F417)</f>
        <v>26000</v>
      </c>
      <c r="G418" s="8">
        <f>SUM(G403:G417)</f>
        <v>253.99999999999997</v>
      </c>
      <c r="H418" s="8">
        <f>G418*0.8</f>
        <v>203.2</v>
      </c>
      <c r="I418" s="8"/>
    </row>
    <row r="420" spans="1:9" x14ac:dyDescent="0.25">
      <c r="A420" s="6">
        <v>43925</v>
      </c>
      <c r="B420" s="63">
        <v>1157</v>
      </c>
      <c r="E420" s="178" t="s">
        <v>66</v>
      </c>
      <c r="F420" s="2">
        <v>100</v>
      </c>
      <c r="G420" s="3">
        <f t="shared" ref="G420:G550" si="13">IF(E420="y",25,IF(OR(E420="N", E420="RD",E420="I"),10,0))+IF(F420&gt;5000,20,F420*0.4%)+IF(E420="PMSBY",1,IF(E420="PMJJBY",30,0))</f>
        <v>25.4</v>
      </c>
    </row>
    <row r="421" spans="1:9" x14ac:dyDescent="0.25">
      <c r="A421" s="6">
        <v>43927</v>
      </c>
      <c r="B421" s="63">
        <v>1159</v>
      </c>
      <c r="E421" s="178" t="s">
        <v>66</v>
      </c>
      <c r="F421" s="2">
        <v>200</v>
      </c>
      <c r="G421" s="3">
        <f t="shared" si="13"/>
        <v>25.8</v>
      </c>
    </row>
    <row r="422" spans="1:9" x14ac:dyDescent="0.25">
      <c r="A422" s="6">
        <v>43928</v>
      </c>
      <c r="B422" s="63">
        <v>1164</v>
      </c>
      <c r="E422" s="178" t="s">
        <v>66</v>
      </c>
      <c r="F422" s="2">
        <v>100</v>
      </c>
      <c r="G422" s="3">
        <f t="shared" si="13"/>
        <v>25.4</v>
      </c>
    </row>
    <row r="423" spans="1:9" x14ac:dyDescent="0.25">
      <c r="A423" s="6">
        <v>43928</v>
      </c>
      <c r="C423" t="s">
        <v>71</v>
      </c>
      <c r="F423" s="2">
        <v>1500</v>
      </c>
      <c r="G423" s="3">
        <f t="shared" si="13"/>
        <v>6</v>
      </c>
    </row>
    <row r="424" spans="1:9" x14ac:dyDescent="0.25">
      <c r="A424" s="6">
        <v>43928</v>
      </c>
      <c r="C424" s="22" t="s">
        <v>71</v>
      </c>
      <c r="F424" s="2">
        <v>500</v>
      </c>
      <c r="G424" s="3">
        <f t="shared" si="13"/>
        <v>2</v>
      </c>
    </row>
    <row r="425" spans="1:9" x14ac:dyDescent="0.25">
      <c r="A425" s="6">
        <v>43929</v>
      </c>
      <c r="B425" s="63">
        <v>1455</v>
      </c>
      <c r="C425" t="s">
        <v>370</v>
      </c>
      <c r="F425" s="2">
        <v>6500</v>
      </c>
      <c r="G425" s="3">
        <f t="shared" si="13"/>
        <v>20</v>
      </c>
    </row>
    <row r="426" spans="1:9" x14ac:dyDescent="0.25">
      <c r="A426" s="6">
        <v>43930</v>
      </c>
      <c r="B426" s="63">
        <v>1455</v>
      </c>
      <c r="C426" s="22" t="s">
        <v>370</v>
      </c>
      <c r="F426" s="2">
        <v>2000</v>
      </c>
      <c r="G426" s="3">
        <f t="shared" si="13"/>
        <v>8</v>
      </c>
    </row>
    <row r="427" spans="1:9" x14ac:dyDescent="0.25">
      <c r="A427" s="6">
        <v>43930</v>
      </c>
      <c r="B427" s="63">
        <v>1127</v>
      </c>
      <c r="C427" t="s">
        <v>71</v>
      </c>
      <c r="F427" s="2">
        <v>500</v>
      </c>
      <c r="G427" s="3">
        <f t="shared" si="13"/>
        <v>2</v>
      </c>
    </row>
    <row r="428" spans="1:9" x14ac:dyDescent="0.25">
      <c r="A428" s="6">
        <v>43930</v>
      </c>
      <c r="B428" s="63">
        <v>1166</v>
      </c>
      <c r="C428" t="s">
        <v>300</v>
      </c>
      <c r="E428" s="178" t="s">
        <v>66</v>
      </c>
      <c r="F428" s="2">
        <v>100</v>
      </c>
      <c r="G428" s="3">
        <f t="shared" si="13"/>
        <v>25.4</v>
      </c>
    </row>
    <row r="429" spans="1:9" x14ac:dyDescent="0.25">
      <c r="A429" s="6">
        <v>43930</v>
      </c>
      <c r="B429" s="63">
        <v>1167</v>
      </c>
      <c r="C429" s="22" t="s">
        <v>300</v>
      </c>
      <c r="E429" s="178" t="s">
        <v>66</v>
      </c>
      <c r="F429" s="2">
        <v>100</v>
      </c>
      <c r="G429" s="3">
        <f t="shared" si="13"/>
        <v>25.4</v>
      </c>
    </row>
    <row r="430" spans="1:9" x14ac:dyDescent="0.25">
      <c r="A430" s="6">
        <v>43930</v>
      </c>
      <c r="B430" s="63">
        <v>1168</v>
      </c>
      <c r="C430" s="22" t="s">
        <v>300</v>
      </c>
      <c r="E430" s="178" t="s">
        <v>66</v>
      </c>
      <c r="F430" s="2">
        <v>100</v>
      </c>
      <c r="G430" s="3">
        <f t="shared" si="13"/>
        <v>25.4</v>
      </c>
    </row>
    <row r="431" spans="1:9" x14ac:dyDescent="0.25">
      <c r="A431" s="6">
        <v>43930</v>
      </c>
      <c r="B431" s="63">
        <v>1169</v>
      </c>
      <c r="C431" s="22" t="s">
        <v>300</v>
      </c>
      <c r="E431" s="178" t="s">
        <v>66</v>
      </c>
      <c r="F431" s="2">
        <v>100</v>
      </c>
      <c r="G431" s="3">
        <f t="shared" si="13"/>
        <v>25.4</v>
      </c>
    </row>
    <row r="432" spans="1:9" s="22" customFormat="1" x14ac:dyDescent="0.25">
      <c r="A432" s="6">
        <v>43932</v>
      </c>
      <c r="B432" s="63"/>
      <c r="C432" s="22" t="s">
        <v>176</v>
      </c>
      <c r="D432" s="63"/>
      <c r="E432" s="178"/>
      <c r="F432" s="2">
        <v>1500</v>
      </c>
      <c r="G432" s="3">
        <f t="shared" si="13"/>
        <v>6</v>
      </c>
    </row>
    <row r="433" spans="1:7" s="22" customFormat="1" x14ac:dyDescent="0.25">
      <c r="A433" s="6">
        <v>43932</v>
      </c>
      <c r="B433" s="63">
        <v>1179</v>
      </c>
      <c r="C433" s="22" t="s">
        <v>300</v>
      </c>
      <c r="D433" s="63"/>
      <c r="E433" s="178" t="s">
        <v>66</v>
      </c>
      <c r="F433" s="2">
        <v>100</v>
      </c>
      <c r="G433" s="3">
        <f t="shared" si="13"/>
        <v>25.4</v>
      </c>
    </row>
    <row r="434" spans="1:7" s="22" customFormat="1" x14ac:dyDescent="0.25">
      <c r="A434" s="6">
        <v>43932</v>
      </c>
      <c r="B434" s="63">
        <v>1181</v>
      </c>
      <c r="C434" s="22" t="s">
        <v>300</v>
      </c>
      <c r="D434" s="63"/>
      <c r="E434" s="178" t="s">
        <v>107</v>
      </c>
      <c r="F434" s="2">
        <v>0</v>
      </c>
      <c r="G434" s="3">
        <f t="shared" si="13"/>
        <v>10</v>
      </c>
    </row>
    <row r="435" spans="1:7" s="22" customFormat="1" x14ac:dyDescent="0.25">
      <c r="A435" s="6">
        <v>43932</v>
      </c>
      <c r="B435" s="63">
        <v>1182</v>
      </c>
      <c r="C435" s="22" t="s">
        <v>300</v>
      </c>
      <c r="D435" s="63"/>
      <c r="E435" s="178" t="s">
        <v>107</v>
      </c>
      <c r="F435" s="2">
        <v>0</v>
      </c>
      <c r="G435" s="3">
        <f t="shared" si="13"/>
        <v>10</v>
      </c>
    </row>
    <row r="436" spans="1:7" s="22" customFormat="1" x14ac:dyDescent="0.25">
      <c r="A436" s="6">
        <v>43932</v>
      </c>
      <c r="B436" s="63">
        <v>1183</v>
      </c>
      <c r="C436" s="22" t="s">
        <v>300</v>
      </c>
      <c r="D436" s="63"/>
      <c r="E436" s="178" t="s">
        <v>107</v>
      </c>
      <c r="F436" s="2">
        <v>0</v>
      </c>
      <c r="G436" s="3">
        <f t="shared" si="13"/>
        <v>10</v>
      </c>
    </row>
    <row r="437" spans="1:7" s="22" customFormat="1" x14ac:dyDescent="0.25">
      <c r="A437" s="6">
        <v>43932</v>
      </c>
      <c r="B437" s="63">
        <v>1184</v>
      </c>
      <c r="C437" s="22" t="s">
        <v>300</v>
      </c>
      <c r="D437" s="63"/>
      <c r="E437" s="178" t="s">
        <v>107</v>
      </c>
      <c r="F437" s="2">
        <v>0</v>
      </c>
      <c r="G437" s="3">
        <f t="shared" si="13"/>
        <v>10</v>
      </c>
    </row>
    <row r="438" spans="1:7" s="22" customFormat="1" x14ac:dyDescent="0.25">
      <c r="A438" s="6">
        <v>43932</v>
      </c>
      <c r="B438" s="63">
        <v>1185</v>
      </c>
      <c r="C438" s="22" t="s">
        <v>300</v>
      </c>
      <c r="D438" s="63"/>
      <c r="E438" s="178" t="s">
        <v>107</v>
      </c>
      <c r="F438" s="2">
        <v>0</v>
      </c>
      <c r="G438" s="3">
        <f t="shared" si="13"/>
        <v>10</v>
      </c>
    </row>
    <row r="439" spans="1:7" s="22" customFormat="1" x14ac:dyDescent="0.25">
      <c r="A439" s="6">
        <v>43935</v>
      </c>
      <c r="B439" s="63"/>
      <c r="C439" s="22" t="s">
        <v>243</v>
      </c>
      <c r="D439" s="63"/>
      <c r="E439" s="178"/>
      <c r="F439" s="2">
        <v>5700</v>
      </c>
      <c r="G439" s="3">
        <f t="shared" si="13"/>
        <v>20</v>
      </c>
    </row>
    <row r="440" spans="1:7" s="22" customFormat="1" x14ac:dyDescent="0.25">
      <c r="A440" s="6">
        <v>43935</v>
      </c>
      <c r="B440" s="63"/>
      <c r="C440" s="22" t="s">
        <v>270</v>
      </c>
      <c r="D440" s="63"/>
      <c r="E440" s="178"/>
      <c r="F440" s="2">
        <v>5700</v>
      </c>
      <c r="G440" s="3">
        <f t="shared" si="13"/>
        <v>20</v>
      </c>
    </row>
    <row r="441" spans="1:7" s="22" customFormat="1" x14ac:dyDescent="0.25">
      <c r="A441" s="6">
        <v>43935</v>
      </c>
      <c r="B441" s="63"/>
      <c r="C441" s="22" t="s">
        <v>243</v>
      </c>
      <c r="D441" s="63"/>
      <c r="E441" s="178"/>
      <c r="F441" s="2">
        <v>500</v>
      </c>
      <c r="G441" s="3">
        <f t="shared" si="13"/>
        <v>2</v>
      </c>
    </row>
    <row r="442" spans="1:7" s="22" customFormat="1" x14ac:dyDescent="0.25">
      <c r="A442" s="6">
        <v>43935</v>
      </c>
      <c r="B442" s="63"/>
      <c r="C442" s="22" t="s">
        <v>243</v>
      </c>
      <c r="D442" s="63"/>
      <c r="E442" s="178"/>
      <c r="F442" s="2">
        <v>500</v>
      </c>
      <c r="G442" s="3">
        <f t="shared" si="13"/>
        <v>2</v>
      </c>
    </row>
    <row r="443" spans="1:7" s="22" customFormat="1" x14ac:dyDescent="0.25">
      <c r="A443" s="6">
        <v>43935</v>
      </c>
      <c r="B443" s="63"/>
      <c r="C443" s="22" t="s">
        <v>243</v>
      </c>
      <c r="D443" s="63"/>
      <c r="E443" s="178"/>
      <c r="F443" s="2">
        <v>500</v>
      </c>
      <c r="G443" s="3">
        <f t="shared" si="13"/>
        <v>2</v>
      </c>
    </row>
    <row r="444" spans="1:7" x14ac:dyDescent="0.25">
      <c r="A444" s="6">
        <v>43935</v>
      </c>
      <c r="B444" s="63">
        <v>1184</v>
      </c>
      <c r="C444" t="s">
        <v>378</v>
      </c>
      <c r="F444" s="2">
        <v>100</v>
      </c>
      <c r="G444" s="3">
        <f t="shared" si="13"/>
        <v>0.4</v>
      </c>
    </row>
    <row r="445" spans="1:7" s="22" customFormat="1" x14ac:dyDescent="0.25">
      <c r="A445" s="6">
        <v>43935</v>
      </c>
      <c r="B445" s="63">
        <v>1212</v>
      </c>
      <c r="C445" s="22" t="s">
        <v>379</v>
      </c>
      <c r="D445" s="63"/>
      <c r="E445" s="178" t="s">
        <v>66</v>
      </c>
      <c r="F445" s="2">
        <v>500</v>
      </c>
      <c r="G445" s="3">
        <f t="shared" si="13"/>
        <v>27</v>
      </c>
    </row>
    <row r="446" spans="1:7" s="22" customFormat="1" x14ac:dyDescent="0.25">
      <c r="A446" s="6">
        <v>43935</v>
      </c>
      <c r="B446" s="63">
        <v>1181</v>
      </c>
      <c r="C446" s="22" t="s">
        <v>270</v>
      </c>
      <c r="D446" s="63"/>
      <c r="E446" s="178"/>
      <c r="F446" s="2">
        <v>100</v>
      </c>
      <c r="G446" s="3">
        <f t="shared" si="13"/>
        <v>0.4</v>
      </c>
    </row>
    <row r="447" spans="1:7" s="22" customFormat="1" x14ac:dyDescent="0.25">
      <c r="A447" s="6">
        <v>43935</v>
      </c>
      <c r="B447" s="63">
        <v>1182</v>
      </c>
      <c r="C447" s="22" t="s">
        <v>270</v>
      </c>
      <c r="D447" s="63"/>
      <c r="E447" s="178"/>
      <c r="F447" s="2">
        <v>100</v>
      </c>
      <c r="G447" s="3">
        <f t="shared" si="13"/>
        <v>0.4</v>
      </c>
    </row>
    <row r="448" spans="1:7" s="22" customFormat="1" x14ac:dyDescent="0.25">
      <c r="A448" s="6">
        <v>43935</v>
      </c>
      <c r="B448" s="63">
        <v>1183</v>
      </c>
      <c r="C448" s="22" t="s">
        <v>270</v>
      </c>
      <c r="D448" s="63"/>
      <c r="E448" s="178"/>
      <c r="F448" s="2">
        <v>100</v>
      </c>
      <c r="G448" s="3">
        <f t="shared" si="13"/>
        <v>0.4</v>
      </c>
    </row>
    <row r="449" spans="1:7" s="22" customFormat="1" x14ac:dyDescent="0.25">
      <c r="A449" s="6">
        <v>43935</v>
      </c>
      <c r="B449" s="63">
        <v>1185</v>
      </c>
      <c r="C449" s="22" t="s">
        <v>270</v>
      </c>
      <c r="D449" s="63"/>
      <c r="E449" s="178"/>
      <c r="F449" s="2">
        <v>100</v>
      </c>
      <c r="G449" s="3">
        <f t="shared" si="13"/>
        <v>0.4</v>
      </c>
    </row>
    <row r="450" spans="1:7" s="22" customFormat="1" x14ac:dyDescent="0.25">
      <c r="A450" s="6">
        <v>43935</v>
      </c>
      <c r="B450" s="63">
        <v>1212</v>
      </c>
      <c r="C450" s="22" t="s">
        <v>300</v>
      </c>
      <c r="D450" s="63"/>
      <c r="E450" s="178" t="s">
        <v>66</v>
      </c>
      <c r="F450" s="2">
        <v>500</v>
      </c>
      <c r="G450" s="3">
        <f t="shared" si="13"/>
        <v>27</v>
      </c>
    </row>
    <row r="451" spans="1:7" s="22" customFormat="1" x14ac:dyDescent="0.25">
      <c r="A451" s="6">
        <v>43935</v>
      </c>
      <c r="B451" s="63">
        <v>1226</v>
      </c>
      <c r="D451" s="63"/>
      <c r="E451" s="178" t="s">
        <v>66</v>
      </c>
      <c r="F451" s="2">
        <v>100</v>
      </c>
      <c r="G451" s="3">
        <f t="shared" si="13"/>
        <v>25.4</v>
      </c>
    </row>
    <row r="452" spans="1:7" s="22" customFormat="1" x14ac:dyDescent="0.25">
      <c r="A452" s="6">
        <v>43935</v>
      </c>
      <c r="B452" s="63">
        <v>1228</v>
      </c>
      <c r="D452" s="63"/>
      <c r="E452" s="178" t="s">
        <v>66</v>
      </c>
      <c r="F452" s="2">
        <v>100</v>
      </c>
      <c r="G452" s="3">
        <f t="shared" si="13"/>
        <v>25.4</v>
      </c>
    </row>
    <row r="453" spans="1:7" s="22" customFormat="1" x14ac:dyDescent="0.25">
      <c r="A453" s="6">
        <v>43935</v>
      </c>
      <c r="B453" s="63">
        <v>1229</v>
      </c>
      <c r="D453" s="63"/>
      <c r="E453" s="178" t="s">
        <v>66</v>
      </c>
      <c r="F453" s="2">
        <v>100</v>
      </c>
      <c r="G453" s="3">
        <f t="shared" si="13"/>
        <v>25.4</v>
      </c>
    </row>
    <row r="454" spans="1:7" s="22" customFormat="1" x14ac:dyDescent="0.25">
      <c r="A454" s="6">
        <v>43935</v>
      </c>
      <c r="B454" s="63">
        <v>1232</v>
      </c>
      <c r="D454" s="63"/>
      <c r="E454" s="178" t="s">
        <v>66</v>
      </c>
      <c r="F454" s="2">
        <v>100</v>
      </c>
      <c r="G454" s="3">
        <f t="shared" si="13"/>
        <v>25.4</v>
      </c>
    </row>
    <row r="455" spans="1:7" s="22" customFormat="1" x14ac:dyDescent="0.25">
      <c r="A455" s="6">
        <v>43935</v>
      </c>
      <c r="B455" s="63">
        <v>1234</v>
      </c>
      <c r="D455" s="63"/>
      <c r="E455" s="178" t="s">
        <v>66</v>
      </c>
      <c r="F455" s="2">
        <v>100</v>
      </c>
      <c r="G455" s="3">
        <f t="shared" si="13"/>
        <v>25.4</v>
      </c>
    </row>
    <row r="456" spans="1:7" s="22" customFormat="1" x14ac:dyDescent="0.25">
      <c r="A456" s="6">
        <v>43935</v>
      </c>
      <c r="B456" s="63">
        <v>1236</v>
      </c>
      <c r="D456" s="63"/>
      <c r="E456" s="178" t="s">
        <v>66</v>
      </c>
      <c r="F456" s="2">
        <v>100</v>
      </c>
      <c r="G456" s="3">
        <f t="shared" si="13"/>
        <v>25.4</v>
      </c>
    </row>
    <row r="457" spans="1:7" s="22" customFormat="1" x14ac:dyDescent="0.25">
      <c r="A457" s="6">
        <v>43935</v>
      </c>
      <c r="B457" s="63">
        <v>1237</v>
      </c>
      <c r="D457" s="63"/>
      <c r="E457" s="178" t="s">
        <v>66</v>
      </c>
      <c r="F457" s="2">
        <v>100</v>
      </c>
      <c r="G457" s="3">
        <f t="shared" si="13"/>
        <v>25.4</v>
      </c>
    </row>
    <row r="458" spans="1:7" s="22" customFormat="1" x14ac:dyDescent="0.25">
      <c r="A458" s="6">
        <v>43935</v>
      </c>
      <c r="B458" s="63">
        <v>1238</v>
      </c>
      <c r="D458" s="63"/>
      <c r="E458" s="178" t="s">
        <v>66</v>
      </c>
      <c r="F458" s="2">
        <v>100</v>
      </c>
      <c r="G458" s="3">
        <f t="shared" si="13"/>
        <v>25.4</v>
      </c>
    </row>
    <row r="459" spans="1:7" s="22" customFormat="1" x14ac:dyDescent="0.25">
      <c r="A459" s="6">
        <v>43935</v>
      </c>
      <c r="B459" s="63">
        <v>1239</v>
      </c>
      <c r="D459" s="63"/>
      <c r="E459" s="178" t="s">
        <v>66</v>
      </c>
      <c r="F459" s="2">
        <v>100</v>
      </c>
      <c r="G459" s="3">
        <f t="shared" si="13"/>
        <v>25.4</v>
      </c>
    </row>
    <row r="460" spans="1:7" s="22" customFormat="1" x14ac:dyDescent="0.25">
      <c r="A460" s="6">
        <v>43935</v>
      </c>
      <c r="B460" s="63">
        <v>1240</v>
      </c>
      <c r="D460" s="63"/>
      <c r="E460" s="178" t="s">
        <v>66</v>
      </c>
      <c r="F460" s="2">
        <v>100</v>
      </c>
      <c r="G460" s="3">
        <f t="shared" si="13"/>
        <v>25.4</v>
      </c>
    </row>
    <row r="461" spans="1:7" s="22" customFormat="1" x14ac:dyDescent="0.25">
      <c r="A461" s="6">
        <v>43935</v>
      </c>
      <c r="B461" s="63">
        <v>1241</v>
      </c>
      <c r="D461" s="63"/>
      <c r="E461" s="178" t="s">
        <v>66</v>
      </c>
      <c r="F461" s="2">
        <v>100</v>
      </c>
      <c r="G461" s="3">
        <f t="shared" si="13"/>
        <v>25.4</v>
      </c>
    </row>
    <row r="462" spans="1:7" s="22" customFormat="1" x14ac:dyDescent="0.25">
      <c r="A462" s="6">
        <v>43935</v>
      </c>
      <c r="B462" s="63">
        <v>1242</v>
      </c>
      <c r="D462" s="63"/>
      <c r="E462" s="178" t="s">
        <v>66</v>
      </c>
      <c r="F462" s="2">
        <v>100</v>
      </c>
      <c r="G462" s="3">
        <f t="shared" si="13"/>
        <v>25.4</v>
      </c>
    </row>
    <row r="463" spans="1:7" s="22" customFormat="1" x14ac:dyDescent="0.25">
      <c r="A463" s="6"/>
      <c r="B463" s="63">
        <v>1249</v>
      </c>
      <c r="D463" s="63"/>
      <c r="E463" s="178" t="s">
        <v>66</v>
      </c>
      <c r="F463" s="2"/>
      <c r="G463" s="3">
        <f t="shared" si="13"/>
        <v>25</v>
      </c>
    </row>
    <row r="464" spans="1:7" s="22" customFormat="1" x14ac:dyDescent="0.25">
      <c r="A464" s="6"/>
      <c r="B464" s="63">
        <v>1250</v>
      </c>
      <c r="D464" s="63"/>
      <c r="E464" s="178" t="s">
        <v>66</v>
      </c>
      <c r="F464" s="2"/>
      <c r="G464" s="3">
        <f t="shared" si="13"/>
        <v>25</v>
      </c>
    </row>
    <row r="465" spans="1:7" s="22" customFormat="1" x14ac:dyDescent="0.25">
      <c r="A465" s="6"/>
      <c r="B465" s="63">
        <v>1251</v>
      </c>
      <c r="D465" s="63"/>
      <c r="E465" s="178" t="s">
        <v>66</v>
      </c>
      <c r="F465" s="2"/>
      <c r="G465" s="3">
        <f t="shared" si="13"/>
        <v>25</v>
      </c>
    </row>
    <row r="466" spans="1:7" s="22" customFormat="1" x14ac:dyDescent="0.25">
      <c r="A466" s="6"/>
      <c r="B466" s="63">
        <v>1254</v>
      </c>
      <c r="D466" s="63"/>
      <c r="E466" s="178" t="s">
        <v>66</v>
      </c>
      <c r="F466" s="2"/>
      <c r="G466" s="3">
        <f t="shared" si="13"/>
        <v>25</v>
      </c>
    </row>
    <row r="467" spans="1:7" s="22" customFormat="1" x14ac:dyDescent="0.25">
      <c r="A467" s="6"/>
      <c r="B467" s="63">
        <v>1256</v>
      </c>
      <c r="D467" s="63"/>
      <c r="E467" s="178" t="s">
        <v>66</v>
      </c>
      <c r="F467" s="2"/>
      <c r="G467" s="3">
        <f t="shared" si="13"/>
        <v>25</v>
      </c>
    </row>
    <row r="468" spans="1:7" s="22" customFormat="1" x14ac:dyDescent="0.25">
      <c r="A468" s="6"/>
      <c r="B468" s="63">
        <v>1258</v>
      </c>
      <c r="D468" s="63"/>
      <c r="E468" s="178" t="s">
        <v>66</v>
      </c>
      <c r="F468" s="2"/>
      <c r="G468" s="3">
        <f t="shared" si="13"/>
        <v>25</v>
      </c>
    </row>
    <row r="469" spans="1:7" s="22" customFormat="1" x14ac:dyDescent="0.25">
      <c r="A469" s="6"/>
      <c r="B469" s="63">
        <v>1261</v>
      </c>
      <c r="D469" s="63"/>
      <c r="E469" s="178" t="s">
        <v>66</v>
      </c>
      <c r="F469" s="2"/>
      <c r="G469" s="3">
        <f t="shared" si="13"/>
        <v>25</v>
      </c>
    </row>
    <row r="470" spans="1:7" s="22" customFormat="1" x14ac:dyDescent="0.25">
      <c r="A470" s="6"/>
      <c r="B470" s="63">
        <v>1263</v>
      </c>
      <c r="D470" s="63"/>
      <c r="E470" s="178" t="s">
        <v>66</v>
      </c>
      <c r="F470" s="2"/>
      <c r="G470" s="3">
        <f t="shared" si="13"/>
        <v>25</v>
      </c>
    </row>
    <row r="471" spans="1:7" s="22" customFormat="1" x14ac:dyDescent="0.25">
      <c r="A471" s="6"/>
      <c r="B471" s="63">
        <v>1272</v>
      </c>
      <c r="D471" s="63"/>
      <c r="E471" s="178" t="s">
        <v>66</v>
      </c>
      <c r="F471" s="2"/>
      <c r="G471" s="3">
        <f t="shared" si="13"/>
        <v>25</v>
      </c>
    </row>
    <row r="472" spans="1:7" s="22" customFormat="1" x14ac:dyDescent="0.25">
      <c r="A472" s="6"/>
      <c r="B472" s="63">
        <v>1275</v>
      </c>
      <c r="D472" s="63"/>
      <c r="E472" s="178" t="s">
        <v>66</v>
      </c>
      <c r="F472" s="2"/>
      <c r="G472" s="3">
        <f t="shared" si="13"/>
        <v>25</v>
      </c>
    </row>
    <row r="473" spans="1:7" s="22" customFormat="1" x14ac:dyDescent="0.25">
      <c r="A473" s="6"/>
      <c r="B473" s="63">
        <v>1276</v>
      </c>
      <c r="D473" s="63"/>
      <c r="E473" s="178" t="s">
        <v>66</v>
      </c>
      <c r="F473" s="2"/>
      <c r="G473" s="3">
        <f t="shared" si="13"/>
        <v>25</v>
      </c>
    </row>
    <row r="474" spans="1:7" s="22" customFormat="1" x14ac:dyDescent="0.25">
      <c r="A474" s="6"/>
      <c r="B474" s="63">
        <v>1279</v>
      </c>
      <c r="D474" s="63"/>
      <c r="E474" s="178" t="s">
        <v>66</v>
      </c>
      <c r="F474" s="2"/>
      <c r="G474" s="3">
        <f t="shared" si="13"/>
        <v>25</v>
      </c>
    </row>
    <row r="475" spans="1:7" s="22" customFormat="1" x14ac:dyDescent="0.25">
      <c r="A475" s="6"/>
      <c r="B475" s="63">
        <v>1280</v>
      </c>
      <c r="D475" s="63"/>
      <c r="E475" s="178" t="s">
        <v>66</v>
      </c>
      <c r="F475" s="2"/>
      <c r="G475" s="3">
        <f t="shared" si="13"/>
        <v>25</v>
      </c>
    </row>
    <row r="476" spans="1:7" s="22" customFormat="1" x14ac:dyDescent="0.25">
      <c r="A476" s="6"/>
      <c r="B476" s="63">
        <v>1282</v>
      </c>
      <c r="D476" s="63"/>
      <c r="E476" s="178" t="s">
        <v>66</v>
      </c>
      <c r="F476" s="2"/>
      <c r="G476" s="3">
        <f t="shared" si="13"/>
        <v>25</v>
      </c>
    </row>
    <row r="477" spans="1:7" s="22" customFormat="1" x14ac:dyDescent="0.25">
      <c r="A477" s="6"/>
      <c r="B477" s="63">
        <v>1286</v>
      </c>
      <c r="D477" s="63"/>
      <c r="E477" s="178" t="s">
        <v>66</v>
      </c>
      <c r="F477" s="2"/>
      <c r="G477" s="3">
        <f t="shared" si="13"/>
        <v>25</v>
      </c>
    </row>
    <row r="478" spans="1:7" s="22" customFormat="1" x14ac:dyDescent="0.25">
      <c r="A478" s="6"/>
      <c r="B478" s="63">
        <v>1290</v>
      </c>
      <c r="D478" s="63"/>
      <c r="E478" s="178" t="s">
        <v>66</v>
      </c>
      <c r="F478" s="2"/>
      <c r="G478" s="3">
        <f t="shared" si="13"/>
        <v>25</v>
      </c>
    </row>
    <row r="479" spans="1:7" s="22" customFormat="1" x14ac:dyDescent="0.25">
      <c r="A479" s="6"/>
      <c r="B479" s="63">
        <v>1292</v>
      </c>
      <c r="D479" s="63"/>
      <c r="E479" s="178" t="s">
        <v>66</v>
      </c>
      <c r="F479" s="2"/>
      <c r="G479" s="3">
        <f t="shared" si="13"/>
        <v>25</v>
      </c>
    </row>
    <row r="480" spans="1:7" s="22" customFormat="1" x14ac:dyDescent="0.25">
      <c r="A480" s="6"/>
      <c r="B480" s="63">
        <v>1295</v>
      </c>
      <c r="D480" s="63"/>
      <c r="E480" s="178" t="s">
        <v>66</v>
      </c>
      <c r="F480" s="2"/>
      <c r="G480" s="3">
        <f t="shared" si="13"/>
        <v>25</v>
      </c>
    </row>
    <row r="481" spans="1:7" s="22" customFormat="1" x14ac:dyDescent="0.25">
      <c r="A481" s="6"/>
      <c r="B481" s="63">
        <v>1298</v>
      </c>
      <c r="D481" s="63"/>
      <c r="E481" s="178" t="s">
        <v>66</v>
      </c>
      <c r="F481" s="2"/>
      <c r="G481" s="3">
        <f t="shared" si="13"/>
        <v>25</v>
      </c>
    </row>
    <row r="482" spans="1:7" s="22" customFormat="1" x14ac:dyDescent="0.25">
      <c r="A482" s="6"/>
      <c r="B482" s="63">
        <v>1309</v>
      </c>
      <c r="D482" s="63"/>
      <c r="E482" s="178" t="s">
        <v>66</v>
      </c>
      <c r="F482" s="2"/>
      <c r="G482" s="3">
        <f t="shared" si="13"/>
        <v>25</v>
      </c>
    </row>
    <row r="483" spans="1:7" s="22" customFormat="1" x14ac:dyDescent="0.25">
      <c r="A483" s="6"/>
      <c r="B483" s="63">
        <v>1307</v>
      </c>
      <c r="D483" s="63"/>
      <c r="E483" s="178" t="s">
        <v>66</v>
      </c>
      <c r="F483" s="2"/>
      <c r="G483" s="3">
        <f t="shared" si="13"/>
        <v>25</v>
      </c>
    </row>
    <row r="484" spans="1:7" s="22" customFormat="1" x14ac:dyDescent="0.25">
      <c r="A484" s="6"/>
      <c r="B484" s="63">
        <v>1306</v>
      </c>
      <c r="D484" s="63"/>
      <c r="E484" s="178" t="s">
        <v>66</v>
      </c>
      <c r="F484" s="2"/>
      <c r="G484" s="3">
        <f t="shared" si="13"/>
        <v>25</v>
      </c>
    </row>
    <row r="485" spans="1:7" s="22" customFormat="1" x14ac:dyDescent="0.25">
      <c r="A485" s="6"/>
      <c r="B485" s="63">
        <v>1311</v>
      </c>
      <c r="D485" s="63"/>
      <c r="E485" s="178" t="s">
        <v>66</v>
      </c>
      <c r="F485" s="2"/>
      <c r="G485" s="3">
        <f t="shared" si="13"/>
        <v>25</v>
      </c>
    </row>
    <row r="486" spans="1:7" s="22" customFormat="1" x14ac:dyDescent="0.25">
      <c r="A486" s="6"/>
      <c r="B486" s="63">
        <v>1312</v>
      </c>
      <c r="D486" s="63"/>
      <c r="E486" s="178" t="s">
        <v>66</v>
      </c>
      <c r="F486" s="2"/>
      <c r="G486" s="3">
        <f t="shared" si="13"/>
        <v>25</v>
      </c>
    </row>
    <row r="487" spans="1:7" s="22" customFormat="1" x14ac:dyDescent="0.25">
      <c r="A487" s="6"/>
      <c r="B487" s="63">
        <v>1313</v>
      </c>
      <c r="D487" s="63"/>
      <c r="E487" s="178" t="s">
        <v>66</v>
      </c>
      <c r="F487" s="2"/>
      <c r="G487" s="3">
        <f t="shared" si="13"/>
        <v>25</v>
      </c>
    </row>
    <row r="488" spans="1:7" s="22" customFormat="1" x14ac:dyDescent="0.25">
      <c r="A488" s="6"/>
      <c r="B488" s="63">
        <v>1315</v>
      </c>
      <c r="D488" s="63"/>
      <c r="E488" s="178" t="s">
        <v>66</v>
      </c>
      <c r="F488" s="2"/>
      <c r="G488" s="3">
        <f t="shared" si="13"/>
        <v>25</v>
      </c>
    </row>
    <row r="489" spans="1:7" s="22" customFormat="1" x14ac:dyDescent="0.25">
      <c r="A489" s="6"/>
      <c r="B489" s="63">
        <v>1317</v>
      </c>
      <c r="D489" s="63"/>
      <c r="E489" s="178" t="s">
        <v>66</v>
      </c>
      <c r="F489" s="2"/>
      <c r="G489" s="3">
        <f t="shared" si="13"/>
        <v>25</v>
      </c>
    </row>
    <row r="490" spans="1:7" s="22" customFormat="1" x14ac:dyDescent="0.25">
      <c r="A490" s="6"/>
      <c r="B490" s="63">
        <v>1319</v>
      </c>
      <c r="D490" s="63"/>
      <c r="E490" s="178" t="s">
        <v>66</v>
      </c>
      <c r="F490" s="2"/>
      <c r="G490" s="3">
        <f t="shared" si="13"/>
        <v>25</v>
      </c>
    </row>
    <row r="491" spans="1:7" s="22" customFormat="1" x14ac:dyDescent="0.25">
      <c r="A491" s="6"/>
      <c r="B491" s="63">
        <v>1320</v>
      </c>
      <c r="D491" s="63"/>
      <c r="E491" s="178" t="s">
        <v>66</v>
      </c>
      <c r="F491" s="2"/>
      <c r="G491" s="3">
        <f t="shared" si="13"/>
        <v>25</v>
      </c>
    </row>
    <row r="492" spans="1:7" s="22" customFormat="1" x14ac:dyDescent="0.25">
      <c r="A492" s="6"/>
      <c r="B492" s="63">
        <v>1322</v>
      </c>
      <c r="D492" s="63"/>
      <c r="E492" s="178" t="s">
        <v>66</v>
      </c>
      <c r="F492" s="2"/>
      <c r="G492" s="3">
        <f t="shared" si="13"/>
        <v>25</v>
      </c>
    </row>
    <row r="493" spans="1:7" s="22" customFormat="1" x14ac:dyDescent="0.25">
      <c r="A493" s="6"/>
      <c r="B493" s="63">
        <v>1326</v>
      </c>
      <c r="D493" s="63"/>
      <c r="E493" s="178" t="s">
        <v>66</v>
      </c>
      <c r="F493" s="2"/>
      <c r="G493" s="3">
        <f t="shared" si="13"/>
        <v>25</v>
      </c>
    </row>
    <row r="494" spans="1:7" s="22" customFormat="1" x14ac:dyDescent="0.25">
      <c r="A494" s="6"/>
      <c r="B494" s="63">
        <v>1327</v>
      </c>
      <c r="D494" s="63"/>
      <c r="E494" s="178" t="s">
        <v>66</v>
      </c>
      <c r="F494" s="2"/>
      <c r="G494" s="3">
        <f t="shared" si="13"/>
        <v>25</v>
      </c>
    </row>
    <row r="495" spans="1:7" s="22" customFormat="1" x14ac:dyDescent="0.25">
      <c r="A495" s="6"/>
      <c r="B495" s="63">
        <v>1329</v>
      </c>
      <c r="D495" s="63"/>
      <c r="E495" s="178" t="s">
        <v>66</v>
      </c>
      <c r="F495" s="2"/>
      <c r="G495" s="3">
        <f t="shared" si="13"/>
        <v>25</v>
      </c>
    </row>
    <row r="496" spans="1:7" s="22" customFormat="1" x14ac:dyDescent="0.25">
      <c r="A496" s="6"/>
      <c r="B496" s="63">
        <v>1331</v>
      </c>
      <c r="D496" s="63"/>
      <c r="E496" s="178" t="s">
        <v>66</v>
      </c>
      <c r="F496" s="2"/>
      <c r="G496" s="3">
        <f t="shared" si="13"/>
        <v>25</v>
      </c>
    </row>
    <row r="497" spans="1:7" s="22" customFormat="1" x14ac:dyDescent="0.25">
      <c r="A497" s="6"/>
      <c r="B497" s="63">
        <v>1332</v>
      </c>
      <c r="D497" s="63"/>
      <c r="E497" s="178" t="s">
        <v>66</v>
      </c>
      <c r="F497" s="2"/>
      <c r="G497" s="3">
        <f t="shared" si="13"/>
        <v>25</v>
      </c>
    </row>
    <row r="498" spans="1:7" s="22" customFormat="1" x14ac:dyDescent="0.25">
      <c r="A498" s="6"/>
      <c r="B498" s="63">
        <v>1334</v>
      </c>
      <c r="D498" s="63"/>
      <c r="E498" s="178" t="s">
        <v>66</v>
      </c>
      <c r="F498" s="2"/>
      <c r="G498" s="3">
        <f t="shared" si="13"/>
        <v>25</v>
      </c>
    </row>
    <row r="499" spans="1:7" s="22" customFormat="1" x14ac:dyDescent="0.25">
      <c r="A499" s="6"/>
      <c r="B499" s="63">
        <v>1336</v>
      </c>
      <c r="D499" s="63"/>
      <c r="E499" s="178" t="s">
        <v>66</v>
      </c>
      <c r="F499" s="2"/>
      <c r="G499" s="3">
        <f t="shared" si="13"/>
        <v>25</v>
      </c>
    </row>
    <row r="500" spans="1:7" s="22" customFormat="1" x14ac:dyDescent="0.25">
      <c r="A500" s="6"/>
      <c r="B500" s="63">
        <v>1337</v>
      </c>
      <c r="D500" s="63"/>
      <c r="E500" s="178" t="s">
        <v>66</v>
      </c>
      <c r="F500" s="2"/>
      <c r="G500" s="3">
        <f t="shared" si="13"/>
        <v>25</v>
      </c>
    </row>
    <row r="501" spans="1:7" s="22" customFormat="1" x14ac:dyDescent="0.25">
      <c r="A501" s="6"/>
      <c r="B501" s="63">
        <v>1339</v>
      </c>
      <c r="D501" s="63"/>
      <c r="E501" s="178" t="s">
        <v>66</v>
      </c>
      <c r="F501" s="2"/>
      <c r="G501" s="3">
        <f t="shared" si="13"/>
        <v>25</v>
      </c>
    </row>
    <row r="502" spans="1:7" s="22" customFormat="1" x14ac:dyDescent="0.25">
      <c r="A502" s="6"/>
      <c r="B502" s="63">
        <v>1342</v>
      </c>
      <c r="D502" s="63"/>
      <c r="E502" s="178" t="s">
        <v>66</v>
      </c>
      <c r="F502" s="2"/>
      <c r="G502" s="3">
        <f t="shared" si="13"/>
        <v>25</v>
      </c>
    </row>
    <row r="503" spans="1:7" s="22" customFormat="1" x14ac:dyDescent="0.25">
      <c r="A503" s="6"/>
      <c r="B503" s="63">
        <v>1343</v>
      </c>
      <c r="D503" s="63"/>
      <c r="E503" s="178" t="s">
        <v>66</v>
      </c>
      <c r="F503" s="2"/>
      <c r="G503" s="3">
        <f t="shared" si="13"/>
        <v>25</v>
      </c>
    </row>
    <row r="504" spans="1:7" s="22" customFormat="1" x14ac:dyDescent="0.25">
      <c r="A504" s="6"/>
      <c r="B504" s="63">
        <v>1345</v>
      </c>
      <c r="D504" s="63"/>
      <c r="E504" s="178" t="s">
        <v>66</v>
      </c>
      <c r="F504" s="2"/>
      <c r="G504" s="3">
        <f t="shared" si="13"/>
        <v>25</v>
      </c>
    </row>
    <row r="505" spans="1:7" s="22" customFormat="1" x14ac:dyDescent="0.25">
      <c r="A505" s="6"/>
      <c r="B505" s="63">
        <v>1347</v>
      </c>
      <c r="D505" s="63"/>
      <c r="E505" s="178" t="s">
        <v>66</v>
      </c>
      <c r="F505" s="2"/>
      <c r="G505" s="3">
        <f t="shared" si="13"/>
        <v>25</v>
      </c>
    </row>
    <row r="506" spans="1:7" s="22" customFormat="1" x14ac:dyDescent="0.25">
      <c r="A506" s="6"/>
      <c r="B506" s="63">
        <v>1348</v>
      </c>
      <c r="D506" s="63"/>
      <c r="E506" s="178" t="s">
        <v>66</v>
      </c>
      <c r="F506" s="2"/>
      <c r="G506" s="3">
        <f t="shared" si="13"/>
        <v>25</v>
      </c>
    </row>
    <row r="507" spans="1:7" s="22" customFormat="1" x14ac:dyDescent="0.25">
      <c r="A507" s="6"/>
      <c r="B507" s="63">
        <v>1349</v>
      </c>
      <c r="D507" s="63"/>
      <c r="E507" s="178" t="s">
        <v>66</v>
      </c>
      <c r="F507" s="2"/>
      <c r="G507" s="3">
        <f t="shared" si="13"/>
        <v>25</v>
      </c>
    </row>
    <row r="508" spans="1:7" s="22" customFormat="1" x14ac:dyDescent="0.25">
      <c r="A508" s="6"/>
      <c r="B508" s="63">
        <v>1351</v>
      </c>
      <c r="D508" s="63"/>
      <c r="E508" s="178" t="s">
        <v>66</v>
      </c>
      <c r="F508" s="2"/>
      <c r="G508" s="3">
        <f t="shared" si="13"/>
        <v>25</v>
      </c>
    </row>
    <row r="509" spans="1:7" s="22" customFormat="1" x14ac:dyDescent="0.25">
      <c r="A509" s="6"/>
      <c r="B509" s="63">
        <v>1354</v>
      </c>
      <c r="D509" s="63"/>
      <c r="E509" s="178" t="s">
        <v>66</v>
      </c>
      <c r="F509" s="2"/>
      <c r="G509" s="3">
        <f t="shared" si="13"/>
        <v>25</v>
      </c>
    </row>
    <row r="510" spans="1:7" s="22" customFormat="1" x14ac:dyDescent="0.25">
      <c r="A510" s="6"/>
      <c r="B510" s="63">
        <v>1357</v>
      </c>
      <c r="D510" s="63"/>
      <c r="E510" s="178" t="s">
        <v>66</v>
      </c>
      <c r="F510" s="2"/>
      <c r="G510" s="3">
        <f t="shared" si="13"/>
        <v>25</v>
      </c>
    </row>
    <row r="511" spans="1:7" s="22" customFormat="1" x14ac:dyDescent="0.25">
      <c r="A511" s="6"/>
      <c r="B511" s="63">
        <v>1358</v>
      </c>
      <c r="D511" s="63"/>
      <c r="E511" s="178" t="s">
        <v>66</v>
      </c>
      <c r="F511" s="2"/>
      <c r="G511" s="3">
        <f t="shared" si="13"/>
        <v>25</v>
      </c>
    </row>
    <row r="512" spans="1:7" s="22" customFormat="1" x14ac:dyDescent="0.25">
      <c r="A512" s="6"/>
      <c r="B512" s="63">
        <v>1360</v>
      </c>
      <c r="D512" s="63"/>
      <c r="E512" s="178" t="s">
        <v>66</v>
      </c>
      <c r="F512" s="2"/>
      <c r="G512" s="3">
        <f t="shared" si="13"/>
        <v>25</v>
      </c>
    </row>
    <row r="513" spans="1:7" s="22" customFormat="1" x14ac:dyDescent="0.25">
      <c r="A513" s="6"/>
      <c r="B513" s="63">
        <v>1360</v>
      </c>
      <c r="D513" s="63"/>
      <c r="E513" s="178" t="s">
        <v>66</v>
      </c>
      <c r="F513" s="2"/>
      <c r="G513" s="3">
        <f t="shared" si="13"/>
        <v>25</v>
      </c>
    </row>
    <row r="514" spans="1:7" s="22" customFormat="1" x14ac:dyDescent="0.25">
      <c r="A514" s="6"/>
      <c r="B514" s="63">
        <v>1363</v>
      </c>
      <c r="D514" s="63"/>
      <c r="E514" s="178" t="s">
        <v>66</v>
      </c>
      <c r="F514" s="2"/>
      <c r="G514" s="3">
        <f t="shared" si="13"/>
        <v>25</v>
      </c>
    </row>
    <row r="515" spans="1:7" s="22" customFormat="1" x14ac:dyDescent="0.25">
      <c r="A515" s="6"/>
      <c r="B515" s="63">
        <v>1364</v>
      </c>
      <c r="D515" s="63"/>
      <c r="E515" s="178" t="s">
        <v>66</v>
      </c>
      <c r="F515" s="2"/>
      <c r="G515" s="3">
        <f t="shared" si="13"/>
        <v>25</v>
      </c>
    </row>
    <row r="516" spans="1:7" s="22" customFormat="1" x14ac:dyDescent="0.25">
      <c r="A516" s="6"/>
      <c r="B516" s="63">
        <v>1367</v>
      </c>
      <c r="D516" s="63"/>
      <c r="E516" s="178" t="s">
        <v>66</v>
      </c>
      <c r="F516" s="2"/>
      <c r="G516" s="3">
        <f t="shared" si="13"/>
        <v>25</v>
      </c>
    </row>
    <row r="517" spans="1:7" s="22" customFormat="1" x14ac:dyDescent="0.25">
      <c r="A517" s="6"/>
      <c r="B517" s="63">
        <v>1369</v>
      </c>
      <c r="D517" s="63"/>
      <c r="E517" s="178" t="s">
        <v>66</v>
      </c>
      <c r="F517" s="2"/>
      <c r="G517" s="3">
        <f t="shared" si="13"/>
        <v>25</v>
      </c>
    </row>
    <row r="518" spans="1:7" s="22" customFormat="1" x14ac:dyDescent="0.25">
      <c r="A518" s="6"/>
      <c r="B518" s="63">
        <v>1370</v>
      </c>
      <c r="D518" s="63"/>
      <c r="E518" s="178" t="s">
        <v>66</v>
      </c>
      <c r="F518" s="2"/>
      <c r="G518" s="3">
        <f t="shared" si="13"/>
        <v>25</v>
      </c>
    </row>
    <row r="519" spans="1:7" s="22" customFormat="1" x14ac:dyDescent="0.25">
      <c r="A519" s="6"/>
      <c r="B519" s="63">
        <v>1372</v>
      </c>
      <c r="D519" s="63"/>
      <c r="E519" s="178" t="s">
        <v>66</v>
      </c>
      <c r="F519" s="2"/>
      <c r="G519" s="3">
        <f t="shared" si="13"/>
        <v>25</v>
      </c>
    </row>
    <row r="520" spans="1:7" s="22" customFormat="1" x14ac:dyDescent="0.25">
      <c r="A520" s="6">
        <v>43941</v>
      </c>
      <c r="B520" s="63">
        <v>1455</v>
      </c>
      <c r="C520" s="22" t="s">
        <v>465</v>
      </c>
      <c r="D520" s="63"/>
      <c r="E520" s="178"/>
      <c r="F520" s="2">
        <v>800</v>
      </c>
      <c r="G520" s="3">
        <f t="shared" si="13"/>
        <v>3.2</v>
      </c>
    </row>
    <row r="521" spans="1:7" s="22" customFormat="1" x14ac:dyDescent="0.25">
      <c r="A521" s="6">
        <v>43941</v>
      </c>
      <c r="B521" s="63">
        <v>672</v>
      </c>
      <c r="C521" s="22" t="s">
        <v>3</v>
      </c>
      <c r="D521" s="63"/>
      <c r="E521" s="178"/>
      <c r="F521" s="2">
        <v>3000</v>
      </c>
      <c r="G521" s="3">
        <f t="shared" si="13"/>
        <v>12</v>
      </c>
    </row>
    <row r="522" spans="1:7" s="22" customFormat="1" x14ac:dyDescent="0.25">
      <c r="A522" s="6">
        <v>43941</v>
      </c>
      <c r="B522" s="63">
        <v>535</v>
      </c>
      <c r="C522" s="22" t="s">
        <v>3</v>
      </c>
      <c r="D522" s="63"/>
      <c r="E522" s="178"/>
      <c r="F522" s="2">
        <v>500</v>
      </c>
      <c r="G522" s="3">
        <f t="shared" si="13"/>
        <v>2</v>
      </c>
    </row>
    <row r="523" spans="1:7" s="22" customFormat="1" x14ac:dyDescent="0.25">
      <c r="A523" s="6">
        <v>43941</v>
      </c>
      <c r="B523" s="63">
        <v>1306</v>
      </c>
      <c r="C523" s="22" t="s">
        <v>300</v>
      </c>
      <c r="D523" s="63"/>
      <c r="E523" s="178"/>
      <c r="F523" s="2">
        <v>200</v>
      </c>
      <c r="G523" s="3">
        <f t="shared" si="13"/>
        <v>0.8</v>
      </c>
    </row>
    <row r="524" spans="1:7" s="22" customFormat="1" x14ac:dyDescent="0.25">
      <c r="A524" s="6">
        <v>43941</v>
      </c>
      <c r="B524" s="63">
        <v>1398</v>
      </c>
      <c r="C524" s="22" t="s">
        <v>300</v>
      </c>
      <c r="D524" s="63"/>
      <c r="E524" s="178" t="s">
        <v>66</v>
      </c>
      <c r="F524" s="2">
        <v>200</v>
      </c>
      <c r="G524" s="3">
        <f t="shared" si="13"/>
        <v>25.8</v>
      </c>
    </row>
    <row r="525" spans="1:7" s="22" customFormat="1" x14ac:dyDescent="0.25">
      <c r="A525" s="6">
        <v>43941</v>
      </c>
      <c r="B525" s="63">
        <v>1399</v>
      </c>
      <c r="C525" s="22" t="s">
        <v>300</v>
      </c>
      <c r="D525" s="63"/>
      <c r="E525" s="178" t="s">
        <v>66</v>
      </c>
      <c r="F525" s="2">
        <v>200</v>
      </c>
      <c r="G525" s="3">
        <f t="shared" si="13"/>
        <v>25.8</v>
      </c>
    </row>
    <row r="526" spans="1:7" s="22" customFormat="1" x14ac:dyDescent="0.25">
      <c r="A526" s="6">
        <v>43941</v>
      </c>
      <c r="B526" s="63">
        <v>1400</v>
      </c>
      <c r="C526" s="22" t="s">
        <v>300</v>
      </c>
      <c r="D526" s="63"/>
      <c r="E526" s="178" t="s">
        <v>66</v>
      </c>
      <c r="F526" s="2">
        <v>200</v>
      </c>
      <c r="G526" s="3">
        <f t="shared" si="13"/>
        <v>25.8</v>
      </c>
    </row>
    <row r="527" spans="1:7" s="22" customFormat="1" x14ac:dyDescent="0.25">
      <c r="A527" s="6">
        <v>43941</v>
      </c>
      <c r="B527" s="63">
        <v>1401</v>
      </c>
      <c r="C527" s="22" t="s">
        <v>300</v>
      </c>
      <c r="D527" s="63"/>
      <c r="E527" s="178" t="s">
        <v>66</v>
      </c>
      <c r="F527" s="2">
        <v>200</v>
      </c>
      <c r="G527" s="3">
        <f t="shared" si="13"/>
        <v>25.8</v>
      </c>
    </row>
    <row r="528" spans="1:7" s="22" customFormat="1" x14ac:dyDescent="0.25">
      <c r="A528" s="6">
        <v>43941</v>
      </c>
      <c r="B528" s="63">
        <v>1404</v>
      </c>
      <c r="C528" s="22" t="s">
        <v>300</v>
      </c>
      <c r="D528" s="63"/>
      <c r="E528" s="178" t="s">
        <v>66</v>
      </c>
      <c r="F528" s="2">
        <v>100</v>
      </c>
      <c r="G528" s="3">
        <f t="shared" si="13"/>
        <v>25.4</v>
      </c>
    </row>
    <row r="529" spans="1:7" s="22" customFormat="1" x14ac:dyDescent="0.25">
      <c r="A529" s="6">
        <v>43941</v>
      </c>
      <c r="B529" s="63">
        <v>1405</v>
      </c>
      <c r="C529" s="22" t="s">
        <v>300</v>
      </c>
      <c r="D529" s="63"/>
      <c r="E529" s="178" t="s">
        <v>66</v>
      </c>
      <c r="F529" s="2">
        <v>100</v>
      </c>
      <c r="G529" s="3">
        <f t="shared" si="13"/>
        <v>25.4</v>
      </c>
    </row>
    <row r="530" spans="1:7" s="22" customFormat="1" x14ac:dyDescent="0.25">
      <c r="A530" s="6">
        <v>43941</v>
      </c>
      <c r="B530" s="63">
        <v>1406</v>
      </c>
      <c r="C530" s="22" t="s">
        <v>300</v>
      </c>
      <c r="D530" s="63"/>
      <c r="E530" s="178" t="s">
        <v>66</v>
      </c>
      <c r="F530" s="2">
        <v>100</v>
      </c>
      <c r="G530" s="3">
        <f t="shared" si="13"/>
        <v>25.4</v>
      </c>
    </row>
    <row r="531" spans="1:7" s="22" customFormat="1" x14ac:dyDescent="0.25">
      <c r="A531" s="6">
        <v>43941</v>
      </c>
      <c r="B531" s="63">
        <v>1408</v>
      </c>
      <c r="C531" s="22" t="s">
        <v>300</v>
      </c>
      <c r="D531" s="63"/>
      <c r="E531" s="178" t="s">
        <v>66</v>
      </c>
      <c r="F531" s="2">
        <v>100</v>
      </c>
      <c r="G531" s="3">
        <f t="shared" si="13"/>
        <v>25.4</v>
      </c>
    </row>
    <row r="532" spans="1:7" s="22" customFormat="1" x14ac:dyDescent="0.25">
      <c r="A532" s="6">
        <v>43941</v>
      </c>
      <c r="B532" s="63">
        <v>1409</v>
      </c>
      <c r="C532" s="22" t="s">
        <v>300</v>
      </c>
      <c r="D532" s="63"/>
      <c r="E532" s="178" t="s">
        <v>66</v>
      </c>
      <c r="F532" s="2">
        <v>100</v>
      </c>
      <c r="G532" s="3">
        <f t="shared" si="13"/>
        <v>25.4</v>
      </c>
    </row>
    <row r="533" spans="1:7" s="22" customFormat="1" x14ac:dyDescent="0.25">
      <c r="A533" s="6">
        <v>43941</v>
      </c>
      <c r="B533" s="63">
        <v>1412</v>
      </c>
      <c r="C533" s="22" t="s">
        <v>300</v>
      </c>
      <c r="D533" s="63"/>
      <c r="E533" s="178" t="s">
        <v>66</v>
      </c>
      <c r="F533" s="2">
        <v>100</v>
      </c>
      <c r="G533" s="3">
        <f t="shared" si="13"/>
        <v>25.4</v>
      </c>
    </row>
    <row r="534" spans="1:7" s="22" customFormat="1" x14ac:dyDescent="0.25">
      <c r="A534" s="6">
        <v>43941</v>
      </c>
      <c r="B534" s="63">
        <v>1412</v>
      </c>
      <c r="C534" s="22" t="s">
        <v>300</v>
      </c>
      <c r="D534" s="63"/>
      <c r="E534" s="178" t="s">
        <v>66</v>
      </c>
      <c r="F534" s="2">
        <v>100</v>
      </c>
      <c r="G534" s="3">
        <f t="shared" si="13"/>
        <v>25.4</v>
      </c>
    </row>
    <row r="535" spans="1:7" s="22" customFormat="1" x14ac:dyDescent="0.25">
      <c r="A535" s="6">
        <v>43941</v>
      </c>
      <c r="B535" s="63">
        <v>1414</v>
      </c>
      <c r="C535" s="22" t="s">
        <v>300</v>
      </c>
      <c r="D535" s="63"/>
      <c r="E535" s="178" t="s">
        <v>66</v>
      </c>
      <c r="F535" s="2">
        <v>200</v>
      </c>
      <c r="G535" s="3">
        <f t="shared" si="13"/>
        <v>25.8</v>
      </c>
    </row>
    <row r="536" spans="1:7" s="22" customFormat="1" x14ac:dyDescent="0.25">
      <c r="A536" s="6">
        <v>43941</v>
      </c>
      <c r="B536" s="63">
        <v>1415</v>
      </c>
      <c r="C536" s="22" t="s">
        <v>300</v>
      </c>
      <c r="D536" s="63"/>
      <c r="E536" s="178" t="s">
        <v>66</v>
      </c>
      <c r="F536" s="2">
        <v>100</v>
      </c>
      <c r="G536" s="3">
        <f t="shared" si="13"/>
        <v>25.4</v>
      </c>
    </row>
    <row r="537" spans="1:7" s="22" customFormat="1" x14ac:dyDescent="0.25">
      <c r="A537" s="6">
        <v>43941</v>
      </c>
      <c r="B537" s="63">
        <v>1417</v>
      </c>
      <c r="C537" s="22" t="s">
        <v>300</v>
      </c>
      <c r="D537" s="63"/>
      <c r="E537" s="178" t="s">
        <v>66</v>
      </c>
      <c r="F537" s="2">
        <v>100</v>
      </c>
      <c r="G537" s="3">
        <f t="shared" si="13"/>
        <v>25.4</v>
      </c>
    </row>
    <row r="538" spans="1:7" s="22" customFormat="1" x14ac:dyDescent="0.25">
      <c r="A538" s="6">
        <v>43941</v>
      </c>
      <c r="B538" s="63">
        <v>1419</v>
      </c>
      <c r="C538" s="22" t="s">
        <v>300</v>
      </c>
      <c r="D538" s="63"/>
      <c r="E538" s="178" t="s">
        <v>66</v>
      </c>
      <c r="F538" s="2">
        <v>200</v>
      </c>
      <c r="G538" s="3">
        <f t="shared" si="13"/>
        <v>25.8</v>
      </c>
    </row>
    <row r="539" spans="1:7" s="22" customFormat="1" x14ac:dyDescent="0.25">
      <c r="A539" s="6">
        <v>43941</v>
      </c>
      <c r="B539" s="63">
        <v>1420</v>
      </c>
      <c r="C539" s="22" t="s">
        <v>300</v>
      </c>
      <c r="D539" s="63"/>
      <c r="E539" s="178" t="s">
        <v>66</v>
      </c>
      <c r="F539" s="2">
        <v>200</v>
      </c>
      <c r="G539" s="3">
        <f t="shared" si="13"/>
        <v>25.8</v>
      </c>
    </row>
    <row r="540" spans="1:7" s="22" customFormat="1" x14ac:dyDescent="0.25">
      <c r="A540" s="6">
        <v>43941</v>
      </c>
      <c r="B540" s="63">
        <v>1421</v>
      </c>
      <c r="C540" s="22" t="s">
        <v>300</v>
      </c>
      <c r="D540" s="63"/>
      <c r="E540" s="178" t="s">
        <v>66</v>
      </c>
      <c r="F540" s="2">
        <v>200</v>
      </c>
      <c r="G540" s="3">
        <f t="shared" si="13"/>
        <v>25.8</v>
      </c>
    </row>
    <row r="541" spans="1:7" s="22" customFormat="1" x14ac:dyDescent="0.25">
      <c r="A541" s="6">
        <v>43941</v>
      </c>
      <c r="B541" s="63">
        <v>1423</v>
      </c>
      <c r="C541" s="22" t="s">
        <v>300</v>
      </c>
      <c r="D541" s="63"/>
      <c r="E541" s="178" t="s">
        <v>66</v>
      </c>
      <c r="F541" s="2">
        <v>200</v>
      </c>
      <c r="G541" s="3">
        <f t="shared" si="13"/>
        <v>25.8</v>
      </c>
    </row>
    <row r="542" spans="1:7" s="22" customFormat="1" x14ac:dyDescent="0.25">
      <c r="A542" s="6">
        <v>43941</v>
      </c>
      <c r="B542" s="63">
        <v>1424</v>
      </c>
      <c r="C542" s="22" t="s">
        <v>300</v>
      </c>
      <c r="D542" s="63"/>
      <c r="E542" s="178" t="s">
        <v>66</v>
      </c>
      <c r="F542" s="2">
        <v>100</v>
      </c>
      <c r="G542" s="3">
        <f t="shared" si="13"/>
        <v>25.4</v>
      </c>
    </row>
    <row r="543" spans="1:7" s="22" customFormat="1" x14ac:dyDescent="0.25">
      <c r="A543" s="6">
        <v>43941</v>
      </c>
      <c r="B543" s="63">
        <v>1426</v>
      </c>
      <c r="C543" s="22" t="s">
        <v>300</v>
      </c>
      <c r="D543" s="63"/>
      <c r="E543" s="178" t="s">
        <v>66</v>
      </c>
      <c r="F543" s="2">
        <v>200</v>
      </c>
      <c r="G543" s="3">
        <f t="shared" si="13"/>
        <v>25.8</v>
      </c>
    </row>
    <row r="544" spans="1:7" s="22" customFormat="1" x14ac:dyDescent="0.25">
      <c r="A544" s="6">
        <v>43941</v>
      </c>
      <c r="B544" s="63">
        <v>1428</v>
      </c>
      <c r="C544" s="22" t="s">
        <v>300</v>
      </c>
      <c r="D544" s="63"/>
      <c r="E544" s="178" t="s">
        <v>66</v>
      </c>
      <c r="F544" s="2">
        <v>100</v>
      </c>
      <c r="G544" s="3">
        <f t="shared" si="13"/>
        <v>25.4</v>
      </c>
    </row>
    <row r="545" spans="1:7" s="22" customFormat="1" x14ac:dyDescent="0.25">
      <c r="A545" s="6">
        <v>43941</v>
      </c>
      <c r="B545" s="63">
        <v>1429</v>
      </c>
      <c r="C545" s="22" t="s">
        <v>300</v>
      </c>
      <c r="D545" s="63"/>
      <c r="E545" s="178" t="s">
        <v>66</v>
      </c>
      <c r="F545" s="2">
        <v>100</v>
      </c>
      <c r="G545" s="3">
        <f t="shared" si="13"/>
        <v>25.4</v>
      </c>
    </row>
    <row r="546" spans="1:7" s="22" customFormat="1" x14ac:dyDescent="0.25">
      <c r="A546" s="6">
        <v>43941</v>
      </c>
      <c r="B546" s="63">
        <v>1431</v>
      </c>
      <c r="C546" s="22" t="s">
        <v>300</v>
      </c>
      <c r="D546" s="63"/>
      <c r="E546" s="178" t="s">
        <v>66</v>
      </c>
      <c r="F546" s="2">
        <v>200</v>
      </c>
      <c r="G546" s="3">
        <f t="shared" si="13"/>
        <v>25.8</v>
      </c>
    </row>
    <row r="547" spans="1:7" s="22" customFormat="1" x14ac:dyDescent="0.25">
      <c r="A547" s="6">
        <v>43941</v>
      </c>
      <c r="B547" s="63">
        <v>1433</v>
      </c>
      <c r="C547" s="22" t="s">
        <v>300</v>
      </c>
      <c r="D547" s="63"/>
      <c r="E547" s="178" t="s">
        <v>66</v>
      </c>
      <c r="F547" s="2">
        <v>100</v>
      </c>
      <c r="G547" s="3">
        <f t="shared" si="13"/>
        <v>25.4</v>
      </c>
    </row>
    <row r="548" spans="1:7" s="22" customFormat="1" x14ac:dyDescent="0.25">
      <c r="A548" s="6">
        <v>43941</v>
      </c>
      <c r="B548" s="63">
        <v>1435</v>
      </c>
      <c r="C548" s="22" t="s">
        <v>300</v>
      </c>
      <c r="D548" s="63"/>
      <c r="E548" s="178" t="s">
        <v>66</v>
      </c>
      <c r="F548" s="2">
        <v>100</v>
      </c>
      <c r="G548" s="3">
        <f t="shared" si="13"/>
        <v>25.4</v>
      </c>
    </row>
    <row r="549" spans="1:7" s="22" customFormat="1" x14ac:dyDescent="0.25">
      <c r="A549" s="6">
        <v>43941</v>
      </c>
      <c r="B549" s="63">
        <v>1439</v>
      </c>
      <c r="C549" s="22" t="s">
        <v>300</v>
      </c>
      <c r="D549" s="63"/>
      <c r="E549" s="178" t="s">
        <v>66</v>
      </c>
      <c r="F549" s="2">
        <v>100</v>
      </c>
      <c r="G549" s="3">
        <f t="shared" si="13"/>
        <v>25.4</v>
      </c>
    </row>
    <row r="550" spans="1:7" s="22" customFormat="1" x14ac:dyDescent="0.25">
      <c r="A550" s="6">
        <v>43941</v>
      </c>
      <c r="B550" s="63">
        <v>1439</v>
      </c>
      <c r="C550" s="22" t="s">
        <v>300</v>
      </c>
      <c r="D550" s="63"/>
      <c r="E550" s="178" t="s">
        <v>66</v>
      </c>
      <c r="F550" s="2">
        <v>200</v>
      </c>
      <c r="G550" s="3">
        <f t="shared" si="13"/>
        <v>25.8</v>
      </c>
    </row>
    <row r="551" spans="1:7" s="22" customFormat="1" x14ac:dyDescent="0.25">
      <c r="A551" s="6">
        <v>43941</v>
      </c>
      <c r="B551" s="63">
        <v>1441</v>
      </c>
      <c r="C551" s="22" t="s">
        <v>300</v>
      </c>
      <c r="D551" s="63"/>
      <c r="E551" s="178" t="s">
        <v>66</v>
      </c>
      <c r="F551" s="2">
        <v>200</v>
      </c>
      <c r="G551" s="3">
        <f t="shared" ref="G551:G614" si="14">IF(E551="y",25,IF(OR(E551="N", E551="RD",E551="I"),10,0))+IF(F551&gt;5000,20,F551*0.4%)+IF(E551="PMSBY",1,IF(E551="PMJJBY",30,0))</f>
        <v>25.8</v>
      </c>
    </row>
    <row r="552" spans="1:7" s="22" customFormat="1" x14ac:dyDescent="0.25">
      <c r="A552" s="6">
        <v>43941</v>
      </c>
      <c r="B552" s="63">
        <v>1442</v>
      </c>
      <c r="C552" s="22" t="s">
        <v>300</v>
      </c>
      <c r="D552" s="63"/>
      <c r="E552" s="178" t="s">
        <v>66</v>
      </c>
      <c r="F552" s="2">
        <v>100</v>
      </c>
      <c r="G552" s="3">
        <f t="shared" si="14"/>
        <v>25.4</v>
      </c>
    </row>
    <row r="553" spans="1:7" s="22" customFormat="1" x14ac:dyDescent="0.25">
      <c r="A553" s="6">
        <v>43941</v>
      </c>
      <c r="B553" s="63">
        <v>1445</v>
      </c>
      <c r="C553" s="22" t="s">
        <v>300</v>
      </c>
      <c r="D553" s="63"/>
      <c r="E553" s="178" t="s">
        <v>66</v>
      </c>
      <c r="F553" s="2">
        <v>100</v>
      </c>
      <c r="G553" s="3">
        <f t="shared" si="14"/>
        <v>25.4</v>
      </c>
    </row>
    <row r="554" spans="1:7" s="22" customFormat="1" x14ac:dyDescent="0.25">
      <c r="A554" s="6">
        <v>43941</v>
      </c>
      <c r="B554" s="63">
        <v>1445</v>
      </c>
      <c r="C554" s="22" t="s">
        <v>300</v>
      </c>
      <c r="D554" s="63"/>
      <c r="E554" s="178" t="s">
        <v>66</v>
      </c>
      <c r="F554" s="2">
        <v>200</v>
      </c>
      <c r="G554" s="3">
        <f t="shared" si="14"/>
        <v>25.8</v>
      </c>
    </row>
    <row r="555" spans="1:7" s="22" customFormat="1" x14ac:dyDescent="0.25">
      <c r="A555" s="6">
        <v>43941</v>
      </c>
      <c r="B555" s="63">
        <v>1448</v>
      </c>
      <c r="C555" s="22" t="s">
        <v>300</v>
      </c>
      <c r="D555" s="63"/>
      <c r="E555" s="178" t="s">
        <v>66</v>
      </c>
      <c r="F555" s="2">
        <v>200</v>
      </c>
      <c r="G555" s="3">
        <f t="shared" si="14"/>
        <v>25.8</v>
      </c>
    </row>
    <row r="556" spans="1:7" s="22" customFormat="1" x14ac:dyDescent="0.25">
      <c r="A556" s="6">
        <v>43941</v>
      </c>
      <c r="B556" s="63">
        <v>1451</v>
      </c>
      <c r="C556" s="22" t="s">
        <v>300</v>
      </c>
      <c r="D556" s="63"/>
      <c r="E556" s="178" t="s">
        <v>66</v>
      </c>
      <c r="F556" s="2">
        <v>1000</v>
      </c>
      <c r="G556" s="3">
        <f t="shared" si="14"/>
        <v>29</v>
      </c>
    </row>
    <row r="557" spans="1:7" s="22" customFormat="1" x14ac:dyDescent="0.25">
      <c r="A557" s="6">
        <v>43941</v>
      </c>
      <c r="B557" s="63">
        <v>504</v>
      </c>
      <c r="C557" s="22" t="s">
        <v>300</v>
      </c>
      <c r="D557" s="63"/>
      <c r="E557" s="178"/>
      <c r="F557" s="2">
        <v>500</v>
      </c>
      <c r="G557" s="3">
        <f t="shared" si="14"/>
        <v>2</v>
      </c>
    </row>
    <row r="558" spans="1:7" s="22" customFormat="1" x14ac:dyDescent="0.25">
      <c r="A558" s="6">
        <v>43941</v>
      </c>
      <c r="B558" s="63">
        <v>503</v>
      </c>
      <c r="C558" s="22" t="s">
        <v>300</v>
      </c>
      <c r="D558" s="63"/>
      <c r="E558" s="178"/>
      <c r="F558" s="2">
        <v>500</v>
      </c>
      <c r="G558" s="3">
        <f t="shared" si="14"/>
        <v>2</v>
      </c>
    </row>
    <row r="559" spans="1:7" s="22" customFormat="1" x14ac:dyDescent="0.25">
      <c r="A559" s="6">
        <v>43942</v>
      </c>
      <c r="B559" s="63">
        <v>1453</v>
      </c>
      <c r="C559" s="22" t="s">
        <v>300</v>
      </c>
      <c r="D559" s="63"/>
      <c r="E559" s="178" t="s">
        <v>66</v>
      </c>
      <c r="F559" s="2">
        <v>200</v>
      </c>
      <c r="G559" s="3">
        <f t="shared" si="14"/>
        <v>25.8</v>
      </c>
    </row>
    <row r="560" spans="1:7" s="22" customFormat="1" x14ac:dyDescent="0.25">
      <c r="A560" s="6">
        <v>43942</v>
      </c>
      <c r="B560" s="63">
        <v>1456</v>
      </c>
      <c r="C560" s="22" t="s">
        <v>300</v>
      </c>
      <c r="D560" s="63"/>
      <c r="E560" s="178" t="s">
        <v>66</v>
      </c>
      <c r="F560" s="2">
        <v>200</v>
      </c>
      <c r="G560" s="3">
        <f t="shared" si="14"/>
        <v>25.8</v>
      </c>
    </row>
    <row r="561" spans="1:7" s="22" customFormat="1" x14ac:dyDescent="0.25">
      <c r="A561" s="6">
        <v>43942</v>
      </c>
      <c r="B561" s="63">
        <v>1457</v>
      </c>
      <c r="C561" s="22" t="s">
        <v>300</v>
      </c>
      <c r="D561" s="63"/>
      <c r="E561" s="178" t="s">
        <v>66</v>
      </c>
      <c r="F561" s="2">
        <v>200</v>
      </c>
      <c r="G561" s="3">
        <f t="shared" si="14"/>
        <v>25.8</v>
      </c>
    </row>
    <row r="562" spans="1:7" s="22" customFormat="1" x14ac:dyDescent="0.25">
      <c r="A562" s="6">
        <v>43942</v>
      </c>
      <c r="B562" s="63">
        <v>1459</v>
      </c>
      <c r="C562" s="22" t="s">
        <v>300</v>
      </c>
      <c r="D562" s="63"/>
      <c r="E562" s="178" t="s">
        <v>66</v>
      </c>
      <c r="F562" s="2">
        <v>200</v>
      </c>
      <c r="G562" s="3">
        <f t="shared" si="14"/>
        <v>25.8</v>
      </c>
    </row>
    <row r="563" spans="1:7" s="22" customFormat="1" x14ac:dyDescent="0.25">
      <c r="A563" s="6">
        <v>43942</v>
      </c>
      <c r="B563" s="63">
        <v>1460</v>
      </c>
      <c r="C563" s="22" t="s">
        <v>300</v>
      </c>
      <c r="D563" s="63"/>
      <c r="E563" s="178" t="s">
        <v>66</v>
      </c>
      <c r="F563" s="2">
        <v>200</v>
      </c>
      <c r="G563" s="3">
        <f t="shared" si="14"/>
        <v>25.8</v>
      </c>
    </row>
    <row r="564" spans="1:7" s="22" customFormat="1" x14ac:dyDescent="0.25">
      <c r="A564" s="6">
        <v>43942</v>
      </c>
      <c r="B564" s="63">
        <v>1461</v>
      </c>
      <c r="C564" s="22" t="s">
        <v>300</v>
      </c>
      <c r="D564" s="63"/>
      <c r="E564" s="178" t="s">
        <v>66</v>
      </c>
      <c r="F564" s="2">
        <v>100</v>
      </c>
      <c r="G564" s="3">
        <f t="shared" si="14"/>
        <v>25.4</v>
      </c>
    </row>
    <row r="565" spans="1:7" s="22" customFormat="1" x14ac:dyDescent="0.25">
      <c r="A565" s="6">
        <v>43942</v>
      </c>
      <c r="B565" s="63">
        <v>1462</v>
      </c>
      <c r="C565" s="22" t="s">
        <v>300</v>
      </c>
      <c r="D565" s="63"/>
      <c r="E565" s="178" t="s">
        <v>66</v>
      </c>
      <c r="F565" s="2">
        <v>100</v>
      </c>
      <c r="G565" s="3">
        <f t="shared" si="14"/>
        <v>25.4</v>
      </c>
    </row>
    <row r="566" spans="1:7" s="22" customFormat="1" x14ac:dyDescent="0.25">
      <c r="A566" s="6">
        <v>43942</v>
      </c>
      <c r="B566" s="63">
        <v>1464</v>
      </c>
      <c r="C566" s="22" t="s">
        <v>300</v>
      </c>
      <c r="D566" s="63"/>
      <c r="E566" s="178" t="s">
        <v>66</v>
      </c>
      <c r="F566" s="2">
        <v>300</v>
      </c>
      <c r="G566" s="3">
        <f t="shared" si="14"/>
        <v>26.2</v>
      </c>
    </row>
    <row r="567" spans="1:7" s="22" customFormat="1" x14ac:dyDescent="0.25">
      <c r="A567" s="6">
        <v>43942</v>
      </c>
      <c r="B567" s="63">
        <v>1466</v>
      </c>
      <c r="C567" s="22" t="s">
        <v>300</v>
      </c>
      <c r="D567" s="63"/>
      <c r="E567" s="178" t="s">
        <v>66</v>
      </c>
      <c r="F567" s="2">
        <v>100</v>
      </c>
      <c r="G567" s="3">
        <f t="shared" si="14"/>
        <v>25.4</v>
      </c>
    </row>
    <row r="568" spans="1:7" s="22" customFormat="1" x14ac:dyDescent="0.25">
      <c r="A568" s="6">
        <v>43942</v>
      </c>
      <c r="B568" s="63">
        <v>1468</v>
      </c>
      <c r="C568" s="22" t="s">
        <v>300</v>
      </c>
      <c r="D568" s="63"/>
      <c r="E568" s="178" t="s">
        <v>66</v>
      </c>
      <c r="F568" s="2">
        <v>200</v>
      </c>
      <c r="G568" s="3">
        <f t="shared" si="14"/>
        <v>25.8</v>
      </c>
    </row>
    <row r="569" spans="1:7" s="22" customFormat="1" x14ac:dyDescent="0.25">
      <c r="A569" s="6">
        <v>43942</v>
      </c>
      <c r="B569" s="63">
        <v>1470</v>
      </c>
      <c r="C569" s="22" t="s">
        <v>300</v>
      </c>
      <c r="D569" s="63"/>
      <c r="E569" s="178" t="s">
        <v>66</v>
      </c>
      <c r="F569" s="2">
        <v>100</v>
      </c>
      <c r="G569" s="3">
        <f t="shared" si="14"/>
        <v>25.4</v>
      </c>
    </row>
    <row r="570" spans="1:7" s="22" customFormat="1" x14ac:dyDescent="0.25">
      <c r="A570" s="6">
        <v>43942</v>
      </c>
      <c r="B570" s="63">
        <v>1471</v>
      </c>
      <c r="C570" s="22" t="s">
        <v>300</v>
      </c>
      <c r="D570" s="63"/>
      <c r="E570" s="178" t="s">
        <v>66</v>
      </c>
      <c r="F570" s="2">
        <v>200</v>
      </c>
      <c r="G570" s="3">
        <f t="shared" si="14"/>
        <v>25.8</v>
      </c>
    </row>
    <row r="571" spans="1:7" s="22" customFormat="1" x14ac:dyDescent="0.25">
      <c r="A571" s="6">
        <v>43942</v>
      </c>
      <c r="B571" s="63">
        <v>1473</v>
      </c>
      <c r="C571" s="22" t="s">
        <v>300</v>
      </c>
      <c r="D571" s="63"/>
      <c r="E571" s="178" t="s">
        <v>66</v>
      </c>
      <c r="F571" s="2">
        <v>500</v>
      </c>
      <c r="G571" s="3">
        <f t="shared" si="14"/>
        <v>27</v>
      </c>
    </row>
    <row r="572" spans="1:7" s="22" customFormat="1" x14ac:dyDescent="0.25">
      <c r="A572" s="6">
        <v>43942</v>
      </c>
      <c r="B572" s="63">
        <v>1475</v>
      </c>
      <c r="C572" s="22" t="s">
        <v>300</v>
      </c>
      <c r="D572" s="63"/>
      <c r="E572" s="178" t="s">
        <v>66</v>
      </c>
      <c r="F572" s="2">
        <v>500</v>
      </c>
      <c r="G572" s="3">
        <f t="shared" si="14"/>
        <v>27</v>
      </c>
    </row>
    <row r="573" spans="1:7" s="22" customFormat="1" x14ac:dyDescent="0.25">
      <c r="A573" s="6">
        <v>43942</v>
      </c>
      <c r="B573" s="63">
        <v>1477</v>
      </c>
      <c r="C573" s="22" t="s">
        <v>300</v>
      </c>
      <c r="D573" s="63"/>
      <c r="E573" s="178" t="s">
        <v>66</v>
      </c>
      <c r="F573" s="2">
        <v>200</v>
      </c>
      <c r="G573" s="3">
        <f t="shared" si="14"/>
        <v>25.8</v>
      </c>
    </row>
    <row r="574" spans="1:7" s="22" customFormat="1" x14ac:dyDescent="0.25">
      <c r="A574" s="6">
        <v>43942</v>
      </c>
      <c r="B574" s="63">
        <v>1479</v>
      </c>
      <c r="C574" s="22" t="s">
        <v>300</v>
      </c>
      <c r="D574" s="63"/>
      <c r="E574" s="178" t="s">
        <v>66</v>
      </c>
      <c r="F574" s="2">
        <v>200</v>
      </c>
      <c r="G574" s="3">
        <f t="shared" si="14"/>
        <v>25.8</v>
      </c>
    </row>
    <row r="575" spans="1:7" s="22" customFormat="1" x14ac:dyDescent="0.25">
      <c r="A575" s="6">
        <v>43942</v>
      </c>
      <c r="B575" s="63">
        <v>1482</v>
      </c>
      <c r="C575" s="22" t="s">
        <v>300</v>
      </c>
      <c r="D575" s="63"/>
      <c r="E575" s="178" t="s">
        <v>66</v>
      </c>
      <c r="F575" s="2">
        <v>200</v>
      </c>
      <c r="G575" s="3">
        <f t="shared" si="14"/>
        <v>25.8</v>
      </c>
    </row>
    <row r="576" spans="1:7" s="22" customFormat="1" x14ac:dyDescent="0.25">
      <c r="A576" s="6">
        <v>43942</v>
      </c>
      <c r="B576" s="63">
        <v>1484</v>
      </c>
      <c r="C576" s="22" t="s">
        <v>300</v>
      </c>
      <c r="D576" s="63"/>
      <c r="E576" s="178" t="s">
        <v>66</v>
      </c>
      <c r="F576" s="2">
        <v>100</v>
      </c>
      <c r="G576" s="3">
        <f t="shared" si="14"/>
        <v>25.4</v>
      </c>
    </row>
    <row r="577" spans="1:7" s="22" customFormat="1" x14ac:dyDescent="0.25">
      <c r="A577" s="6">
        <v>43942</v>
      </c>
      <c r="B577" s="63">
        <v>1486</v>
      </c>
      <c r="C577" s="22" t="s">
        <v>300</v>
      </c>
      <c r="D577" s="63"/>
      <c r="E577" s="178" t="s">
        <v>66</v>
      </c>
      <c r="F577" s="2">
        <v>200</v>
      </c>
      <c r="G577" s="3">
        <f t="shared" si="14"/>
        <v>25.8</v>
      </c>
    </row>
    <row r="578" spans="1:7" s="22" customFormat="1" x14ac:dyDescent="0.25">
      <c r="A578" s="6">
        <v>43942</v>
      </c>
      <c r="B578" s="63">
        <v>1488</v>
      </c>
      <c r="C578" s="22" t="s">
        <v>300</v>
      </c>
      <c r="D578" s="63"/>
      <c r="E578" s="178" t="s">
        <v>66</v>
      </c>
      <c r="F578" s="2">
        <v>100</v>
      </c>
      <c r="G578" s="3">
        <f t="shared" si="14"/>
        <v>25.4</v>
      </c>
    </row>
    <row r="579" spans="1:7" s="22" customFormat="1" x14ac:dyDescent="0.25">
      <c r="A579" s="6">
        <v>43942</v>
      </c>
      <c r="B579" s="63">
        <v>1490</v>
      </c>
      <c r="C579" s="22" t="s">
        <v>300</v>
      </c>
      <c r="D579" s="63"/>
      <c r="E579" s="178" t="s">
        <v>66</v>
      </c>
      <c r="F579" s="2">
        <v>100</v>
      </c>
      <c r="G579" s="3">
        <f t="shared" si="14"/>
        <v>25.4</v>
      </c>
    </row>
    <row r="580" spans="1:7" s="22" customFormat="1" x14ac:dyDescent="0.25">
      <c r="A580" s="6">
        <v>43943</v>
      </c>
      <c r="B580" s="63"/>
      <c r="C580" s="22" t="s">
        <v>156</v>
      </c>
      <c r="D580" s="63"/>
      <c r="E580" s="178"/>
      <c r="F580" s="2">
        <v>1000</v>
      </c>
      <c r="G580" s="3">
        <f t="shared" si="14"/>
        <v>4</v>
      </c>
    </row>
    <row r="581" spans="1:7" s="22" customFormat="1" x14ac:dyDescent="0.25">
      <c r="A581" s="6"/>
      <c r="B581" s="63">
        <v>1499</v>
      </c>
      <c r="D581" s="63"/>
      <c r="E581" s="178" t="s">
        <v>66</v>
      </c>
      <c r="F581" s="2">
        <v>100</v>
      </c>
      <c r="G581" s="3">
        <f t="shared" si="14"/>
        <v>25.4</v>
      </c>
    </row>
    <row r="582" spans="1:7" s="22" customFormat="1" x14ac:dyDescent="0.25">
      <c r="A582" s="6"/>
      <c r="B582" s="63">
        <v>1501</v>
      </c>
      <c r="D582" s="63"/>
      <c r="E582" s="178" t="s">
        <v>66</v>
      </c>
      <c r="F582" s="2">
        <v>100</v>
      </c>
      <c r="G582" s="3">
        <f t="shared" si="14"/>
        <v>25.4</v>
      </c>
    </row>
    <row r="583" spans="1:7" s="22" customFormat="1" x14ac:dyDescent="0.25">
      <c r="A583" s="6"/>
      <c r="B583" s="63">
        <v>1502</v>
      </c>
      <c r="D583" s="63"/>
      <c r="E583" s="178" t="s">
        <v>66</v>
      </c>
      <c r="F583" s="2">
        <v>200</v>
      </c>
      <c r="G583" s="3">
        <f t="shared" si="14"/>
        <v>25.8</v>
      </c>
    </row>
    <row r="584" spans="1:7" s="22" customFormat="1" x14ac:dyDescent="0.25">
      <c r="A584" s="6"/>
      <c r="B584" s="63">
        <v>1503</v>
      </c>
      <c r="D584" s="63"/>
      <c r="E584" s="178" t="s">
        <v>66</v>
      </c>
      <c r="F584" s="2">
        <v>200</v>
      </c>
      <c r="G584" s="3">
        <f t="shared" si="14"/>
        <v>25.8</v>
      </c>
    </row>
    <row r="585" spans="1:7" s="22" customFormat="1" x14ac:dyDescent="0.25">
      <c r="A585" s="6"/>
      <c r="B585" s="63">
        <v>1504</v>
      </c>
      <c r="D585" s="63"/>
      <c r="E585" s="178" t="s">
        <v>66</v>
      </c>
      <c r="F585" s="2">
        <v>200</v>
      </c>
      <c r="G585" s="3">
        <f t="shared" si="14"/>
        <v>25.8</v>
      </c>
    </row>
    <row r="586" spans="1:7" s="22" customFormat="1" x14ac:dyDescent="0.25">
      <c r="A586" s="6"/>
      <c r="B586" s="63">
        <v>1505</v>
      </c>
      <c r="D586" s="63"/>
      <c r="E586" s="178" t="s">
        <v>66</v>
      </c>
      <c r="F586" s="2">
        <v>200</v>
      </c>
      <c r="G586" s="3">
        <f t="shared" si="14"/>
        <v>25.8</v>
      </c>
    </row>
    <row r="587" spans="1:7" s="22" customFormat="1" x14ac:dyDescent="0.25">
      <c r="A587" s="6"/>
      <c r="B587" s="63">
        <v>1506</v>
      </c>
      <c r="D587" s="63"/>
      <c r="E587" s="178" t="s">
        <v>66</v>
      </c>
      <c r="F587" s="2">
        <v>100</v>
      </c>
      <c r="G587" s="3">
        <f t="shared" si="14"/>
        <v>25.4</v>
      </c>
    </row>
    <row r="588" spans="1:7" s="22" customFormat="1" x14ac:dyDescent="0.25">
      <c r="A588" s="6"/>
      <c r="B588" s="63">
        <v>1508</v>
      </c>
      <c r="D588" s="63"/>
      <c r="E588" s="178" t="s">
        <v>66</v>
      </c>
      <c r="F588" s="2">
        <v>100</v>
      </c>
      <c r="G588" s="3">
        <f t="shared" si="14"/>
        <v>25.4</v>
      </c>
    </row>
    <row r="589" spans="1:7" s="22" customFormat="1" x14ac:dyDescent="0.25">
      <c r="A589" s="6"/>
      <c r="B589" s="63">
        <v>1509</v>
      </c>
      <c r="D589" s="63"/>
      <c r="E589" s="178" t="s">
        <v>66</v>
      </c>
      <c r="F589" s="2">
        <v>100</v>
      </c>
      <c r="G589" s="3">
        <f t="shared" si="14"/>
        <v>25.4</v>
      </c>
    </row>
    <row r="590" spans="1:7" s="22" customFormat="1" x14ac:dyDescent="0.25">
      <c r="A590" s="6"/>
      <c r="B590" s="63">
        <v>1510</v>
      </c>
      <c r="D590" s="63"/>
      <c r="E590" s="178" t="s">
        <v>66</v>
      </c>
      <c r="F590" s="2">
        <v>100</v>
      </c>
      <c r="G590" s="3">
        <f t="shared" si="14"/>
        <v>25.4</v>
      </c>
    </row>
    <row r="591" spans="1:7" s="22" customFormat="1" x14ac:dyDescent="0.25">
      <c r="A591" s="6"/>
      <c r="B591" s="63">
        <v>1511</v>
      </c>
      <c r="D591" s="63"/>
      <c r="E591" s="178" t="s">
        <v>66</v>
      </c>
      <c r="F591" s="2">
        <v>200</v>
      </c>
      <c r="G591" s="3">
        <f t="shared" si="14"/>
        <v>25.8</v>
      </c>
    </row>
    <row r="592" spans="1:7" s="22" customFormat="1" x14ac:dyDescent="0.25">
      <c r="A592" s="6"/>
      <c r="B592" s="63">
        <v>1513</v>
      </c>
      <c r="D592" s="63"/>
      <c r="E592" s="178" t="s">
        <v>66</v>
      </c>
      <c r="F592" s="2">
        <v>200</v>
      </c>
      <c r="G592" s="3">
        <f t="shared" si="14"/>
        <v>25.8</v>
      </c>
    </row>
    <row r="593" spans="1:7" s="22" customFormat="1" x14ac:dyDescent="0.25">
      <c r="A593" s="6"/>
      <c r="B593" s="63">
        <v>1514</v>
      </c>
      <c r="D593" s="63"/>
      <c r="E593" s="178" t="s">
        <v>66</v>
      </c>
      <c r="F593" s="2">
        <v>100</v>
      </c>
      <c r="G593" s="3">
        <f t="shared" si="14"/>
        <v>25.4</v>
      </c>
    </row>
    <row r="594" spans="1:7" s="22" customFormat="1" x14ac:dyDescent="0.25">
      <c r="A594" s="6"/>
      <c r="B594" s="63">
        <v>1516</v>
      </c>
      <c r="D594" s="63"/>
      <c r="E594" s="178" t="s">
        <v>66</v>
      </c>
      <c r="F594" s="2">
        <v>200</v>
      </c>
      <c r="G594" s="3">
        <f t="shared" si="14"/>
        <v>25.8</v>
      </c>
    </row>
    <row r="595" spans="1:7" s="22" customFormat="1" x14ac:dyDescent="0.25">
      <c r="A595" s="6"/>
      <c r="B595" s="63">
        <v>1518</v>
      </c>
      <c r="D595" s="63"/>
      <c r="E595" s="178" t="s">
        <v>66</v>
      </c>
      <c r="F595" s="2">
        <v>100</v>
      </c>
      <c r="G595" s="3">
        <f t="shared" si="14"/>
        <v>25.4</v>
      </c>
    </row>
    <row r="596" spans="1:7" s="22" customFormat="1" x14ac:dyDescent="0.25">
      <c r="A596" s="6"/>
      <c r="B596" s="63">
        <v>1523</v>
      </c>
      <c r="D596" s="63"/>
      <c r="E596" s="178" t="s">
        <v>66</v>
      </c>
      <c r="F596" s="2">
        <v>200</v>
      </c>
      <c r="G596" s="3">
        <f t="shared" si="14"/>
        <v>25.8</v>
      </c>
    </row>
    <row r="597" spans="1:7" s="22" customFormat="1" x14ac:dyDescent="0.25">
      <c r="A597" s="6"/>
      <c r="B597" s="63">
        <v>1527</v>
      </c>
      <c r="D597" s="63"/>
      <c r="E597" s="178" t="s">
        <v>66</v>
      </c>
      <c r="F597" s="2">
        <v>200</v>
      </c>
      <c r="G597" s="3">
        <f t="shared" si="14"/>
        <v>25.8</v>
      </c>
    </row>
    <row r="598" spans="1:7" s="22" customFormat="1" x14ac:dyDescent="0.25">
      <c r="A598" s="6"/>
      <c r="B598" s="63">
        <v>1528</v>
      </c>
      <c r="D598" s="63"/>
      <c r="E598" s="178" t="s">
        <v>66</v>
      </c>
      <c r="F598" s="2">
        <v>200</v>
      </c>
      <c r="G598" s="3">
        <f t="shared" si="14"/>
        <v>25.8</v>
      </c>
    </row>
    <row r="599" spans="1:7" s="22" customFormat="1" x14ac:dyDescent="0.25">
      <c r="A599" s="6"/>
      <c r="B599" s="63">
        <v>1530</v>
      </c>
      <c r="D599" s="63"/>
      <c r="E599" s="178" t="s">
        <v>66</v>
      </c>
      <c r="F599" s="2">
        <v>100</v>
      </c>
      <c r="G599" s="3">
        <f t="shared" si="14"/>
        <v>25.4</v>
      </c>
    </row>
    <row r="600" spans="1:7" s="22" customFormat="1" x14ac:dyDescent="0.25">
      <c r="A600" s="6"/>
      <c r="B600" s="63">
        <v>1531</v>
      </c>
      <c r="D600" s="63"/>
      <c r="E600" s="178" t="s">
        <v>66</v>
      </c>
      <c r="F600" s="2">
        <v>100</v>
      </c>
      <c r="G600" s="3">
        <f t="shared" si="14"/>
        <v>25.4</v>
      </c>
    </row>
    <row r="601" spans="1:7" s="22" customFormat="1" x14ac:dyDescent="0.25">
      <c r="A601" s="6"/>
      <c r="B601" s="63">
        <v>1533</v>
      </c>
      <c r="D601" s="63"/>
      <c r="E601" s="178" t="s">
        <v>66</v>
      </c>
      <c r="F601" s="2">
        <v>100</v>
      </c>
      <c r="G601" s="3">
        <f t="shared" si="14"/>
        <v>25.4</v>
      </c>
    </row>
    <row r="602" spans="1:7" s="22" customFormat="1" x14ac:dyDescent="0.25">
      <c r="A602" s="6"/>
      <c r="B602" s="63">
        <v>1535</v>
      </c>
      <c r="D602" s="63"/>
      <c r="E602" s="178" t="s">
        <v>66</v>
      </c>
      <c r="F602" s="2">
        <v>100</v>
      </c>
      <c r="G602" s="3">
        <f t="shared" si="14"/>
        <v>25.4</v>
      </c>
    </row>
    <row r="603" spans="1:7" s="22" customFormat="1" x14ac:dyDescent="0.25">
      <c r="A603" s="6"/>
      <c r="B603" s="63">
        <v>1538</v>
      </c>
      <c r="D603" s="63"/>
      <c r="E603" s="178" t="s">
        <v>66</v>
      </c>
      <c r="F603" s="2">
        <v>300</v>
      </c>
      <c r="G603" s="3">
        <f t="shared" si="14"/>
        <v>26.2</v>
      </c>
    </row>
    <row r="604" spans="1:7" s="22" customFormat="1" x14ac:dyDescent="0.25">
      <c r="A604" s="6"/>
      <c r="B604" s="63">
        <v>1539</v>
      </c>
      <c r="D604" s="63"/>
      <c r="E604" s="178" t="s">
        <v>66</v>
      </c>
      <c r="F604" s="2">
        <v>100</v>
      </c>
      <c r="G604" s="3">
        <f t="shared" si="14"/>
        <v>25.4</v>
      </c>
    </row>
    <row r="605" spans="1:7" s="22" customFormat="1" x14ac:dyDescent="0.25">
      <c r="A605" s="6"/>
      <c r="B605" s="63">
        <v>1540</v>
      </c>
      <c r="D605" s="63"/>
      <c r="E605" s="178" t="s">
        <v>66</v>
      </c>
      <c r="F605" s="2">
        <v>100</v>
      </c>
      <c r="G605" s="3">
        <f t="shared" si="14"/>
        <v>25.4</v>
      </c>
    </row>
    <row r="606" spans="1:7" s="22" customFormat="1" x14ac:dyDescent="0.25">
      <c r="A606" s="6"/>
      <c r="B606" s="63">
        <v>1543</v>
      </c>
      <c r="D606" s="63"/>
      <c r="E606" s="178" t="s">
        <v>66</v>
      </c>
      <c r="F606" s="2">
        <v>100</v>
      </c>
      <c r="G606" s="3">
        <f t="shared" si="14"/>
        <v>25.4</v>
      </c>
    </row>
    <row r="607" spans="1:7" s="22" customFormat="1" x14ac:dyDescent="0.25">
      <c r="A607" s="6"/>
      <c r="B607" s="63">
        <v>1544</v>
      </c>
      <c r="D607" s="63"/>
      <c r="E607" s="178" t="s">
        <v>66</v>
      </c>
      <c r="F607" s="2">
        <v>100</v>
      </c>
      <c r="G607" s="3">
        <f t="shared" si="14"/>
        <v>25.4</v>
      </c>
    </row>
    <row r="608" spans="1:7" s="22" customFormat="1" x14ac:dyDescent="0.25">
      <c r="A608" s="6"/>
      <c r="B608" s="63">
        <v>1549</v>
      </c>
      <c r="D608" s="63"/>
      <c r="E608" s="178" t="s">
        <v>66</v>
      </c>
      <c r="F608" s="2">
        <v>100</v>
      </c>
      <c r="G608" s="3">
        <f t="shared" si="14"/>
        <v>25.4</v>
      </c>
    </row>
    <row r="609" spans="1:7" s="22" customFormat="1" x14ac:dyDescent="0.25">
      <c r="A609" s="6"/>
      <c r="B609" s="63">
        <v>1552</v>
      </c>
      <c r="D609" s="63"/>
      <c r="E609" s="178" t="s">
        <v>66</v>
      </c>
      <c r="F609" s="2">
        <v>200</v>
      </c>
      <c r="G609" s="3">
        <f t="shared" si="14"/>
        <v>25.8</v>
      </c>
    </row>
    <row r="610" spans="1:7" s="22" customFormat="1" x14ac:dyDescent="0.25">
      <c r="A610" s="6"/>
      <c r="B610" s="63">
        <v>1555</v>
      </c>
      <c r="D610" s="63"/>
      <c r="E610" s="178" t="s">
        <v>66</v>
      </c>
      <c r="F610" s="2">
        <v>200</v>
      </c>
      <c r="G610" s="3">
        <f t="shared" si="14"/>
        <v>25.8</v>
      </c>
    </row>
    <row r="611" spans="1:7" s="22" customFormat="1" x14ac:dyDescent="0.25">
      <c r="A611" s="6"/>
      <c r="B611" s="63">
        <v>1558</v>
      </c>
      <c r="D611" s="63"/>
      <c r="E611" s="178" t="s">
        <v>66</v>
      </c>
      <c r="F611" s="2">
        <v>100</v>
      </c>
      <c r="G611" s="3">
        <f t="shared" si="14"/>
        <v>25.4</v>
      </c>
    </row>
    <row r="612" spans="1:7" s="22" customFormat="1" x14ac:dyDescent="0.25">
      <c r="A612" s="6"/>
      <c r="B612" s="63">
        <v>1559</v>
      </c>
      <c r="D612" s="63"/>
      <c r="E612" s="178" t="s">
        <v>66</v>
      </c>
      <c r="F612" s="2">
        <v>100</v>
      </c>
      <c r="G612" s="3">
        <f t="shared" si="14"/>
        <v>25.4</v>
      </c>
    </row>
    <row r="613" spans="1:7" s="22" customFormat="1" x14ac:dyDescent="0.25">
      <c r="A613" s="6"/>
      <c r="B613" s="63">
        <v>1561</v>
      </c>
      <c r="D613" s="63"/>
      <c r="E613" s="178" t="s">
        <v>66</v>
      </c>
      <c r="F613" s="2">
        <v>500</v>
      </c>
      <c r="G613" s="3">
        <f t="shared" si="14"/>
        <v>27</v>
      </c>
    </row>
    <row r="614" spans="1:7" s="22" customFormat="1" x14ac:dyDescent="0.25">
      <c r="A614" s="6"/>
      <c r="B614" s="63">
        <v>1563</v>
      </c>
      <c r="D614" s="63"/>
      <c r="E614" s="178" t="s">
        <v>66</v>
      </c>
      <c r="F614" s="2">
        <v>100</v>
      </c>
      <c r="G614" s="3">
        <f t="shared" si="14"/>
        <v>25.4</v>
      </c>
    </row>
    <row r="615" spans="1:7" s="22" customFormat="1" x14ac:dyDescent="0.25">
      <c r="A615" s="6">
        <v>43943</v>
      </c>
      <c r="B615" s="63">
        <v>1564</v>
      </c>
      <c r="D615" s="63"/>
      <c r="E615" s="178" t="s">
        <v>66</v>
      </c>
      <c r="F615" s="2">
        <v>500</v>
      </c>
      <c r="G615" s="3">
        <f t="shared" ref="G615:G662" si="15">IF(E615="y",25,IF(OR(E615="N", E615="RD",E615="I"),10,0))+IF(F615&gt;5000,20,F615*0.4%)+IF(E615="PMSBY",1,IF(E615="PMJJBY",30,0))</f>
        <v>27</v>
      </c>
    </row>
    <row r="616" spans="1:7" s="22" customFormat="1" x14ac:dyDescent="0.25">
      <c r="A616" s="6">
        <v>43944</v>
      </c>
      <c r="B616" s="63"/>
      <c r="C616" s="22" t="s">
        <v>71</v>
      </c>
      <c r="D616" s="63"/>
      <c r="E616" s="178"/>
      <c r="F616" s="2">
        <v>1600</v>
      </c>
      <c r="G616" s="3">
        <f t="shared" si="15"/>
        <v>6.4</v>
      </c>
    </row>
    <row r="617" spans="1:7" s="22" customFormat="1" x14ac:dyDescent="0.25">
      <c r="A617" s="6">
        <v>43944</v>
      </c>
      <c r="B617" s="63">
        <v>1307</v>
      </c>
      <c r="C617" s="22" t="s">
        <v>3</v>
      </c>
      <c r="D617" s="63"/>
      <c r="E617" s="178"/>
      <c r="F617" s="2">
        <v>200</v>
      </c>
      <c r="G617" s="3">
        <f t="shared" si="15"/>
        <v>0.8</v>
      </c>
    </row>
    <row r="618" spans="1:7" s="22" customFormat="1" x14ac:dyDescent="0.25">
      <c r="A618" s="6">
        <v>43945</v>
      </c>
      <c r="B618" s="63">
        <v>1367</v>
      </c>
      <c r="C618" s="22" t="s">
        <v>3</v>
      </c>
      <c r="D618" s="63"/>
      <c r="E618" s="178"/>
      <c r="F618" s="2">
        <v>100</v>
      </c>
      <c r="G618" s="3">
        <f t="shared" si="15"/>
        <v>0.4</v>
      </c>
    </row>
    <row r="619" spans="1:7" s="22" customFormat="1" x14ac:dyDescent="0.25">
      <c r="A619" s="6">
        <v>43946</v>
      </c>
      <c r="B619" s="63">
        <v>1568</v>
      </c>
      <c r="C619" s="22" t="s">
        <v>300</v>
      </c>
      <c r="D619" s="63"/>
      <c r="E619" s="178" t="s">
        <v>66</v>
      </c>
      <c r="F619" s="2">
        <v>300</v>
      </c>
      <c r="G619" s="3">
        <f t="shared" si="15"/>
        <v>26.2</v>
      </c>
    </row>
    <row r="620" spans="1:7" s="22" customFormat="1" x14ac:dyDescent="0.25">
      <c r="A620" s="6">
        <v>43947</v>
      </c>
      <c r="B620" s="63">
        <v>1569</v>
      </c>
      <c r="C620" s="22" t="s">
        <v>300</v>
      </c>
      <c r="D620" s="63"/>
      <c r="E620" s="178" t="s">
        <v>66</v>
      </c>
      <c r="F620" s="2">
        <v>100</v>
      </c>
      <c r="G620" s="3">
        <f t="shared" si="15"/>
        <v>25.4</v>
      </c>
    </row>
    <row r="621" spans="1:7" s="22" customFormat="1" x14ac:dyDescent="0.25">
      <c r="A621" s="6">
        <v>43948</v>
      </c>
      <c r="B621" s="63">
        <v>1570</v>
      </c>
      <c r="C621" s="22" t="s">
        <v>300</v>
      </c>
      <c r="D621" s="63"/>
      <c r="E621" s="178" t="s">
        <v>66</v>
      </c>
      <c r="F621" s="2">
        <v>100</v>
      </c>
      <c r="G621" s="3">
        <f t="shared" si="15"/>
        <v>25.4</v>
      </c>
    </row>
    <row r="622" spans="1:7" s="22" customFormat="1" x14ac:dyDescent="0.25">
      <c r="A622" s="6">
        <v>43949</v>
      </c>
      <c r="B622" s="63">
        <v>1572</v>
      </c>
      <c r="C622" s="22" t="s">
        <v>300</v>
      </c>
      <c r="D622" s="63"/>
      <c r="E622" s="178" t="s">
        <v>66</v>
      </c>
      <c r="F622" s="2">
        <v>100</v>
      </c>
      <c r="G622" s="3">
        <f t="shared" si="15"/>
        <v>25.4</v>
      </c>
    </row>
    <row r="623" spans="1:7" s="22" customFormat="1" x14ac:dyDescent="0.25">
      <c r="A623" s="6">
        <v>43950</v>
      </c>
      <c r="B623" s="63">
        <v>1573</v>
      </c>
      <c r="C623" s="22" t="s">
        <v>300</v>
      </c>
      <c r="D623" s="63"/>
      <c r="E623" s="178" t="s">
        <v>66</v>
      </c>
      <c r="F623" s="2">
        <v>200</v>
      </c>
      <c r="G623" s="3">
        <f t="shared" si="15"/>
        <v>25.8</v>
      </c>
    </row>
    <row r="624" spans="1:7" s="22" customFormat="1" x14ac:dyDescent="0.25">
      <c r="A624" s="6">
        <v>43951</v>
      </c>
      <c r="B624" s="63">
        <v>1575</v>
      </c>
      <c r="C624" s="22" t="s">
        <v>300</v>
      </c>
      <c r="D624" s="63"/>
      <c r="E624" s="178" t="s">
        <v>66</v>
      </c>
      <c r="F624" s="2">
        <v>200</v>
      </c>
      <c r="G624" s="3">
        <f t="shared" si="15"/>
        <v>25.8</v>
      </c>
    </row>
    <row r="625" spans="1:7" s="22" customFormat="1" x14ac:dyDescent="0.25">
      <c r="A625" s="6">
        <v>43952</v>
      </c>
      <c r="B625" s="63">
        <v>1577</v>
      </c>
      <c r="C625" s="22" t="s">
        <v>300</v>
      </c>
      <c r="D625" s="63"/>
      <c r="E625" s="178" t="s">
        <v>66</v>
      </c>
      <c r="F625" s="2">
        <v>200</v>
      </c>
      <c r="G625" s="3">
        <f t="shared" si="15"/>
        <v>25.8</v>
      </c>
    </row>
    <row r="626" spans="1:7" s="22" customFormat="1" x14ac:dyDescent="0.25">
      <c r="A626" s="6">
        <v>43953</v>
      </c>
      <c r="B626" s="63">
        <v>1578</v>
      </c>
      <c r="C626" s="22" t="s">
        <v>300</v>
      </c>
      <c r="D626" s="63"/>
      <c r="E626" s="178" t="s">
        <v>66</v>
      </c>
      <c r="F626" s="2">
        <v>100</v>
      </c>
      <c r="G626" s="3">
        <f t="shared" si="15"/>
        <v>25.4</v>
      </c>
    </row>
    <row r="627" spans="1:7" s="22" customFormat="1" x14ac:dyDescent="0.25">
      <c r="A627" s="6">
        <v>43954</v>
      </c>
      <c r="B627" s="63">
        <v>1580</v>
      </c>
      <c r="C627" s="22" t="s">
        <v>300</v>
      </c>
      <c r="D627" s="63"/>
      <c r="E627" s="178" t="s">
        <v>66</v>
      </c>
      <c r="F627" s="2">
        <v>100</v>
      </c>
      <c r="G627" s="3">
        <f t="shared" si="15"/>
        <v>25.4</v>
      </c>
    </row>
    <row r="628" spans="1:7" s="22" customFormat="1" x14ac:dyDescent="0.25">
      <c r="A628" s="6">
        <v>43955</v>
      </c>
      <c r="B628" s="63">
        <v>1582</v>
      </c>
      <c r="C628" s="22" t="s">
        <v>300</v>
      </c>
      <c r="D628" s="63"/>
      <c r="E628" s="178" t="s">
        <v>66</v>
      </c>
      <c r="F628" s="2">
        <v>100</v>
      </c>
      <c r="G628" s="3">
        <f t="shared" si="15"/>
        <v>25.4</v>
      </c>
    </row>
    <row r="629" spans="1:7" s="22" customFormat="1" x14ac:dyDescent="0.25">
      <c r="A629" s="6">
        <v>43956</v>
      </c>
      <c r="B629" s="63">
        <v>1584</v>
      </c>
      <c r="C629" s="22" t="s">
        <v>300</v>
      </c>
      <c r="D629" s="63"/>
      <c r="E629" s="178" t="s">
        <v>66</v>
      </c>
      <c r="F629" s="2">
        <v>100</v>
      </c>
      <c r="G629" s="3">
        <f t="shared" si="15"/>
        <v>25.4</v>
      </c>
    </row>
    <row r="630" spans="1:7" s="22" customFormat="1" x14ac:dyDescent="0.25">
      <c r="A630" s="6">
        <v>43957</v>
      </c>
      <c r="B630" s="63">
        <v>1584</v>
      </c>
      <c r="C630" s="22" t="s">
        <v>300</v>
      </c>
      <c r="D630" s="63"/>
      <c r="E630" s="178" t="s">
        <v>66</v>
      </c>
      <c r="F630" s="2">
        <v>200</v>
      </c>
      <c r="G630" s="3">
        <f t="shared" si="15"/>
        <v>25.8</v>
      </c>
    </row>
    <row r="631" spans="1:7" s="22" customFormat="1" x14ac:dyDescent="0.25">
      <c r="A631" s="6">
        <v>43958</v>
      </c>
      <c r="B631" s="63">
        <v>1586</v>
      </c>
      <c r="C631" s="22" t="s">
        <v>300</v>
      </c>
      <c r="D631" s="63"/>
      <c r="E631" s="178" t="s">
        <v>66</v>
      </c>
      <c r="F631" s="2">
        <v>200</v>
      </c>
      <c r="G631" s="3">
        <f t="shared" si="15"/>
        <v>25.8</v>
      </c>
    </row>
    <row r="632" spans="1:7" s="22" customFormat="1" x14ac:dyDescent="0.25">
      <c r="A632" s="6">
        <v>43959</v>
      </c>
      <c r="B632" s="63">
        <v>1587</v>
      </c>
      <c r="C632" s="22" t="s">
        <v>300</v>
      </c>
      <c r="D632" s="63"/>
      <c r="E632" s="178" t="s">
        <v>66</v>
      </c>
      <c r="F632" s="2">
        <v>200</v>
      </c>
      <c r="G632" s="3">
        <f t="shared" si="15"/>
        <v>25.8</v>
      </c>
    </row>
    <row r="633" spans="1:7" s="22" customFormat="1" x14ac:dyDescent="0.25">
      <c r="A633" s="6">
        <v>43960</v>
      </c>
      <c r="B633" s="63">
        <v>1589</v>
      </c>
      <c r="C633" s="22" t="s">
        <v>300</v>
      </c>
      <c r="D633" s="63"/>
      <c r="E633" s="178" t="s">
        <v>66</v>
      </c>
      <c r="F633" s="2">
        <v>100</v>
      </c>
      <c r="G633" s="3">
        <f t="shared" si="15"/>
        <v>25.4</v>
      </c>
    </row>
    <row r="634" spans="1:7" s="22" customFormat="1" x14ac:dyDescent="0.25">
      <c r="A634" s="6">
        <v>43961</v>
      </c>
      <c r="B634" s="63">
        <v>1591</v>
      </c>
      <c r="C634" s="22" t="s">
        <v>300</v>
      </c>
      <c r="D634" s="63"/>
      <c r="E634" s="178" t="s">
        <v>66</v>
      </c>
      <c r="F634" s="2">
        <v>100</v>
      </c>
      <c r="G634" s="3">
        <f t="shared" si="15"/>
        <v>25.4</v>
      </c>
    </row>
    <row r="635" spans="1:7" s="22" customFormat="1" x14ac:dyDescent="0.25">
      <c r="A635" s="6">
        <v>43962</v>
      </c>
      <c r="B635" s="63">
        <v>1593</v>
      </c>
      <c r="C635" s="22" t="s">
        <v>300</v>
      </c>
      <c r="D635" s="63"/>
      <c r="E635" s="178" t="s">
        <v>66</v>
      </c>
      <c r="F635" s="2">
        <v>200</v>
      </c>
      <c r="G635" s="3">
        <f t="shared" si="15"/>
        <v>25.8</v>
      </c>
    </row>
    <row r="636" spans="1:7" s="22" customFormat="1" x14ac:dyDescent="0.25">
      <c r="A636" s="6">
        <v>43963</v>
      </c>
      <c r="B636" s="63">
        <v>1595</v>
      </c>
      <c r="C636" s="22" t="s">
        <v>300</v>
      </c>
      <c r="D636" s="63"/>
      <c r="E636" s="178" t="s">
        <v>66</v>
      </c>
      <c r="F636" s="2">
        <v>100</v>
      </c>
      <c r="G636" s="3">
        <f t="shared" si="15"/>
        <v>25.4</v>
      </c>
    </row>
    <row r="637" spans="1:7" s="22" customFormat="1" x14ac:dyDescent="0.25">
      <c r="A637" s="6">
        <v>43964</v>
      </c>
      <c r="B637" s="63">
        <v>1596</v>
      </c>
      <c r="C637" s="22" t="s">
        <v>300</v>
      </c>
      <c r="D637" s="63"/>
      <c r="E637" s="178" t="s">
        <v>66</v>
      </c>
      <c r="F637" s="2">
        <v>100</v>
      </c>
      <c r="G637" s="3">
        <f t="shared" si="15"/>
        <v>25.4</v>
      </c>
    </row>
    <row r="638" spans="1:7" s="22" customFormat="1" x14ac:dyDescent="0.25">
      <c r="A638" s="6">
        <v>43965</v>
      </c>
      <c r="B638" s="63">
        <v>1597</v>
      </c>
      <c r="C638" s="22" t="s">
        <v>300</v>
      </c>
      <c r="D638" s="63"/>
      <c r="E638" s="178" t="s">
        <v>66</v>
      </c>
      <c r="F638" s="2">
        <v>100</v>
      </c>
      <c r="G638" s="3">
        <f t="shared" si="15"/>
        <v>25.4</v>
      </c>
    </row>
    <row r="639" spans="1:7" s="22" customFormat="1" x14ac:dyDescent="0.25">
      <c r="A639" s="6">
        <v>43966</v>
      </c>
      <c r="B639" s="63">
        <v>1601</v>
      </c>
      <c r="C639" s="22" t="s">
        <v>300</v>
      </c>
      <c r="D639" s="63"/>
      <c r="E639" s="178" t="s">
        <v>66</v>
      </c>
      <c r="F639" s="2">
        <v>100</v>
      </c>
      <c r="G639" s="3">
        <f t="shared" si="15"/>
        <v>25.4</v>
      </c>
    </row>
    <row r="640" spans="1:7" s="22" customFormat="1" x14ac:dyDescent="0.25">
      <c r="A640" s="6">
        <v>43967</v>
      </c>
      <c r="B640" s="63">
        <v>1604</v>
      </c>
      <c r="C640" s="22" t="s">
        <v>300</v>
      </c>
      <c r="D640" s="63"/>
      <c r="E640" s="178" t="s">
        <v>66</v>
      </c>
      <c r="F640" s="2">
        <v>100</v>
      </c>
      <c r="G640" s="3">
        <f t="shared" si="15"/>
        <v>25.4</v>
      </c>
    </row>
    <row r="641" spans="1:7" s="22" customFormat="1" x14ac:dyDescent="0.25">
      <c r="A641" s="6">
        <v>43968</v>
      </c>
      <c r="B641" s="63">
        <v>1607</v>
      </c>
      <c r="C641" s="22" t="s">
        <v>300</v>
      </c>
      <c r="D641" s="63"/>
      <c r="E641" s="178" t="s">
        <v>66</v>
      </c>
      <c r="F641" s="2">
        <v>100</v>
      </c>
      <c r="G641" s="3">
        <f t="shared" si="15"/>
        <v>25.4</v>
      </c>
    </row>
    <row r="642" spans="1:7" s="22" customFormat="1" x14ac:dyDescent="0.25">
      <c r="A642" s="6">
        <v>43969</v>
      </c>
      <c r="B642" s="63">
        <v>1611</v>
      </c>
      <c r="C642" s="22" t="s">
        <v>300</v>
      </c>
      <c r="D642" s="63"/>
      <c r="E642" s="178" t="s">
        <v>66</v>
      </c>
      <c r="F642" s="2">
        <v>100</v>
      </c>
      <c r="G642" s="3">
        <f t="shared" si="15"/>
        <v>25.4</v>
      </c>
    </row>
    <row r="643" spans="1:7" s="22" customFormat="1" x14ac:dyDescent="0.25">
      <c r="A643" s="6">
        <v>43970</v>
      </c>
      <c r="B643" s="63">
        <v>1613</v>
      </c>
      <c r="C643" s="22" t="s">
        <v>300</v>
      </c>
      <c r="D643" s="63"/>
      <c r="E643" s="178" t="s">
        <v>66</v>
      </c>
      <c r="F643" s="2">
        <v>150</v>
      </c>
      <c r="G643" s="3">
        <f t="shared" si="15"/>
        <v>25.6</v>
      </c>
    </row>
    <row r="644" spans="1:7" s="22" customFormat="1" x14ac:dyDescent="0.25">
      <c r="A644" s="6">
        <v>43971</v>
      </c>
      <c r="B644" s="63">
        <v>1614</v>
      </c>
      <c r="C644" s="22" t="s">
        <v>300</v>
      </c>
      <c r="D644" s="63"/>
      <c r="E644" s="178" t="s">
        <v>66</v>
      </c>
      <c r="F644" s="2">
        <v>100</v>
      </c>
      <c r="G644" s="3">
        <f t="shared" si="15"/>
        <v>25.4</v>
      </c>
    </row>
    <row r="645" spans="1:7" s="22" customFormat="1" x14ac:dyDescent="0.25">
      <c r="A645" s="6">
        <v>43972</v>
      </c>
      <c r="B645" s="63">
        <v>1617</v>
      </c>
      <c r="C645" s="22" t="s">
        <v>300</v>
      </c>
      <c r="D645" s="63"/>
      <c r="E645" s="178" t="s">
        <v>66</v>
      </c>
      <c r="F645" s="2">
        <v>100</v>
      </c>
      <c r="G645" s="3">
        <f t="shared" si="15"/>
        <v>25.4</v>
      </c>
    </row>
    <row r="646" spans="1:7" s="22" customFormat="1" x14ac:dyDescent="0.25">
      <c r="A646" s="6">
        <v>43973</v>
      </c>
      <c r="B646" s="63">
        <v>1618</v>
      </c>
      <c r="C646" s="22" t="s">
        <v>300</v>
      </c>
      <c r="D646" s="63"/>
      <c r="E646" s="178" t="s">
        <v>66</v>
      </c>
      <c r="F646" s="2">
        <v>100</v>
      </c>
      <c r="G646" s="3">
        <f t="shared" si="15"/>
        <v>25.4</v>
      </c>
    </row>
    <row r="647" spans="1:7" s="22" customFormat="1" x14ac:dyDescent="0.25">
      <c r="A647" s="6">
        <v>43974</v>
      </c>
      <c r="B647" s="63">
        <v>1621</v>
      </c>
      <c r="C647" s="22" t="s">
        <v>300</v>
      </c>
      <c r="D647" s="63"/>
      <c r="E647" s="178" t="s">
        <v>66</v>
      </c>
      <c r="F647" s="2">
        <v>100</v>
      </c>
      <c r="G647" s="3">
        <f t="shared" si="15"/>
        <v>25.4</v>
      </c>
    </row>
    <row r="648" spans="1:7" s="22" customFormat="1" x14ac:dyDescent="0.25">
      <c r="A648" s="6">
        <v>43975</v>
      </c>
      <c r="B648" s="63">
        <v>1623</v>
      </c>
      <c r="C648" s="22" t="s">
        <v>300</v>
      </c>
      <c r="D648" s="63"/>
      <c r="E648" s="178" t="s">
        <v>66</v>
      </c>
      <c r="F648" s="2">
        <v>100</v>
      </c>
      <c r="G648" s="3">
        <f t="shared" si="15"/>
        <v>25.4</v>
      </c>
    </row>
    <row r="649" spans="1:7" s="22" customFormat="1" x14ac:dyDescent="0.25">
      <c r="A649" s="6">
        <v>43976</v>
      </c>
      <c r="B649" s="63">
        <v>1624</v>
      </c>
      <c r="C649" s="22" t="s">
        <v>300</v>
      </c>
      <c r="D649" s="63"/>
      <c r="E649" s="178" t="s">
        <v>66</v>
      </c>
      <c r="F649" s="2">
        <v>100</v>
      </c>
      <c r="G649" s="3">
        <f t="shared" si="15"/>
        <v>25.4</v>
      </c>
    </row>
    <row r="650" spans="1:7" s="22" customFormat="1" x14ac:dyDescent="0.25">
      <c r="A650" s="6">
        <v>43977</v>
      </c>
      <c r="B650" s="63">
        <v>1627</v>
      </c>
      <c r="C650" s="22" t="s">
        <v>300</v>
      </c>
      <c r="D650" s="63"/>
      <c r="E650" s="178" t="s">
        <v>66</v>
      </c>
      <c r="F650" s="2">
        <v>100</v>
      </c>
      <c r="G650" s="3">
        <f t="shared" si="15"/>
        <v>25.4</v>
      </c>
    </row>
    <row r="651" spans="1:7" s="22" customFormat="1" x14ac:dyDescent="0.25">
      <c r="A651" s="6">
        <v>43978</v>
      </c>
      <c r="B651" s="63">
        <v>1628</v>
      </c>
      <c r="C651" s="22" t="s">
        <v>300</v>
      </c>
      <c r="D651" s="63"/>
      <c r="E651" s="178" t="s">
        <v>66</v>
      </c>
      <c r="F651" s="2">
        <v>100</v>
      </c>
      <c r="G651" s="3">
        <f t="shared" si="15"/>
        <v>25.4</v>
      </c>
    </row>
    <row r="652" spans="1:7" s="22" customFormat="1" x14ac:dyDescent="0.25">
      <c r="A652" s="6">
        <v>43979</v>
      </c>
      <c r="B652" s="63">
        <v>1630</v>
      </c>
      <c r="C652" s="22" t="s">
        <v>300</v>
      </c>
      <c r="D652" s="63"/>
      <c r="E652" s="178" t="s">
        <v>66</v>
      </c>
      <c r="F652" s="2">
        <v>100</v>
      </c>
      <c r="G652" s="3">
        <f t="shared" si="15"/>
        <v>25.4</v>
      </c>
    </row>
    <row r="653" spans="1:7" s="22" customFormat="1" x14ac:dyDescent="0.25">
      <c r="A653" s="6">
        <v>43980</v>
      </c>
      <c r="B653" s="63">
        <v>1632</v>
      </c>
      <c r="C653" s="22" t="s">
        <v>300</v>
      </c>
      <c r="D653" s="63"/>
      <c r="E653" s="178" t="s">
        <v>66</v>
      </c>
      <c r="F653" s="2">
        <v>100</v>
      </c>
      <c r="G653" s="3">
        <f t="shared" si="15"/>
        <v>25.4</v>
      </c>
    </row>
    <row r="654" spans="1:7" s="22" customFormat="1" x14ac:dyDescent="0.25">
      <c r="A654" s="6">
        <v>43981</v>
      </c>
      <c r="B654" s="63">
        <v>1634</v>
      </c>
      <c r="C654" s="22" t="s">
        <v>300</v>
      </c>
      <c r="D654" s="63"/>
      <c r="E654" s="178" t="s">
        <v>66</v>
      </c>
      <c r="F654" s="2">
        <v>100</v>
      </c>
      <c r="G654" s="3">
        <f t="shared" si="15"/>
        <v>25.4</v>
      </c>
    </row>
    <row r="655" spans="1:7" s="22" customFormat="1" x14ac:dyDescent="0.25">
      <c r="A655" s="6">
        <v>43982</v>
      </c>
      <c r="B655" s="63">
        <v>1636</v>
      </c>
      <c r="C655" s="22" t="s">
        <v>300</v>
      </c>
      <c r="D655" s="63"/>
      <c r="E655" s="178" t="s">
        <v>66</v>
      </c>
      <c r="F655" s="2">
        <v>100</v>
      </c>
      <c r="G655" s="3">
        <f t="shared" si="15"/>
        <v>25.4</v>
      </c>
    </row>
    <row r="656" spans="1:7" s="22" customFormat="1" x14ac:dyDescent="0.25">
      <c r="A656" s="6">
        <v>43983</v>
      </c>
      <c r="B656" s="63">
        <v>1637</v>
      </c>
      <c r="C656" s="22" t="s">
        <v>300</v>
      </c>
      <c r="D656" s="63"/>
      <c r="E656" s="178" t="s">
        <v>66</v>
      </c>
      <c r="F656" s="2">
        <v>200</v>
      </c>
      <c r="G656" s="3">
        <f t="shared" si="15"/>
        <v>25.8</v>
      </c>
    </row>
    <row r="657" spans="1:7" s="22" customFormat="1" x14ac:dyDescent="0.25">
      <c r="A657" s="6">
        <v>43984</v>
      </c>
      <c r="B657" s="63">
        <v>1640</v>
      </c>
      <c r="C657" s="22" t="s">
        <v>300</v>
      </c>
      <c r="D657" s="63"/>
      <c r="E657" s="178" t="s">
        <v>66</v>
      </c>
      <c r="F657" s="2">
        <v>1700</v>
      </c>
      <c r="G657" s="3">
        <f t="shared" si="15"/>
        <v>31.8</v>
      </c>
    </row>
    <row r="658" spans="1:7" s="22" customFormat="1" x14ac:dyDescent="0.25">
      <c r="A658" s="6">
        <v>43985</v>
      </c>
      <c r="B658" s="63">
        <v>1642</v>
      </c>
      <c r="C658" s="22" t="s">
        <v>300</v>
      </c>
      <c r="D658" s="63"/>
      <c r="E658" s="178" t="s">
        <v>66</v>
      </c>
      <c r="F658" s="2">
        <v>100</v>
      </c>
      <c r="G658" s="3">
        <f t="shared" si="15"/>
        <v>25.4</v>
      </c>
    </row>
    <row r="659" spans="1:7" s="22" customFormat="1" x14ac:dyDescent="0.25">
      <c r="A659" s="6">
        <v>43986</v>
      </c>
      <c r="B659" s="63">
        <v>1643</v>
      </c>
      <c r="C659" s="22" t="s">
        <v>300</v>
      </c>
      <c r="D659" s="63"/>
      <c r="E659" s="178" t="s">
        <v>66</v>
      </c>
      <c r="F659" s="2">
        <v>100</v>
      </c>
      <c r="G659" s="3">
        <f t="shared" si="15"/>
        <v>25.4</v>
      </c>
    </row>
    <row r="660" spans="1:7" s="22" customFormat="1" x14ac:dyDescent="0.25">
      <c r="A660" s="6">
        <v>43944</v>
      </c>
      <c r="B660" s="63">
        <v>1645</v>
      </c>
      <c r="C660" s="22" t="s">
        <v>300</v>
      </c>
      <c r="D660" s="63"/>
      <c r="E660" s="178" t="s">
        <v>66</v>
      </c>
      <c r="F660" s="2">
        <v>100</v>
      </c>
      <c r="G660" s="3">
        <f t="shared" si="15"/>
        <v>25.4</v>
      </c>
    </row>
    <row r="661" spans="1:7" s="22" customFormat="1" x14ac:dyDescent="0.25">
      <c r="A661" s="6">
        <v>43945</v>
      </c>
      <c r="B661" s="63"/>
      <c r="C661" s="22" t="s">
        <v>243</v>
      </c>
      <c r="D661" s="63"/>
      <c r="E661" s="178"/>
      <c r="F661" s="2">
        <v>1000</v>
      </c>
      <c r="G661" s="3">
        <f t="shared" si="15"/>
        <v>4</v>
      </c>
    </row>
    <row r="662" spans="1:7" s="22" customFormat="1" x14ac:dyDescent="0.25">
      <c r="A662" s="6">
        <v>43946</v>
      </c>
      <c r="B662" s="63">
        <v>672</v>
      </c>
      <c r="C662" s="22" t="s">
        <v>270</v>
      </c>
      <c r="D662" s="63"/>
      <c r="E662" s="178"/>
      <c r="F662" s="2">
        <v>2500</v>
      </c>
      <c r="G662" s="3">
        <f t="shared" si="15"/>
        <v>10</v>
      </c>
    </row>
    <row r="663" spans="1:7" s="22" customFormat="1" x14ac:dyDescent="0.25">
      <c r="A663" s="6"/>
      <c r="B663" s="63"/>
      <c r="D663" s="63"/>
      <c r="E663" s="178"/>
      <c r="F663" s="2"/>
      <c r="G663" s="3"/>
    </row>
    <row r="664" spans="1:7" s="22" customFormat="1" x14ac:dyDescent="0.25">
      <c r="A664" s="6"/>
      <c r="B664" s="63"/>
      <c r="D664" s="63"/>
      <c r="E664" s="178"/>
      <c r="F664" s="2"/>
      <c r="G664" s="3"/>
    </row>
    <row r="665" spans="1:7" s="22" customFormat="1" x14ac:dyDescent="0.25">
      <c r="A665" s="6"/>
      <c r="B665" s="63"/>
      <c r="D665" s="63"/>
      <c r="E665" s="178"/>
      <c r="F665" s="2"/>
      <c r="G665" s="3"/>
    </row>
    <row r="666" spans="1:7" s="22" customFormat="1" x14ac:dyDescent="0.25">
      <c r="A666" s="6"/>
      <c r="B666" s="63"/>
      <c r="D666" s="63"/>
      <c r="E666" s="178"/>
      <c r="F666" s="2"/>
      <c r="G666" s="3"/>
    </row>
    <row r="667" spans="1:7" s="22" customFormat="1" x14ac:dyDescent="0.25">
      <c r="A667" s="6"/>
      <c r="B667" s="63"/>
      <c r="D667" s="63"/>
      <c r="E667" s="178"/>
      <c r="F667" s="2"/>
      <c r="G667" s="3"/>
    </row>
    <row r="668" spans="1:7" s="22" customFormat="1" x14ac:dyDescent="0.25">
      <c r="A668" s="6"/>
      <c r="B668" s="63"/>
      <c r="D668" s="63"/>
      <c r="E668" s="178"/>
      <c r="F668" s="2"/>
      <c r="G668" s="3"/>
    </row>
    <row r="669" spans="1:7" s="22" customFormat="1" x14ac:dyDescent="0.25">
      <c r="A669" s="6"/>
      <c r="B669" s="63"/>
      <c r="D669" s="63"/>
      <c r="E669" s="178"/>
      <c r="F669" s="2"/>
      <c r="G669" s="3"/>
    </row>
    <row r="670" spans="1:7" s="22" customFormat="1" x14ac:dyDescent="0.25">
      <c r="A670" s="6"/>
      <c r="B670" s="63"/>
      <c r="D670" s="63"/>
      <c r="E670" s="178"/>
      <c r="F670" s="2"/>
      <c r="G670" s="3"/>
    </row>
    <row r="671" spans="1:7" s="22" customFormat="1" x14ac:dyDescent="0.25">
      <c r="A671" s="6"/>
      <c r="B671" s="63"/>
      <c r="D671" s="63"/>
      <c r="E671" s="178"/>
      <c r="F671" s="2"/>
      <c r="G671" s="3"/>
    </row>
    <row r="672" spans="1:7" s="22" customFormat="1" x14ac:dyDescent="0.25">
      <c r="A672" s="6"/>
      <c r="B672" s="63"/>
      <c r="D672" s="63"/>
      <c r="E672" s="178"/>
      <c r="F672" s="2"/>
      <c r="G672" s="3"/>
    </row>
    <row r="674" spans="1:12" x14ac:dyDescent="0.25">
      <c r="A674" s="8"/>
      <c r="B674" s="64"/>
      <c r="C674" s="8"/>
      <c r="D674" s="64"/>
      <c r="E674" s="9">
        <f>COUNTIF(E419:E673,"Y")</f>
        <v>210</v>
      </c>
      <c r="F674" s="8">
        <f>SUM(F420:F673)</f>
        <v>63350</v>
      </c>
      <c r="G674" s="8">
        <f>SUM(G420:G673)</f>
        <v>5541.7999999999965</v>
      </c>
      <c r="H674" s="8">
        <f>G674*0.8</f>
        <v>4433.4399999999978</v>
      </c>
      <c r="I674" s="8"/>
      <c r="L674">
        <f>210+59+5+29</f>
        <v>303</v>
      </c>
    </row>
    <row r="676" spans="1:12" x14ac:dyDescent="0.25">
      <c r="A676" s="6">
        <v>43952</v>
      </c>
      <c r="E676" s="178" t="s">
        <v>66</v>
      </c>
      <c r="F676" s="2">
        <v>200</v>
      </c>
      <c r="G676" s="3">
        <f t="shared" ref="G676:G739" si="16">IF(E676="y",25,IF(OR(E676="N", E676="RD",E676="I"),10,0))+IF(F676&gt;5000,20,F676*0.4%)+IF(E676="PMSBY",1,IF(E676="PMJJBY",30,0))</f>
        <v>25.8</v>
      </c>
    </row>
    <row r="677" spans="1:12" x14ac:dyDescent="0.25">
      <c r="A677" s="6">
        <v>43952</v>
      </c>
      <c r="E677" s="178" t="s">
        <v>66</v>
      </c>
      <c r="F677" s="2">
        <v>100</v>
      </c>
      <c r="G677" s="3">
        <f t="shared" si="16"/>
        <v>25.4</v>
      </c>
    </row>
    <row r="678" spans="1:12" x14ac:dyDescent="0.25">
      <c r="A678" s="6">
        <v>43952</v>
      </c>
      <c r="E678" s="178" t="s">
        <v>66</v>
      </c>
      <c r="F678" s="2">
        <v>100</v>
      </c>
      <c r="G678" s="3">
        <f t="shared" si="16"/>
        <v>25.4</v>
      </c>
    </row>
    <row r="679" spans="1:12" x14ac:dyDescent="0.25">
      <c r="A679" s="6">
        <v>43952</v>
      </c>
      <c r="E679" s="178" t="s">
        <v>66</v>
      </c>
      <c r="F679" s="2">
        <v>200</v>
      </c>
      <c r="G679" s="3">
        <f t="shared" si="16"/>
        <v>25.8</v>
      </c>
    </row>
    <row r="680" spans="1:12" x14ac:dyDescent="0.25">
      <c r="A680" s="6">
        <v>43952</v>
      </c>
      <c r="E680" s="178" t="s">
        <v>66</v>
      </c>
      <c r="F680" s="2">
        <v>100</v>
      </c>
      <c r="G680" s="3">
        <f t="shared" si="16"/>
        <v>25.4</v>
      </c>
    </row>
    <row r="681" spans="1:12" x14ac:dyDescent="0.25">
      <c r="A681" s="6">
        <v>43952</v>
      </c>
      <c r="E681" s="178" t="s">
        <v>66</v>
      </c>
      <c r="F681" s="2">
        <v>100</v>
      </c>
      <c r="G681" s="3">
        <f t="shared" si="16"/>
        <v>25.4</v>
      </c>
    </row>
    <row r="682" spans="1:12" x14ac:dyDescent="0.25">
      <c r="A682" s="6">
        <v>43952</v>
      </c>
      <c r="E682" s="178" t="s">
        <v>66</v>
      </c>
      <c r="F682" s="2">
        <v>100</v>
      </c>
      <c r="G682" s="3">
        <f t="shared" si="16"/>
        <v>25.4</v>
      </c>
    </row>
    <row r="683" spans="1:12" x14ac:dyDescent="0.25">
      <c r="A683" s="6">
        <v>43952</v>
      </c>
      <c r="E683" s="178" t="s">
        <v>66</v>
      </c>
      <c r="F683" s="2">
        <v>100</v>
      </c>
      <c r="G683" s="3">
        <f t="shared" si="16"/>
        <v>25.4</v>
      </c>
    </row>
    <row r="684" spans="1:12" x14ac:dyDescent="0.25">
      <c r="A684" s="6">
        <v>43952</v>
      </c>
      <c r="E684" s="178" t="s">
        <v>66</v>
      </c>
      <c r="F684" s="2">
        <v>100</v>
      </c>
      <c r="G684" s="3">
        <f t="shared" si="16"/>
        <v>25.4</v>
      </c>
    </row>
    <row r="685" spans="1:12" x14ac:dyDescent="0.25">
      <c r="A685" s="6">
        <v>43952</v>
      </c>
      <c r="E685" s="178" t="s">
        <v>66</v>
      </c>
      <c r="F685" s="2">
        <v>100</v>
      </c>
      <c r="G685" s="3">
        <f t="shared" si="16"/>
        <v>25.4</v>
      </c>
    </row>
    <row r="686" spans="1:12" x14ac:dyDescent="0.25">
      <c r="A686" s="6">
        <v>43952</v>
      </c>
      <c r="E686" s="178" t="s">
        <v>66</v>
      </c>
      <c r="F686" s="2">
        <v>100</v>
      </c>
      <c r="G686" s="3">
        <f t="shared" si="16"/>
        <v>25.4</v>
      </c>
    </row>
    <row r="687" spans="1:12" x14ac:dyDescent="0.25">
      <c r="A687" s="6">
        <v>43952</v>
      </c>
      <c r="E687" s="178" t="s">
        <v>66</v>
      </c>
      <c r="F687" s="2">
        <v>100</v>
      </c>
      <c r="G687" s="3">
        <f t="shared" si="16"/>
        <v>25.4</v>
      </c>
    </row>
    <row r="688" spans="1:12" x14ac:dyDescent="0.25">
      <c r="A688" s="6">
        <v>43952</v>
      </c>
      <c r="E688" s="178" t="s">
        <v>66</v>
      </c>
      <c r="F688" s="2">
        <v>100</v>
      </c>
      <c r="G688" s="3">
        <f t="shared" si="16"/>
        <v>25.4</v>
      </c>
    </row>
    <row r="689" spans="1:7" x14ac:dyDescent="0.25">
      <c r="A689" s="6">
        <v>43952</v>
      </c>
      <c r="E689" s="178" t="s">
        <v>66</v>
      </c>
      <c r="F689" s="2">
        <v>100</v>
      </c>
      <c r="G689" s="3">
        <f t="shared" si="16"/>
        <v>25.4</v>
      </c>
    </row>
    <row r="690" spans="1:7" x14ac:dyDescent="0.25">
      <c r="A690" s="6">
        <v>43952</v>
      </c>
      <c r="E690" s="178" t="s">
        <v>66</v>
      </c>
      <c r="F690" s="2">
        <v>100</v>
      </c>
      <c r="G690" s="3">
        <f t="shared" si="16"/>
        <v>25.4</v>
      </c>
    </row>
    <row r="691" spans="1:7" x14ac:dyDescent="0.25">
      <c r="A691" s="6">
        <v>43952</v>
      </c>
      <c r="E691" s="178" t="s">
        <v>66</v>
      </c>
      <c r="F691" s="2">
        <v>100</v>
      </c>
      <c r="G691" s="3">
        <f t="shared" si="16"/>
        <v>25.4</v>
      </c>
    </row>
    <row r="692" spans="1:7" x14ac:dyDescent="0.25">
      <c r="A692" s="6">
        <v>43952</v>
      </c>
      <c r="E692" s="178" t="s">
        <v>66</v>
      </c>
      <c r="F692" s="2">
        <v>100</v>
      </c>
      <c r="G692" s="3">
        <f t="shared" si="16"/>
        <v>25.4</v>
      </c>
    </row>
    <row r="693" spans="1:7" x14ac:dyDescent="0.25">
      <c r="A693" s="6">
        <v>43952</v>
      </c>
      <c r="E693" s="178" t="s">
        <v>66</v>
      </c>
      <c r="F693" s="2">
        <v>100</v>
      </c>
      <c r="G693" s="3">
        <f t="shared" si="16"/>
        <v>25.4</v>
      </c>
    </row>
    <row r="694" spans="1:7" x14ac:dyDescent="0.25">
      <c r="A694" s="6">
        <v>43952</v>
      </c>
      <c r="E694" s="178" t="s">
        <v>66</v>
      </c>
      <c r="F694" s="2">
        <v>100</v>
      </c>
      <c r="G694" s="3">
        <f t="shared" si="16"/>
        <v>25.4</v>
      </c>
    </row>
    <row r="695" spans="1:7" x14ac:dyDescent="0.25">
      <c r="A695" s="6">
        <v>43952</v>
      </c>
      <c r="E695" s="178" t="s">
        <v>66</v>
      </c>
      <c r="F695" s="2">
        <v>100</v>
      </c>
      <c r="G695" s="3">
        <f t="shared" si="16"/>
        <v>25.4</v>
      </c>
    </row>
    <row r="696" spans="1:7" x14ac:dyDescent="0.25">
      <c r="A696" s="6">
        <v>43952</v>
      </c>
      <c r="E696" s="178" t="s">
        <v>66</v>
      </c>
      <c r="F696" s="2">
        <v>200</v>
      </c>
      <c r="G696" s="3">
        <f t="shared" si="16"/>
        <v>25.8</v>
      </c>
    </row>
    <row r="697" spans="1:7" x14ac:dyDescent="0.25">
      <c r="A697" s="6">
        <v>43952</v>
      </c>
      <c r="E697" s="178" t="s">
        <v>66</v>
      </c>
      <c r="F697" s="2">
        <v>100</v>
      </c>
      <c r="G697" s="3">
        <f t="shared" si="16"/>
        <v>25.4</v>
      </c>
    </row>
    <row r="698" spans="1:7" x14ac:dyDescent="0.25">
      <c r="A698" s="6">
        <v>43952</v>
      </c>
      <c r="E698" s="178" t="s">
        <v>66</v>
      </c>
      <c r="F698" s="2">
        <v>100</v>
      </c>
      <c r="G698" s="3">
        <f t="shared" si="16"/>
        <v>25.4</v>
      </c>
    </row>
    <row r="699" spans="1:7" x14ac:dyDescent="0.25">
      <c r="A699" s="6">
        <v>43952</v>
      </c>
      <c r="E699" s="178" t="s">
        <v>66</v>
      </c>
      <c r="F699" s="2">
        <v>100</v>
      </c>
      <c r="G699" s="3">
        <f t="shared" si="16"/>
        <v>25.4</v>
      </c>
    </row>
    <row r="700" spans="1:7" x14ac:dyDescent="0.25">
      <c r="A700" s="6">
        <v>43952</v>
      </c>
      <c r="E700" s="178" t="s">
        <v>66</v>
      </c>
      <c r="F700" s="2">
        <v>100</v>
      </c>
      <c r="G700" s="3">
        <f t="shared" si="16"/>
        <v>25.4</v>
      </c>
    </row>
    <row r="701" spans="1:7" x14ac:dyDescent="0.25">
      <c r="A701" s="6">
        <v>43952</v>
      </c>
      <c r="E701" s="178" t="s">
        <v>66</v>
      </c>
      <c r="F701" s="2">
        <v>100</v>
      </c>
      <c r="G701" s="3">
        <f t="shared" si="16"/>
        <v>25.4</v>
      </c>
    </row>
    <row r="702" spans="1:7" x14ac:dyDescent="0.25">
      <c r="A702" s="6">
        <v>43952</v>
      </c>
      <c r="E702" s="178" t="s">
        <v>66</v>
      </c>
      <c r="F702" s="2">
        <v>100</v>
      </c>
      <c r="G702" s="3">
        <f t="shared" si="16"/>
        <v>25.4</v>
      </c>
    </row>
    <row r="703" spans="1:7" x14ac:dyDescent="0.25">
      <c r="A703" s="6">
        <v>43952</v>
      </c>
      <c r="E703" s="178" t="s">
        <v>66</v>
      </c>
      <c r="F703" s="2">
        <v>200</v>
      </c>
      <c r="G703" s="3">
        <f t="shared" si="16"/>
        <v>25.8</v>
      </c>
    </row>
    <row r="704" spans="1:7" x14ac:dyDescent="0.25">
      <c r="A704" s="6">
        <v>43952</v>
      </c>
      <c r="E704" s="178" t="s">
        <v>66</v>
      </c>
      <c r="F704" s="2">
        <v>100</v>
      </c>
      <c r="G704" s="3">
        <f t="shared" si="16"/>
        <v>25.4</v>
      </c>
    </row>
    <row r="705" spans="1:7" x14ac:dyDescent="0.25">
      <c r="A705" s="6">
        <v>43952</v>
      </c>
      <c r="E705" s="178" t="s">
        <v>66</v>
      </c>
      <c r="F705" s="2">
        <v>100</v>
      </c>
      <c r="G705" s="3">
        <f t="shared" si="16"/>
        <v>25.4</v>
      </c>
    </row>
    <row r="706" spans="1:7" x14ac:dyDescent="0.25">
      <c r="A706" s="6">
        <v>43952</v>
      </c>
      <c r="F706" s="2">
        <v>500</v>
      </c>
      <c r="G706" s="3">
        <f t="shared" si="16"/>
        <v>2</v>
      </c>
    </row>
    <row r="707" spans="1:7" x14ac:dyDescent="0.25">
      <c r="A707" s="6">
        <v>43952</v>
      </c>
      <c r="E707" s="178" t="s">
        <v>66</v>
      </c>
      <c r="F707" s="2">
        <v>100</v>
      </c>
      <c r="G707" s="3">
        <f t="shared" si="16"/>
        <v>25.4</v>
      </c>
    </row>
    <row r="708" spans="1:7" x14ac:dyDescent="0.25">
      <c r="A708" s="6">
        <v>43952</v>
      </c>
      <c r="E708" s="178" t="s">
        <v>66</v>
      </c>
      <c r="F708" s="2">
        <v>100</v>
      </c>
      <c r="G708" s="3">
        <f t="shared" si="16"/>
        <v>25.4</v>
      </c>
    </row>
    <row r="709" spans="1:7" x14ac:dyDescent="0.25">
      <c r="A709" s="6">
        <v>43952</v>
      </c>
      <c r="E709" s="178" t="s">
        <v>66</v>
      </c>
      <c r="F709" s="2">
        <v>100</v>
      </c>
      <c r="G709" s="3">
        <f t="shared" si="16"/>
        <v>25.4</v>
      </c>
    </row>
    <row r="710" spans="1:7" x14ac:dyDescent="0.25">
      <c r="A710" s="6">
        <v>43952</v>
      </c>
      <c r="E710" s="178" t="s">
        <v>66</v>
      </c>
      <c r="F710" s="2">
        <v>100</v>
      </c>
      <c r="G710" s="3">
        <f t="shared" si="16"/>
        <v>25.4</v>
      </c>
    </row>
    <row r="711" spans="1:7" x14ac:dyDescent="0.25">
      <c r="A711" s="6">
        <v>43952</v>
      </c>
      <c r="E711" s="178" t="s">
        <v>66</v>
      </c>
      <c r="F711" s="2">
        <v>100</v>
      </c>
      <c r="G711" s="3">
        <f t="shared" si="16"/>
        <v>25.4</v>
      </c>
    </row>
    <row r="712" spans="1:7" x14ac:dyDescent="0.25">
      <c r="A712" s="6">
        <v>43952</v>
      </c>
      <c r="E712" s="178" t="s">
        <v>66</v>
      </c>
      <c r="F712" s="2">
        <v>500</v>
      </c>
      <c r="G712" s="3">
        <f t="shared" si="16"/>
        <v>27</v>
      </c>
    </row>
    <row r="713" spans="1:7" x14ac:dyDescent="0.25">
      <c r="A713" s="6">
        <v>43952</v>
      </c>
      <c r="E713" s="178" t="s">
        <v>66</v>
      </c>
      <c r="F713" s="2">
        <v>100</v>
      </c>
      <c r="G713" s="3">
        <f t="shared" si="16"/>
        <v>25.4</v>
      </c>
    </row>
    <row r="714" spans="1:7" x14ac:dyDescent="0.25">
      <c r="A714" s="6">
        <v>43952</v>
      </c>
      <c r="E714" s="178" t="s">
        <v>66</v>
      </c>
      <c r="F714" s="2">
        <v>100</v>
      </c>
      <c r="G714" s="3">
        <f t="shared" si="16"/>
        <v>25.4</v>
      </c>
    </row>
    <row r="715" spans="1:7" x14ac:dyDescent="0.25">
      <c r="A715" s="6">
        <v>43952</v>
      </c>
      <c r="E715" s="178" t="s">
        <v>66</v>
      </c>
      <c r="F715" s="2">
        <v>100</v>
      </c>
      <c r="G715" s="3">
        <f t="shared" si="16"/>
        <v>25.4</v>
      </c>
    </row>
    <row r="716" spans="1:7" x14ac:dyDescent="0.25">
      <c r="A716" s="6">
        <v>43952</v>
      </c>
      <c r="E716" s="178" t="s">
        <v>66</v>
      </c>
      <c r="F716" s="2">
        <v>100</v>
      </c>
      <c r="G716" s="3">
        <f t="shared" si="16"/>
        <v>25.4</v>
      </c>
    </row>
    <row r="717" spans="1:7" x14ac:dyDescent="0.25">
      <c r="A717" s="6">
        <v>43952</v>
      </c>
      <c r="E717" s="178" t="s">
        <v>66</v>
      </c>
      <c r="F717" s="2">
        <v>100</v>
      </c>
      <c r="G717" s="3">
        <f t="shared" si="16"/>
        <v>25.4</v>
      </c>
    </row>
    <row r="718" spans="1:7" x14ac:dyDescent="0.25">
      <c r="A718" s="6">
        <v>43952</v>
      </c>
      <c r="E718" s="178" t="s">
        <v>66</v>
      </c>
      <c r="F718" s="2">
        <v>100</v>
      </c>
      <c r="G718" s="3">
        <f t="shared" si="16"/>
        <v>25.4</v>
      </c>
    </row>
    <row r="719" spans="1:7" x14ac:dyDescent="0.25">
      <c r="A719" s="6">
        <v>43952</v>
      </c>
      <c r="E719" s="178" t="s">
        <v>66</v>
      </c>
      <c r="F719" s="2">
        <v>500</v>
      </c>
      <c r="G719" s="3">
        <f t="shared" si="16"/>
        <v>27</v>
      </c>
    </row>
    <row r="720" spans="1:7" x14ac:dyDescent="0.25">
      <c r="A720" s="6">
        <v>43952</v>
      </c>
      <c r="E720" s="178" t="s">
        <v>66</v>
      </c>
      <c r="F720" s="2">
        <v>200</v>
      </c>
      <c r="G720" s="3">
        <f t="shared" si="16"/>
        <v>25.8</v>
      </c>
    </row>
    <row r="721" spans="1:7" x14ac:dyDescent="0.25">
      <c r="A721" s="6">
        <v>43952</v>
      </c>
      <c r="E721" s="178" t="s">
        <v>66</v>
      </c>
      <c r="F721" s="2">
        <v>200</v>
      </c>
      <c r="G721" s="3">
        <f t="shared" si="16"/>
        <v>25.8</v>
      </c>
    </row>
    <row r="722" spans="1:7" x14ac:dyDescent="0.25">
      <c r="A722" s="6">
        <v>43952</v>
      </c>
      <c r="E722" s="178" t="s">
        <v>66</v>
      </c>
      <c r="F722" s="2">
        <v>100</v>
      </c>
      <c r="G722" s="3">
        <f t="shared" si="16"/>
        <v>25.4</v>
      </c>
    </row>
    <row r="723" spans="1:7" x14ac:dyDescent="0.25">
      <c r="A723" s="6">
        <v>43952</v>
      </c>
      <c r="E723" s="178" t="s">
        <v>66</v>
      </c>
      <c r="F723" s="2">
        <v>100</v>
      </c>
      <c r="G723" s="3">
        <f t="shared" si="16"/>
        <v>25.4</v>
      </c>
    </row>
    <row r="724" spans="1:7" x14ac:dyDescent="0.25">
      <c r="A724" s="6">
        <v>43952</v>
      </c>
      <c r="E724" s="178" t="s">
        <v>66</v>
      </c>
      <c r="F724" s="2">
        <v>100</v>
      </c>
      <c r="G724" s="3">
        <f t="shared" si="16"/>
        <v>25.4</v>
      </c>
    </row>
    <row r="725" spans="1:7" x14ac:dyDescent="0.25">
      <c r="A725" s="6">
        <v>43952</v>
      </c>
      <c r="E725" s="178" t="s">
        <v>66</v>
      </c>
      <c r="F725" s="2">
        <v>100</v>
      </c>
      <c r="G725" s="3">
        <f t="shared" si="16"/>
        <v>25.4</v>
      </c>
    </row>
    <row r="726" spans="1:7" x14ac:dyDescent="0.25">
      <c r="A726" s="6">
        <v>43952</v>
      </c>
      <c r="E726" s="178" t="s">
        <v>66</v>
      </c>
      <c r="F726" s="2">
        <v>100</v>
      </c>
      <c r="G726" s="3">
        <f t="shared" si="16"/>
        <v>25.4</v>
      </c>
    </row>
    <row r="727" spans="1:7" x14ac:dyDescent="0.25">
      <c r="A727" s="6">
        <v>43952</v>
      </c>
      <c r="E727" s="178" t="s">
        <v>66</v>
      </c>
      <c r="F727" s="2">
        <v>100</v>
      </c>
      <c r="G727" s="3">
        <f t="shared" si="16"/>
        <v>25.4</v>
      </c>
    </row>
    <row r="728" spans="1:7" x14ac:dyDescent="0.25">
      <c r="A728" s="6">
        <v>43952</v>
      </c>
      <c r="E728" s="178" t="s">
        <v>66</v>
      </c>
      <c r="F728" s="2">
        <v>100</v>
      </c>
      <c r="G728" s="3">
        <f t="shared" si="16"/>
        <v>25.4</v>
      </c>
    </row>
    <row r="729" spans="1:7" s="22" customFormat="1" x14ac:dyDescent="0.25">
      <c r="A729" s="6">
        <v>43952</v>
      </c>
      <c r="B729" s="63"/>
      <c r="D729" s="63"/>
      <c r="E729" s="178" t="s">
        <v>66</v>
      </c>
      <c r="F729" s="2">
        <v>100</v>
      </c>
      <c r="G729" s="3">
        <f t="shared" si="16"/>
        <v>25.4</v>
      </c>
    </row>
    <row r="730" spans="1:7" s="22" customFormat="1" x14ac:dyDescent="0.25">
      <c r="A730" s="6">
        <v>43952</v>
      </c>
      <c r="B730" s="63"/>
      <c r="D730" s="63"/>
      <c r="E730" s="178" t="s">
        <v>66</v>
      </c>
      <c r="F730" s="2">
        <v>100</v>
      </c>
      <c r="G730" s="3">
        <f t="shared" si="16"/>
        <v>25.4</v>
      </c>
    </row>
    <row r="731" spans="1:7" s="22" customFormat="1" x14ac:dyDescent="0.25">
      <c r="A731" s="6">
        <v>43952</v>
      </c>
      <c r="B731" s="63"/>
      <c r="D731" s="63"/>
      <c r="E731" s="178" t="s">
        <v>66</v>
      </c>
      <c r="F731" s="2">
        <v>100</v>
      </c>
      <c r="G731" s="3">
        <f t="shared" si="16"/>
        <v>25.4</v>
      </c>
    </row>
    <row r="732" spans="1:7" s="22" customFormat="1" x14ac:dyDescent="0.25">
      <c r="A732" s="6">
        <v>43952</v>
      </c>
      <c r="B732" s="63"/>
      <c r="D732" s="63"/>
      <c r="E732" s="178" t="s">
        <v>66</v>
      </c>
      <c r="F732" s="2">
        <v>100</v>
      </c>
      <c r="G732" s="3">
        <f t="shared" si="16"/>
        <v>25.4</v>
      </c>
    </row>
    <row r="733" spans="1:7" s="22" customFormat="1" x14ac:dyDescent="0.25">
      <c r="A733" s="6">
        <v>43952</v>
      </c>
      <c r="B733" s="63"/>
      <c r="D733" s="63"/>
      <c r="E733" s="178" t="s">
        <v>66</v>
      </c>
      <c r="F733" s="2">
        <v>100</v>
      </c>
      <c r="G733" s="3">
        <f t="shared" si="16"/>
        <v>25.4</v>
      </c>
    </row>
    <row r="734" spans="1:7" s="22" customFormat="1" x14ac:dyDescent="0.25">
      <c r="A734" s="6">
        <v>43952</v>
      </c>
      <c r="B734" s="63"/>
      <c r="D734" s="63"/>
      <c r="E734" s="178" t="s">
        <v>66</v>
      </c>
      <c r="F734" s="2">
        <v>100</v>
      </c>
      <c r="G734" s="3">
        <f t="shared" si="16"/>
        <v>25.4</v>
      </c>
    </row>
    <row r="735" spans="1:7" s="22" customFormat="1" x14ac:dyDescent="0.25">
      <c r="A735" s="6">
        <v>43952</v>
      </c>
      <c r="B735" s="63"/>
      <c r="D735" s="63"/>
      <c r="E735" s="178" t="s">
        <v>66</v>
      </c>
      <c r="F735" s="2">
        <v>100</v>
      </c>
      <c r="G735" s="3">
        <f t="shared" si="16"/>
        <v>25.4</v>
      </c>
    </row>
    <row r="736" spans="1:7" s="22" customFormat="1" x14ac:dyDescent="0.25">
      <c r="A736" s="6">
        <v>43952</v>
      </c>
      <c r="B736" s="63"/>
      <c r="D736" s="63"/>
      <c r="E736" s="178" t="s">
        <v>66</v>
      </c>
      <c r="F736" s="2">
        <v>500</v>
      </c>
      <c r="G736" s="3">
        <f t="shared" si="16"/>
        <v>27</v>
      </c>
    </row>
    <row r="737" spans="1:7" s="22" customFormat="1" x14ac:dyDescent="0.25">
      <c r="A737" s="6">
        <v>43953</v>
      </c>
      <c r="B737" s="63"/>
      <c r="D737" s="63"/>
      <c r="E737" s="178" t="s">
        <v>66</v>
      </c>
      <c r="F737" s="2">
        <v>100</v>
      </c>
      <c r="G737" s="3">
        <f t="shared" si="16"/>
        <v>25.4</v>
      </c>
    </row>
    <row r="738" spans="1:7" s="22" customFormat="1" x14ac:dyDescent="0.25">
      <c r="A738" s="6">
        <v>43953</v>
      </c>
      <c r="B738" s="63"/>
      <c r="D738" s="63"/>
      <c r="E738" s="178" t="s">
        <v>66</v>
      </c>
      <c r="F738" s="2">
        <v>100</v>
      </c>
      <c r="G738" s="3">
        <f t="shared" si="16"/>
        <v>25.4</v>
      </c>
    </row>
    <row r="739" spans="1:7" s="22" customFormat="1" x14ac:dyDescent="0.25">
      <c r="A739" s="6">
        <v>43953</v>
      </c>
      <c r="B739" s="63"/>
      <c r="D739" s="63"/>
      <c r="E739" s="178" t="s">
        <v>66</v>
      </c>
      <c r="F739" s="2">
        <v>100</v>
      </c>
      <c r="G739" s="3">
        <f t="shared" si="16"/>
        <v>25.4</v>
      </c>
    </row>
    <row r="740" spans="1:7" s="22" customFormat="1" x14ac:dyDescent="0.25">
      <c r="A740" s="6">
        <v>43953</v>
      </c>
      <c r="B740" s="63"/>
      <c r="D740" s="63"/>
      <c r="E740" s="178" t="s">
        <v>66</v>
      </c>
      <c r="F740" s="2">
        <v>100</v>
      </c>
      <c r="G740" s="3">
        <f t="shared" ref="G740:G803" si="17">IF(E740="y",25,IF(OR(E740="N", E740="RD",E740="I"),10,0))+IF(F740&gt;5000,20,F740*0.4%)+IF(E740="PMSBY",1,IF(E740="PMJJBY",30,0))</f>
        <v>25.4</v>
      </c>
    </row>
    <row r="741" spans="1:7" s="22" customFormat="1" x14ac:dyDescent="0.25">
      <c r="A741" s="6">
        <v>43953</v>
      </c>
      <c r="B741" s="63"/>
      <c r="D741" s="63"/>
      <c r="E741" s="178" t="s">
        <v>66</v>
      </c>
      <c r="F741" s="2">
        <v>100</v>
      </c>
      <c r="G741" s="3">
        <f t="shared" si="17"/>
        <v>25.4</v>
      </c>
    </row>
    <row r="742" spans="1:7" s="22" customFormat="1" x14ac:dyDescent="0.25">
      <c r="A742" s="6">
        <v>43953</v>
      </c>
      <c r="B742" s="63"/>
      <c r="D742" s="63"/>
      <c r="E742" s="178" t="s">
        <v>66</v>
      </c>
      <c r="F742" s="2">
        <v>100</v>
      </c>
      <c r="G742" s="3">
        <f t="shared" si="17"/>
        <v>25.4</v>
      </c>
    </row>
    <row r="743" spans="1:7" s="22" customFormat="1" x14ac:dyDescent="0.25">
      <c r="A743" s="6">
        <v>43953</v>
      </c>
      <c r="B743" s="63"/>
      <c r="D743" s="63"/>
      <c r="E743" s="178" t="s">
        <v>66</v>
      </c>
      <c r="F743" s="2">
        <v>100</v>
      </c>
      <c r="G743" s="3">
        <f t="shared" si="17"/>
        <v>25.4</v>
      </c>
    </row>
    <row r="744" spans="1:7" s="22" customFormat="1" x14ac:dyDescent="0.25">
      <c r="A744" s="6">
        <v>43953</v>
      </c>
      <c r="B744" s="63"/>
      <c r="D744" s="63"/>
      <c r="E744" s="178" t="s">
        <v>66</v>
      </c>
      <c r="F744" s="2">
        <v>100</v>
      </c>
      <c r="G744" s="3">
        <f t="shared" si="17"/>
        <v>25.4</v>
      </c>
    </row>
    <row r="745" spans="1:7" s="22" customFormat="1" x14ac:dyDescent="0.25">
      <c r="A745" s="6">
        <v>43953</v>
      </c>
      <c r="B745" s="63"/>
      <c r="D745" s="63"/>
      <c r="E745" s="178" t="s">
        <v>66</v>
      </c>
      <c r="F745" s="2">
        <v>100</v>
      </c>
      <c r="G745" s="3">
        <f t="shared" si="17"/>
        <v>25.4</v>
      </c>
    </row>
    <row r="746" spans="1:7" s="22" customFormat="1" x14ac:dyDescent="0.25">
      <c r="A746" s="6">
        <v>43953</v>
      </c>
      <c r="B746" s="63"/>
      <c r="D746" s="63"/>
      <c r="E746" s="178" t="s">
        <v>66</v>
      </c>
      <c r="F746" s="2">
        <v>100</v>
      </c>
      <c r="G746" s="3">
        <f t="shared" si="17"/>
        <v>25.4</v>
      </c>
    </row>
    <row r="747" spans="1:7" s="22" customFormat="1" x14ac:dyDescent="0.25">
      <c r="A747" s="6">
        <v>43953</v>
      </c>
      <c r="B747" s="63"/>
      <c r="D747" s="63"/>
      <c r="E747" s="178" t="s">
        <v>66</v>
      </c>
      <c r="F747" s="2">
        <v>200</v>
      </c>
      <c r="G747" s="3">
        <f t="shared" si="17"/>
        <v>25.8</v>
      </c>
    </row>
    <row r="748" spans="1:7" s="22" customFormat="1" x14ac:dyDescent="0.25">
      <c r="A748" s="6">
        <v>43953</v>
      </c>
      <c r="B748" s="63"/>
      <c r="D748" s="63"/>
      <c r="E748" s="178" t="s">
        <v>66</v>
      </c>
      <c r="F748" s="2">
        <v>100</v>
      </c>
      <c r="G748" s="3">
        <f t="shared" si="17"/>
        <v>25.4</v>
      </c>
    </row>
    <row r="749" spans="1:7" s="22" customFormat="1" x14ac:dyDescent="0.25">
      <c r="A749" s="6">
        <v>43953</v>
      </c>
      <c r="B749" s="63"/>
      <c r="D749" s="63"/>
      <c r="E749" s="178" t="s">
        <v>66</v>
      </c>
      <c r="F749" s="2">
        <v>100</v>
      </c>
      <c r="G749" s="3">
        <f t="shared" si="17"/>
        <v>25.4</v>
      </c>
    </row>
    <row r="750" spans="1:7" s="22" customFormat="1" x14ac:dyDescent="0.25">
      <c r="A750" s="6">
        <v>43953</v>
      </c>
      <c r="B750" s="63"/>
      <c r="D750" s="63"/>
      <c r="E750" s="178" t="s">
        <v>66</v>
      </c>
      <c r="F750" s="2">
        <v>100</v>
      </c>
      <c r="G750" s="3">
        <f t="shared" si="17"/>
        <v>25.4</v>
      </c>
    </row>
    <row r="751" spans="1:7" s="22" customFormat="1" x14ac:dyDescent="0.25">
      <c r="A751" s="6">
        <v>43953</v>
      </c>
      <c r="B751" s="63"/>
      <c r="D751" s="63"/>
      <c r="E751" s="178" t="s">
        <v>66</v>
      </c>
      <c r="F751" s="2">
        <v>150</v>
      </c>
      <c r="G751" s="3">
        <f t="shared" si="17"/>
        <v>25.6</v>
      </c>
    </row>
    <row r="752" spans="1:7" s="22" customFormat="1" x14ac:dyDescent="0.25">
      <c r="A752" s="6">
        <v>43953</v>
      </c>
      <c r="B752" s="63"/>
      <c r="D752" s="63"/>
      <c r="E752" s="178" t="s">
        <v>66</v>
      </c>
      <c r="F752" s="2">
        <v>100</v>
      </c>
      <c r="G752" s="3">
        <f t="shared" si="17"/>
        <v>25.4</v>
      </c>
    </row>
    <row r="753" spans="1:7" s="22" customFormat="1" x14ac:dyDescent="0.25">
      <c r="A753" s="6">
        <v>43953</v>
      </c>
      <c r="B753" s="63"/>
      <c r="D753" s="63"/>
      <c r="E753" s="178" t="s">
        <v>66</v>
      </c>
      <c r="F753" s="2">
        <v>100</v>
      </c>
      <c r="G753" s="3">
        <f t="shared" si="17"/>
        <v>25.4</v>
      </c>
    </row>
    <row r="754" spans="1:7" s="22" customFormat="1" x14ac:dyDescent="0.25">
      <c r="A754" s="6">
        <v>43953</v>
      </c>
      <c r="B754" s="63"/>
      <c r="D754" s="63"/>
      <c r="E754" s="178" t="s">
        <v>66</v>
      </c>
      <c r="F754" s="2">
        <v>200</v>
      </c>
      <c r="G754" s="3">
        <f t="shared" si="17"/>
        <v>25.8</v>
      </c>
    </row>
    <row r="755" spans="1:7" s="22" customFormat="1" x14ac:dyDescent="0.25">
      <c r="A755" s="6">
        <v>43953</v>
      </c>
      <c r="B755" s="63"/>
      <c r="D755" s="63"/>
      <c r="E755" s="178" t="s">
        <v>66</v>
      </c>
      <c r="F755" s="2">
        <v>100</v>
      </c>
      <c r="G755" s="3">
        <f t="shared" si="17"/>
        <v>25.4</v>
      </c>
    </row>
    <row r="756" spans="1:7" s="22" customFormat="1" x14ac:dyDescent="0.25">
      <c r="A756" s="6">
        <v>43953</v>
      </c>
      <c r="B756" s="63"/>
      <c r="D756" s="63"/>
      <c r="E756" s="178" t="s">
        <v>66</v>
      </c>
      <c r="F756" s="2">
        <v>100</v>
      </c>
      <c r="G756" s="3">
        <f t="shared" si="17"/>
        <v>25.4</v>
      </c>
    </row>
    <row r="757" spans="1:7" s="22" customFormat="1" x14ac:dyDescent="0.25">
      <c r="A757" s="6">
        <v>43953</v>
      </c>
      <c r="B757" s="63"/>
      <c r="D757" s="63"/>
      <c r="E757" s="178" t="s">
        <v>66</v>
      </c>
      <c r="F757" s="2">
        <v>100</v>
      </c>
      <c r="G757" s="3">
        <f t="shared" si="17"/>
        <v>25.4</v>
      </c>
    </row>
    <row r="758" spans="1:7" s="22" customFormat="1" x14ac:dyDescent="0.25">
      <c r="A758" s="6">
        <v>43953</v>
      </c>
      <c r="B758" s="63"/>
      <c r="D758" s="63"/>
      <c r="E758" s="178" t="s">
        <v>66</v>
      </c>
      <c r="F758" s="2">
        <v>200</v>
      </c>
      <c r="G758" s="3">
        <f t="shared" si="17"/>
        <v>25.8</v>
      </c>
    </row>
    <row r="759" spans="1:7" s="22" customFormat="1" x14ac:dyDescent="0.25">
      <c r="A759" s="6">
        <v>43953</v>
      </c>
      <c r="B759" s="63"/>
      <c r="D759" s="63"/>
      <c r="E759" s="178" t="s">
        <v>66</v>
      </c>
      <c r="F759" s="2">
        <v>100</v>
      </c>
      <c r="G759" s="3">
        <f t="shared" si="17"/>
        <v>25.4</v>
      </c>
    </row>
    <row r="760" spans="1:7" s="22" customFormat="1" x14ac:dyDescent="0.25">
      <c r="A760" s="6">
        <v>43953</v>
      </c>
      <c r="B760" s="63"/>
      <c r="D760" s="63"/>
      <c r="E760" s="178" t="s">
        <v>66</v>
      </c>
      <c r="F760" s="2">
        <v>90</v>
      </c>
      <c r="G760" s="3">
        <f t="shared" si="17"/>
        <v>25.36</v>
      </c>
    </row>
    <row r="761" spans="1:7" s="22" customFormat="1" x14ac:dyDescent="0.25">
      <c r="A761" s="6">
        <v>43953</v>
      </c>
      <c r="B761" s="63"/>
      <c r="D761" s="63"/>
      <c r="E761" s="178" t="s">
        <v>66</v>
      </c>
      <c r="F761" s="2">
        <v>100</v>
      </c>
      <c r="G761" s="3">
        <f t="shared" si="17"/>
        <v>25.4</v>
      </c>
    </row>
    <row r="762" spans="1:7" s="22" customFormat="1" x14ac:dyDescent="0.25">
      <c r="A762" s="6">
        <v>43953</v>
      </c>
      <c r="B762" s="63"/>
      <c r="D762" s="63"/>
      <c r="E762" s="178" t="s">
        <v>66</v>
      </c>
      <c r="F762" s="2">
        <v>100</v>
      </c>
      <c r="G762" s="3">
        <f t="shared" si="17"/>
        <v>25.4</v>
      </c>
    </row>
    <row r="763" spans="1:7" s="22" customFormat="1" x14ac:dyDescent="0.25">
      <c r="A763" s="6">
        <v>43953</v>
      </c>
      <c r="B763" s="63"/>
      <c r="D763" s="63"/>
      <c r="E763" s="178" t="s">
        <v>66</v>
      </c>
      <c r="F763" s="2">
        <v>100</v>
      </c>
      <c r="G763" s="3">
        <f t="shared" si="17"/>
        <v>25.4</v>
      </c>
    </row>
    <row r="764" spans="1:7" s="22" customFormat="1" x14ac:dyDescent="0.25">
      <c r="A764" s="6">
        <v>43953</v>
      </c>
      <c r="B764" s="63"/>
      <c r="D764" s="63"/>
      <c r="E764" s="178" t="s">
        <v>66</v>
      </c>
      <c r="F764" s="2">
        <v>100</v>
      </c>
      <c r="G764" s="3">
        <f t="shared" si="17"/>
        <v>25.4</v>
      </c>
    </row>
    <row r="765" spans="1:7" s="22" customFormat="1" x14ac:dyDescent="0.25">
      <c r="A765" s="6">
        <v>43953</v>
      </c>
      <c r="B765" s="63"/>
      <c r="D765" s="63"/>
      <c r="E765" s="178" t="s">
        <v>66</v>
      </c>
      <c r="F765" s="2">
        <v>100</v>
      </c>
      <c r="G765" s="3">
        <f t="shared" si="17"/>
        <v>25.4</v>
      </c>
    </row>
    <row r="766" spans="1:7" s="22" customFormat="1" x14ac:dyDescent="0.25">
      <c r="A766" s="6">
        <v>43953</v>
      </c>
      <c r="B766" s="63"/>
      <c r="D766" s="63"/>
      <c r="E766" s="178" t="s">
        <v>66</v>
      </c>
      <c r="F766" s="2">
        <v>100</v>
      </c>
      <c r="G766" s="3">
        <f t="shared" si="17"/>
        <v>25.4</v>
      </c>
    </row>
    <row r="767" spans="1:7" s="22" customFormat="1" x14ac:dyDescent="0.25">
      <c r="A767" s="6">
        <v>43953</v>
      </c>
      <c r="B767" s="63"/>
      <c r="D767" s="63"/>
      <c r="E767" s="178" t="s">
        <v>66</v>
      </c>
      <c r="F767" s="2">
        <v>100</v>
      </c>
      <c r="G767" s="3">
        <f t="shared" si="17"/>
        <v>25.4</v>
      </c>
    </row>
    <row r="768" spans="1:7" s="22" customFormat="1" x14ac:dyDescent="0.25">
      <c r="A768" s="6">
        <v>43953</v>
      </c>
      <c r="B768" s="63"/>
      <c r="D768" s="63"/>
      <c r="E768" s="178" t="s">
        <v>66</v>
      </c>
      <c r="F768" s="2">
        <v>100</v>
      </c>
      <c r="G768" s="3">
        <f t="shared" si="17"/>
        <v>25.4</v>
      </c>
    </row>
    <row r="769" spans="1:7" s="22" customFormat="1" x14ac:dyDescent="0.25">
      <c r="A769" s="6">
        <v>43953</v>
      </c>
      <c r="B769" s="63"/>
      <c r="D769" s="63"/>
      <c r="E769" s="178" t="s">
        <v>66</v>
      </c>
      <c r="F769" s="2">
        <v>100</v>
      </c>
      <c r="G769" s="3">
        <f t="shared" si="17"/>
        <v>25.4</v>
      </c>
    </row>
    <row r="770" spans="1:7" s="22" customFormat="1" x14ac:dyDescent="0.25">
      <c r="A770" s="6">
        <v>43953</v>
      </c>
      <c r="B770" s="63"/>
      <c r="D770" s="63"/>
      <c r="E770" s="178" t="s">
        <v>66</v>
      </c>
      <c r="F770" s="2">
        <v>100</v>
      </c>
      <c r="G770" s="3">
        <f t="shared" si="17"/>
        <v>25.4</v>
      </c>
    </row>
    <row r="771" spans="1:7" s="22" customFormat="1" x14ac:dyDescent="0.25">
      <c r="A771" s="6">
        <v>43953</v>
      </c>
      <c r="B771" s="63"/>
      <c r="D771" s="63"/>
      <c r="E771" s="178" t="s">
        <v>66</v>
      </c>
      <c r="F771" s="2">
        <v>100</v>
      </c>
      <c r="G771" s="3">
        <f t="shared" si="17"/>
        <v>25.4</v>
      </c>
    </row>
    <row r="772" spans="1:7" s="22" customFormat="1" x14ac:dyDescent="0.25">
      <c r="A772" s="6">
        <v>43953</v>
      </c>
      <c r="B772" s="63"/>
      <c r="D772" s="63"/>
      <c r="E772" s="178" t="s">
        <v>66</v>
      </c>
      <c r="F772" s="2">
        <v>100</v>
      </c>
      <c r="G772" s="3">
        <f t="shared" si="17"/>
        <v>25.4</v>
      </c>
    </row>
    <row r="773" spans="1:7" s="22" customFormat="1" x14ac:dyDescent="0.25">
      <c r="A773" s="6">
        <v>43953</v>
      </c>
      <c r="B773" s="63"/>
      <c r="D773" s="63"/>
      <c r="E773" s="178" t="s">
        <v>66</v>
      </c>
      <c r="F773" s="2">
        <v>100</v>
      </c>
      <c r="G773" s="3">
        <f t="shared" si="17"/>
        <v>25.4</v>
      </c>
    </row>
    <row r="774" spans="1:7" s="22" customFormat="1" x14ac:dyDescent="0.25">
      <c r="A774" s="6">
        <v>43953</v>
      </c>
      <c r="B774" s="63"/>
      <c r="D774" s="63"/>
      <c r="E774" s="178" t="s">
        <v>66</v>
      </c>
      <c r="F774" s="2">
        <v>100</v>
      </c>
      <c r="G774" s="3">
        <f t="shared" si="17"/>
        <v>25.4</v>
      </c>
    </row>
    <row r="775" spans="1:7" s="22" customFormat="1" x14ac:dyDescent="0.25">
      <c r="A775" s="6">
        <v>43953</v>
      </c>
      <c r="B775" s="63"/>
      <c r="D775" s="63"/>
      <c r="E775" s="178" t="s">
        <v>66</v>
      </c>
      <c r="F775" s="2">
        <v>100</v>
      </c>
      <c r="G775" s="3">
        <f t="shared" si="17"/>
        <v>25.4</v>
      </c>
    </row>
    <row r="776" spans="1:7" s="22" customFormat="1" x14ac:dyDescent="0.25">
      <c r="A776" s="6">
        <v>43953</v>
      </c>
      <c r="B776" s="63"/>
      <c r="D776" s="63"/>
      <c r="E776" s="178" t="s">
        <v>66</v>
      </c>
      <c r="F776" s="2">
        <v>100</v>
      </c>
      <c r="G776" s="3">
        <f t="shared" si="17"/>
        <v>25.4</v>
      </c>
    </row>
    <row r="777" spans="1:7" s="22" customFormat="1" x14ac:dyDescent="0.25">
      <c r="A777" s="6">
        <v>43953</v>
      </c>
      <c r="B777" s="63"/>
      <c r="D777" s="63"/>
      <c r="E777" s="178" t="s">
        <v>66</v>
      </c>
      <c r="F777" s="2">
        <v>100</v>
      </c>
      <c r="G777" s="3">
        <f t="shared" si="17"/>
        <v>25.4</v>
      </c>
    </row>
    <row r="778" spans="1:7" s="22" customFormat="1" x14ac:dyDescent="0.25">
      <c r="A778" s="6">
        <v>43953</v>
      </c>
      <c r="B778" s="63"/>
      <c r="D778" s="63"/>
      <c r="E778" s="178" t="s">
        <v>66</v>
      </c>
      <c r="F778" s="2">
        <v>100</v>
      </c>
      <c r="G778" s="3">
        <f t="shared" si="17"/>
        <v>25.4</v>
      </c>
    </row>
    <row r="779" spans="1:7" s="22" customFormat="1" x14ac:dyDescent="0.25">
      <c r="A779" s="6">
        <v>43953</v>
      </c>
      <c r="B779" s="63"/>
      <c r="D779" s="63"/>
      <c r="E779" s="178" t="s">
        <v>66</v>
      </c>
      <c r="F779" s="2">
        <v>100</v>
      </c>
      <c r="G779" s="3">
        <f t="shared" si="17"/>
        <v>25.4</v>
      </c>
    </row>
    <row r="780" spans="1:7" s="22" customFormat="1" x14ac:dyDescent="0.25">
      <c r="A780" s="6">
        <v>43953</v>
      </c>
      <c r="B780" s="63"/>
      <c r="D780" s="63"/>
      <c r="E780" s="178" t="s">
        <v>66</v>
      </c>
      <c r="F780" s="2">
        <v>100</v>
      </c>
      <c r="G780" s="3">
        <f t="shared" si="17"/>
        <v>25.4</v>
      </c>
    </row>
    <row r="781" spans="1:7" s="22" customFormat="1" x14ac:dyDescent="0.25">
      <c r="A781" s="6">
        <v>43953</v>
      </c>
      <c r="B781" s="63"/>
      <c r="D781" s="63"/>
      <c r="E781" s="178" t="s">
        <v>66</v>
      </c>
      <c r="F781" s="2">
        <v>100</v>
      </c>
      <c r="G781" s="3">
        <f t="shared" si="17"/>
        <v>25.4</v>
      </c>
    </row>
    <row r="782" spans="1:7" s="22" customFormat="1" x14ac:dyDescent="0.25">
      <c r="A782" s="6">
        <v>43953</v>
      </c>
      <c r="B782" s="63"/>
      <c r="D782" s="63"/>
      <c r="E782" s="178" t="s">
        <v>66</v>
      </c>
      <c r="F782" s="2">
        <v>100</v>
      </c>
      <c r="G782" s="3">
        <f t="shared" si="17"/>
        <v>25.4</v>
      </c>
    </row>
    <row r="783" spans="1:7" s="22" customFormat="1" x14ac:dyDescent="0.25">
      <c r="A783" s="6">
        <v>43953</v>
      </c>
      <c r="B783" s="63"/>
      <c r="D783" s="63"/>
      <c r="E783" s="178" t="s">
        <v>66</v>
      </c>
      <c r="F783" s="2">
        <v>100</v>
      </c>
      <c r="G783" s="3">
        <f t="shared" si="17"/>
        <v>25.4</v>
      </c>
    </row>
    <row r="784" spans="1:7" s="22" customFormat="1" x14ac:dyDescent="0.25">
      <c r="A784" s="6">
        <v>43953</v>
      </c>
      <c r="B784" s="63"/>
      <c r="D784" s="63"/>
      <c r="E784" s="178" t="s">
        <v>66</v>
      </c>
      <c r="F784" s="2">
        <v>100</v>
      </c>
      <c r="G784" s="3">
        <f t="shared" si="17"/>
        <v>25.4</v>
      </c>
    </row>
    <row r="785" spans="1:7" s="22" customFormat="1" x14ac:dyDescent="0.25">
      <c r="A785" s="6">
        <v>43953</v>
      </c>
      <c r="B785" s="63"/>
      <c r="D785" s="63"/>
      <c r="E785" s="178" t="s">
        <v>66</v>
      </c>
      <c r="F785" s="2">
        <v>100</v>
      </c>
      <c r="G785" s="3">
        <f t="shared" si="17"/>
        <v>25.4</v>
      </c>
    </row>
    <row r="786" spans="1:7" s="22" customFormat="1" x14ac:dyDescent="0.25">
      <c r="A786" s="6">
        <v>43953</v>
      </c>
      <c r="B786" s="63"/>
      <c r="D786" s="63"/>
      <c r="E786" s="178" t="s">
        <v>66</v>
      </c>
      <c r="F786" s="2">
        <v>100</v>
      </c>
      <c r="G786" s="3">
        <f t="shared" si="17"/>
        <v>25.4</v>
      </c>
    </row>
    <row r="787" spans="1:7" s="22" customFormat="1" x14ac:dyDescent="0.25">
      <c r="A787" s="6">
        <v>43953</v>
      </c>
      <c r="B787" s="63"/>
      <c r="D787" s="63"/>
      <c r="E787" s="178" t="s">
        <v>66</v>
      </c>
      <c r="F787" s="2">
        <v>100</v>
      </c>
      <c r="G787" s="3">
        <f t="shared" si="17"/>
        <v>25.4</v>
      </c>
    </row>
    <row r="788" spans="1:7" s="22" customFormat="1" x14ac:dyDescent="0.25">
      <c r="A788" s="6">
        <v>43953</v>
      </c>
      <c r="B788" s="63"/>
      <c r="D788" s="63"/>
      <c r="E788" s="178" t="s">
        <v>66</v>
      </c>
      <c r="F788" s="2">
        <v>100</v>
      </c>
      <c r="G788" s="3">
        <f t="shared" si="17"/>
        <v>25.4</v>
      </c>
    </row>
    <row r="789" spans="1:7" s="22" customFormat="1" x14ac:dyDescent="0.25">
      <c r="A789" s="6">
        <v>43953</v>
      </c>
      <c r="B789" s="63"/>
      <c r="D789" s="63"/>
      <c r="E789" s="178" t="s">
        <v>66</v>
      </c>
      <c r="F789" s="2">
        <v>100</v>
      </c>
      <c r="G789" s="3">
        <f t="shared" si="17"/>
        <v>25.4</v>
      </c>
    </row>
    <row r="790" spans="1:7" s="22" customFormat="1" x14ac:dyDescent="0.25">
      <c r="A790" s="6">
        <v>43953</v>
      </c>
      <c r="B790" s="63"/>
      <c r="D790" s="63"/>
      <c r="E790" s="178" t="s">
        <v>66</v>
      </c>
      <c r="F790" s="2">
        <v>500</v>
      </c>
      <c r="G790" s="3">
        <f t="shared" si="17"/>
        <v>27</v>
      </c>
    </row>
    <row r="791" spans="1:7" s="22" customFormat="1" x14ac:dyDescent="0.25">
      <c r="A791" s="6">
        <v>43953</v>
      </c>
      <c r="B791" s="63"/>
      <c r="D791" s="63"/>
      <c r="E791" s="178" t="s">
        <v>66</v>
      </c>
      <c r="F791" s="2">
        <v>100</v>
      </c>
      <c r="G791" s="3">
        <f t="shared" si="17"/>
        <v>25.4</v>
      </c>
    </row>
    <row r="792" spans="1:7" s="22" customFormat="1" x14ac:dyDescent="0.25">
      <c r="A792" s="6">
        <v>43953</v>
      </c>
      <c r="B792" s="63"/>
      <c r="D792" s="63"/>
      <c r="E792" s="178" t="s">
        <v>66</v>
      </c>
      <c r="F792" s="2">
        <v>100</v>
      </c>
      <c r="G792" s="3">
        <f t="shared" si="17"/>
        <v>25.4</v>
      </c>
    </row>
    <row r="793" spans="1:7" s="22" customFormat="1" x14ac:dyDescent="0.25">
      <c r="A793" s="6">
        <v>43953</v>
      </c>
      <c r="B793" s="63"/>
      <c r="D793" s="63"/>
      <c r="E793" s="178" t="s">
        <v>66</v>
      </c>
      <c r="F793" s="2">
        <v>200</v>
      </c>
      <c r="G793" s="3">
        <f t="shared" si="17"/>
        <v>25.8</v>
      </c>
    </row>
    <row r="794" spans="1:7" s="22" customFormat="1" x14ac:dyDescent="0.25">
      <c r="A794" s="6">
        <v>43953</v>
      </c>
      <c r="B794" s="63"/>
      <c r="D794" s="63"/>
      <c r="E794" s="178" t="s">
        <v>66</v>
      </c>
      <c r="F794" s="2">
        <v>100</v>
      </c>
      <c r="G794" s="3">
        <f t="shared" si="17"/>
        <v>25.4</v>
      </c>
    </row>
    <row r="795" spans="1:7" s="22" customFormat="1" x14ac:dyDescent="0.25">
      <c r="A795" s="6">
        <v>43953</v>
      </c>
      <c r="B795" s="63"/>
      <c r="D795" s="63"/>
      <c r="E795" s="178" t="s">
        <v>66</v>
      </c>
      <c r="F795" s="2">
        <v>100</v>
      </c>
      <c r="G795" s="3">
        <f t="shared" si="17"/>
        <v>25.4</v>
      </c>
    </row>
    <row r="796" spans="1:7" s="22" customFormat="1" x14ac:dyDescent="0.25">
      <c r="A796" s="6">
        <v>43953</v>
      </c>
      <c r="B796" s="63"/>
      <c r="D796" s="63"/>
      <c r="E796" s="178" t="s">
        <v>66</v>
      </c>
      <c r="F796" s="2">
        <v>100</v>
      </c>
      <c r="G796" s="3">
        <f t="shared" si="17"/>
        <v>25.4</v>
      </c>
    </row>
    <row r="797" spans="1:7" s="22" customFormat="1" x14ac:dyDescent="0.25">
      <c r="A797" s="6">
        <v>43953</v>
      </c>
      <c r="B797" s="63"/>
      <c r="D797" s="63"/>
      <c r="E797" s="178" t="s">
        <v>66</v>
      </c>
      <c r="F797" s="2">
        <v>100</v>
      </c>
      <c r="G797" s="3">
        <f t="shared" si="17"/>
        <v>25.4</v>
      </c>
    </row>
    <row r="798" spans="1:7" s="22" customFormat="1" x14ac:dyDescent="0.25">
      <c r="A798" s="6">
        <v>43953</v>
      </c>
      <c r="B798" s="63"/>
      <c r="D798" s="63"/>
      <c r="E798" s="178" t="s">
        <v>66</v>
      </c>
      <c r="F798" s="2">
        <v>100</v>
      </c>
      <c r="G798" s="3">
        <f t="shared" si="17"/>
        <v>25.4</v>
      </c>
    </row>
    <row r="799" spans="1:7" s="22" customFormat="1" x14ac:dyDescent="0.25">
      <c r="A799" s="6">
        <v>43953</v>
      </c>
      <c r="B799" s="63"/>
      <c r="D799" s="63"/>
      <c r="E799" s="178" t="s">
        <v>66</v>
      </c>
      <c r="F799" s="2">
        <v>100</v>
      </c>
      <c r="G799" s="3">
        <f t="shared" si="17"/>
        <v>25.4</v>
      </c>
    </row>
    <row r="800" spans="1:7" s="22" customFormat="1" x14ac:dyDescent="0.25">
      <c r="A800" s="6">
        <v>43953</v>
      </c>
      <c r="B800" s="63"/>
      <c r="D800" s="63"/>
      <c r="E800" s="178" t="s">
        <v>66</v>
      </c>
      <c r="F800" s="2">
        <v>100</v>
      </c>
      <c r="G800" s="3">
        <f t="shared" si="17"/>
        <v>25.4</v>
      </c>
    </row>
    <row r="801" spans="1:7" s="22" customFormat="1" x14ac:dyDescent="0.25">
      <c r="A801" s="6">
        <v>43953</v>
      </c>
      <c r="B801" s="63"/>
      <c r="D801" s="63"/>
      <c r="E801" s="178" t="s">
        <v>66</v>
      </c>
      <c r="F801" s="2">
        <v>100</v>
      </c>
      <c r="G801" s="3">
        <f t="shared" si="17"/>
        <v>25.4</v>
      </c>
    </row>
    <row r="802" spans="1:7" s="22" customFormat="1" x14ac:dyDescent="0.25">
      <c r="A802" s="6">
        <v>43953</v>
      </c>
      <c r="B802" s="63"/>
      <c r="D802" s="63"/>
      <c r="E802" s="178" t="s">
        <v>66</v>
      </c>
      <c r="F802" s="2">
        <v>100</v>
      </c>
      <c r="G802" s="3">
        <f t="shared" si="17"/>
        <v>25.4</v>
      </c>
    </row>
    <row r="803" spans="1:7" s="22" customFormat="1" x14ac:dyDescent="0.25">
      <c r="A803" s="6">
        <v>43953</v>
      </c>
      <c r="B803" s="63"/>
      <c r="D803" s="63"/>
      <c r="E803" s="178" t="s">
        <v>66</v>
      </c>
      <c r="F803" s="2">
        <v>100</v>
      </c>
      <c r="G803" s="3">
        <f t="shared" si="17"/>
        <v>25.4</v>
      </c>
    </row>
    <row r="804" spans="1:7" s="22" customFormat="1" x14ac:dyDescent="0.25">
      <c r="A804" s="6">
        <v>43953</v>
      </c>
      <c r="B804" s="63"/>
      <c r="D804" s="63"/>
      <c r="E804" s="178" t="s">
        <v>66</v>
      </c>
      <c r="F804" s="2">
        <v>100</v>
      </c>
      <c r="G804" s="3">
        <f t="shared" ref="G804:G867" si="18">IF(E804="y",25,IF(OR(E804="N", E804="RD",E804="I"),10,0))+IF(F804&gt;5000,20,F804*0.4%)+IF(E804="PMSBY",1,IF(E804="PMJJBY",30,0))</f>
        <v>25.4</v>
      </c>
    </row>
    <row r="805" spans="1:7" s="22" customFormat="1" x14ac:dyDescent="0.25">
      <c r="A805" s="6">
        <v>43953</v>
      </c>
      <c r="B805" s="63"/>
      <c r="D805" s="63"/>
      <c r="E805" s="178" t="s">
        <v>66</v>
      </c>
      <c r="F805" s="2">
        <v>130</v>
      </c>
      <c r="G805" s="3">
        <f t="shared" si="18"/>
        <v>25.52</v>
      </c>
    </row>
    <row r="806" spans="1:7" s="22" customFormat="1" x14ac:dyDescent="0.25">
      <c r="A806" s="6">
        <v>43953</v>
      </c>
      <c r="B806" s="63"/>
      <c r="D806" s="63"/>
      <c r="E806" s="178" t="s">
        <v>66</v>
      </c>
      <c r="F806" s="2">
        <v>100</v>
      </c>
      <c r="G806" s="3">
        <f t="shared" si="18"/>
        <v>25.4</v>
      </c>
    </row>
    <row r="807" spans="1:7" s="22" customFormat="1" ht="15.75" x14ac:dyDescent="0.25">
      <c r="A807" s="6">
        <v>43955</v>
      </c>
      <c r="B807" s="63"/>
      <c r="D807" s="63"/>
      <c r="E807" s="178" t="s">
        <v>66</v>
      </c>
      <c r="F807" s="33">
        <v>200</v>
      </c>
      <c r="G807" s="3">
        <f t="shared" si="18"/>
        <v>25.8</v>
      </c>
    </row>
    <row r="808" spans="1:7" s="22" customFormat="1" ht="15.75" x14ac:dyDescent="0.25">
      <c r="A808" s="6">
        <v>43955</v>
      </c>
      <c r="B808" s="63"/>
      <c r="D808" s="63"/>
      <c r="E808" s="178"/>
      <c r="F808" s="34">
        <v>2300</v>
      </c>
      <c r="G808" s="3">
        <f t="shared" si="18"/>
        <v>9.2000000000000011</v>
      </c>
    </row>
    <row r="809" spans="1:7" s="22" customFormat="1" ht="15.75" x14ac:dyDescent="0.25">
      <c r="A809" s="6">
        <v>43955</v>
      </c>
      <c r="B809" s="63"/>
      <c r="D809" s="63"/>
      <c r="E809" s="178" t="s">
        <v>66</v>
      </c>
      <c r="F809" s="33">
        <v>100</v>
      </c>
      <c r="G809" s="3">
        <f t="shared" si="18"/>
        <v>25.4</v>
      </c>
    </row>
    <row r="810" spans="1:7" s="22" customFormat="1" ht="15.75" x14ac:dyDescent="0.25">
      <c r="A810" s="6">
        <v>43955</v>
      </c>
      <c r="B810" s="63"/>
      <c r="D810" s="63"/>
      <c r="E810" s="178" t="s">
        <v>66</v>
      </c>
      <c r="F810" s="33">
        <v>100</v>
      </c>
      <c r="G810" s="3">
        <f t="shared" si="18"/>
        <v>25.4</v>
      </c>
    </row>
    <row r="811" spans="1:7" s="22" customFormat="1" ht="15.75" x14ac:dyDescent="0.25">
      <c r="A811" s="6">
        <v>43955</v>
      </c>
      <c r="B811" s="63"/>
      <c r="D811" s="63"/>
      <c r="E811" s="178" t="s">
        <v>66</v>
      </c>
      <c r="F811" s="33">
        <v>100</v>
      </c>
      <c r="G811" s="3">
        <f t="shared" si="18"/>
        <v>25.4</v>
      </c>
    </row>
    <row r="812" spans="1:7" s="22" customFormat="1" ht="15.75" x14ac:dyDescent="0.25">
      <c r="A812" s="6">
        <v>43955</v>
      </c>
      <c r="B812" s="63"/>
      <c r="D812" s="63"/>
      <c r="E812" s="178" t="s">
        <v>66</v>
      </c>
      <c r="F812" s="33">
        <v>100</v>
      </c>
      <c r="G812" s="3">
        <f t="shared" si="18"/>
        <v>25.4</v>
      </c>
    </row>
    <row r="813" spans="1:7" s="22" customFormat="1" ht="15.75" x14ac:dyDescent="0.25">
      <c r="A813" s="6">
        <v>43955</v>
      </c>
      <c r="B813" s="63"/>
      <c r="D813" s="63"/>
      <c r="E813" s="178" t="s">
        <v>66</v>
      </c>
      <c r="F813" s="33">
        <v>100</v>
      </c>
      <c r="G813" s="3">
        <f t="shared" si="18"/>
        <v>25.4</v>
      </c>
    </row>
    <row r="814" spans="1:7" s="22" customFormat="1" ht="15.75" x14ac:dyDescent="0.25">
      <c r="A814" s="6">
        <v>43955</v>
      </c>
      <c r="B814" s="63"/>
      <c r="D814" s="63"/>
      <c r="E814" s="178" t="s">
        <v>66</v>
      </c>
      <c r="F814" s="33">
        <v>100</v>
      </c>
      <c r="G814" s="3">
        <f t="shared" si="18"/>
        <v>25.4</v>
      </c>
    </row>
    <row r="815" spans="1:7" s="22" customFormat="1" ht="15.75" x14ac:dyDescent="0.25">
      <c r="A815" s="6">
        <v>43955</v>
      </c>
      <c r="B815" s="63"/>
      <c r="D815" s="63"/>
      <c r="E815" s="178" t="s">
        <v>66</v>
      </c>
      <c r="F815" s="33">
        <v>100</v>
      </c>
      <c r="G815" s="3">
        <f t="shared" si="18"/>
        <v>25.4</v>
      </c>
    </row>
    <row r="816" spans="1:7" s="22" customFormat="1" ht="15.75" x14ac:dyDescent="0.25">
      <c r="A816" s="6">
        <v>43955</v>
      </c>
      <c r="B816" s="63"/>
      <c r="D816" s="63"/>
      <c r="E816" s="178" t="s">
        <v>66</v>
      </c>
      <c r="F816" s="33">
        <v>100</v>
      </c>
      <c r="G816" s="3">
        <f t="shared" si="18"/>
        <v>25.4</v>
      </c>
    </row>
    <row r="817" spans="1:7" s="22" customFormat="1" ht="15.75" x14ac:dyDescent="0.25">
      <c r="A817" s="6">
        <v>43955</v>
      </c>
      <c r="B817" s="63"/>
      <c r="D817" s="63"/>
      <c r="E817" s="178" t="s">
        <v>66</v>
      </c>
      <c r="F817" s="33">
        <v>100</v>
      </c>
      <c r="G817" s="3">
        <f t="shared" si="18"/>
        <v>25.4</v>
      </c>
    </row>
    <row r="818" spans="1:7" s="22" customFormat="1" ht="15.75" x14ac:dyDescent="0.25">
      <c r="A818" s="6">
        <v>43955</v>
      </c>
      <c r="B818" s="63"/>
      <c r="D818" s="63"/>
      <c r="E818" s="178" t="s">
        <v>66</v>
      </c>
      <c r="F818" s="33">
        <v>100</v>
      </c>
      <c r="G818" s="3">
        <f t="shared" si="18"/>
        <v>25.4</v>
      </c>
    </row>
    <row r="819" spans="1:7" s="22" customFormat="1" ht="15.75" x14ac:dyDescent="0.25">
      <c r="A819" s="6">
        <v>43955</v>
      </c>
      <c r="B819" s="63"/>
      <c r="D819" s="63"/>
      <c r="E819" s="178" t="s">
        <v>66</v>
      </c>
      <c r="F819" s="33">
        <v>100</v>
      </c>
      <c r="G819" s="3">
        <f t="shared" si="18"/>
        <v>25.4</v>
      </c>
    </row>
    <row r="820" spans="1:7" s="22" customFormat="1" ht="15.75" x14ac:dyDescent="0.25">
      <c r="A820" s="6">
        <v>43955</v>
      </c>
      <c r="B820" s="63"/>
      <c r="D820" s="63"/>
      <c r="E820" s="178" t="s">
        <v>66</v>
      </c>
      <c r="F820" s="33">
        <v>100</v>
      </c>
      <c r="G820" s="3">
        <f t="shared" si="18"/>
        <v>25.4</v>
      </c>
    </row>
    <row r="821" spans="1:7" s="22" customFormat="1" ht="15.75" x14ac:dyDescent="0.25">
      <c r="A821" s="6">
        <v>43955</v>
      </c>
      <c r="B821" s="63"/>
      <c r="D821" s="63"/>
      <c r="E821" s="178" t="s">
        <v>66</v>
      </c>
      <c r="F821" s="33">
        <v>100</v>
      </c>
      <c r="G821" s="3">
        <f t="shared" si="18"/>
        <v>25.4</v>
      </c>
    </row>
    <row r="822" spans="1:7" s="22" customFormat="1" ht="15.75" x14ac:dyDescent="0.25">
      <c r="A822" s="6">
        <v>43955</v>
      </c>
      <c r="B822" s="63"/>
      <c r="D822" s="63"/>
      <c r="E822" s="178" t="s">
        <v>66</v>
      </c>
      <c r="F822" s="33">
        <v>100</v>
      </c>
      <c r="G822" s="3">
        <f t="shared" si="18"/>
        <v>25.4</v>
      </c>
    </row>
    <row r="823" spans="1:7" s="22" customFormat="1" ht="15.75" x14ac:dyDescent="0.25">
      <c r="A823" s="6">
        <v>43955</v>
      </c>
      <c r="B823" s="63"/>
      <c r="D823" s="63"/>
      <c r="E823" s="178" t="s">
        <v>66</v>
      </c>
      <c r="F823" s="33">
        <v>100</v>
      </c>
      <c r="G823" s="3">
        <f t="shared" si="18"/>
        <v>25.4</v>
      </c>
    </row>
    <row r="824" spans="1:7" s="22" customFormat="1" ht="15.75" x14ac:dyDescent="0.25">
      <c r="A824" s="6">
        <v>43955</v>
      </c>
      <c r="B824" s="63"/>
      <c r="D824" s="63"/>
      <c r="E824" s="178" t="s">
        <v>66</v>
      </c>
      <c r="F824" s="33">
        <v>100</v>
      </c>
      <c r="G824" s="3">
        <f t="shared" si="18"/>
        <v>25.4</v>
      </c>
    </row>
    <row r="825" spans="1:7" s="22" customFormat="1" ht="15.75" x14ac:dyDescent="0.25">
      <c r="A825" s="6">
        <v>43955</v>
      </c>
      <c r="B825" s="63"/>
      <c r="D825" s="63"/>
      <c r="E825" s="178" t="s">
        <v>66</v>
      </c>
      <c r="F825" s="33">
        <v>100</v>
      </c>
      <c r="G825" s="3">
        <f t="shared" si="18"/>
        <v>25.4</v>
      </c>
    </row>
    <row r="826" spans="1:7" s="22" customFormat="1" ht="15.75" x14ac:dyDescent="0.25">
      <c r="A826" s="6">
        <v>43955</v>
      </c>
      <c r="B826" s="63"/>
      <c r="D826" s="63"/>
      <c r="E826" s="178" t="s">
        <v>66</v>
      </c>
      <c r="F826" s="33">
        <v>100</v>
      </c>
      <c r="G826" s="3">
        <f t="shared" si="18"/>
        <v>25.4</v>
      </c>
    </row>
    <row r="827" spans="1:7" s="22" customFormat="1" ht="15.75" x14ac:dyDescent="0.25">
      <c r="A827" s="6">
        <v>43955</v>
      </c>
      <c r="B827" s="63"/>
      <c r="D827" s="63"/>
      <c r="E827" s="178" t="s">
        <v>66</v>
      </c>
      <c r="F827" s="33">
        <v>100</v>
      </c>
      <c r="G827" s="3">
        <f t="shared" si="18"/>
        <v>25.4</v>
      </c>
    </row>
    <row r="828" spans="1:7" s="22" customFormat="1" ht="15.75" x14ac:dyDescent="0.25">
      <c r="A828" s="6">
        <v>43955</v>
      </c>
      <c r="B828" s="63"/>
      <c r="D828" s="63"/>
      <c r="E828" s="178" t="s">
        <v>66</v>
      </c>
      <c r="F828" s="33">
        <v>100</v>
      </c>
      <c r="G828" s="3">
        <f t="shared" si="18"/>
        <v>25.4</v>
      </c>
    </row>
    <row r="829" spans="1:7" s="22" customFormat="1" ht="15.75" x14ac:dyDescent="0.25">
      <c r="A829" s="6">
        <v>43955</v>
      </c>
      <c r="B829" s="63"/>
      <c r="D829" s="63"/>
      <c r="E829" s="178" t="s">
        <v>66</v>
      </c>
      <c r="F829" s="33">
        <v>100</v>
      </c>
      <c r="G829" s="3">
        <f t="shared" si="18"/>
        <v>25.4</v>
      </c>
    </row>
    <row r="830" spans="1:7" s="22" customFormat="1" ht="15.75" x14ac:dyDescent="0.25">
      <c r="A830" s="6">
        <v>43955</v>
      </c>
      <c r="B830" s="63"/>
      <c r="D830" s="63"/>
      <c r="E830" s="178" t="s">
        <v>66</v>
      </c>
      <c r="F830" s="33">
        <v>100</v>
      </c>
      <c r="G830" s="3">
        <f t="shared" si="18"/>
        <v>25.4</v>
      </c>
    </row>
    <row r="831" spans="1:7" s="22" customFormat="1" ht="15.75" x14ac:dyDescent="0.25">
      <c r="A831" s="6">
        <v>43955</v>
      </c>
      <c r="B831" s="63"/>
      <c r="D831" s="63"/>
      <c r="E831" s="178" t="s">
        <v>66</v>
      </c>
      <c r="F831" s="33">
        <v>400</v>
      </c>
      <c r="G831" s="3">
        <f t="shared" si="18"/>
        <v>26.6</v>
      </c>
    </row>
    <row r="832" spans="1:7" s="22" customFormat="1" ht="15.75" x14ac:dyDescent="0.25">
      <c r="A832" s="6">
        <v>43955</v>
      </c>
      <c r="B832" s="63"/>
      <c r="D832" s="63"/>
      <c r="E832" s="178" t="s">
        <v>66</v>
      </c>
      <c r="F832" s="33">
        <v>100</v>
      </c>
      <c r="G832" s="3">
        <f t="shared" si="18"/>
        <v>25.4</v>
      </c>
    </row>
    <row r="833" spans="1:7" s="22" customFormat="1" ht="15.75" x14ac:dyDescent="0.25">
      <c r="A833" s="6">
        <v>43955</v>
      </c>
      <c r="B833" s="63"/>
      <c r="D833" s="63"/>
      <c r="E833" s="178" t="s">
        <v>66</v>
      </c>
      <c r="F833" s="33">
        <v>100</v>
      </c>
      <c r="G833" s="3">
        <f t="shared" si="18"/>
        <v>25.4</v>
      </c>
    </row>
    <row r="834" spans="1:7" s="22" customFormat="1" ht="15.75" x14ac:dyDescent="0.25">
      <c r="A834" s="6">
        <v>43955</v>
      </c>
      <c r="B834" s="63"/>
      <c r="D834" s="63"/>
      <c r="E834" s="178" t="s">
        <v>66</v>
      </c>
      <c r="F834" s="33">
        <v>200</v>
      </c>
      <c r="G834" s="3">
        <f t="shared" si="18"/>
        <v>25.8</v>
      </c>
    </row>
    <row r="835" spans="1:7" s="22" customFormat="1" ht="15.75" x14ac:dyDescent="0.25">
      <c r="A835" s="6">
        <v>43955</v>
      </c>
      <c r="B835" s="63"/>
      <c r="D835" s="63"/>
      <c r="E835" s="178" t="s">
        <v>66</v>
      </c>
      <c r="F835" s="33">
        <v>100</v>
      </c>
      <c r="G835" s="3">
        <f t="shared" si="18"/>
        <v>25.4</v>
      </c>
    </row>
    <row r="836" spans="1:7" s="22" customFormat="1" ht="15.75" x14ac:dyDescent="0.25">
      <c r="A836" s="6">
        <v>43955</v>
      </c>
      <c r="B836" s="63"/>
      <c r="D836" s="63"/>
      <c r="E836" s="178" t="s">
        <v>66</v>
      </c>
      <c r="F836" s="33">
        <v>100</v>
      </c>
      <c r="G836" s="3">
        <f t="shared" si="18"/>
        <v>25.4</v>
      </c>
    </row>
    <row r="837" spans="1:7" s="22" customFormat="1" ht="15.75" x14ac:dyDescent="0.25">
      <c r="A837" s="6">
        <v>43955</v>
      </c>
      <c r="B837" s="63"/>
      <c r="D837" s="63"/>
      <c r="E837" s="178" t="s">
        <v>66</v>
      </c>
      <c r="F837" s="33">
        <v>100</v>
      </c>
      <c r="G837" s="3">
        <f t="shared" si="18"/>
        <v>25.4</v>
      </c>
    </row>
    <row r="838" spans="1:7" s="22" customFormat="1" ht="15.75" x14ac:dyDescent="0.25">
      <c r="A838" s="6">
        <v>43955</v>
      </c>
      <c r="B838" s="63"/>
      <c r="D838" s="63"/>
      <c r="E838" s="178" t="s">
        <v>66</v>
      </c>
      <c r="F838" s="33">
        <v>200</v>
      </c>
      <c r="G838" s="3">
        <f t="shared" si="18"/>
        <v>25.8</v>
      </c>
    </row>
    <row r="839" spans="1:7" s="22" customFormat="1" ht="15.75" x14ac:dyDescent="0.25">
      <c r="A839" s="6">
        <v>43955</v>
      </c>
      <c r="B839" s="63"/>
      <c r="D839" s="63"/>
      <c r="E839" s="178" t="s">
        <v>66</v>
      </c>
      <c r="F839" s="33">
        <v>200</v>
      </c>
      <c r="G839" s="3">
        <f t="shared" si="18"/>
        <v>25.8</v>
      </c>
    </row>
    <row r="840" spans="1:7" s="22" customFormat="1" ht="15.75" x14ac:dyDescent="0.25">
      <c r="A840" s="6">
        <v>43955</v>
      </c>
      <c r="B840" s="63"/>
      <c r="D840" s="63"/>
      <c r="E840" s="178" t="s">
        <v>66</v>
      </c>
      <c r="F840" s="33">
        <v>200</v>
      </c>
      <c r="G840" s="3">
        <f t="shared" si="18"/>
        <v>25.8</v>
      </c>
    </row>
    <row r="841" spans="1:7" s="22" customFormat="1" ht="15.75" x14ac:dyDescent="0.25">
      <c r="A841" s="6">
        <v>43955</v>
      </c>
      <c r="B841" s="63"/>
      <c r="D841" s="63"/>
      <c r="E841" s="178" t="s">
        <v>66</v>
      </c>
      <c r="F841" s="33">
        <v>200</v>
      </c>
      <c r="G841" s="3">
        <f t="shared" si="18"/>
        <v>25.8</v>
      </c>
    </row>
    <row r="842" spans="1:7" s="22" customFormat="1" ht="15.75" x14ac:dyDescent="0.25">
      <c r="A842" s="6">
        <v>43955</v>
      </c>
      <c r="B842" s="63"/>
      <c r="D842" s="63"/>
      <c r="E842" s="178" t="s">
        <v>66</v>
      </c>
      <c r="F842" s="33">
        <v>200</v>
      </c>
      <c r="G842" s="3">
        <f t="shared" si="18"/>
        <v>25.8</v>
      </c>
    </row>
    <row r="843" spans="1:7" s="22" customFormat="1" ht="15.75" x14ac:dyDescent="0.25">
      <c r="A843" s="6">
        <v>43955</v>
      </c>
      <c r="B843" s="63"/>
      <c r="D843" s="63"/>
      <c r="E843" s="178" t="s">
        <v>66</v>
      </c>
      <c r="F843" s="33">
        <v>200</v>
      </c>
      <c r="G843" s="3">
        <f t="shared" si="18"/>
        <v>25.8</v>
      </c>
    </row>
    <row r="844" spans="1:7" s="22" customFormat="1" ht="15.75" x14ac:dyDescent="0.25">
      <c r="A844" s="6">
        <v>43955</v>
      </c>
      <c r="B844" s="63"/>
      <c r="D844" s="63"/>
      <c r="E844" s="178" t="s">
        <v>66</v>
      </c>
      <c r="F844" s="33">
        <v>200</v>
      </c>
      <c r="G844" s="3">
        <f t="shared" si="18"/>
        <v>25.8</v>
      </c>
    </row>
    <row r="845" spans="1:7" s="22" customFormat="1" ht="15.75" x14ac:dyDescent="0.25">
      <c r="A845" s="6">
        <v>43955</v>
      </c>
      <c r="B845" s="63"/>
      <c r="D845" s="63"/>
      <c r="E845" s="178" t="s">
        <v>66</v>
      </c>
      <c r="F845" s="33">
        <v>200</v>
      </c>
      <c r="G845" s="3">
        <f t="shared" si="18"/>
        <v>25.8</v>
      </c>
    </row>
    <row r="846" spans="1:7" s="22" customFormat="1" ht="15.75" x14ac:dyDescent="0.25">
      <c r="A846" s="6">
        <v>43955</v>
      </c>
      <c r="B846" s="63"/>
      <c r="D846" s="63"/>
      <c r="E846" s="178" t="s">
        <v>66</v>
      </c>
      <c r="F846" s="33">
        <v>100</v>
      </c>
      <c r="G846" s="3">
        <f t="shared" si="18"/>
        <v>25.4</v>
      </c>
    </row>
    <row r="847" spans="1:7" s="22" customFormat="1" ht="15.75" x14ac:dyDescent="0.25">
      <c r="A847" s="6">
        <v>43955</v>
      </c>
      <c r="B847" s="63"/>
      <c r="D847" s="63"/>
      <c r="E847" s="178" t="s">
        <v>66</v>
      </c>
      <c r="F847" s="33">
        <v>200</v>
      </c>
      <c r="G847" s="3">
        <f t="shared" si="18"/>
        <v>25.8</v>
      </c>
    </row>
    <row r="848" spans="1:7" s="22" customFormat="1" ht="15.75" x14ac:dyDescent="0.25">
      <c r="A848" s="6">
        <v>43955</v>
      </c>
      <c r="B848" s="63"/>
      <c r="D848" s="63"/>
      <c r="E848" s="178" t="s">
        <v>66</v>
      </c>
      <c r="F848" s="33">
        <v>100</v>
      </c>
      <c r="G848" s="3">
        <f t="shared" si="18"/>
        <v>25.4</v>
      </c>
    </row>
    <row r="849" spans="1:7" s="22" customFormat="1" ht="15.75" x14ac:dyDescent="0.25">
      <c r="A849" s="6">
        <v>43955</v>
      </c>
      <c r="B849" s="63"/>
      <c r="D849" s="63"/>
      <c r="E849" s="178" t="s">
        <v>66</v>
      </c>
      <c r="F849" s="33">
        <v>200</v>
      </c>
      <c r="G849" s="3">
        <f t="shared" si="18"/>
        <v>25.8</v>
      </c>
    </row>
    <row r="850" spans="1:7" s="22" customFormat="1" ht="15.75" x14ac:dyDescent="0.25">
      <c r="A850" s="6">
        <v>43955</v>
      </c>
      <c r="B850" s="63"/>
      <c r="D850" s="63"/>
      <c r="E850" s="178" t="s">
        <v>66</v>
      </c>
      <c r="F850" s="33">
        <v>100</v>
      </c>
      <c r="G850" s="3">
        <f t="shared" si="18"/>
        <v>25.4</v>
      </c>
    </row>
    <row r="851" spans="1:7" s="22" customFormat="1" ht="15.75" x14ac:dyDescent="0.25">
      <c r="A851" s="6">
        <v>43955</v>
      </c>
      <c r="B851" s="63"/>
      <c r="D851" s="63"/>
      <c r="E851" s="178" t="s">
        <v>66</v>
      </c>
      <c r="F851" s="33">
        <v>100</v>
      </c>
      <c r="G851" s="3">
        <f t="shared" si="18"/>
        <v>25.4</v>
      </c>
    </row>
    <row r="852" spans="1:7" s="22" customFormat="1" ht="15.75" x14ac:dyDescent="0.25">
      <c r="A852" s="6">
        <v>43956</v>
      </c>
      <c r="B852" s="63"/>
      <c r="D852" s="63"/>
      <c r="E852" s="178" t="s">
        <v>66</v>
      </c>
      <c r="F852" s="33">
        <v>900</v>
      </c>
      <c r="G852" s="3">
        <f t="shared" si="18"/>
        <v>28.6</v>
      </c>
    </row>
    <row r="853" spans="1:7" s="22" customFormat="1" ht="15.75" x14ac:dyDescent="0.25">
      <c r="A853" s="6">
        <v>43956</v>
      </c>
      <c r="B853" s="63"/>
      <c r="D853" s="63"/>
      <c r="E853" s="178" t="s">
        <v>66</v>
      </c>
      <c r="F853" s="34">
        <v>1000</v>
      </c>
      <c r="G853" s="3">
        <f t="shared" si="18"/>
        <v>29</v>
      </c>
    </row>
    <row r="854" spans="1:7" s="22" customFormat="1" ht="15.75" x14ac:dyDescent="0.25">
      <c r="A854" s="6">
        <v>43956</v>
      </c>
      <c r="B854" s="63"/>
      <c r="D854" s="63"/>
      <c r="E854" s="178" t="s">
        <v>66</v>
      </c>
      <c r="F854" s="33">
        <v>100</v>
      </c>
      <c r="G854" s="3">
        <f t="shared" si="18"/>
        <v>25.4</v>
      </c>
    </row>
    <row r="855" spans="1:7" s="22" customFormat="1" ht="15.75" x14ac:dyDescent="0.25">
      <c r="A855" s="6">
        <v>43956</v>
      </c>
      <c r="B855" s="63"/>
      <c r="D855" s="63"/>
      <c r="E855" s="178" t="s">
        <v>66</v>
      </c>
      <c r="F855" s="33">
        <v>200</v>
      </c>
      <c r="G855" s="3">
        <f t="shared" si="18"/>
        <v>25.8</v>
      </c>
    </row>
    <row r="856" spans="1:7" s="22" customFormat="1" ht="15.75" x14ac:dyDescent="0.25">
      <c r="A856" s="6">
        <v>43956</v>
      </c>
      <c r="B856" s="63"/>
      <c r="D856" s="63"/>
      <c r="E856" s="178" t="s">
        <v>66</v>
      </c>
      <c r="F856" s="33">
        <v>200</v>
      </c>
      <c r="G856" s="3">
        <f t="shared" si="18"/>
        <v>25.8</v>
      </c>
    </row>
    <row r="857" spans="1:7" s="22" customFormat="1" ht="15.75" x14ac:dyDescent="0.25">
      <c r="A857" s="6">
        <v>43956</v>
      </c>
      <c r="B857" s="63"/>
      <c r="D857" s="63"/>
      <c r="E857" s="178" t="s">
        <v>66</v>
      </c>
      <c r="F857" s="33">
        <v>200</v>
      </c>
      <c r="G857" s="3">
        <f t="shared" si="18"/>
        <v>25.8</v>
      </c>
    </row>
    <row r="858" spans="1:7" s="22" customFormat="1" ht="15.75" x14ac:dyDescent="0.25">
      <c r="A858" s="6">
        <v>43956</v>
      </c>
      <c r="B858" s="63"/>
      <c r="D858" s="63"/>
      <c r="E858" s="178" t="s">
        <v>66</v>
      </c>
      <c r="F858" s="33">
        <v>200</v>
      </c>
      <c r="G858" s="3">
        <f t="shared" si="18"/>
        <v>25.8</v>
      </c>
    </row>
    <row r="859" spans="1:7" s="22" customFormat="1" ht="15.75" x14ac:dyDescent="0.25">
      <c r="A859" s="6">
        <v>43956</v>
      </c>
      <c r="B859" s="63"/>
      <c r="D859" s="63"/>
      <c r="E859" s="178" t="s">
        <v>66</v>
      </c>
      <c r="F859" s="33">
        <v>150</v>
      </c>
      <c r="G859" s="3">
        <f t="shared" si="18"/>
        <v>25.6</v>
      </c>
    </row>
    <row r="860" spans="1:7" s="22" customFormat="1" ht="15.75" x14ac:dyDescent="0.25">
      <c r="A860" s="6">
        <v>43956</v>
      </c>
      <c r="B860" s="63"/>
      <c r="D860" s="63"/>
      <c r="E860" s="178" t="s">
        <v>66</v>
      </c>
      <c r="F860" s="33">
        <v>100</v>
      </c>
      <c r="G860" s="3">
        <f t="shared" si="18"/>
        <v>25.4</v>
      </c>
    </row>
    <row r="861" spans="1:7" s="22" customFormat="1" ht="15.75" x14ac:dyDescent="0.25">
      <c r="A861" s="6">
        <v>43956</v>
      </c>
      <c r="B861" s="63"/>
      <c r="D861" s="63"/>
      <c r="E861" s="178" t="s">
        <v>66</v>
      </c>
      <c r="F861" s="33">
        <v>100</v>
      </c>
      <c r="G861" s="3">
        <f t="shared" si="18"/>
        <v>25.4</v>
      </c>
    </row>
    <row r="862" spans="1:7" s="22" customFormat="1" ht="15.75" x14ac:dyDescent="0.25">
      <c r="A862" s="6">
        <v>43956</v>
      </c>
      <c r="B862" s="63"/>
      <c r="D862" s="63"/>
      <c r="E862" s="178" t="s">
        <v>66</v>
      </c>
      <c r="F862" s="33">
        <v>100</v>
      </c>
      <c r="G862" s="3">
        <f t="shared" si="18"/>
        <v>25.4</v>
      </c>
    </row>
    <row r="863" spans="1:7" s="22" customFormat="1" ht="15.75" x14ac:dyDescent="0.25">
      <c r="A863" s="6">
        <v>43956</v>
      </c>
      <c r="B863" s="63"/>
      <c r="D863" s="63"/>
      <c r="E863" s="178" t="s">
        <v>66</v>
      </c>
      <c r="F863" s="33">
        <v>100</v>
      </c>
      <c r="G863" s="3">
        <f t="shared" si="18"/>
        <v>25.4</v>
      </c>
    </row>
    <row r="864" spans="1:7" s="22" customFormat="1" ht="15.75" x14ac:dyDescent="0.25">
      <c r="A864" s="6">
        <v>43956</v>
      </c>
      <c r="B864" s="63"/>
      <c r="D864" s="63"/>
      <c r="E864" s="178" t="s">
        <v>66</v>
      </c>
      <c r="F864" s="33">
        <v>200</v>
      </c>
      <c r="G864" s="3">
        <f t="shared" si="18"/>
        <v>25.8</v>
      </c>
    </row>
    <row r="865" spans="1:7" s="22" customFormat="1" ht="15.75" x14ac:dyDescent="0.25">
      <c r="A865" s="6">
        <v>43956</v>
      </c>
      <c r="B865" s="63"/>
      <c r="D865" s="63"/>
      <c r="E865" s="178" t="s">
        <v>66</v>
      </c>
      <c r="F865" s="33">
        <v>100</v>
      </c>
      <c r="G865" s="3">
        <f t="shared" si="18"/>
        <v>25.4</v>
      </c>
    </row>
    <row r="866" spans="1:7" s="22" customFormat="1" ht="15.75" x14ac:dyDescent="0.25">
      <c r="A866" s="6">
        <v>43956</v>
      </c>
      <c r="B866" s="63"/>
      <c r="D866" s="63"/>
      <c r="E866" s="178" t="s">
        <v>66</v>
      </c>
      <c r="F866" s="33">
        <v>100</v>
      </c>
      <c r="G866" s="3">
        <f t="shared" si="18"/>
        <v>25.4</v>
      </c>
    </row>
    <row r="867" spans="1:7" s="22" customFormat="1" ht="15.75" x14ac:dyDescent="0.25">
      <c r="A867" s="6">
        <v>43956</v>
      </c>
      <c r="B867" s="63"/>
      <c r="D867" s="63"/>
      <c r="E867" s="178" t="s">
        <v>66</v>
      </c>
      <c r="F867" s="33">
        <v>100</v>
      </c>
      <c r="G867" s="3">
        <f t="shared" si="18"/>
        <v>25.4</v>
      </c>
    </row>
    <row r="868" spans="1:7" s="22" customFormat="1" ht="15.75" x14ac:dyDescent="0.25">
      <c r="A868" s="6">
        <v>43956</v>
      </c>
      <c r="B868" s="63"/>
      <c r="D868" s="63"/>
      <c r="E868" s="178" t="s">
        <v>66</v>
      </c>
      <c r="F868" s="33">
        <v>100</v>
      </c>
      <c r="G868" s="3">
        <f t="shared" ref="G868:G931" si="19">IF(E868="y",25,IF(OR(E868="N", E868="RD",E868="I"),10,0))+IF(F868&gt;5000,20,F868*0.4%)+IF(E868="PMSBY",1,IF(E868="PMJJBY",30,0))</f>
        <v>25.4</v>
      </c>
    </row>
    <row r="869" spans="1:7" s="22" customFormat="1" ht="15.75" x14ac:dyDescent="0.25">
      <c r="A869" s="6">
        <v>43956</v>
      </c>
      <c r="B869" s="63"/>
      <c r="D869" s="63"/>
      <c r="E869" s="178" t="s">
        <v>66</v>
      </c>
      <c r="F869" s="33">
        <v>100</v>
      </c>
      <c r="G869" s="3">
        <f t="shared" si="19"/>
        <v>25.4</v>
      </c>
    </row>
    <row r="870" spans="1:7" s="22" customFormat="1" ht="15.75" x14ac:dyDescent="0.25">
      <c r="A870" s="6">
        <v>43956</v>
      </c>
      <c r="B870" s="63"/>
      <c r="D870" s="63"/>
      <c r="E870" s="178" t="s">
        <v>66</v>
      </c>
      <c r="F870" s="33">
        <v>100</v>
      </c>
      <c r="G870" s="3">
        <f t="shared" si="19"/>
        <v>25.4</v>
      </c>
    </row>
    <row r="871" spans="1:7" s="22" customFormat="1" ht="15.75" x14ac:dyDescent="0.25">
      <c r="A871" s="6">
        <v>43956</v>
      </c>
      <c r="B871" s="63"/>
      <c r="D871" s="63"/>
      <c r="E871" s="178" t="s">
        <v>66</v>
      </c>
      <c r="F871" s="33">
        <v>100</v>
      </c>
      <c r="G871" s="3">
        <f t="shared" si="19"/>
        <v>25.4</v>
      </c>
    </row>
    <row r="872" spans="1:7" s="22" customFormat="1" ht="15.75" x14ac:dyDescent="0.25">
      <c r="A872" s="6">
        <v>43956</v>
      </c>
      <c r="B872" s="63"/>
      <c r="D872" s="63"/>
      <c r="E872" s="178" t="s">
        <v>66</v>
      </c>
      <c r="F872" s="33">
        <v>200</v>
      </c>
      <c r="G872" s="3">
        <f t="shared" si="19"/>
        <v>25.8</v>
      </c>
    </row>
    <row r="873" spans="1:7" s="22" customFormat="1" ht="15.75" x14ac:dyDescent="0.25">
      <c r="A873" s="6">
        <v>43956</v>
      </c>
      <c r="B873" s="63"/>
      <c r="D873" s="63"/>
      <c r="E873" s="178" t="s">
        <v>66</v>
      </c>
      <c r="F873" s="33">
        <v>100</v>
      </c>
      <c r="G873" s="3">
        <f t="shared" si="19"/>
        <v>25.4</v>
      </c>
    </row>
    <row r="874" spans="1:7" s="22" customFormat="1" ht="15.75" x14ac:dyDescent="0.25">
      <c r="A874" s="6">
        <v>43956</v>
      </c>
      <c r="B874" s="63"/>
      <c r="D874" s="63"/>
      <c r="E874" s="178" t="s">
        <v>66</v>
      </c>
      <c r="F874" s="33">
        <v>100</v>
      </c>
      <c r="G874" s="3">
        <f t="shared" si="19"/>
        <v>25.4</v>
      </c>
    </row>
    <row r="875" spans="1:7" s="22" customFormat="1" ht="15.75" x14ac:dyDescent="0.25">
      <c r="A875" s="6">
        <v>43956</v>
      </c>
      <c r="B875" s="63"/>
      <c r="D875" s="63"/>
      <c r="E875" s="178" t="s">
        <v>66</v>
      </c>
      <c r="F875" s="33">
        <v>200</v>
      </c>
      <c r="G875" s="3">
        <f t="shared" si="19"/>
        <v>25.8</v>
      </c>
    </row>
    <row r="876" spans="1:7" s="22" customFormat="1" ht="15.75" x14ac:dyDescent="0.25">
      <c r="A876" s="6">
        <v>43956</v>
      </c>
      <c r="B876" s="63"/>
      <c r="D876" s="63"/>
      <c r="E876" s="178" t="s">
        <v>66</v>
      </c>
      <c r="F876" s="33">
        <v>100</v>
      </c>
      <c r="G876" s="3">
        <f t="shared" si="19"/>
        <v>25.4</v>
      </c>
    </row>
    <row r="877" spans="1:7" s="22" customFormat="1" ht="15.75" x14ac:dyDescent="0.25">
      <c r="A877" s="6">
        <v>43956</v>
      </c>
      <c r="B877" s="63"/>
      <c r="D877" s="63"/>
      <c r="E877" s="178" t="s">
        <v>66</v>
      </c>
      <c r="F877" s="33">
        <v>200</v>
      </c>
      <c r="G877" s="3">
        <f t="shared" si="19"/>
        <v>25.8</v>
      </c>
    </row>
    <row r="878" spans="1:7" s="22" customFormat="1" ht="15.75" x14ac:dyDescent="0.25">
      <c r="A878" s="6">
        <v>43956</v>
      </c>
      <c r="B878" s="63"/>
      <c r="D878" s="63"/>
      <c r="E878" s="178" t="s">
        <v>66</v>
      </c>
      <c r="F878" s="33">
        <v>200</v>
      </c>
      <c r="G878" s="3">
        <f t="shared" si="19"/>
        <v>25.8</v>
      </c>
    </row>
    <row r="879" spans="1:7" s="22" customFormat="1" ht="15.75" x14ac:dyDescent="0.25">
      <c r="A879" s="6">
        <v>43956</v>
      </c>
      <c r="B879" s="63"/>
      <c r="D879" s="63"/>
      <c r="E879" s="178" t="s">
        <v>66</v>
      </c>
      <c r="F879" s="33">
        <v>200</v>
      </c>
      <c r="G879" s="3">
        <f t="shared" si="19"/>
        <v>25.8</v>
      </c>
    </row>
    <row r="880" spans="1:7" s="22" customFormat="1" ht="15.75" x14ac:dyDescent="0.25">
      <c r="A880" s="6">
        <v>43956</v>
      </c>
      <c r="B880" s="63"/>
      <c r="D880" s="63"/>
      <c r="E880" s="178" t="s">
        <v>66</v>
      </c>
      <c r="F880" s="33">
        <v>200</v>
      </c>
      <c r="G880" s="3">
        <f t="shared" si="19"/>
        <v>25.8</v>
      </c>
    </row>
    <row r="881" spans="1:7" s="22" customFormat="1" ht="15.75" x14ac:dyDescent="0.25">
      <c r="A881" s="6">
        <v>43956</v>
      </c>
      <c r="B881" s="63"/>
      <c r="D881" s="63"/>
      <c r="E881" s="178" t="s">
        <v>66</v>
      </c>
      <c r="F881" s="34">
        <v>1700</v>
      </c>
      <c r="G881" s="3">
        <f t="shared" si="19"/>
        <v>31.8</v>
      </c>
    </row>
    <row r="882" spans="1:7" s="22" customFormat="1" ht="15.75" x14ac:dyDescent="0.25">
      <c r="A882" s="6">
        <v>43956</v>
      </c>
      <c r="B882" s="63"/>
      <c r="D882" s="63"/>
      <c r="E882" s="178" t="s">
        <v>66</v>
      </c>
      <c r="F882" s="33">
        <v>100</v>
      </c>
      <c r="G882" s="3">
        <f t="shared" si="19"/>
        <v>25.4</v>
      </c>
    </row>
    <row r="883" spans="1:7" s="22" customFormat="1" ht="15.75" x14ac:dyDescent="0.25">
      <c r="A883" s="6">
        <v>43956</v>
      </c>
      <c r="B883" s="63"/>
      <c r="D883" s="63"/>
      <c r="E883" s="178" t="s">
        <v>66</v>
      </c>
      <c r="F883" s="33">
        <v>200</v>
      </c>
      <c r="G883" s="3">
        <f t="shared" si="19"/>
        <v>25.8</v>
      </c>
    </row>
    <row r="884" spans="1:7" s="22" customFormat="1" ht="15.75" x14ac:dyDescent="0.25">
      <c r="A884" s="6">
        <v>43956</v>
      </c>
      <c r="B884" s="63"/>
      <c r="D884" s="63"/>
      <c r="E884" s="178" t="s">
        <v>66</v>
      </c>
      <c r="F884" s="33">
        <v>100</v>
      </c>
      <c r="G884" s="3">
        <f t="shared" si="19"/>
        <v>25.4</v>
      </c>
    </row>
    <row r="885" spans="1:7" s="22" customFormat="1" ht="15.75" x14ac:dyDescent="0.25">
      <c r="A885" s="6">
        <v>43956</v>
      </c>
      <c r="B885" s="63"/>
      <c r="D885" s="63"/>
      <c r="E885" s="178" t="s">
        <v>66</v>
      </c>
      <c r="F885" s="33">
        <v>200</v>
      </c>
      <c r="G885" s="3">
        <f t="shared" si="19"/>
        <v>25.8</v>
      </c>
    </row>
    <row r="886" spans="1:7" s="22" customFormat="1" ht="15.75" x14ac:dyDescent="0.25">
      <c r="A886" s="6">
        <v>43956</v>
      </c>
      <c r="B886" s="63"/>
      <c r="D886" s="63"/>
      <c r="E886" s="178" t="s">
        <v>66</v>
      </c>
      <c r="F886" s="33">
        <v>100</v>
      </c>
      <c r="G886" s="3">
        <f t="shared" si="19"/>
        <v>25.4</v>
      </c>
    </row>
    <row r="887" spans="1:7" s="22" customFormat="1" ht="15.75" x14ac:dyDescent="0.25">
      <c r="A887" s="6">
        <v>43956</v>
      </c>
      <c r="B887" s="63"/>
      <c r="D887" s="63"/>
      <c r="E887" s="178" t="s">
        <v>66</v>
      </c>
      <c r="F887" s="33">
        <v>100</v>
      </c>
      <c r="G887" s="3">
        <f t="shared" si="19"/>
        <v>25.4</v>
      </c>
    </row>
    <row r="888" spans="1:7" s="22" customFormat="1" ht="15.75" x14ac:dyDescent="0.25">
      <c r="A888" s="6">
        <v>43956</v>
      </c>
      <c r="B888" s="63"/>
      <c r="D888" s="63"/>
      <c r="E888" s="178" t="s">
        <v>66</v>
      </c>
      <c r="F888" s="33">
        <v>500</v>
      </c>
      <c r="G888" s="3">
        <f t="shared" si="19"/>
        <v>27</v>
      </c>
    </row>
    <row r="889" spans="1:7" s="22" customFormat="1" ht="15.75" x14ac:dyDescent="0.25">
      <c r="A889" s="6">
        <v>43956</v>
      </c>
      <c r="B889" s="63"/>
      <c r="D889" s="63"/>
      <c r="E889" s="178" t="s">
        <v>66</v>
      </c>
      <c r="F889" s="33">
        <v>200</v>
      </c>
      <c r="G889" s="3">
        <f t="shared" si="19"/>
        <v>25.8</v>
      </c>
    </row>
    <row r="890" spans="1:7" s="22" customFormat="1" ht="15.75" x14ac:dyDescent="0.25">
      <c r="A890" s="6">
        <v>43956</v>
      </c>
      <c r="B890" s="63"/>
      <c r="D890" s="63"/>
      <c r="E890" s="178" t="s">
        <v>66</v>
      </c>
      <c r="F890" s="33">
        <v>100</v>
      </c>
      <c r="G890" s="3">
        <f t="shared" si="19"/>
        <v>25.4</v>
      </c>
    </row>
    <row r="891" spans="1:7" s="22" customFormat="1" ht="15.75" x14ac:dyDescent="0.25">
      <c r="A891" s="6">
        <v>43956</v>
      </c>
      <c r="B891" s="63"/>
      <c r="D891" s="63"/>
      <c r="E891" s="178" t="s">
        <v>66</v>
      </c>
      <c r="F891" s="33">
        <v>100</v>
      </c>
      <c r="G891" s="3">
        <f t="shared" si="19"/>
        <v>25.4</v>
      </c>
    </row>
    <row r="892" spans="1:7" s="22" customFormat="1" ht="15.75" x14ac:dyDescent="0.25">
      <c r="A892" s="6">
        <v>43956</v>
      </c>
      <c r="B892" s="63"/>
      <c r="D892" s="63"/>
      <c r="E892" s="178" t="s">
        <v>66</v>
      </c>
      <c r="F892" s="33">
        <v>200</v>
      </c>
      <c r="G892" s="3">
        <f t="shared" si="19"/>
        <v>25.8</v>
      </c>
    </row>
    <row r="893" spans="1:7" s="22" customFormat="1" ht="15.75" x14ac:dyDescent="0.25">
      <c r="A893" s="6">
        <v>43956</v>
      </c>
      <c r="B893" s="63"/>
      <c r="D893" s="63"/>
      <c r="E893" s="178" t="s">
        <v>66</v>
      </c>
      <c r="F893" s="33">
        <v>200</v>
      </c>
      <c r="G893" s="3">
        <f t="shared" si="19"/>
        <v>25.8</v>
      </c>
    </row>
    <row r="894" spans="1:7" s="22" customFormat="1" ht="15.75" x14ac:dyDescent="0.25">
      <c r="A894" s="6">
        <v>43956</v>
      </c>
      <c r="B894" s="63"/>
      <c r="D894" s="63"/>
      <c r="E894" s="178" t="s">
        <v>66</v>
      </c>
      <c r="F894" s="33">
        <v>200</v>
      </c>
      <c r="G894" s="3">
        <f t="shared" si="19"/>
        <v>25.8</v>
      </c>
    </row>
    <row r="895" spans="1:7" s="22" customFormat="1" ht="15.75" x14ac:dyDescent="0.25">
      <c r="A895" s="6">
        <v>43956</v>
      </c>
      <c r="B895" s="63"/>
      <c r="D895" s="63"/>
      <c r="E895" s="178" t="s">
        <v>66</v>
      </c>
      <c r="F895" s="33">
        <v>500</v>
      </c>
      <c r="G895" s="3">
        <f t="shared" si="19"/>
        <v>27</v>
      </c>
    </row>
    <row r="896" spans="1:7" s="22" customFormat="1" ht="15.75" x14ac:dyDescent="0.25">
      <c r="A896" s="6">
        <v>43956</v>
      </c>
      <c r="B896" s="63"/>
      <c r="D896" s="63"/>
      <c r="E896" s="178" t="s">
        <v>66</v>
      </c>
      <c r="F896" s="33">
        <v>100</v>
      </c>
      <c r="G896" s="3">
        <f t="shared" si="19"/>
        <v>25.4</v>
      </c>
    </row>
    <row r="897" spans="1:7" s="22" customFormat="1" ht="15.75" x14ac:dyDescent="0.25">
      <c r="A897" s="6">
        <v>43956</v>
      </c>
      <c r="B897" s="63"/>
      <c r="D897" s="63"/>
      <c r="E897" s="178" t="s">
        <v>66</v>
      </c>
      <c r="F897" s="33">
        <v>100</v>
      </c>
      <c r="G897" s="3">
        <f t="shared" si="19"/>
        <v>25.4</v>
      </c>
    </row>
    <row r="898" spans="1:7" s="22" customFormat="1" ht="15.75" x14ac:dyDescent="0.25">
      <c r="A898" s="6">
        <v>43956</v>
      </c>
      <c r="B898" s="63"/>
      <c r="D898" s="63"/>
      <c r="E898" s="178" t="s">
        <v>66</v>
      </c>
      <c r="F898" s="33">
        <v>100</v>
      </c>
      <c r="G898" s="3">
        <f t="shared" si="19"/>
        <v>25.4</v>
      </c>
    </row>
    <row r="899" spans="1:7" s="22" customFormat="1" ht="15.75" x14ac:dyDescent="0.25">
      <c r="A899" s="6">
        <v>43956</v>
      </c>
      <c r="B899" s="63"/>
      <c r="D899" s="63"/>
      <c r="E899" s="178" t="s">
        <v>66</v>
      </c>
      <c r="F899" s="33">
        <v>200</v>
      </c>
      <c r="G899" s="3">
        <f t="shared" si="19"/>
        <v>25.8</v>
      </c>
    </row>
    <row r="900" spans="1:7" s="22" customFormat="1" ht="15.75" x14ac:dyDescent="0.25">
      <c r="A900" s="6">
        <v>43956</v>
      </c>
      <c r="B900" s="63"/>
      <c r="D900" s="63"/>
      <c r="E900" s="178" t="s">
        <v>66</v>
      </c>
      <c r="F900" s="33">
        <v>100</v>
      </c>
      <c r="G900" s="3">
        <f t="shared" si="19"/>
        <v>25.4</v>
      </c>
    </row>
    <row r="901" spans="1:7" s="22" customFormat="1" ht="15.75" x14ac:dyDescent="0.25">
      <c r="A901" s="6">
        <v>43956</v>
      </c>
      <c r="B901" s="63"/>
      <c r="D901" s="63"/>
      <c r="E901" s="178" t="s">
        <v>66</v>
      </c>
      <c r="F901" s="33">
        <v>200</v>
      </c>
      <c r="G901" s="3">
        <f t="shared" si="19"/>
        <v>25.8</v>
      </c>
    </row>
    <row r="902" spans="1:7" s="22" customFormat="1" ht="15.75" x14ac:dyDescent="0.25">
      <c r="A902" s="6">
        <v>43956</v>
      </c>
      <c r="B902" s="63"/>
      <c r="D902" s="63"/>
      <c r="E902" s="178" t="s">
        <v>66</v>
      </c>
      <c r="F902" s="33">
        <v>100</v>
      </c>
      <c r="G902" s="3">
        <f t="shared" si="19"/>
        <v>25.4</v>
      </c>
    </row>
    <row r="903" spans="1:7" s="22" customFormat="1" ht="15.75" x14ac:dyDescent="0.25">
      <c r="A903" s="6">
        <v>43956</v>
      </c>
      <c r="B903" s="63"/>
      <c r="D903" s="63"/>
      <c r="E903" s="178" t="s">
        <v>66</v>
      </c>
      <c r="F903" s="33">
        <v>100</v>
      </c>
      <c r="G903" s="3">
        <f t="shared" si="19"/>
        <v>25.4</v>
      </c>
    </row>
    <row r="904" spans="1:7" s="22" customFormat="1" ht="15.75" x14ac:dyDescent="0.25">
      <c r="A904" s="6">
        <v>43956</v>
      </c>
      <c r="B904" s="63"/>
      <c r="D904" s="63"/>
      <c r="E904" s="178" t="s">
        <v>66</v>
      </c>
      <c r="F904" s="33">
        <v>100</v>
      </c>
      <c r="G904" s="3">
        <f t="shared" si="19"/>
        <v>25.4</v>
      </c>
    </row>
    <row r="905" spans="1:7" s="22" customFormat="1" ht="15.75" x14ac:dyDescent="0.25">
      <c r="A905" s="6">
        <v>43956</v>
      </c>
      <c r="B905" s="63"/>
      <c r="D905" s="63"/>
      <c r="E905" s="178" t="s">
        <v>66</v>
      </c>
      <c r="F905" s="33">
        <v>100</v>
      </c>
      <c r="G905" s="3">
        <f t="shared" si="19"/>
        <v>25.4</v>
      </c>
    </row>
    <row r="906" spans="1:7" s="22" customFormat="1" ht="15.75" x14ac:dyDescent="0.25">
      <c r="A906" s="6">
        <v>43957</v>
      </c>
      <c r="B906" s="63"/>
      <c r="D906" s="63"/>
      <c r="E906" s="178" t="s">
        <v>66</v>
      </c>
      <c r="F906" s="33">
        <v>200</v>
      </c>
      <c r="G906" s="3">
        <f t="shared" si="19"/>
        <v>25.8</v>
      </c>
    </row>
    <row r="907" spans="1:7" s="22" customFormat="1" ht="15.75" x14ac:dyDescent="0.25">
      <c r="A907" s="6">
        <v>43957</v>
      </c>
      <c r="B907" s="63"/>
      <c r="D907" s="63"/>
      <c r="E907" s="178" t="s">
        <v>66</v>
      </c>
      <c r="F907" s="33">
        <v>100</v>
      </c>
      <c r="G907" s="3">
        <f t="shared" si="19"/>
        <v>25.4</v>
      </c>
    </row>
    <row r="908" spans="1:7" s="22" customFormat="1" ht="15.75" x14ac:dyDescent="0.25">
      <c r="A908" s="6">
        <v>43957</v>
      </c>
      <c r="B908" s="63"/>
      <c r="D908" s="63"/>
      <c r="E908" s="178" t="s">
        <v>66</v>
      </c>
      <c r="F908" s="33">
        <v>100</v>
      </c>
      <c r="G908" s="3">
        <f t="shared" si="19"/>
        <v>25.4</v>
      </c>
    </row>
    <row r="909" spans="1:7" s="22" customFormat="1" ht="15.75" x14ac:dyDescent="0.25">
      <c r="A909" s="6">
        <v>43957</v>
      </c>
      <c r="B909" s="63"/>
      <c r="D909" s="63"/>
      <c r="E909" s="178" t="s">
        <v>66</v>
      </c>
      <c r="F909" s="33">
        <v>100</v>
      </c>
      <c r="G909" s="3">
        <f t="shared" si="19"/>
        <v>25.4</v>
      </c>
    </row>
    <row r="910" spans="1:7" s="22" customFormat="1" ht="15.75" x14ac:dyDescent="0.25">
      <c r="A910" s="6">
        <v>43957</v>
      </c>
      <c r="B910" s="63"/>
      <c r="D910" s="63"/>
      <c r="E910" s="178" t="s">
        <v>66</v>
      </c>
      <c r="F910" s="33">
        <v>200</v>
      </c>
      <c r="G910" s="3">
        <f t="shared" si="19"/>
        <v>25.8</v>
      </c>
    </row>
    <row r="911" spans="1:7" s="22" customFormat="1" ht="15.75" x14ac:dyDescent="0.25">
      <c r="A911" s="6">
        <v>43957</v>
      </c>
      <c r="B911" s="63"/>
      <c r="D911" s="63"/>
      <c r="E911" s="178" t="s">
        <v>66</v>
      </c>
      <c r="F911" s="33">
        <v>100</v>
      </c>
      <c r="G911" s="3">
        <f t="shared" si="19"/>
        <v>25.4</v>
      </c>
    </row>
    <row r="912" spans="1:7" s="22" customFormat="1" ht="15.75" x14ac:dyDescent="0.25">
      <c r="A912" s="6">
        <v>43957</v>
      </c>
      <c r="B912" s="63"/>
      <c r="D912" s="63"/>
      <c r="E912" s="178" t="s">
        <v>66</v>
      </c>
      <c r="F912" s="33">
        <v>100</v>
      </c>
      <c r="G912" s="3">
        <f t="shared" si="19"/>
        <v>25.4</v>
      </c>
    </row>
    <row r="913" spans="1:7" s="22" customFormat="1" ht="15.75" x14ac:dyDescent="0.25">
      <c r="A913" s="6">
        <v>43957</v>
      </c>
      <c r="B913" s="63"/>
      <c r="D913" s="63"/>
      <c r="E913" s="178" t="s">
        <v>66</v>
      </c>
      <c r="F913" s="33">
        <v>100</v>
      </c>
      <c r="G913" s="3">
        <f t="shared" si="19"/>
        <v>25.4</v>
      </c>
    </row>
    <row r="914" spans="1:7" s="22" customFormat="1" ht="15.75" x14ac:dyDescent="0.25">
      <c r="A914" s="6">
        <v>43957</v>
      </c>
      <c r="B914" s="63"/>
      <c r="D914" s="63"/>
      <c r="E914" s="178" t="s">
        <v>66</v>
      </c>
      <c r="F914" s="33">
        <v>100</v>
      </c>
      <c r="G914" s="3">
        <f t="shared" si="19"/>
        <v>25.4</v>
      </c>
    </row>
    <row r="915" spans="1:7" s="22" customFormat="1" ht="15.75" x14ac:dyDescent="0.25">
      <c r="A915" s="6">
        <v>43957</v>
      </c>
      <c r="B915" s="63"/>
      <c r="D915" s="63"/>
      <c r="E915" s="178" t="s">
        <v>66</v>
      </c>
      <c r="F915" s="33">
        <v>200</v>
      </c>
      <c r="G915" s="3">
        <f t="shared" si="19"/>
        <v>25.8</v>
      </c>
    </row>
    <row r="916" spans="1:7" s="22" customFormat="1" ht="15.75" x14ac:dyDescent="0.25">
      <c r="A916" s="6">
        <v>43957</v>
      </c>
      <c r="B916" s="63"/>
      <c r="D916" s="63"/>
      <c r="E916" s="178" t="s">
        <v>66</v>
      </c>
      <c r="F916" s="33">
        <v>100</v>
      </c>
      <c r="G916" s="3">
        <f t="shared" si="19"/>
        <v>25.4</v>
      </c>
    </row>
    <row r="917" spans="1:7" s="22" customFormat="1" ht="15.75" x14ac:dyDescent="0.25">
      <c r="A917" s="6">
        <v>43957</v>
      </c>
      <c r="B917" s="63"/>
      <c r="D917" s="63"/>
      <c r="E917" s="178" t="s">
        <v>66</v>
      </c>
      <c r="F917" s="33">
        <v>100</v>
      </c>
      <c r="G917" s="3">
        <f t="shared" si="19"/>
        <v>25.4</v>
      </c>
    </row>
    <row r="918" spans="1:7" s="22" customFormat="1" ht="15.75" x14ac:dyDescent="0.25">
      <c r="A918" s="6">
        <v>43957</v>
      </c>
      <c r="B918" s="63"/>
      <c r="D918" s="63"/>
      <c r="E918" s="178" t="s">
        <v>66</v>
      </c>
      <c r="F918" s="33">
        <v>100</v>
      </c>
      <c r="G918" s="3">
        <f t="shared" si="19"/>
        <v>25.4</v>
      </c>
    </row>
    <row r="919" spans="1:7" s="22" customFormat="1" ht="15.75" x14ac:dyDescent="0.25">
      <c r="A919" s="6">
        <v>43957</v>
      </c>
      <c r="B919" s="63"/>
      <c r="D919" s="63"/>
      <c r="E919" s="178" t="s">
        <v>66</v>
      </c>
      <c r="F919" s="33">
        <v>100</v>
      </c>
      <c r="G919" s="3">
        <f t="shared" si="19"/>
        <v>25.4</v>
      </c>
    </row>
    <row r="920" spans="1:7" s="22" customFormat="1" ht="15.75" x14ac:dyDescent="0.25">
      <c r="A920" s="6">
        <v>43957</v>
      </c>
      <c r="B920" s="63"/>
      <c r="D920" s="63"/>
      <c r="E920" s="178" t="s">
        <v>66</v>
      </c>
      <c r="F920" s="33">
        <v>100</v>
      </c>
      <c r="G920" s="3">
        <f t="shared" si="19"/>
        <v>25.4</v>
      </c>
    </row>
    <row r="921" spans="1:7" s="22" customFormat="1" ht="15.75" x14ac:dyDescent="0.25">
      <c r="A921" s="6">
        <v>43957</v>
      </c>
      <c r="B921" s="63"/>
      <c r="D921" s="63"/>
      <c r="E921" s="178" t="s">
        <v>66</v>
      </c>
      <c r="F921" s="33">
        <v>200</v>
      </c>
      <c r="G921" s="3">
        <f t="shared" si="19"/>
        <v>25.8</v>
      </c>
    </row>
    <row r="922" spans="1:7" s="22" customFormat="1" ht="15.75" x14ac:dyDescent="0.25">
      <c r="A922" s="6">
        <v>43957</v>
      </c>
      <c r="B922" s="63"/>
      <c r="D922" s="63"/>
      <c r="E922" s="178" t="s">
        <v>66</v>
      </c>
      <c r="F922" s="33">
        <v>100</v>
      </c>
      <c r="G922" s="3">
        <f t="shared" si="19"/>
        <v>25.4</v>
      </c>
    </row>
    <row r="923" spans="1:7" s="22" customFormat="1" ht="15.75" x14ac:dyDescent="0.25">
      <c r="A923" s="6">
        <v>43957</v>
      </c>
      <c r="B923" s="63"/>
      <c r="D923" s="63"/>
      <c r="E923" s="178" t="s">
        <v>66</v>
      </c>
      <c r="F923" s="33">
        <v>100</v>
      </c>
      <c r="G923" s="3">
        <f t="shared" si="19"/>
        <v>25.4</v>
      </c>
    </row>
    <row r="924" spans="1:7" s="22" customFormat="1" ht="15.75" x14ac:dyDescent="0.25">
      <c r="A924" s="6">
        <v>43957</v>
      </c>
      <c r="B924" s="63"/>
      <c r="D924" s="63"/>
      <c r="E924" s="178" t="s">
        <v>66</v>
      </c>
      <c r="F924" s="33">
        <v>100</v>
      </c>
      <c r="G924" s="3">
        <f t="shared" si="19"/>
        <v>25.4</v>
      </c>
    </row>
    <row r="925" spans="1:7" s="22" customFormat="1" ht="15.75" x14ac:dyDescent="0.25">
      <c r="A925" s="6">
        <v>43957</v>
      </c>
      <c r="B925" s="63"/>
      <c r="D925" s="63"/>
      <c r="E925" s="178" t="s">
        <v>66</v>
      </c>
      <c r="F925" s="33">
        <v>100</v>
      </c>
      <c r="G925" s="3">
        <f t="shared" si="19"/>
        <v>25.4</v>
      </c>
    </row>
    <row r="926" spans="1:7" s="22" customFormat="1" ht="15.75" x14ac:dyDescent="0.25">
      <c r="A926" s="6">
        <v>43957</v>
      </c>
      <c r="B926" s="63"/>
      <c r="D926" s="63"/>
      <c r="E926" s="178" t="s">
        <v>66</v>
      </c>
      <c r="F926" s="33">
        <v>100</v>
      </c>
      <c r="G926" s="3">
        <f t="shared" si="19"/>
        <v>25.4</v>
      </c>
    </row>
    <row r="927" spans="1:7" s="22" customFormat="1" ht="15.75" x14ac:dyDescent="0.25">
      <c r="A927" s="6">
        <v>43957</v>
      </c>
      <c r="B927" s="63"/>
      <c r="D927" s="63"/>
      <c r="E927" s="178" t="s">
        <v>66</v>
      </c>
      <c r="F927" s="33">
        <v>100</v>
      </c>
      <c r="G927" s="3">
        <f t="shared" si="19"/>
        <v>25.4</v>
      </c>
    </row>
    <row r="928" spans="1:7" s="22" customFormat="1" ht="15.75" x14ac:dyDescent="0.25">
      <c r="A928" s="6">
        <v>43957</v>
      </c>
      <c r="B928" s="63"/>
      <c r="D928" s="63"/>
      <c r="E928" s="178" t="s">
        <v>66</v>
      </c>
      <c r="F928" s="33">
        <v>100</v>
      </c>
      <c r="G928" s="3">
        <f t="shared" si="19"/>
        <v>25.4</v>
      </c>
    </row>
    <row r="929" spans="1:7" s="22" customFormat="1" ht="15.75" x14ac:dyDescent="0.25">
      <c r="A929" s="6">
        <v>43957</v>
      </c>
      <c r="B929" s="63"/>
      <c r="D929" s="63"/>
      <c r="E929" s="178" t="s">
        <v>66</v>
      </c>
      <c r="F929" s="33">
        <v>100</v>
      </c>
      <c r="G929" s="3">
        <f t="shared" si="19"/>
        <v>25.4</v>
      </c>
    </row>
    <row r="930" spans="1:7" s="22" customFormat="1" ht="15.75" x14ac:dyDescent="0.25">
      <c r="A930" s="6">
        <v>43957</v>
      </c>
      <c r="B930" s="63"/>
      <c r="D930" s="63"/>
      <c r="E930" s="178" t="s">
        <v>66</v>
      </c>
      <c r="F930" s="33">
        <v>100</v>
      </c>
      <c r="G930" s="3">
        <f t="shared" si="19"/>
        <v>25.4</v>
      </c>
    </row>
    <row r="931" spans="1:7" s="22" customFormat="1" ht="15.75" x14ac:dyDescent="0.25">
      <c r="A931" s="6">
        <v>43957</v>
      </c>
      <c r="B931" s="63"/>
      <c r="D931" s="63"/>
      <c r="E931" s="178" t="s">
        <v>66</v>
      </c>
      <c r="F931" s="33">
        <v>100</v>
      </c>
      <c r="G931" s="3">
        <f t="shared" si="19"/>
        <v>25.4</v>
      </c>
    </row>
    <row r="932" spans="1:7" s="22" customFormat="1" ht="15.75" x14ac:dyDescent="0.25">
      <c r="A932" s="6">
        <v>43957</v>
      </c>
      <c r="B932" s="63"/>
      <c r="D932" s="63"/>
      <c r="E932" s="178" t="s">
        <v>66</v>
      </c>
      <c r="F932" s="33">
        <v>100</v>
      </c>
      <c r="G932" s="3">
        <f t="shared" ref="G932:G1011" si="20">IF(E932="y",25,IF(OR(E932="N", E932="RD",E932="I"),10,0))+IF(F932&gt;5000,20,F932*0.4%)+IF(E932="PMSBY",1,IF(E932="PMJJBY",30,0))</f>
        <v>25.4</v>
      </c>
    </row>
    <row r="933" spans="1:7" s="22" customFormat="1" ht="15.75" x14ac:dyDescent="0.25">
      <c r="A933" s="6">
        <v>43957</v>
      </c>
      <c r="B933" s="63"/>
      <c r="D933" s="63"/>
      <c r="E933" s="178" t="s">
        <v>66</v>
      </c>
      <c r="F933" s="33">
        <v>100</v>
      </c>
      <c r="G933" s="3">
        <f t="shared" si="20"/>
        <v>25.4</v>
      </c>
    </row>
    <row r="934" spans="1:7" s="22" customFormat="1" ht="15.75" x14ac:dyDescent="0.25">
      <c r="A934" s="6">
        <v>43957</v>
      </c>
      <c r="B934" s="63"/>
      <c r="D934" s="63"/>
      <c r="E934" s="178" t="s">
        <v>66</v>
      </c>
      <c r="F934" s="33">
        <v>100</v>
      </c>
      <c r="G934" s="3">
        <f t="shared" si="20"/>
        <v>25.4</v>
      </c>
    </row>
    <row r="935" spans="1:7" s="22" customFormat="1" ht="15.75" x14ac:dyDescent="0.25">
      <c r="A935" s="6">
        <v>43957</v>
      </c>
      <c r="B935" s="63"/>
      <c r="D935" s="63"/>
      <c r="E935" s="178" t="s">
        <v>66</v>
      </c>
      <c r="F935" s="33">
        <v>100</v>
      </c>
      <c r="G935" s="3">
        <f t="shared" si="20"/>
        <v>25.4</v>
      </c>
    </row>
    <row r="936" spans="1:7" s="22" customFormat="1" ht="15.75" x14ac:dyDescent="0.25">
      <c r="A936" s="6">
        <v>43957</v>
      </c>
      <c r="B936" s="63"/>
      <c r="D936" s="63"/>
      <c r="E936" s="178" t="s">
        <v>66</v>
      </c>
      <c r="F936" s="33">
        <v>100</v>
      </c>
      <c r="G936" s="3">
        <f t="shared" si="20"/>
        <v>25.4</v>
      </c>
    </row>
    <row r="937" spans="1:7" s="22" customFormat="1" ht="15.75" x14ac:dyDescent="0.25">
      <c r="A937" s="6">
        <v>43957</v>
      </c>
      <c r="B937" s="63"/>
      <c r="D937" s="63"/>
      <c r="E937" s="178" t="s">
        <v>66</v>
      </c>
      <c r="F937" s="33">
        <v>100</v>
      </c>
      <c r="G937" s="3">
        <f t="shared" si="20"/>
        <v>25.4</v>
      </c>
    </row>
    <row r="938" spans="1:7" s="22" customFormat="1" ht="15.75" x14ac:dyDescent="0.25">
      <c r="A938" s="6">
        <v>43957</v>
      </c>
      <c r="B938" s="63"/>
      <c r="D938" s="63"/>
      <c r="E938" s="178" t="s">
        <v>66</v>
      </c>
      <c r="F938" s="33">
        <v>100</v>
      </c>
      <c r="G938" s="3">
        <f t="shared" si="20"/>
        <v>25.4</v>
      </c>
    </row>
    <row r="939" spans="1:7" s="22" customFormat="1" ht="15.75" x14ac:dyDescent="0.25">
      <c r="A939" s="6">
        <v>43957</v>
      </c>
      <c r="B939" s="63"/>
      <c r="D939" s="63"/>
      <c r="E939" s="178" t="s">
        <v>66</v>
      </c>
      <c r="F939" s="33">
        <v>100</v>
      </c>
      <c r="G939" s="3">
        <f t="shared" si="20"/>
        <v>25.4</v>
      </c>
    </row>
    <row r="940" spans="1:7" s="22" customFormat="1" ht="15.75" x14ac:dyDescent="0.25">
      <c r="A940" s="6">
        <v>43957</v>
      </c>
      <c r="B940" s="63"/>
      <c r="D940" s="63"/>
      <c r="E940" s="178" t="s">
        <v>66</v>
      </c>
      <c r="F940" s="33">
        <v>100</v>
      </c>
      <c r="G940" s="3">
        <f t="shared" si="20"/>
        <v>25.4</v>
      </c>
    </row>
    <row r="941" spans="1:7" s="22" customFormat="1" ht="15.75" x14ac:dyDescent="0.25">
      <c r="A941" s="6">
        <v>43957</v>
      </c>
      <c r="B941" s="63"/>
      <c r="D941" s="63"/>
      <c r="E941" s="178" t="s">
        <v>66</v>
      </c>
      <c r="F941" s="33">
        <v>100</v>
      </c>
      <c r="G941" s="3">
        <f t="shared" si="20"/>
        <v>25.4</v>
      </c>
    </row>
    <row r="942" spans="1:7" s="22" customFormat="1" ht="15.75" x14ac:dyDescent="0.25">
      <c r="A942" s="6">
        <v>43957</v>
      </c>
      <c r="B942" s="63"/>
      <c r="D942" s="63"/>
      <c r="E942" s="178" t="s">
        <v>66</v>
      </c>
      <c r="F942" s="33">
        <v>100</v>
      </c>
      <c r="G942" s="3">
        <f t="shared" si="20"/>
        <v>25.4</v>
      </c>
    </row>
    <row r="943" spans="1:7" s="22" customFormat="1" ht="15.75" x14ac:dyDescent="0.25">
      <c r="A943" s="6">
        <v>43957</v>
      </c>
      <c r="B943" s="63"/>
      <c r="D943" s="63"/>
      <c r="E943" s="178" t="s">
        <v>66</v>
      </c>
      <c r="F943" s="33">
        <v>500</v>
      </c>
      <c r="G943" s="3">
        <f t="shared" si="20"/>
        <v>27</v>
      </c>
    </row>
    <row r="944" spans="1:7" s="22" customFormat="1" ht="15.75" x14ac:dyDescent="0.25">
      <c r="A944" s="6">
        <v>43957</v>
      </c>
      <c r="B944" s="63"/>
      <c r="D944" s="63"/>
      <c r="E944" s="178" t="s">
        <v>66</v>
      </c>
      <c r="F944" s="33">
        <v>100</v>
      </c>
      <c r="G944" s="3">
        <f t="shared" si="20"/>
        <v>25.4</v>
      </c>
    </row>
    <row r="945" spans="1:7" s="22" customFormat="1" ht="15.75" x14ac:dyDescent="0.25">
      <c r="A945" s="6">
        <v>43957</v>
      </c>
      <c r="B945" s="63"/>
      <c r="D945" s="63"/>
      <c r="E945" s="178" t="s">
        <v>66</v>
      </c>
      <c r="F945" s="33">
        <v>100</v>
      </c>
      <c r="G945" s="3">
        <f t="shared" si="20"/>
        <v>25.4</v>
      </c>
    </row>
    <row r="946" spans="1:7" s="22" customFormat="1" ht="15.75" x14ac:dyDescent="0.25">
      <c r="A946" s="6">
        <v>43957</v>
      </c>
      <c r="B946" s="63"/>
      <c r="D946" s="63"/>
      <c r="E946" s="178" t="s">
        <v>66</v>
      </c>
      <c r="F946" s="33">
        <v>100</v>
      </c>
      <c r="G946" s="3">
        <f t="shared" si="20"/>
        <v>25.4</v>
      </c>
    </row>
    <row r="947" spans="1:7" s="22" customFormat="1" ht="15.75" x14ac:dyDescent="0.25">
      <c r="A947" s="6">
        <v>43957</v>
      </c>
      <c r="B947" s="63"/>
      <c r="D947" s="63"/>
      <c r="E947" s="178" t="s">
        <v>66</v>
      </c>
      <c r="F947" s="33">
        <v>100</v>
      </c>
      <c r="G947" s="3">
        <f t="shared" si="20"/>
        <v>25.4</v>
      </c>
    </row>
    <row r="948" spans="1:7" s="22" customFormat="1" ht="15.75" x14ac:dyDescent="0.25">
      <c r="A948" s="6">
        <v>43957</v>
      </c>
      <c r="B948" s="63"/>
      <c r="D948" s="63"/>
      <c r="E948" s="178" t="s">
        <v>66</v>
      </c>
      <c r="F948" s="33">
        <v>100</v>
      </c>
      <c r="G948" s="3">
        <f t="shared" si="20"/>
        <v>25.4</v>
      </c>
    </row>
    <row r="949" spans="1:7" s="22" customFormat="1" ht="15.75" x14ac:dyDescent="0.25">
      <c r="A949" s="6">
        <v>43957</v>
      </c>
      <c r="B949" s="63"/>
      <c r="D949" s="63"/>
      <c r="E949" s="178" t="s">
        <v>66</v>
      </c>
      <c r="F949" s="33">
        <v>100</v>
      </c>
      <c r="G949" s="3">
        <f t="shared" si="20"/>
        <v>25.4</v>
      </c>
    </row>
    <row r="950" spans="1:7" s="22" customFormat="1" ht="15.75" x14ac:dyDescent="0.25">
      <c r="A950" s="6">
        <v>43957</v>
      </c>
      <c r="B950" s="63"/>
      <c r="D950" s="63"/>
      <c r="E950" s="178" t="s">
        <v>66</v>
      </c>
      <c r="F950" s="33">
        <v>100</v>
      </c>
      <c r="G950" s="3">
        <f t="shared" si="20"/>
        <v>25.4</v>
      </c>
    </row>
    <row r="951" spans="1:7" s="22" customFormat="1" ht="15.75" x14ac:dyDescent="0.25">
      <c r="A951" s="6">
        <v>43957</v>
      </c>
      <c r="B951" s="63"/>
      <c r="D951" s="63"/>
      <c r="E951" s="178" t="s">
        <v>66</v>
      </c>
      <c r="F951" s="33">
        <v>100</v>
      </c>
      <c r="G951" s="3">
        <f t="shared" si="20"/>
        <v>25.4</v>
      </c>
    </row>
    <row r="952" spans="1:7" s="22" customFormat="1" ht="15.75" x14ac:dyDescent="0.25">
      <c r="A952" s="6">
        <v>43957</v>
      </c>
      <c r="B952" s="63"/>
      <c r="D952" s="63"/>
      <c r="E952" s="178" t="s">
        <v>66</v>
      </c>
      <c r="F952" s="33">
        <v>100</v>
      </c>
      <c r="G952" s="3">
        <f t="shared" si="20"/>
        <v>25.4</v>
      </c>
    </row>
    <row r="953" spans="1:7" s="22" customFormat="1" ht="15.75" x14ac:dyDescent="0.25">
      <c r="A953" s="6">
        <v>43957</v>
      </c>
      <c r="B953" s="63"/>
      <c r="D953" s="63"/>
      <c r="E953" s="178" t="s">
        <v>66</v>
      </c>
      <c r="F953" s="33">
        <v>100</v>
      </c>
      <c r="G953" s="3">
        <f t="shared" si="20"/>
        <v>25.4</v>
      </c>
    </row>
    <row r="954" spans="1:7" s="22" customFormat="1" ht="15.75" x14ac:dyDescent="0.25">
      <c r="A954" s="6">
        <v>43957</v>
      </c>
      <c r="B954" s="63"/>
      <c r="D954" s="63"/>
      <c r="E954" s="178" t="s">
        <v>66</v>
      </c>
      <c r="F954" s="33">
        <v>100</v>
      </c>
      <c r="G954" s="3">
        <f t="shared" si="20"/>
        <v>25.4</v>
      </c>
    </row>
    <row r="955" spans="1:7" s="22" customFormat="1" ht="15.75" x14ac:dyDescent="0.25">
      <c r="A955" s="6">
        <v>43957</v>
      </c>
      <c r="B955" s="63"/>
      <c r="D955" s="63"/>
      <c r="E955" s="178" t="s">
        <v>66</v>
      </c>
      <c r="F955" s="33">
        <v>200</v>
      </c>
      <c r="G955" s="3">
        <f t="shared" si="20"/>
        <v>25.8</v>
      </c>
    </row>
    <row r="956" spans="1:7" s="22" customFormat="1" ht="15.75" x14ac:dyDescent="0.25">
      <c r="A956" s="6">
        <v>43957</v>
      </c>
      <c r="B956" s="63"/>
      <c r="D956" s="63"/>
      <c r="E956" s="178" t="s">
        <v>66</v>
      </c>
      <c r="F956" s="33">
        <v>200</v>
      </c>
      <c r="G956" s="3">
        <f t="shared" si="20"/>
        <v>25.8</v>
      </c>
    </row>
    <row r="957" spans="1:7" s="22" customFormat="1" ht="15.75" x14ac:dyDescent="0.25">
      <c r="A957" s="6">
        <v>43957</v>
      </c>
      <c r="B957" s="63"/>
      <c r="D957" s="63"/>
      <c r="E957" s="178" t="s">
        <v>66</v>
      </c>
      <c r="F957" s="33">
        <v>100</v>
      </c>
      <c r="G957" s="3">
        <f t="shared" si="20"/>
        <v>25.4</v>
      </c>
    </row>
    <row r="958" spans="1:7" s="22" customFormat="1" ht="15.75" x14ac:dyDescent="0.25">
      <c r="A958" s="6">
        <v>43957</v>
      </c>
      <c r="B958" s="63"/>
      <c r="D958" s="63"/>
      <c r="E958" s="178" t="s">
        <v>66</v>
      </c>
      <c r="F958" s="33">
        <v>100</v>
      </c>
      <c r="G958" s="3">
        <f t="shared" si="20"/>
        <v>25.4</v>
      </c>
    </row>
    <row r="959" spans="1:7" s="22" customFormat="1" ht="15.75" x14ac:dyDescent="0.25">
      <c r="A959" s="6">
        <v>43957</v>
      </c>
      <c r="B959" s="63"/>
      <c r="D959" s="63"/>
      <c r="E959" s="178" t="s">
        <v>66</v>
      </c>
      <c r="F959" s="33">
        <v>100</v>
      </c>
      <c r="G959" s="3">
        <f t="shared" si="20"/>
        <v>25.4</v>
      </c>
    </row>
    <row r="960" spans="1:7" s="22" customFormat="1" ht="15.75" x14ac:dyDescent="0.25">
      <c r="A960" s="6">
        <v>43957</v>
      </c>
      <c r="B960" s="63"/>
      <c r="D960" s="63"/>
      <c r="E960" s="178" t="s">
        <v>66</v>
      </c>
      <c r="F960" s="33">
        <v>100</v>
      </c>
      <c r="G960" s="3">
        <f t="shared" si="20"/>
        <v>25.4</v>
      </c>
    </row>
    <row r="961" spans="1:7" s="22" customFormat="1" ht="15.75" x14ac:dyDescent="0.25">
      <c r="A961" s="6">
        <v>43957</v>
      </c>
      <c r="B961" s="63"/>
      <c r="D961" s="63"/>
      <c r="E961" s="178" t="s">
        <v>66</v>
      </c>
      <c r="F961" s="33">
        <v>100</v>
      </c>
      <c r="G961" s="3">
        <f t="shared" si="20"/>
        <v>25.4</v>
      </c>
    </row>
    <row r="962" spans="1:7" s="22" customFormat="1" ht="15.75" x14ac:dyDescent="0.25">
      <c r="A962" s="6">
        <v>43957</v>
      </c>
      <c r="B962" s="63"/>
      <c r="D962" s="63"/>
      <c r="E962" s="178" t="s">
        <v>66</v>
      </c>
      <c r="F962" s="33">
        <v>100</v>
      </c>
      <c r="G962" s="3">
        <f t="shared" si="20"/>
        <v>25.4</v>
      </c>
    </row>
    <row r="963" spans="1:7" s="22" customFormat="1" ht="15.75" x14ac:dyDescent="0.25">
      <c r="A963" s="6">
        <v>43957</v>
      </c>
      <c r="B963" s="63"/>
      <c r="D963" s="63"/>
      <c r="E963" s="178" t="s">
        <v>66</v>
      </c>
      <c r="F963" s="33">
        <v>200</v>
      </c>
      <c r="G963" s="3">
        <f t="shared" si="20"/>
        <v>25.8</v>
      </c>
    </row>
    <row r="964" spans="1:7" s="22" customFormat="1" ht="15.75" x14ac:dyDescent="0.25">
      <c r="A964" s="6">
        <v>43957</v>
      </c>
      <c r="B964" s="63"/>
      <c r="D964" s="63"/>
      <c r="E964" s="178" t="s">
        <v>66</v>
      </c>
      <c r="F964" s="33">
        <v>100</v>
      </c>
      <c r="G964" s="3">
        <f t="shared" si="20"/>
        <v>25.4</v>
      </c>
    </row>
    <row r="965" spans="1:7" s="22" customFormat="1" ht="15.75" x14ac:dyDescent="0.25">
      <c r="A965" s="6">
        <v>43957</v>
      </c>
      <c r="B965" s="63"/>
      <c r="D965" s="63"/>
      <c r="E965" s="178" t="s">
        <v>66</v>
      </c>
      <c r="F965" s="33">
        <v>100</v>
      </c>
      <c r="G965" s="3">
        <f t="shared" si="20"/>
        <v>25.4</v>
      </c>
    </row>
    <row r="966" spans="1:7" s="22" customFormat="1" ht="15.75" x14ac:dyDescent="0.25">
      <c r="A966" s="6">
        <v>43957</v>
      </c>
      <c r="B966" s="63"/>
      <c r="D966" s="63"/>
      <c r="E966" s="178" t="s">
        <v>66</v>
      </c>
      <c r="F966" s="33">
        <v>100</v>
      </c>
      <c r="G966" s="3">
        <f t="shared" si="20"/>
        <v>25.4</v>
      </c>
    </row>
    <row r="967" spans="1:7" s="22" customFormat="1" ht="15.75" x14ac:dyDescent="0.25">
      <c r="A967" s="6">
        <v>43957</v>
      </c>
      <c r="B967" s="63"/>
      <c r="D967" s="63"/>
      <c r="E967" s="178" t="s">
        <v>66</v>
      </c>
      <c r="F967" s="33">
        <v>100</v>
      </c>
      <c r="G967" s="3">
        <f t="shared" si="20"/>
        <v>25.4</v>
      </c>
    </row>
    <row r="968" spans="1:7" s="22" customFormat="1" ht="15.75" x14ac:dyDescent="0.25">
      <c r="A968" s="6">
        <v>43957</v>
      </c>
      <c r="B968" s="63"/>
      <c r="D968" s="63"/>
      <c r="E968" s="178" t="s">
        <v>66</v>
      </c>
      <c r="F968" s="33">
        <v>100</v>
      </c>
      <c r="G968" s="3">
        <f t="shared" si="20"/>
        <v>25.4</v>
      </c>
    </row>
    <row r="969" spans="1:7" s="22" customFormat="1" x14ac:dyDescent="0.25">
      <c r="A969" s="6">
        <v>43958</v>
      </c>
      <c r="B969" s="63"/>
      <c r="D969" s="63"/>
      <c r="E969" s="178" t="s">
        <v>66</v>
      </c>
      <c r="F969" s="2">
        <v>100</v>
      </c>
      <c r="G969" s="3">
        <f t="shared" si="20"/>
        <v>25.4</v>
      </c>
    </row>
    <row r="970" spans="1:7" s="22" customFormat="1" x14ac:dyDescent="0.25">
      <c r="A970" s="6">
        <v>43958</v>
      </c>
      <c r="B970" s="63"/>
      <c r="D970" s="63"/>
      <c r="E970" s="178" t="s">
        <v>66</v>
      </c>
      <c r="F970" s="2">
        <v>100</v>
      </c>
      <c r="G970" s="3">
        <f t="shared" si="20"/>
        <v>25.4</v>
      </c>
    </row>
    <row r="971" spans="1:7" s="22" customFormat="1" ht="15.75" x14ac:dyDescent="0.25">
      <c r="A971" s="6">
        <v>43958</v>
      </c>
      <c r="B971" s="63"/>
      <c r="D971" s="63"/>
      <c r="E971" s="178" t="s">
        <v>66</v>
      </c>
      <c r="F971" s="33">
        <v>100</v>
      </c>
      <c r="G971" s="3">
        <f t="shared" si="20"/>
        <v>25.4</v>
      </c>
    </row>
    <row r="972" spans="1:7" s="22" customFormat="1" ht="15.75" x14ac:dyDescent="0.25">
      <c r="A972" s="6">
        <v>43958</v>
      </c>
      <c r="B972" s="63"/>
      <c r="D972" s="63"/>
      <c r="E972" s="178" t="s">
        <v>66</v>
      </c>
      <c r="F972" s="33">
        <v>200</v>
      </c>
      <c r="G972" s="3">
        <f t="shared" si="20"/>
        <v>25.8</v>
      </c>
    </row>
    <row r="973" spans="1:7" s="22" customFormat="1" ht="15.75" x14ac:dyDescent="0.25">
      <c r="A973" s="6">
        <v>43958</v>
      </c>
      <c r="B973" s="63"/>
      <c r="D973" s="63"/>
      <c r="E973" s="178" t="s">
        <v>66</v>
      </c>
      <c r="F973" s="33">
        <v>200</v>
      </c>
      <c r="G973" s="3">
        <f t="shared" si="20"/>
        <v>25.8</v>
      </c>
    </row>
    <row r="974" spans="1:7" s="22" customFormat="1" ht="15.75" x14ac:dyDescent="0.25">
      <c r="A974" s="6">
        <v>43958</v>
      </c>
      <c r="B974" s="63"/>
      <c r="D974" s="63"/>
      <c r="E974" s="178" t="s">
        <v>66</v>
      </c>
      <c r="F974" s="33">
        <v>100</v>
      </c>
      <c r="G974" s="3">
        <f t="shared" si="20"/>
        <v>25.4</v>
      </c>
    </row>
    <row r="975" spans="1:7" s="22" customFormat="1" ht="15.75" x14ac:dyDescent="0.25">
      <c r="A975" s="6">
        <v>43958</v>
      </c>
      <c r="B975" s="63"/>
      <c r="D975" s="63"/>
      <c r="E975" s="178" t="s">
        <v>66</v>
      </c>
      <c r="F975" s="33">
        <v>200</v>
      </c>
      <c r="G975" s="3">
        <f t="shared" si="20"/>
        <v>25.8</v>
      </c>
    </row>
    <row r="976" spans="1:7" s="22" customFormat="1" ht="15.75" x14ac:dyDescent="0.25">
      <c r="A976" s="6">
        <v>43958</v>
      </c>
      <c r="B976" s="63"/>
      <c r="D976" s="63"/>
      <c r="E976" s="178" t="s">
        <v>66</v>
      </c>
      <c r="F976" s="33">
        <v>500</v>
      </c>
      <c r="G976" s="3">
        <f t="shared" si="20"/>
        <v>27</v>
      </c>
    </row>
    <row r="977" spans="1:7" s="22" customFormat="1" ht="15.75" x14ac:dyDescent="0.25">
      <c r="A977" s="6">
        <v>43958</v>
      </c>
      <c r="B977" s="63"/>
      <c r="D977" s="63"/>
      <c r="E977" s="178" t="s">
        <v>66</v>
      </c>
      <c r="F977" s="33">
        <v>100</v>
      </c>
      <c r="G977" s="3">
        <f t="shared" si="20"/>
        <v>25.4</v>
      </c>
    </row>
    <row r="978" spans="1:7" s="22" customFormat="1" ht="15.75" x14ac:dyDescent="0.25">
      <c r="A978" s="6">
        <v>43958</v>
      </c>
      <c r="B978" s="63"/>
      <c r="D978" s="63"/>
      <c r="E978" s="178" t="s">
        <v>66</v>
      </c>
      <c r="F978" s="33">
        <v>200</v>
      </c>
      <c r="G978" s="3">
        <f t="shared" si="20"/>
        <v>25.8</v>
      </c>
    </row>
    <row r="979" spans="1:7" s="22" customFormat="1" ht="15.75" x14ac:dyDescent="0.25">
      <c r="A979" s="6">
        <v>43958</v>
      </c>
      <c r="B979" s="63"/>
      <c r="D979" s="63"/>
      <c r="E979" s="178" t="s">
        <v>66</v>
      </c>
      <c r="F979" s="33">
        <v>100</v>
      </c>
      <c r="G979" s="3">
        <f t="shared" si="20"/>
        <v>25.4</v>
      </c>
    </row>
    <row r="980" spans="1:7" s="22" customFormat="1" ht="15.75" x14ac:dyDescent="0.25">
      <c r="A980" s="6">
        <v>43958</v>
      </c>
      <c r="B980" s="63"/>
      <c r="D980" s="63"/>
      <c r="E980" s="178" t="s">
        <v>66</v>
      </c>
      <c r="F980" s="33">
        <v>200</v>
      </c>
      <c r="G980" s="3">
        <f t="shared" si="20"/>
        <v>25.8</v>
      </c>
    </row>
    <row r="981" spans="1:7" s="22" customFormat="1" ht="15.75" x14ac:dyDescent="0.25">
      <c r="A981" s="6">
        <v>43958</v>
      </c>
      <c r="B981" s="63"/>
      <c r="D981" s="63"/>
      <c r="E981" s="178" t="s">
        <v>66</v>
      </c>
      <c r="F981" s="33">
        <v>100</v>
      </c>
      <c r="G981" s="3">
        <f t="shared" si="20"/>
        <v>25.4</v>
      </c>
    </row>
    <row r="982" spans="1:7" s="22" customFormat="1" ht="15.75" x14ac:dyDescent="0.25">
      <c r="A982" s="6">
        <v>43958</v>
      </c>
      <c r="B982" s="63"/>
      <c r="D982" s="63"/>
      <c r="E982" s="178" t="s">
        <v>66</v>
      </c>
      <c r="F982" s="33">
        <v>100</v>
      </c>
      <c r="G982" s="3">
        <f t="shared" si="20"/>
        <v>25.4</v>
      </c>
    </row>
    <row r="983" spans="1:7" s="22" customFormat="1" ht="15.75" x14ac:dyDescent="0.25">
      <c r="A983" s="6">
        <v>43958</v>
      </c>
      <c r="B983" s="63"/>
      <c r="D983" s="63"/>
      <c r="E983" s="178" t="s">
        <v>66</v>
      </c>
      <c r="F983" s="33">
        <v>100</v>
      </c>
      <c r="G983" s="3">
        <f t="shared" si="20"/>
        <v>25.4</v>
      </c>
    </row>
    <row r="984" spans="1:7" s="22" customFormat="1" ht="15.75" x14ac:dyDescent="0.25">
      <c r="A984" s="6">
        <v>43958</v>
      </c>
      <c r="B984" s="63"/>
      <c r="D984" s="63"/>
      <c r="E984" s="178" t="s">
        <v>66</v>
      </c>
      <c r="F984" s="33">
        <v>100</v>
      </c>
      <c r="G984" s="3">
        <f t="shared" si="20"/>
        <v>25.4</v>
      </c>
    </row>
    <row r="985" spans="1:7" s="22" customFormat="1" ht="15.75" x14ac:dyDescent="0.25">
      <c r="A985" s="6">
        <v>43958</v>
      </c>
      <c r="B985" s="63"/>
      <c r="D985" s="63"/>
      <c r="E985" s="178" t="s">
        <v>66</v>
      </c>
      <c r="F985" s="33">
        <v>200</v>
      </c>
      <c r="G985" s="3">
        <f t="shared" si="20"/>
        <v>25.8</v>
      </c>
    </row>
    <row r="986" spans="1:7" s="22" customFormat="1" ht="15.75" x14ac:dyDescent="0.25">
      <c r="A986" s="6">
        <v>43958</v>
      </c>
      <c r="B986" s="63"/>
      <c r="D986" s="63"/>
      <c r="E986" s="178" t="s">
        <v>66</v>
      </c>
      <c r="F986" s="33">
        <v>200</v>
      </c>
      <c r="G986" s="3">
        <f t="shared" si="20"/>
        <v>25.8</v>
      </c>
    </row>
    <row r="987" spans="1:7" s="22" customFormat="1" ht="15.75" x14ac:dyDescent="0.25">
      <c r="A987" s="6">
        <v>43958</v>
      </c>
      <c r="B987" s="63"/>
      <c r="D987" s="63"/>
      <c r="E987" s="178" t="s">
        <v>66</v>
      </c>
      <c r="F987" s="33">
        <v>200</v>
      </c>
      <c r="G987" s="3">
        <f t="shared" si="20"/>
        <v>25.8</v>
      </c>
    </row>
    <row r="988" spans="1:7" s="22" customFormat="1" ht="15.75" x14ac:dyDescent="0.25">
      <c r="A988" s="6">
        <v>43958</v>
      </c>
      <c r="B988" s="63"/>
      <c r="D988" s="63"/>
      <c r="E988" s="178" t="s">
        <v>66</v>
      </c>
      <c r="F988" s="33">
        <v>500</v>
      </c>
      <c r="G988" s="3">
        <f t="shared" si="20"/>
        <v>27</v>
      </c>
    </row>
    <row r="989" spans="1:7" s="22" customFormat="1" ht="15.75" x14ac:dyDescent="0.25">
      <c r="A989" s="6">
        <v>43958</v>
      </c>
      <c r="B989" s="63"/>
      <c r="D989" s="63"/>
      <c r="E989" s="178" t="s">
        <v>66</v>
      </c>
      <c r="F989" s="33">
        <v>100</v>
      </c>
      <c r="G989" s="3">
        <f t="shared" si="20"/>
        <v>25.4</v>
      </c>
    </row>
    <row r="990" spans="1:7" s="22" customFormat="1" ht="15.75" x14ac:dyDescent="0.25">
      <c r="A990" s="6">
        <v>43958</v>
      </c>
      <c r="B990" s="63"/>
      <c r="D990" s="63"/>
      <c r="E990" s="178" t="s">
        <v>66</v>
      </c>
      <c r="F990" s="33">
        <v>100</v>
      </c>
      <c r="G990" s="3">
        <f t="shared" si="20"/>
        <v>25.4</v>
      </c>
    </row>
    <row r="991" spans="1:7" s="22" customFormat="1" ht="15.75" x14ac:dyDescent="0.25">
      <c r="A991" s="6">
        <v>43959</v>
      </c>
      <c r="B991" s="63"/>
      <c r="D991" s="63"/>
      <c r="E991" s="178" t="s">
        <v>66</v>
      </c>
      <c r="F991" s="33">
        <v>100</v>
      </c>
      <c r="G991" s="3">
        <f t="shared" si="20"/>
        <v>25.4</v>
      </c>
    </row>
    <row r="992" spans="1:7" s="22" customFormat="1" x14ac:dyDescent="0.25">
      <c r="A992" s="6">
        <v>43959</v>
      </c>
      <c r="B992" s="63"/>
      <c r="D992" s="63"/>
      <c r="E992" s="178"/>
      <c r="F992" s="2">
        <v>1500</v>
      </c>
      <c r="G992" s="3">
        <f t="shared" si="20"/>
        <v>6</v>
      </c>
    </row>
    <row r="993" spans="1:7" s="22" customFormat="1" x14ac:dyDescent="0.25">
      <c r="A993" s="6">
        <v>43959</v>
      </c>
      <c r="B993" s="63"/>
      <c r="D993" s="63"/>
      <c r="E993" s="178"/>
      <c r="F993" s="2">
        <v>500</v>
      </c>
      <c r="G993" s="3">
        <f t="shared" si="20"/>
        <v>2</v>
      </c>
    </row>
    <row r="994" spans="1:7" s="22" customFormat="1" x14ac:dyDescent="0.25">
      <c r="A994" s="6">
        <v>43959</v>
      </c>
      <c r="B994" s="63"/>
      <c r="D994" s="63"/>
      <c r="E994" s="178"/>
      <c r="F994" s="2">
        <v>500</v>
      </c>
      <c r="G994" s="3">
        <f t="shared" si="20"/>
        <v>2</v>
      </c>
    </row>
    <row r="995" spans="1:7" s="22" customFormat="1" x14ac:dyDescent="0.25">
      <c r="A995" s="6">
        <v>43959</v>
      </c>
      <c r="B995" s="63"/>
      <c r="D995" s="63"/>
      <c r="E995" s="178"/>
      <c r="F995" s="2">
        <v>5000</v>
      </c>
      <c r="G995" s="3">
        <f t="shared" si="20"/>
        <v>20</v>
      </c>
    </row>
    <row r="996" spans="1:7" s="22" customFormat="1" x14ac:dyDescent="0.25">
      <c r="A996" s="6">
        <v>43959</v>
      </c>
      <c r="B996" s="63"/>
      <c r="D996" s="63"/>
      <c r="E996" s="178"/>
      <c r="F996" s="2">
        <v>500</v>
      </c>
      <c r="G996" s="3">
        <f t="shared" si="20"/>
        <v>2</v>
      </c>
    </row>
    <row r="997" spans="1:7" s="22" customFormat="1" ht="15.75" x14ac:dyDescent="0.25">
      <c r="A997" s="6">
        <v>43959</v>
      </c>
      <c r="B997" s="63"/>
      <c r="D997" s="63"/>
      <c r="E997" s="178" t="s">
        <v>66</v>
      </c>
      <c r="F997" s="33">
        <v>200</v>
      </c>
      <c r="G997" s="3">
        <f t="shared" si="20"/>
        <v>25.8</v>
      </c>
    </row>
    <row r="998" spans="1:7" s="22" customFormat="1" ht="15.75" x14ac:dyDescent="0.25">
      <c r="A998" s="6">
        <v>43959</v>
      </c>
      <c r="B998" s="63"/>
      <c r="D998" s="63"/>
      <c r="E998" s="178" t="s">
        <v>66</v>
      </c>
      <c r="F998" s="33">
        <v>100</v>
      </c>
      <c r="G998" s="3">
        <f t="shared" si="20"/>
        <v>25.4</v>
      </c>
    </row>
    <row r="999" spans="1:7" s="22" customFormat="1" ht="15.75" x14ac:dyDescent="0.25">
      <c r="A999" s="6">
        <v>43959</v>
      </c>
      <c r="B999" s="63"/>
      <c r="D999" s="63"/>
      <c r="E999" s="178" t="s">
        <v>66</v>
      </c>
      <c r="F999" s="33">
        <v>100</v>
      </c>
      <c r="G999" s="3">
        <f t="shared" si="20"/>
        <v>25.4</v>
      </c>
    </row>
    <row r="1000" spans="1:7" s="22" customFormat="1" ht="15.75" x14ac:dyDescent="0.25">
      <c r="A1000" s="6">
        <v>43959</v>
      </c>
      <c r="B1000" s="63"/>
      <c r="D1000" s="63"/>
      <c r="E1000" s="178" t="s">
        <v>66</v>
      </c>
      <c r="F1000" s="33">
        <v>200</v>
      </c>
      <c r="G1000" s="3">
        <f t="shared" si="20"/>
        <v>25.8</v>
      </c>
    </row>
    <row r="1001" spans="1:7" s="22" customFormat="1" ht="15.75" x14ac:dyDescent="0.25">
      <c r="A1001" s="6">
        <v>43959</v>
      </c>
      <c r="B1001" s="63"/>
      <c r="D1001" s="63"/>
      <c r="E1001" s="178" t="s">
        <v>66</v>
      </c>
      <c r="F1001" s="33">
        <v>100</v>
      </c>
      <c r="G1001" s="3">
        <f t="shared" si="20"/>
        <v>25.4</v>
      </c>
    </row>
    <row r="1002" spans="1:7" s="22" customFormat="1" ht="15.75" x14ac:dyDescent="0.25">
      <c r="A1002" s="6">
        <v>43959</v>
      </c>
      <c r="B1002" s="63"/>
      <c r="D1002" s="63"/>
      <c r="E1002" s="178" t="s">
        <v>66</v>
      </c>
      <c r="F1002" s="33">
        <v>100</v>
      </c>
      <c r="G1002" s="3">
        <f t="shared" si="20"/>
        <v>25.4</v>
      </c>
    </row>
    <row r="1003" spans="1:7" s="22" customFormat="1" ht="15.75" x14ac:dyDescent="0.25">
      <c r="A1003" s="6">
        <v>43959</v>
      </c>
      <c r="B1003" s="63"/>
      <c r="D1003" s="63"/>
      <c r="E1003" s="178" t="s">
        <v>66</v>
      </c>
      <c r="F1003" s="33">
        <v>100</v>
      </c>
      <c r="G1003" s="3">
        <f t="shared" si="20"/>
        <v>25.4</v>
      </c>
    </row>
    <row r="1004" spans="1:7" s="22" customFormat="1" ht="15.75" x14ac:dyDescent="0.25">
      <c r="A1004" s="6">
        <v>43959</v>
      </c>
      <c r="B1004" s="63"/>
      <c r="D1004" s="63"/>
      <c r="E1004" s="178" t="s">
        <v>66</v>
      </c>
      <c r="F1004" s="33">
        <v>100</v>
      </c>
      <c r="G1004" s="3">
        <f t="shared" si="20"/>
        <v>25.4</v>
      </c>
    </row>
    <row r="1005" spans="1:7" s="22" customFormat="1" ht="15.75" x14ac:dyDescent="0.25">
      <c r="A1005" s="6">
        <v>43959</v>
      </c>
      <c r="B1005" s="63"/>
      <c r="D1005" s="63"/>
      <c r="E1005" s="178" t="s">
        <v>66</v>
      </c>
      <c r="F1005" s="33">
        <v>100</v>
      </c>
      <c r="G1005" s="3">
        <f t="shared" si="20"/>
        <v>25.4</v>
      </c>
    </row>
    <row r="1006" spans="1:7" s="22" customFormat="1" ht="15.75" x14ac:dyDescent="0.25">
      <c r="A1006" s="6">
        <v>43959</v>
      </c>
      <c r="B1006" s="63"/>
      <c r="D1006" s="63"/>
      <c r="E1006" s="178" t="s">
        <v>66</v>
      </c>
      <c r="F1006" s="33">
        <v>200</v>
      </c>
      <c r="G1006" s="3">
        <f t="shared" si="20"/>
        <v>25.8</v>
      </c>
    </row>
    <row r="1007" spans="1:7" s="22" customFormat="1" ht="15.75" x14ac:dyDescent="0.25">
      <c r="A1007" s="6">
        <v>43959</v>
      </c>
      <c r="B1007" s="63"/>
      <c r="D1007" s="63"/>
      <c r="E1007" s="178" t="s">
        <v>66</v>
      </c>
      <c r="F1007" s="33">
        <v>100</v>
      </c>
      <c r="G1007" s="3">
        <f t="shared" si="20"/>
        <v>25.4</v>
      </c>
    </row>
    <row r="1008" spans="1:7" s="22" customFormat="1" ht="15.75" x14ac:dyDescent="0.25">
      <c r="A1008" s="6">
        <v>43959</v>
      </c>
      <c r="B1008" s="63"/>
      <c r="D1008" s="63"/>
      <c r="E1008" s="178" t="s">
        <v>66</v>
      </c>
      <c r="F1008" s="33">
        <v>100</v>
      </c>
      <c r="G1008" s="3">
        <f t="shared" si="20"/>
        <v>25.4</v>
      </c>
    </row>
    <row r="1009" spans="1:7" s="22" customFormat="1" ht="15.75" x14ac:dyDescent="0.25">
      <c r="A1009" s="6">
        <v>43959</v>
      </c>
      <c r="B1009" s="63"/>
      <c r="D1009" s="63"/>
      <c r="E1009" s="178" t="s">
        <v>66</v>
      </c>
      <c r="F1009" s="33">
        <v>100</v>
      </c>
      <c r="G1009" s="3">
        <f t="shared" si="20"/>
        <v>25.4</v>
      </c>
    </row>
    <row r="1010" spans="1:7" s="22" customFormat="1" ht="15.75" x14ac:dyDescent="0.25">
      <c r="A1010" s="6">
        <v>43959</v>
      </c>
      <c r="B1010" s="63"/>
      <c r="D1010" s="63"/>
      <c r="E1010" s="178" t="s">
        <v>66</v>
      </c>
      <c r="F1010" s="33">
        <v>100</v>
      </c>
      <c r="G1010" s="3">
        <f t="shared" si="20"/>
        <v>25.4</v>
      </c>
    </row>
    <row r="1011" spans="1:7" s="22" customFormat="1" ht="15.75" x14ac:dyDescent="0.25">
      <c r="A1011" s="6">
        <v>43959</v>
      </c>
      <c r="B1011" s="63"/>
      <c r="D1011" s="63"/>
      <c r="E1011" s="178" t="s">
        <v>66</v>
      </c>
      <c r="F1011" s="33">
        <v>100</v>
      </c>
      <c r="G1011" s="3">
        <f t="shared" si="20"/>
        <v>25.4</v>
      </c>
    </row>
    <row r="1012" spans="1:7" s="22" customFormat="1" ht="15.75" x14ac:dyDescent="0.25">
      <c r="A1012" s="6">
        <v>43959</v>
      </c>
      <c r="B1012" s="63"/>
      <c r="D1012" s="63"/>
      <c r="E1012" s="178" t="s">
        <v>66</v>
      </c>
      <c r="F1012" s="33">
        <v>100</v>
      </c>
      <c r="G1012" s="3">
        <f t="shared" ref="G1012:G1075" si="21">IF(E1012="y",25,IF(OR(E1012="N", E1012="RD",E1012="I"),10,0))+IF(F1012&gt;5000,20,F1012*0.4%)+IF(E1012="PMSBY",1,IF(E1012="PMJJBY",30,0))</f>
        <v>25.4</v>
      </c>
    </row>
    <row r="1013" spans="1:7" s="22" customFormat="1" ht="15.75" x14ac:dyDescent="0.25">
      <c r="A1013" s="6">
        <v>43959</v>
      </c>
      <c r="B1013" s="63"/>
      <c r="D1013" s="63"/>
      <c r="E1013" s="178" t="s">
        <v>66</v>
      </c>
      <c r="F1013" s="33">
        <v>150</v>
      </c>
      <c r="G1013" s="3">
        <f t="shared" si="21"/>
        <v>25.6</v>
      </c>
    </row>
    <row r="1014" spans="1:7" s="22" customFormat="1" ht="15.75" x14ac:dyDescent="0.25">
      <c r="A1014" s="6">
        <v>43959</v>
      </c>
      <c r="B1014" s="63"/>
      <c r="D1014" s="63"/>
      <c r="E1014" s="178" t="s">
        <v>66</v>
      </c>
      <c r="F1014" s="33">
        <v>200</v>
      </c>
      <c r="G1014" s="3">
        <f t="shared" si="21"/>
        <v>25.8</v>
      </c>
    </row>
    <row r="1015" spans="1:7" s="22" customFormat="1" ht="15.75" x14ac:dyDescent="0.25">
      <c r="A1015" s="6">
        <v>43959</v>
      </c>
      <c r="B1015" s="63"/>
      <c r="D1015" s="63"/>
      <c r="E1015" s="178" t="s">
        <v>66</v>
      </c>
      <c r="F1015" s="33">
        <v>100</v>
      </c>
      <c r="G1015" s="3">
        <f t="shared" si="21"/>
        <v>25.4</v>
      </c>
    </row>
    <row r="1016" spans="1:7" s="22" customFormat="1" ht="15.75" x14ac:dyDescent="0.25">
      <c r="A1016" s="6">
        <v>43959</v>
      </c>
      <c r="B1016" s="63"/>
      <c r="D1016" s="63"/>
      <c r="E1016" s="178" t="s">
        <v>66</v>
      </c>
      <c r="F1016" s="33">
        <v>200</v>
      </c>
      <c r="G1016" s="3">
        <f t="shared" si="21"/>
        <v>25.8</v>
      </c>
    </row>
    <row r="1017" spans="1:7" s="22" customFormat="1" ht="15.75" x14ac:dyDescent="0.25">
      <c r="A1017" s="6">
        <v>43959</v>
      </c>
      <c r="B1017" s="63"/>
      <c r="D1017" s="63"/>
      <c r="E1017" s="178" t="s">
        <v>66</v>
      </c>
      <c r="F1017" s="33">
        <v>200</v>
      </c>
      <c r="G1017" s="3">
        <f t="shared" si="21"/>
        <v>25.8</v>
      </c>
    </row>
    <row r="1018" spans="1:7" s="22" customFormat="1" ht="15.75" x14ac:dyDescent="0.25">
      <c r="A1018" s="6">
        <v>43959</v>
      </c>
      <c r="B1018" s="63"/>
      <c r="D1018" s="63"/>
      <c r="E1018" s="178" t="s">
        <v>66</v>
      </c>
      <c r="F1018" s="33">
        <v>100</v>
      </c>
      <c r="G1018" s="3">
        <f t="shared" si="21"/>
        <v>25.4</v>
      </c>
    </row>
    <row r="1019" spans="1:7" s="22" customFormat="1" ht="15.75" x14ac:dyDescent="0.25">
      <c r="A1019" s="6">
        <v>43959</v>
      </c>
      <c r="B1019" s="63"/>
      <c r="D1019" s="63"/>
      <c r="E1019" s="178" t="s">
        <v>66</v>
      </c>
      <c r="F1019" s="33">
        <v>100</v>
      </c>
      <c r="G1019" s="3">
        <f t="shared" si="21"/>
        <v>25.4</v>
      </c>
    </row>
    <row r="1020" spans="1:7" s="22" customFormat="1" ht="15.75" x14ac:dyDescent="0.25">
      <c r="A1020" s="6">
        <v>43959</v>
      </c>
      <c r="B1020" s="63"/>
      <c r="D1020" s="63"/>
      <c r="E1020" s="178" t="s">
        <v>66</v>
      </c>
      <c r="F1020" s="33">
        <v>100</v>
      </c>
      <c r="G1020" s="3">
        <f t="shared" si="21"/>
        <v>25.4</v>
      </c>
    </row>
    <row r="1021" spans="1:7" s="22" customFormat="1" ht="15.75" x14ac:dyDescent="0.25">
      <c r="A1021" s="6">
        <v>43959</v>
      </c>
      <c r="B1021" s="63"/>
      <c r="D1021" s="63"/>
      <c r="E1021" s="178" t="s">
        <v>66</v>
      </c>
      <c r="F1021" s="33">
        <v>100</v>
      </c>
      <c r="G1021" s="3">
        <f t="shared" si="21"/>
        <v>25.4</v>
      </c>
    </row>
    <row r="1022" spans="1:7" s="22" customFormat="1" ht="15.75" x14ac:dyDescent="0.25">
      <c r="A1022" s="6">
        <v>43959</v>
      </c>
      <c r="B1022" s="63"/>
      <c r="D1022" s="63"/>
      <c r="E1022" s="178" t="s">
        <v>66</v>
      </c>
      <c r="F1022" s="33">
        <v>100</v>
      </c>
      <c r="G1022" s="3">
        <f t="shared" si="21"/>
        <v>25.4</v>
      </c>
    </row>
    <row r="1023" spans="1:7" s="22" customFormat="1" ht="15.75" x14ac:dyDescent="0.25">
      <c r="A1023" s="6">
        <v>43959</v>
      </c>
      <c r="B1023" s="63"/>
      <c r="D1023" s="63"/>
      <c r="E1023" s="178" t="s">
        <v>66</v>
      </c>
      <c r="F1023" s="33">
        <v>100</v>
      </c>
      <c r="G1023" s="3">
        <f t="shared" si="21"/>
        <v>25.4</v>
      </c>
    </row>
    <row r="1024" spans="1:7" s="22" customFormat="1" ht="15.75" x14ac:dyDescent="0.25">
      <c r="A1024" s="6">
        <v>43959</v>
      </c>
      <c r="B1024" s="63"/>
      <c r="D1024" s="63"/>
      <c r="E1024" s="178" t="s">
        <v>66</v>
      </c>
      <c r="F1024" s="33">
        <v>100</v>
      </c>
      <c r="G1024" s="3">
        <f t="shared" si="21"/>
        <v>25.4</v>
      </c>
    </row>
    <row r="1025" spans="1:7" s="22" customFormat="1" ht="15.75" x14ac:dyDescent="0.25">
      <c r="A1025" s="6">
        <v>43959</v>
      </c>
      <c r="B1025" s="63"/>
      <c r="D1025" s="63"/>
      <c r="E1025" s="178" t="s">
        <v>66</v>
      </c>
      <c r="F1025" s="33">
        <v>100</v>
      </c>
      <c r="G1025" s="3">
        <f t="shared" si="21"/>
        <v>25.4</v>
      </c>
    </row>
    <row r="1026" spans="1:7" s="22" customFormat="1" ht="15.75" x14ac:dyDescent="0.25">
      <c r="A1026" s="6">
        <v>43959</v>
      </c>
      <c r="B1026" s="63"/>
      <c r="D1026" s="63"/>
      <c r="E1026" s="178" t="s">
        <v>66</v>
      </c>
      <c r="F1026" s="33">
        <v>150</v>
      </c>
      <c r="G1026" s="3">
        <f t="shared" si="21"/>
        <v>25.6</v>
      </c>
    </row>
    <row r="1027" spans="1:7" s="22" customFormat="1" ht="15.75" x14ac:dyDescent="0.25">
      <c r="A1027" s="6">
        <v>43959</v>
      </c>
      <c r="B1027" s="63"/>
      <c r="D1027" s="63"/>
      <c r="E1027" s="178" t="s">
        <v>66</v>
      </c>
      <c r="F1027" s="33">
        <v>100</v>
      </c>
      <c r="G1027" s="3">
        <f t="shared" si="21"/>
        <v>25.4</v>
      </c>
    </row>
    <row r="1028" spans="1:7" s="22" customFormat="1" ht="15.75" x14ac:dyDescent="0.25">
      <c r="A1028" s="6">
        <v>43959</v>
      </c>
      <c r="B1028" s="63"/>
      <c r="D1028" s="63"/>
      <c r="E1028" s="178" t="s">
        <v>66</v>
      </c>
      <c r="F1028" s="33">
        <v>100</v>
      </c>
      <c r="G1028" s="3">
        <f t="shared" si="21"/>
        <v>25.4</v>
      </c>
    </row>
    <row r="1029" spans="1:7" s="22" customFormat="1" ht="15.75" x14ac:dyDescent="0.25">
      <c r="A1029" s="6">
        <v>43959</v>
      </c>
      <c r="B1029" s="63"/>
      <c r="D1029" s="63"/>
      <c r="E1029" s="178" t="s">
        <v>66</v>
      </c>
      <c r="F1029" s="33">
        <v>100</v>
      </c>
      <c r="G1029" s="3">
        <f t="shared" si="21"/>
        <v>25.4</v>
      </c>
    </row>
    <row r="1030" spans="1:7" s="22" customFormat="1" ht="15.75" x14ac:dyDescent="0.25">
      <c r="A1030" s="6">
        <v>43959</v>
      </c>
      <c r="B1030" s="63"/>
      <c r="D1030" s="63"/>
      <c r="E1030" s="178" t="s">
        <v>66</v>
      </c>
      <c r="F1030" s="33">
        <v>100</v>
      </c>
      <c r="G1030" s="3">
        <f t="shared" si="21"/>
        <v>25.4</v>
      </c>
    </row>
    <row r="1031" spans="1:7" s="22" customFormat="1" ht="15.75" x14ac:dyDescent="0.25">
      <c r="A1031" s="6">
        <v>43959</v>
      </c>
      <c r="B1031" s="63"/>
      <c r="D1031" s="63"/>
      <c r="E1031" s="178" t="s">
        <v>66</v>
      </c>
      <c r="F1031" s="33">
        <v>200</v>
      </c>
      <c r="G1031" s="3">
        <f t="shared" si="21"/>
        <v>25.8</v>
      </c>
    </row>
    <row r="1032" spans="1:7" s="22" customFormat="1" ht="15.75" x14ac:dyDescent="0.25">
      <c r="A1032" s="6">
        <v>43959</v>
      </c>
      <c r="B1032" s="63"/>
      <c r="D1032" s="63"/>
      <c r="E1032" s="178" t="s">
        <v>66</v>
      </c>
      <c r="F1032" s="33">
        <v>100</v>
      </c>
      <c r="G1032" s="3">
        <f t="shared" si="21"/>
        <v>25.4</v>
      </c>
    </row>
    <row r="1033" spans="1:7" s="22" customFormat="1" ht="15.75" x14ac:dyDescent="0.25">
      <c r="A1033" s="6">
        <v>43962</v>
      </c>
      <c r="B1033" s="63"/>
      <c r="D1033" s="63"/>
      <c r="E1033" s="178" t="s">
        <v>66</v>
      </c>
      <c r="F1033" s="33">
        <v>100</v>
      </c>
      <c r="G1033" s="3">
        <f t="shared" si="21"/>
        <v>25.4</v>
      </c>
    </row>
    <row r="1034" spans="1:7" s="22" customFormat="1" ht="15.75" x14ac:dyDescent="0.25">
      <c r="A1034" s="6">
        <v>43962</v>
      </c>
      <c r="B1034" s="63"/>
      <c r="D1034" s="63"/>
      <c r="E1034" s="178" t="s">
        <v>66</v>
      </c>
      <c r="F1034" s="33">
        <v>100</v>
      </c>
      <c r="G1034" s="3">
        <f t="shared" si="21"/>
        <v>25.4</v>
      </c>
    </row>
    <row r="1035" spans="1:7" s="22" customFormat="1" x14ac:dyDescent="0.25">
      <c r="A1035" s="6">
        <v>43962</v>
      </c>
      <c r="B1035" s="63"/>
      <c r="D1035" s="63"/>
      <c r="E1035" s="178"/>
      <c r="F1035" s="35">
        <v>2000</v>
      </c>
      <c r="G1035" s="3">
        <f t="shared" si="21"/>
        <v>8</v>
      </c>
    </row>
    <row r="1036" spans="1:7" s="22" customFormat="1" x14ac:dyDescent="0.25">
      <c r="A1036" s="6">
        <v>43962</v>
      </c>
      <c r="B1036" s="63"/>
      <c r="D1036" s="63"/>
      <c r="E1036" s="178"/>
      <c r="F1036" s="2">
        <v>1000</v>
      </c>
      <c r="G1036" s="3">
        <f t="shared" si="21"/>
        <v>4</v>
      </c>
    </row>
    <row r="1037" spans="1:7" s="22" customFormat="1" x14ac:dyDescent="0.25">
      <c r="A1037" s="6">
        <v>43962</v>
      </c>
      <c r="B1037" s="63"/>
      <c r="D1037" s="63"/>
      <c r="E1037" s="178"/>
      <c r="F1037" s="2">
        <v>1000</v>
      </c>
      <c r="G1037" s="3">
        <f t="shared" si="21"/>
        <v>4</v>
      </c>
    </row>
    <row r="1038" spans="1:7" s="22" customFormat="1" x14ac:dyDescent="0.25">
      <c r="A1038" s="6">
        <v>43962</v>
      </c>
      <c r="B1038" s="63"/>
      <c r="D1038" s="63"/>
      <c r="E1038" s="178"/>
      <c r="F1038" s="2">
        <v>1000</v>
      </c>
      <c r="G1038" s="3">
        <f t="shared" si="21"/>
        <v>4</v>
      </c>
    </row>
    <row r="1039" spans="1:7" s="22" customFormat="1" ht="15.75" x14ac:dyDescent="0.25">
      <c r="A1039" s="6">
        <v>43962</v>
      </c>
      <c r="B1039" s="63"/>
      <c r="D1039" s="63"/>
      <c r="E1039" s="178" t="s">
        <v>66</v>
      </c>
      <c r="F1039" s="33">
        <v>100</v>
      </c>
      <c r="G1039" s="3">
        <f t="shared" si="21"/>
        <v>25.4</v>
      </c>
    </row>
    <row r="1040" spans="1:7" s="22" customFormat="1" ht="15.75" x14ac:dyDescent="0.25">
      <c r="A1040" s="6">
        <v>43962</v>
      </c>
      <c r="B1040" s="63"/>
      <c r="D1040" s="63"/>
      <c r="E1040" s="178" t="s">
        <v>66</v>
      </c>
      <c r="F1040" s="33">
        <v>100</v>
      </c>
      <c r="G1040" s="3">
        <f t="shared" si="21"/>
        <v>25.4</v>
      </c>
    </row>
    <row r="1041" spans="1:7" s="22" customFormat="1" ht="15.75" x14ac:dyDescent="0.25">
      <c r="A1041" s="6">
        <v>43962</v>
      </c>
      <c r="B1041" s="63"/>
      <c r="D1041" s="63"/>
      <c r="E1041" s="178" t="s">
        <v>66</v>
      </c>
      <c r="F1041" s="33">
        <v>100</v>
      </c>
      <c r="G1041" s="3">
        <f t="shared" si="21"/>
        <v>25.4</v>
      </c>
    </row>
    <row r="1042" spans="1:7" s="22" customFormat="1" ht="15.75" x14ac:dyDescent="0.25">
      <c r="A1042" s="6">
        <v>43962</v>
      </c>
      <c r="B1042" s="63"/>
      <c r="D1042" s="63"/>
      <c r="E1042" s="178" t="s">
        <v>66</v>
      </c>
      <c r="F1042" s="33">
        <v>200</v>
      </c>
      <c r="G1042" s="3">
        <f t="shared" si="21"/>
        <v>25.8</v>
      </c>
    </row>
    <row r="1043" spans="1:7" s="22" customFormat="1" ht="15.75" x14ac:dyDescent="0.25">
      <c r="A1043" s="6">
        <v>43962</v>
      </c>
      <c r="B1043" s="63"/>
      <c r="D1043" s="63"/>
      <c r="E1043" s="178" t="s">
        <v>66</v>
      </c>
      <c r="F1043" s="33">
        <v>100</v>
      </c>
      <c r="G1043" s="3">
        <f t="shared" si="21"/>
        <v>25.4</v>
      </c>
    </row>
    <row r="1044" spans="1:7" s="22" customFormat="1" ht="15.75" x14ac:dyDescent="0.25">
      <c r="A1044" s="6">
        <v>43962</v>
      </c>
      <c r="B1044" s="63"/>
      <c r="D1044" s="63"/>
      <c r="E1044" s="178" t="s">
        <v>66</v>
      </c>
      <c r="F1044" s="33">
        <v>100</v>
      </c>
      <c r="G1044" s="3">
        <f t="shared" si="21"/>
        <v>25.4</v>
      </c>
    </row>
    <row r="1045" spans="1:7" s="22" customFormat="1" ht="15.75" x14ac:dyDescent="0.25">
      <c r="A1045" s="6">
        <v>43962</v>
      </c>
      <c r="B1045" s="63"/>
      <c r="D1045" s="63"/>
      <c r="E1045" s="178" t="s">
        <v>66</v>
      </c>
      <c r="F1045" s="33">
        <v>100</v>
      </c>
      <c r="G1045" s="3">
        <f t="shared" si="21"/>
        <v>25.4</v>
      </c>
    </row>
    <row r="1046" spans="1:7" s="22" customFormat="1" ht="15.75" x14ac:dyDescent="0.25">
      <c r="A1046" s="6">
        <v>43962</v>
      </c>
      <c r="B1046" s="63"/>
      <c r="D1046" s="63"/>
      <c r="E1046" s="178" t="s">
        <v>66</v>
      </c>
      <c r="F1046" s="33">
        <v>100</v>
      </c>
      <c r="G1046" s="3">
        <f t="shared" si="21"/>
        <v>25.4</v>
      </c>
    </row>
    <row r="1047" spans="1:7" s="22" customFormat="1" ht="15.75" x14ac:dyDescent="0.25">
      <c r="A1047" s="6">
        <v>43962</v>
      </c>
      <c r="B1047" s="63"/>
      <c r="D1047" s="63"/>
      <c r="E1047" s="178" t="s">
        <v>66</v>
      </c>
      <c r="F1047" s="33">
        <v>100</v>
      </c>
      <c r="G1047" s="3">
        <f t="shared" si="21"/>
        <v>25.4</v>
      </c>
    </row>
    <row r="1048" spans="1:7" s="22" customFormat="1" ht="15.75" x14ac:dyDescent="0.25">
      <c r="A1048" s="6">
        <v>43962</v>
      </c>
      <c r="B1048" s="63"/>
      <c r="D1048" s="63"/>
      <c r="E1048" s="178" t="s">
        <v>66</v>
      </c>
      <c r="F1048" s="33">
        <v>100</v>
      </c>
      <c r="G1048" s="3">
        <f t="shared" si="21"/>
        <v>25.4</v>
      </c>
    </row>
    <row r="1049" spans="1:7" s="22" customFormat="1" ht="15.75" x14ac:dyDescent="0.25">
      <c r="A1049" s="6">
        <v>43962</v>
      </c>
      <c r="B1049" s="63"/>
      <c r="D1049" s="63"/>
      <c r="E1049" s="178" t="s">
        <v>66</v>
      </c>
      <c r="F1049" s="33">
        <v>100</v>
      </c>
      <c r="G1049" s="3">
        <f t="shared" si="21"/>
        <v>25.4</v>
      </c>
    </row>
    <row r="1050" spans="1:7" s="22" customFormat="1" ht="15.75" x14ac:dyDescent="0.25">
      <c r="A1050" s="6">
        <v>43962</v>
      </c>
      <c r="B1050" s="63"/>
      <c r="D1050" s="63"/>
      <c r="E1050" s="178" t="s">
        <v>66</v>
      </c>
      <c r="F1050" s="33">
        <v>100</v>
      </c>
      <c r="G1050" s="3">
        <f t="shared" si="21"/>
        <v>25.4</v>
      </c>
    </row>
    <row r="1051" spans="1:7" s="22" customFormat="1" ht="15.75" x14ac:dyDescent="0.25">
      <c r="A1051" s="6">
        <v>43962</v>
      </c>
      <c r="B1051" s="63"/>
      <c r="D1051" s="63"/>
      <c r="E1051" s="178" t="s">
        <v>66</v>
      </c>
      <c r="F1051" s="33">
        <v>100</v>
      </c>
      <c r="G1051" s="3">
        <f t="shared" si="21"/>
        <v>25.4</v>
      </c>
    </row>
    <row r="1052" spans="1:7" s="22" customFormat="1" ht="15.75" x14ac:dyDescent="0.25">
      <c r="A1052" s="6">
        <v>43962</v>
      </c>
      <c r="B1052" s="63"/>
      <c r="D1052" s="63"/>
      <c r="E1052" s="178" t="s">
        <v>66</v>
      </c>
      <c r="F1052" s="33">
        <v>200</v>
      </c>
      <c r="G1052" s="3">
        <f t="shared" si="21"/>
        <v>25.8</v>
      </c>
    </row>
    <row r="1053" spans="1:7" s="22" customFormat="1" ht="15.75" x14ac:dyDescent="0.25">
      <c r="A1053" s="6">
        <v>43962</v>
      </c>
      <c r="B1053" s="63"/>
      <c r="D1053" s="63"/>
      <c r="E1053" s="178" t="s">
        <v>66</v>
      </c>
      <c r="F1053" s="33">
        <v>200</v>
      </c>
      <c r="G1053" s="3">
        <f t="shared" si="21"/>
        <v>25.8</v>
      </c>
    </row>
    <row r="1054" spans="1:7" s="22" customFormat="1" ht="15.75" x14ac:dyDescent="0.25">
      <c r="A1054" s="6">
        <v>43962</v>
      </c>
      <c r="B1054" s="63"/>
      <c r="D1054" s="63"/>
      <c r="E1054" s="178" t="s">
        <v>66</v>
      </c>
      <c r="F1054" s="33">
        <v>100</v>
      </c>
      <c r="G1054" s="3">
        <f t="shared" si="21"/>
        <v>25.4</v>
      </c>
    </row>
    <row r="1055" spans="1:7" s="22" customFormat="1" ht="15.75" x14ac:dyDescent="0.25">
      <c r="A1055" s="6">
        <v>43962</v>
      </c>
      <c r="B1055" s="63"/>
      <c r="D1055" s="63"/>
      <c r="E1055" s="178" t="s">
        <v>66</v>
      </c>
      <c r="F1055" s="33">
        <v>100</v>
      </c>
      <c r="G1055" s="3">
        <f t="shared" si="21"/>
        <v>25.4</v>
      </c>
    </row>
    <row r="1056" spans="1:7" s="22" customFormat="1" ht="15.75" x14ac:dyDescent="0.25">
      <c r="A1056" s="6">
        <v>43962</v>
      </c>
      <c r="B1056" s="63"/>
      <c r="D1056" s="63"/>
      <c r="E1056" s="178" t="s">
        <v>66</v>
      </c>
      <c r="F1056" s="33">
        <v>200</v>
      </c>
      <c r="G1056" s="3">
        <f t="shared" si="21"/>
        <v>25.8</v>
      </c>
    </row>
    <row r="1057" spans="1:7" s="22" customFormat="1" ht="15.75" x14ac:dyDescent="0.25">
      <c r="A1057" s="6">
        <v>43962</v>
      </c>
      <c r="B1057" s="63"/>
      <c r="D1057" s="63"/>
      <c r="E1057" s="178" t="s">
        <v>66</v>
      </c>
      <c r="F1057" s="33">
        <v>100</v>
      </c>
      <c r="G1057" s="3">
        <f t="shared" si="21"/>
        <v>25.4</v>
      </c>
    </row>
    <row r="1058" spans="1:7" s="22" customFormat="1" ht="15.75" x14ac:dyDescent="0.25">
      <c r="A1058" s="6">
        <v>43962</v>
      </c>
      <c r="B1058" s="63"/>
      <c r="D1058" s="63"/>
      <c r="E1058" s="178" t="s">
        <v>66</v>
      </c>
      <c r="F1058" s="33">
        <v>100</v>
      </c>
      <c r="G1058" s="3">
        <f t="shared" si="21"/>
        <v>25.4</v>
      </c>
    </row>
    <row r="1059" spans="1:7" s="22" customFormat="1" ht="15.75" x14ac:dyDescent="0.25">
      <c r="A1059" s="6">
        <v>43962</v>
      </c>
      <c r="B1059" s="63"/>
      <c r="D1059" s="63"/>
      <c r="E1059" s="178" t="s">
        <v>66</v>
      </c>
      <c r="F1059" s="33">
        <v>100</v>
      </c>
      <c r="G1059" s="3">
        <f t="shared" si="21"/>
        <v>25.4</v>
      </c>
    </row>
    <row r="1060" spans="1:7" s="22" customFormat="1" ht="15.75" x14ac:dyDescent="0.25">
      <c r="A1060" s="6">
        <v>43962</v>
      </c>
      <c r="B1060" s="63"/>
      <c r="D1060" s="63"/>
      <c r="E1060" s="178" t="s">
        <v>66</v>
      </c>
      <c r="F1060" s="33">
        <v>200</v>
      </c>
      <c r="G1060" s="3">
        <f t="shared" si="21"/>
        <v>25.8</v>
      </c>
    </row>
    <row r="1061" spans="1:7" s="22" customFormat="1" ht="15.75" x14ac:dyDescent="0.25">
      <c r="A1061" s="6">
        <v>43963</v>
      </c>
      <c r="B1061" s="63"/>
      <c r="D1061" s="63"/>
      <c r="E1061" s="178" t="s">
        <v>66</v>
      </c>
      <c r="F1061" s="33">
        <v>100</v>
      </c>
      <c r="G1061" s="3">
        <f t="shared" si="21"/>
        <v>25.4</v>
      </c>
    </row>
    <row r="1062" spans="1:7" s="22" customFormat="1" ht="15.75" x14ac:dyDescent="0.25">
      <c r="A1062" s="6">
        <v>43963</v>
      </c>
      <c r="B1062" s="63"/>
      <c r="D1062" s="63"/>
      <c r="E1062" s="178" t="s">
        <v>66</v>
      </c>
      <c r="F1062" s="34">
        <v>1000</v>
      </c>
      <c r="G1062" s="3">
        <f t="shared" si="21"/>
        <v>29</v>
      </c>
    </row>
    <row r="1063" spans="1:7" s="22" customFormat="1" ht="15.75" x14ac:dyDescent="0.25">
      <c r="A1063" s="6">
        <v>43963</v>
      </c>
      <c r="B1063" s="63"/>
      <c r="D1063" s="63"/>
      <c r="E1063" s="178" t="s">
        <v>66</v>
      </c>
      <c r="F1063" s="33">
        <v>200</v>
      </c>
      <c r="G1063" s="3">
        <f t="shared" si="21"/>
        <v>25.8</v>
      </c>
    </row>
    <row r="1064" spans="1:7" s="22" customFormat="1" ht="15.75" x14ac:dyDescent="0.25">
      <c r="A1064" s="6">
        <v>43963</v>
      </c>
      <c r="B1064" s="63"/>
      <c r="D1064" s="63"/>
      <c r="E1064" s="178" t="s">
        <v>66</v>
      </c>
      <c r="F1064" s="33">
        <v>200</v>
      </c>
      <c r="G1064" s="3">
        <f t="shared" si="21"/>
        <v>25.8</v>
      </c>
    </row>
    <row r="1065" spans="1:7" s="22" customFormat="1" ht="15.75" x14ac:dyDescent="0.25">
      <c r="A1065" s="6">
        <v>43963</v>
      </c>
      <c r="B1065" s="63"/>
      <c r="D1065" s="63"/>
      <c r="E1065" s="178" t="s">
        <v>66</v>
      </c>
      <c r="F1065" s="33">
        <v>100</v>
      </c>
      <c r="G1065" s="3">
        <f t="shared" si="21"/>
        <v>25.4</v>
      </c>
    </row>
    <row r="1066" spans="1:7" s="22" customFormat="1" ht="15.75" x14ac:dyDescent="0.25">
      <c r="A1066" s="6">
        <v>43963</v>
      </c>
      <c r="B1066" s="63"/>
      <c r="D1066" s="63"/>
      <c r="E1066" s="178" t="s">
        <v>66</v>
      </c>
      <c r="F1066" s="33">
        <v>100</v>
      </c>
      <c r="G1066" s="3">
        <f t="shared" si="21"/>
        <v>25.4</v>
      </c>
    </row>
    <row r="1067" spans="1:7" s="22" customFormat="1" ht="15.75" x14ac:dyDescent="0.25">
      <c r="A1067" s="6">
        <v>43963</v>
      </c>
      <c r="B1067" s="63"/>
      <c r="D1067" s="63"/>
      <c r="E1067" s="178" t="s">
        <v>66</v>
      </c>
      <c r="F1067" s="33">
        <v>100</v>
      </c>
      <c r="G1067" s="3">
        <f t="shared" si="21"/>
        <v>25.4</v>
      </c>
    </row>
    <row r="1068" spans="1:7" s="22" customFormat="1" ht="15.75" x14ac:dyDescent="0.25">
      <c r="A1068" s="6">
        <v>43963</v>
      </c>
      <c r="B1068" s="63"/>
      <c r="D1068" s="63"/>
      <c r="E1068" s="178" t="s">
        <v>66</v>
      </c>
      <c r="F1068" s="33">
        <v>100</v>
      </c>
      <c r="G1068" s="3">
        <f t="shared" si="21"/>
        <v>25.4</v>
      </c>
    </row>
    <row r="1069" spans="1:7" s="22" customFormat="1" ht="15.75" x14ac:dyDescent="0.25">
      <c r="A1069" s="6">
        <v>43963</v>
      </c>
      <c r="B1069" s="63"/>
      <c r="D1069" s="63"/>
      <c r="E1069" s="178" t="s">
        <v>66</v>
      </c>
      <c r="F1069" s="33">
        <v>200</v>
      </c>
      <c r="G1069" s="3">
        <f t="shared" si="21"/>
        <v>25.8</v>
      </c>
    </row>
    <row r="1070" spans="1:7" s="22" customFormat="1" ht="15.75" x14ac:dyDescent="0.25">
      <c r="A1070" s="6">
        <v>43963</v>
      </c>
      <c r="B1070" s="63"/>
      <c r="D1070" s="63"/>
      <c r="E1070" s="178" t="s">
        <v>66</v>
      </c>
      <c r="F1070" s="33">
        <v>100</v>
      </c>
      <c r="G1070" s="3">
        <f t="shared" si="21"/>
        <v>25.4</v>
      </c>
    </row>
    <row r="1071" spans="1:7" s="22" customFormat="1" ht="15.75" x14ac:dyDescent="0.25">
      <c r="A1071" s="6">
        <v>43963</v>
      </c>
      <c r="B1071" s="63"/>
      <c r="D1071" s="63"/>
      <c r="E1071" s="178" t="s">
        <v>66</v>
      </c>
      <c r="F1071" s="33">
        <v>100</v>
      </c>
      <c r="G1071" s="3">
        <f t="shared" si="21"/>
        <v>25.4</v>
      </c>
    </row>
    <row r="1072" spans="1:7" s="22" customFormat="1" ht="15.75" x14ac:dyDescent="0.25">
      <c r="A1072" s="6">
        <v>43963</v>
      </c>
      <c r="B1072" s="63"/>
      <c r="D1072" s="63"/>
      <c r="E1072" s="178" t="s">
        <v>66</v>
      </c>
      <c r="F1072" s="33">
        <v>100</v>
      </c>
      <c r="G1072" s="3">
        <f t="shared" si="21"/>
        <v>25.4</v>
      </c>
    </row>
    <row r="1073" spans="1:11" s="22" customFormat="1" ht="15.75" x14ac:dyDescent="0.25">
      <c r="A1073" s="6">
        <v>43963</v>
      </c>
      <c r="B1073" s="63"/>
      <c r="D1073" s="63"/>
      <c r="E1073" s="178" t="s">
        <v>66</v>
      </c>
      <c r="F1073" s="33">
        <v>100</v>
      </c>
      <c r="G1073" s="3">
        <f t="shared" si="21"/>
        <v>25.4</v>
      </c>
    </row>
    <row r="1074" spans="1:11" s="22" customFormat="1" ht="15.75" x14ac:dyDescent="0.25">
      <c r="A1074" s="6">
        <v>43963</v>
      </c>
      <c r="B1074" s="63"/>
      <c r="D1074" s="63"/>
      <c r="E1074" s="178" t="s">
        <v>66</v>
      </c>
      <c r="F1074" s="33">
        <v>100</v>
      </c>
      <c r="G1074" s="3">
        <f t="shared" si="21"/>
        <v>25.4</v>
      </c>
    </row>
    <row r="1075" spans="1:11" s="22" customFormat="1" ht="15.75" x14ac:dyDescent="0.25">
      <c r="A1075" s="6">
        <v>43963</v>
      </c>
      <c r="B1075" s="63"/>
      <c r="D1075" s="63"/>
      <c r="E1075" s="178" t="s">
        <v>66</v>
      </c>
      <c r="F1075" s="33">
        <v>100</v>
      </c>
      <c r="G1075" s="3">
        <f t="shared" si="21"/>
        <v>25.4</v>
      </c>
    </row>
    <row r="1076" spans="1:11" s="22" customFormat="1" ht="15.75" x14ac:dyDescent="0.25">
      <c r="A1076" s="6">
        <v>43963</v>
      </c>
      <c r="B1076" s="63"/>
      <c r="D1076" s="63"/>
      <c r="E1076" s="178" t="s">
        <v>66</v>
      </c>
      <c r="F1076" s="33">
        <v>100</v>
      </c>
      <c r="G1076" s="3">
        <f t="shared" ref="G1076:G1332" si="22">IF(E1076="y",25,IF(OR(E1076="N", E1076="RD",E1076="I"),10,0))+IF(F1076&gt;5000,20,F1076*0.4%)+IF(E1076="PMSBY",1,IF(E1076="PMJJBY",30,0))</f>
        <v>25.4</v>
      </c>
    </row>
    <row r="1077" spans="1:11" s="22" customFormat="1" ht="15.75" x14ac:dyDescent="0.25">
      <c r="A1077" s="6">
        <v>43963</v>
      </c>
      <c r="B1077" s="63"/>
      <c r="D1077" s="63"/>
      <c r="E1077" s="178" t="s">
        <v>66</v>
      </c>
      <c r="F1077" s="33">
        <v>100</v>
      </c>
      <c r="G1077" s="3">
        <f t="shared" si="22"/>
        <v>25.4</v>
      </c>
    </row>
    <row r="1078" spans="1:11" s="22" customFormat="1" ht="15.75" x14ac:dyDescent="0.25">
      <c r="A1078" s="6">
        <v>43963</v>
      </c>
      <c r="B1078" s="63"/>
      <c r="D1078" s="63"/>
      <c r="E1078" s="178" t="s">
        <v>66</v>
      </c>
      <c r="F1078" s="33">
        <v>200</v>
      </c>
      <c r="G1078" s="3">
        <f t="shared" si="22"/>
        <v>25.8</v>
      </c>
      <c r="K1078" s="33"/>
    </row>
    <row r="1079" spans="1:11" s="22" customFormat="1" ht="15.75" x14ac:dyDescent="0.25">
      <c r="A1079" s="6">
        <v>43963</v>
      </c>
      <c r="B1079" s="63"/>
      <c r="D1079" s="63"/>
      <c r="E1079" s="178" t="s">
        <v>66</v>
      </c>
      <c r="F1079" s="33">
        <v>200</v>
      </c>
      <c r="G1079" s="3">
        <f t="shared" si="22"/>
        <v>25.8</v>
      </c>
      <c r="K1079" s="33"/>
    </row>
    <row r="1080" spans="1:11" s="22" customFormat="1" ht="15.75" x14ac:dyDescent="0.25">
      <c r="A1080" s="6">
        <v>43963</v>
      </c>
      <c r="B1080" s="63"/>
      <c r="D1080" s="63"/>
      <c r="E1080" s="178" t="s">
        <v>66</v>
      </c>
      <c r="F1080" s="33">
        <v>500</v>
      </c>
      <c r="G1080" s="3">
        <f t="shared" si="22"/>
        <v>27</v>
      </c>
      <c r="K1080" s="33"/>
    </row>
    <row r="1081" spans="1:11" s="22" customFormat="1" ht="15.75" x14ac:dyDescent="0.25">
      <c r="A1081" s="6">
        <v>43963</v>
      </c>
      <c r="B1081" s="63"/>
      <c r="D1081" s="63"/>
      <c r="E1081" s="178" t="s">
        <v>66</v>
      </c>
      <c r="F1081" s="33">
        <v>200</v>
      </c>
      <c r="G1081" s="3">
        <f t="shared" si="22"/>
        <v>25.8</v>
      </c>
      <c r="K1081" s="33"/>
    </row>
    <row r="1082" spans="1:11" s="22" customFormat="1" ht="15.75" x14ac:dyDescent="0.25">
      <c r="A1082" s="6">
        <v>43963</v>
      </c>
      <c r="B1082" s="63"/>
      <c r="D1082" s="63"/>
      <c r="E1082" s="178" t="s">
        <v>66</v>
      </c>
      <c r="F1082" s="33">
        <v>100</v>
      </c>
      <c r="G1082" s="3">
        <f t="shared" si="22"/>
        <v>25.4</v>
      </c>
      <c r="K1082" s="33"/>
    </row>
    <row r="1083" spans="1:11" s="22" customFormat="1" ht="15.75" x14ac:dyDescent="0.25">
      <c r="A1083" s="6">
        <v>43963</v>
      </c>
      <c r="B1083" s="63"/>
      <c r="D1083" s="63"/>
      <c r="E1083" s="178" t="s">
        <v>66</v>
      </c>
      <c r="F1083" s="33">
        <v>200</v>
      </c>
      <c r="G1083" s="3">
        <f t="shared" si="22"/>
        <v>25.8</v>
      </c>
      <c r="K1083" s="33"/>
    </row>
    <row r="1084" spans="1:11" s="22" customFormat="1" ht="15.75" x14ac:dyDescent="0.25">
      <c r="A1084" s="6">
        <v>43963</v>
      </c>
      <c r="B1084" s="63"/>
      <c r="D1084" s="63"/>
      <c r="E1084" s="178" t="s">
        <v>66</v>
      </c>
      <c r="F1084" s="33">
        <v>100</v>
      </c>
      <c r="G1084" s="3">
        <f t="shared" si="22"/>
        <v>25.4</v>
      </c>
      <c r="K1084" s="33"/>
    </row>
    <row r="1085" spans="1:11" s="22" customFormat="1" ht="15.75" x14ac:dyDescent="0.25">
      <c r="A1085" s="6">
        <v>43963</v>
      </c>
      <c r="B1085" s="63"/>
      <c r="D1085" s="63"/>
      <c r="E1085" s="178" t="s">
        <v>66</v>
      </c>
      <c r="F1085" s="33">
        <v>100</v>
      </c>
      <c r="G1085" s="3">
        <f t="shared" si="22"/>
        <v>25.4</v>
      </c>
      <c r="K1085" s="33"/>
    </row>
    <row r="1086" spans="1:11" s="22" customFormat="1" ht="15.75" x14ac:dyDescent="0.25">
      <c r="A1086" s="6">
        <v>43963</v>
      </c>
      <c r="B1086" s="63"/>
      <c r="D1086" s="63"/>
      <c r="E1086" s="178" t="s">
        <v>66</v>
      </c>
      <c r="F1086" s="33">
        <v>100</v>
      </c>
      <c r="G1086" s="3">
        <f t="shared" si="22"/>
        <v>25.4</v>
      </c>
      <c r="K1086" s="33"/>
    </row>
    <row r="1087" spans="1:11" s="22" customFormat="1" ht="15.75" x14ac:dyDescent="0.25">
      <c r="A1087" s="6">
        <v>43963</v>
      </c>
      <c r="B1087" s="63"/>
      <c r="D1087" s="63"/>
      <c r="E1087" s="178" t="s">
        <v>66</v>
      </c>
      <c r="F1087" s="33">
        <v>100</v>
      </c>
      <c r="G1087" s="3">
        <f t="shared" si="22"/>
        <v>25.4</v>
      </c>
      <c r="K1087" s="33"/>
    </row>
    <row r="1088" spans="1:11" s="22" customFormat="1" ht="15.75" x14ac:dyDescent="0.25">
      <c r="A1088" s="6">
        <v>43963</v>
      </c>
      <c r="B1088" s="63"/>
      <c r="D1088" s="63"/>
      <c r="E1088" s="178" t="s">
        <v>66</v>
      </c>
      <c r="F1088" s="33">
        <v>100</v>
      </c>
      <c r="G1088" s="3">
        <f t="shared" si="22"/>
        <v>25.4</v>
      </c>
      <c r="K1088" s="33"/>
    </row>
    <row r="1089" spans="1:11" s="22" customFormat="1" ht="15.75" x14ac:dyDescent="0.25">
      <c r="A1089" s="6">
        <v>43963</v>
      </c>
      <c r="B1089" s="63"/>
      <c r="D1089" s="63"/>
      <c r="E1089" s="178" t="s">
        <v>66</v>
      </c>
      <c r="F1089" s="33">
        <v>100</v>
      </c>
      <c r="G1089" s="3">
        <f t="shared" si="22"/>
        <v>25.4</v>
      </c>
      <c r="K1089" s="33"/>
    </row>
    <row r="1090" spans="1:11" s="22" customFormat="1" ht="15.75" x14ac:dyDescent="0.25">
      <c r="A1090" s="6">
        <v>43963</v>
      </c>
      <c r="B1090" s="63"/>
      <c r="D1090" s="63"/>
      <c r="E1090" s="178" t="s">
        <v>66</v>
      </c>
      <c r="F1090" s="33">
        <v>100</v>
      </c>
      <c r="G1090" s="3">
        <f t="shared" si="22"/>
        <v>25.4</v>
      </c>
      <c r="K1090" s="33"/>
    </row>
    <row r="1091" spans="1:11" s="22" customFormat="1" ht="15.75" x14ac:dyDescent="0.25">
      <c r="A1091" s="6">
        <v>43963</v>
      </c>
      <c r="B1091" s="63"/>
      <c r="D1091" s="63"/>
      <c r="E1091" s="178" t="s">
        <v>66</v>
      </c>
      <c r="F1091" s="33">
        <v>100</v>
      </c>
      <c r="G1091" s="3">
        <f t="shared" si="22"/>
        <v>25.4</v>
      </c>
      <c r="K1091" s="33"/>
    </row>
    <row r="1092" spans="1:11" s="22" customFormat="1" ht="15.75" x14ac:dyDescent="0.25">
      <c r="A1092" s="6">
        <v>43963</v>
      </c>
      <c r="B1092" s="63"/>
      <c r="D1092" s="63"/>
      <c r="E1092" s="178" t="s">
        <v>66</v>
      </c>
      <c r="F1092" s="33">
        <v>200</v>
      </c>
      <c r="G1092" s="3">
        <f t="shared" si="22"/>
        <v>25.8</v>
      </c>
      <c r="K1092" s="33"/>
    </row>
    <row r="1093" spans="1:11" s="22" customFormat="1" ht="15.75" x14ac:dyDescent="0.25">
      <c r="A1093" s="6">
        <v>43963</v>
      </c>
      <c r="B1093" s="63"/>
      <c r="D1093" s="63"/>
      <c r="E1093" s="178" t="s">
        <v>66</v>
      </c>
      <c r="F1093" s="33">
        <v>200</v>
      </c>
      <c r="G1093" s="3">
        <f t="shared" si="22"/>
        <v>25.8</v>
      </c>
      <c r="K1093" s="33"/>
    </row>
    <row r="1094" spans="1:11" s="22" customFormat="1" ht="15.75" x14ac:dyDescent="0.25">
      <c r="A1094" s="6">
        <v>43963</v>
      </c>
      <c r="B1094" s="63"/>
      <c r="D1094" s="63"/>
      <c r="E1094" s="178" t="s">
        <v>66</v>
      </c>
      <c r="F1094" s="33">
        <v>100</v>
      </c>
      <c r="G1094" s="3">
        <f t="shared" si="22"/>
        <v>25.4</v>
      </c>
      <c r="K1094" s="33"/>
    </row>
    <row r="1095" spans="1:11" s="22" customFormat="1" ht="15.75" x14ac:dyDescent="0.25">
      <c r="A1095" s="6">
        <v>43963</v>
      </c>
      <c r="B1095" s="63"/>
      <c r="D1095" s="63"/>
      <c r="E1095" s="178" t="s">
        <v>66</v>
      </c>
      <c r="F1095" s="33">
        <v>100</v>
      </c>
      <c r="G1095" s="3">
        <f t="shared" si="22"/>
        <v>25.4</v>
      </c>
      <c r="K1095" s="33"/>
    </row>
    <row r="1096" spans="1:11" s="22" customFormat="1" ht="15.75" x14ac:dyDescent="0.25">
      <c r="A1096" s="6">
        <v>43963</v>
      </c>
      <c r="B1096" s="63"/>
      <c r="D1096" s="63"/>
      <c r="E1096" s="178" t="s">
        <v>66</v>
      </c>
      <c r="F1096" s="33">
        <v>100</v>
      </c>
      <c r="G1096" s="3">
        <f t="shared" si="22"/>
        <v>25.4</v>
      </c>
      <c r="K1096" s="33"/>
    </row>
    <row r="1097" spans="1:11" s="22" customFormat="1" ht="15.75" x14ac:dyDescent="0.25">
      <c r="A1097" s="6">
        <v>43963</v>
      </c>
      <c r="B1097" s="63"/>
      <c r="D1097" s="63"/>
      <c r="E1097" s="178" t="s">
        <v>66</v>
      </c>
      <c r="F1097" s="33">
        <v>150</v>
      </c>
      <c r="G1097" s="3">
        <f t="shared" si="22"/>
        <v>25.6</v>
      </c>
      <c r="K1097" s="33"/>
    </row>
    <row r="1098" spans="1:11" s="22" customFormat="1" ht="15.75" x14ac:dyDescent="0.25">
      <c r="A1098" s="6">
        <v>43963</v>
      </c>
      <c r="B1098" s="63"/>
      <c r="D1098" s="63"/>
      <c r="E1098" s="178" t="s">
        <v>66</v>
      </c>
      <c r="F1098" s="33">
        <v>150</v>
      </c>
      <c r="G1098" s="3">
        <f t="shared" si="22"/>
        <v>25.6</v>
      </c>
      <c r="K1098" s="33"/>
    </row>
    <row r="1099" spans="1:11" s="22" customFormat="1" ht="15.75" x14ac:dyDescent="0.25">
      <c r="A1099" s="6">
        <v>43963</v>
      </c>
      <c r="B1099" s="63"/>
      <c r="D1099" s="63"/>
      <c r="E1099" s="178" t="s">
        <v>66</v>
      </c>
      <c r="F1099" s="33">
        <v>150</v>
      </c>
      <c r="G1099" s="3">
        <f t="shared" si="22"/>
        <v>25.6</v>
      </c>
      <c r="K1099" s="33"/>
    </row>
    <row r="1100" spans="1:11" s="22" customFormat="1" ht="15.75" x14ac:dyDescent="0.25">
      <c r="A1100" s="6">
        <v>43963</v>
      </c>
      <c r="B1100" s="63"/>
      <c r="D1100" s="63"/>
      <c r="E1100" s="178" t="s">
        <v>66</v>
      </c>
      <c r="F1100" s="33">
        <v>100</v>
      </c>
      <c r="G1100" s="3">
        <f t="shared" si="22"/>
        <v>25.4</v>
      </c>
      <c r="K1100" s="33"/>
    </row>
    <row r="1101" spans="1:11" s="22" customFormat="1" ht="15.75" x14ac:dyDescent="0.25">
      <c r="A1101" s="6">
        <v>43963</v>
      </c>
      <c r="B1101" s="63"/>
      <c r="D1101" s="63"/>
      <c r="E1101" s="178" t="s">
        <v>66</v>
      </c>
      <c r="F1101" s="33">
        <v>100</v>
      </c>
      <c r="G1101" s="3">
        <f t="shared" si="22"/>
        <v>25.4</v>
      </c>
      <c r="K1101" s="33"/>
    </row>
    <row r="1102" spans="1:11" s="22" customFormat="1" ht="15.75" x14ac:dyDescent="0.25">
      <c r="A1102" s="6">
        <v>43963</v>
      </c>
      <c r="B1102" s="63"/>
      <c r="D1102" s="63"/>
      <c r="E1102" s="178" t="s">
        <v>66</v>
      </c>
      <c r="F1102" s="33">
        <v>100</v>
      </c>
      <c r="G1102" s="3">
        <f t="shared" si="22"/>
        <v>25.4</v>
      </c>
      <c r="K1102" s="33"/>
    </row>
    <row r="1103" spans="1:11" s="22" customFormat="1" ht="15.75" x14ac:dyDescent="0.25">
      <c r="A1103" s="6">
        <v>43963</v>
      </c>
      <c r="B1103" s="63"/>
      <c r="D1103" s="63"/>
      <c r="E1103" s="178" t="s">
        <v>66</v>
      </c>
      <c r="F1103" s="33">
        <v>100</v>
      </c>
      <c r="G1103" s="3">
        <f t="shared" si="22"/>
        <v>25.4</v>
      </c>
      <c r="K1103" s="33"/>
    </row>
    <row r="1104" spans="1:11" s="22" customFormat="1" ht="15.75" x14ac:dyDescent="0.25">
      <c r="A1104" s="6">
        <v>43963</v>
      </c>
      <c r="B1104" s="63"/>
      <c r="D1104" s="63"/>
      <c r="E1104" s="178" t="s">
        <v>66</v>
      </c>
      <c r="F1104" s="33">
        <v>100</v>
      </c>
      <c r="G1104" s="3">
        <f t="shared" si="22"/>
        <v>25.4</v>
      </c>
      <c r="K1104" s="33"/>
    </row>
    <row r="1105" spans="1:11" s="22" customFormat="1" ht="15.75" x14ac:dyDescent="0.25">
      <c r="A1105" s="6">
        <v>43963</v>
      </c>
      <c r="B1105" s="63"/>
      <c r="D1105" s="63"/>
      <c r="E1105" s="178" t="s">
        <v>66</v>
      </c>
      <c r="F1105" s="33">
        <v>100</v>
      </c>
      <c r="G1105" s="3">
        <f t="shared" si="22"/>
        <v>25.4</v>
      </c>
      <c r="K1105" s="33"/>
    </row>
    <row r="1106" spans="1:11" s="22" customFormat="1" ht="15.75" x14ac:dyDescent="0.25">
      <c r="A1106" s="6">
        <v>43963</v>
      </c>
      <c r="B1106" s="63"/>
      <c r="D1106" s="63"/>
      <c r="E1106" s="178" t="s">
        <v>66</v>
      </c>
      <c r="F1106" s="33">
        <v>100</v>
      </c>
      <c r="G1106" s="3">
        <f t="shared" si="22"/>
        <v>25.4</v>
      </c>
      <c r="K1106" s="33"/>
    </row>
    <row r="1107" spans="1:11" s="22" customFormat="1" ht="15.75" x14ac:dyDescent="0.25">
      <c r="A1107" s="6">
        <v>43963</v>
      </c>
      <c r="B1107" s="63"/>
      <c r="D1107" s="63"/>
      <c r="E1107" s="178" t="s">
        <v>66</v>
      </c>
      <c r="F1107" s="33">
        <v>100</v>
      </c>
      <c r="G1107" s="3">
        <f t="shared" si="22"/>
        <v>25.4</v>
      </c>
      <c r="K1107" s="33"/>
    </row>
    <row r="1108" spans="1:11" s="22" customFormat="1" ht="15.75" x14ac:dyDescent="0.25">
      <c r="A1108" s="6">
        <v>43963</v>
      </c>
      <c r="B1108" s="63"/>
      <c r="D1108" s="63"/>
      <c r="E1108" s="178" t="s">
        <v>66</v>
      </c>
      <c r="F1108" s="33">
        <v>100</v>
      </c>
      <c r="G1108" s="3">
        <f t="shared" si="22"/>
        <v>25.4</v>
      </c>
      <c r="K1108" s="33"/>
    </row>
    <row r="1109" spans="1:11" s="22" customFormat="1" ht="15.75" x14ac:dyDescent="0.25">
      <c r="A1109" s="6">
        <v>43963</v>
      </c>
      <c r="B1109" s="63"/>
      <c r="D1109" s="63"/>
      <c r="E1109" s="178" t="s">
        <v>66</v>
      </c>
      <c r="F1109" s="33">
        <v>200</v>
      </c>
      <c r="G1109" s="3">
        <f t="shared" si="22"/>
        <v>25.8</v>
      </c>
      <c r="K1109" s="33"/>
    </row>
    <row r="1110" spans="1:11" s="22" customFormat="1" ht="15.75" x14ac:dyDescent="0.25">
      <c r="A1110" s="6">
        <v>43963</v>
      </c>
      <c r="B1110" s="63"/>
      <c r="D1110" s="63"/>
      <c r="E1110" s="178" t="s">
        <v>66</v>
      </c>
      <c r="F1110" s="33">
        <v>100</v>
      </c>
      <c r="G1110" s="3">
        <f t="shared" si="22"/>
        <v>25.4</v>
      </c>
      <c r="K1110" s="33"/>
    </row>
    <row r="1111" spans="1:11" s="22" customFormat="1" ht="15.75" x14ac:dyDescent="0.25">
      <c r="A1111" s="6">
        <v>43963</v>
      </c>
      <c r="B1111" s="63"/>
      <c r="D1111" s="63"/>
      <c r="E1111" s="178" t="s">
        <v>66</v>
      </c>
      <c r="F1111" s="33">
        <v>200</v>
      </c>
      <c r="G1111" s="3">
        <f t="shared" si="22"/>
        <v>25.8</v>
      </c>
      <c r="K1111" s="33"/>
    </row>
    <row r="1112" spans="1:11" s="22" customFormat="1" ht="15.75" x14ac:dyDescent="0.25">
      <c r="A1112" s="6">
        <v>43963</v>
      </c>
      <c r="B1112" s="63"/>
      <c r="D1112" s="63"/>
      <c r="E1112" s="178" t="s">
        <v>66</v>
      </c>
      <c r="F1112" s="33">
        <v>500</v>
      </c>
      <c r="G1112" s="3">
        <f t="shared" si="22"/>
        <v>27</v>
      </c>
      <c r="K1112" s="33"/>
    </row>
    <row r="1113" spans="1:11" s="22" customFormat="1" ht="15.75" x14ac:dyDescent="0.25">
      <c r="A1113" s="6">
        <v>43963</v>
      </c>
      <c r="B1113" s="63"/>
      <c r="D1113" s="63"/>
      <c r="E1113" s="178" t="s">
        <v>66</v>
      </c>
      <c r="F1113" s="33">
        <v>500</v>
      </c>
      <c r="G1113" s="3">
        <f t="shared" si="22"/>
        <v>27</v>
      </c>
      <c r="K1113" s="33"/>
    </row>
    <row r="1114" spans="1:11" s="22" customFormat="1" ht="15.75" x14ac:dyDescent="0.25">
      <c r="A1114" s="6">
        <v>43964</v>
      </c>
      <c r="B1114" s="63"/>
      <c r="D1114" s="63"/>
      <c r="E1114" s="178" t="s">
        <v>66</v>
      </c>
      <c r="F1114" s="33">
        <v>100</v>
      </c>
      <c r="G1114" s="3">
        <f t="shared" si="22"/>
        <v>25.4</v>
      </c>
      <c r="K1114" s="33"/>
    </row>
    <row r="1115" spans="1:11" s="22" customFormat="1" ht="15.75" x14ac:dyDescent="0.25">
      <c r="A1115" s="6">
        <v>43964</v>
      </c>
      <c r="B1115" s="63"/>
      <c r="D1115" s="63"/>
      <c r="E1115" s="178" t="s">
        <v>66</v>
      </c>
      <c r="F1115" s="33">
        <v>100</v>
      </c>
      <c r="G1115" s="3">
        <f t="shared" si="22"/>
        <v>25.4</v>
      </c>
      <c r="K1115" s="33"/>
    </row>
    <row r="1116" spans="1:11" s="22" customFormat="1" ht="15.75" x14ac:dyDescent="0.25">
      <c r="A1116" s="6">
        <v>43964</v>
      </c>
      <c r="B1116" s="63"/>
      <c r="D1116" s="63"/>
      <c r="E1116" s="178" t="s">
        <v>66</v>
      </c>
      <c r="F1116" s="33">
        <v>100</v>
      </c>
      <c r="G1116" s="3">
        <f t="shared" si="22"/>
        <v>25.4</v>
      </c>
      <c r="K1116" s="33"/>
    </row>
    <row r="1117" spans="1:11" s="22" customFormat="1" ht="15.75" x14ac:dyDescent="0.25">
      <c r="A1117" s="6">
        <v>43964</v>
      </c>
      <c r="B1117" s="63"/>
      <c r="D1117" s="63"/>
      <c r="E1117" s="178" t="s">
        <v>66</v>
      </c>
      <c r="F1117" s="33">
        <v>300</v>
      </c>
      <c r="G1117" s="3">
        <f t="shared" si="22"/>
        <v>26.2</v>
      </c>
      <c r="K1117" s="33"/>
    </row>
    <row r="1118" spans="1:11" s="22" customFormat="1" ht="15.75" x14ac:dyDescent="0.25">
      <c r="A1118" s="6">
        <v>43964</v>
      </c>
      <c r="B1118" s="63"/>
      <c r="D1118" s="63"/>
      <c r="E1118" s="178" t="s">
        <v>66</v>
      </c>
      <c r="F1118" s="33">
        <v>300</v>
      </c>
      <c r="G1118" s="3">
        <f t="shared" si="22"/>
        <v>26.2</v>
      </c>
      <c r="K1118" s="33"/>
    </row>
    <row r="1119" spans="1:11" s="22" customFormat="1" ht="15.75" x14ac:dyDescent="0.25">
      <c r="A1119" s="6">
        <v>43964</v>
      </c>
      <c r="B1119" s="63"/>
      <c r="D1119" s="63"/>
      <c r="E1119" s="178" t="s">
        <v>66</v>
      </c>
      <c r="F1119" s="33">
        <v>100</v>
      </c>
      <c r="G1119" s="3">
        <f t="shared" si="22"/>
        <v>25.4</v>
      </c>
      <c r="K1119" s="33"/>
    </row>
    <row r="1120" spans="1:11" s="22" customFormat="1" ht="15.75" x14ac:dyDescent="0.25">
      <c r="A1120" s="6">
        <v>43964</v>
      </c>
      <c r="B1120" s="63"/>
      <c r="D1120" s="63"/>
      <c r="E1120" s="178" t="s">
        <v>66</v>
      </c>
      <c r="F1120" s="33">
        <v>100</v>
      </c>
      <c r="G1120" s="3">
        <f t="shared" si="22"/>
        <v>25.4</v>
      </c>
      <c r="K1120" s="33"/>
    </row>
    <row r="1121" spans="1:11" s="22" customFormat="1" ht="15.75" x14ac:dyDescent="0.25">
      <c r="A1121" s="6">
        <v>43964</v>
      </c>
      <c r="B1121" s="63"/>
      <c r="D1121" s="63"/>
      <c r="E1121" s="178" t="s">
        <v>66</v>
      </c>
      <c r="F1121" s="33">
        <v>100</v>
      </c>
      <c r="G1121" s="3">
        <f t="shared" si="22"/>
        <v>25.4</v>
      </c>
      <c r="K1121" s="33"/>
    </row>
    <row r="1122" spans="1:11" s="22" customFormat="1" ht="15.75" x14ac:dyDescent="0.25">
      <c r="A1122" s="6">
        <v>43964</v>
      </c>
      <c r="B1122" s="63"/>
      <c r="D1122" s="63"/>
      <c r="E1122" s="178" t="s">
        <v>66</v>
      </c>
      <c r="F1122" s="33">
        <v>150</v>
      </c>
      <c r="G1122" s="3">
        <f t="shared" si="22"/>
        <v>25.6</v>
      </c>
      <c r="K1122" s="33"/>
    </row>
    <row r="1123" spans="1:11" s="22" customFormat="1" ht="15.75" x14ac:dyDescent="0.25">
      <c r="A1123" s="6">
        <v>43964</v>
      </c>
      <c r="B1123" s="63"/>
      <c r="D1123" s="63"/>
      <c r="E1123" s="178" t="s">
        <v>66</v>
      </c>
      <c r="F1123" s="33">
        <v>100</v>
      </c>
      <c r="G1123" s="3">
        <f t="shared" si="22"/>
        <v>25.4</v>
      </c>
      <c r="K1123" s="33"/>
    </row>
    <row r="1124" spans="1:11" s="22" customFormat="1" ht="15.75" x14ac:dyDescent="0.25">
      <c r="A1124" s="6">
        <v>43964</v>
      </c>
      <c r="B1124" s="63"/>
      <c r="D1124" s="63"/>
      <c r="E1124" s="178" t="s">
        <v>66</v>
      </c>
      <c r="F1124" s="33">
        <v>100</v>
      </c>
      <c r="G1124" s="3">
        <f t="shared" si="22"/>
        <v>25.4</v>
      </c>
      <c r="K1124" s="33"/>
    </row>
    <row r="1125" spans="1:11" s="22" customFormat="1" ht="15.75" x14ac:dyDescent="0.25">
      <c r="A1125" s="6">
        <v>43964</v>
      </c>
      <c r="B1125" s="63"/>
      <c r="D1125" s="63"/>
      <c r="E1125" s="178" t="s">
        <v>66</v>
      </c>
      <c r="F1125" s="33">
        <v>300</v>
      </c>
      <c r="G1125" s="3">
        <f t="shared" si="22"/>
        <v>26.2</v>
      </c>
      <c r="K1125" s="33"/>
    </row>
    <row r="1126" spans="1:11" s="22" customFormat="1" ht="15.75" x14ac:dyDescent="0.25">
      <c r="A1126" s="6">
        <v>43964</v>
      </c>
      <c r="B1126" s="63"/>
      <c r="D1126" s="63"/>
      <c r="E1126" s="178" t="s">
        <v>66</v>
      </c>
      <c r="F1126" s="33">
        <v>100</v>
      </c>
      <c r="G1126" s="3">
        <f t="shared" si="22"/>
        <v>25.4</v>
      </c>
      <c r="K1126" s="33"/>
    </row>
    <row r="1127" spans="1:11" s="22" customFormat="1" ht="15.75" x14ac:dyDescent="0.25">
      <c r="A1127" s="6">
        <v>43964</v>
      </c>
      <c r="B1127" s="63"/>
      <c r="D1127" s="63"/>
      <c r="E1127" s="178" t="s">
        <v>66</v>
      </c>
      <c r="F1127" s="33">
        <v>200</v>
      </c>
      <c r="G1127" s="3">
        <f t="shared" si="22"/>
        <v>25.8</v>
      </c>
      <c r="K1127" s="33"/>
    </row>
    <row r="1128" spans="1:11" s="22" customFormat="1" ht="15.75" x14ac:dyDescent="0.25">
      <c r="A1128" s="6">
        <v>43964</v>
      </c>
      <c r="B1128" s="63"/>
      <c r="D1128" s="63"/>
      <c r="E1128" s="178" t="s">
        <v>66</v>
      </c>
      <c r="F1128" s="33">
        <v>100</v>
      </c>
      <c r="G1128" s="3">
        <f t="shared" si="22"/>
        <v>25.4</v>
      </c>
      <c r="K1128" s="33"/>
    </row>
    <row r="1129" spans="1:11" s="22" customFormat="1" ht="15.75" x14ac:dyDescent="0.25">
      <c r="A1129" s="6">
        <v>43964</v>
      </c>
      <c r="B1129" s="63"/>
      <c r="D1129" s="63"/>
      <c r="E1129" s="178" t="s">
        <v>66</v>
      </c>
      <c r="F1129" s="33">
        <v>200</v>
      </c>
      <c r="G1129" s="3">
        <f t="shared" si="22"/>
        <v>25.8</v>
      </c>
      <c r="K1129" s="33"/>
    </row>
    <row r="1130" spans="1:11" s="22" customFormat="1" ht="15.75" x14ac:dyDescent="0.25">
      <c r="A1130" s="6">
        <v>43964</v>
      </c>
      <c r="B1130" s="63"/>
      <c r="D1130" s="63"/>
      <c r="E1130" s="178" t="s">
        <v>66</v>
      </c>
      <c r="F1130" s="33">
        <v>200</v>
      </c>
      <c r="G1130" s="3">
        <f t="shared" si="22"/>
        <v>25.8</v>
      </c>
      <c r="K1130" s="33"/>
    </row>
    <row r="1131" spans="1:11" s="22" customFormat="1" ht="15.75" x14ac:dyDescent="0.25">
      <c r="A1131" s="6">
        <v>43964</v>
      </c>
      <c r="B1131" s="63"/>
      <c r="D1131" s="63"/>
      <c r="E1131" s="178" t="s">
        <v>66</v>
      </c>
      <c r="F1131" s="33">
        <v>200</v>
      </c>
      <c r="G1131" s="3">
        <f t="shared" si="22"/>
        <v>25.8</v>
      </c>
      <c r="K1131" s="33"/>
    </row>
    <row r="1132" spans="1:11" s="22" customFormat="1" ht="15.75" x14ac:dyDescent="0.25">
      <c r="A1132" s="6">
        <v>43964</v>
      </c>
      <c r="B1132" s="63"/>
      <c r="D1132" s="63"/>
      <c r="E1132" s="178" t="s">
        <v>66</v>
      </c>
      <c r="F1132" s="33">
        <v>200</v>
      </c>
      <c r="G1132" s="3">
        <f t="shared" si="22"/>
        <v>25.8</v>
      </c>
      <c r="K1132" s="33"/>
    </row>
    <row r="1133" spans="1:11" s="22" customFormat="1" ht="15.75" x14ac:dyDescent="0.25">
      <c r="A1133" s="6">
        <v>43964</v>
      </c>
      <c r="B1133" s="63"/>
      <c r="D1133" s="63"/>
      <c r="E1133" s="178" t="s">
        <v>66</v>
      </c>
      <c r="F1133" s="33">
        <v>200</v>
      </c>
      <c r="G1133" s="3">
        <f t="shared" si="22"/>
        <v>25.8</v>
      </c>
      <c r="K1133" s="33"/>
    </row>
    <row r="1134" spans="1:11" s="22" customFormat="1" ht="15.75" x14ac:dyDescent="0.25">
      <c r="A1134" s="6">
        <v>43964</v>
      </c>
      <c r="B1134" s="63"/>
      <c r="D1134" s="63"/>
      <c r="E1134" s="178" t="s">
        <v>66</v>
      </c>
      <c r="F1134" s="33">
        <v>200</v>
      </c>
      <c r="G1134" s="3">
        <f t="shared" si="22"/>
        <v>25.8</v>
      </c>
      <c r="K1134" s="33"/>
    </row>
    <row r="1135" spans="1:11" s="22" customFormat="1" ht="15.75" x14ac:dyDescent="0.25">
      <c r="A1135" s="6">
        <v>43964</v>
      </c>
      <c r="B1135" s="63"/>
      <c r="D1135" s="63"/>
      <c r="E1135" s="178" t="s">
        <v>66</v>
      </c>
      <c r="F1135" s="33">
        <v>300</v>
      </c>
      <c r="G1135" s="3">
        <f t="shared" si="22"/>
        <v>26.2</v>
      </c>
      <c r="K1135" s="33"/>
    </row>
    <row r="1136" spans="1:11" s="22" customFormat="1" ht="15.75" x14ac:dyDescent="0.25">
      <c r="A1136" s="6">
        <v>43964</v>
      </c>
      <c r="B1136" s="63"/>
      <c r="D1136" s="63"/>
      <c r="E1136" s="178" t="s">
        <v>66</v>
      </c>
      <c r="F1136" s="33">
        <v>200</v>
      </c>
      <c r="G1136" s="3">
        <f t="shared" si="22"/>
        <v>25.8</v>
      </c>
      <c r="K1136" s="33"/>
    </row>
    <row r="1137" spans="1:11" s="22" customFormat="1" ht="15.75" x14ac:dyDescent="0.25">
      <c r="A1137" s="6">
        <v>43964</v>
      </c>
      <c r="B1137" s="63"/>
      <c r="D1137" s="63"/>
      <c r="E1137" s="178" t="s">
        <v>66</v>
      </c>
      <c r="F1137" s="33">
        <v>300</v>
      </c>
      <c r="G1137" s="3">
        <f t="shared" si="22"/>
        <v>26.2</v>
      </c>
      <c r="K1137" s="33"/>
    </row>
    <row r="1138" spans="1:11" s="22" customFormat="1" ht="15.75" x14ac:dyDescent="0.25">
      <c r="A1138" s="6">
        <v>43964</v>
      </c>
      <c r="B1138" s="63"/>
      <c r="D1138" s="63"/>
      <c r="E1138" s="178" t="s">
        <v>66</v>
      </c>
      <c r="F1138" s="33">
        <v>200</v>
      </c>
      <c r="G1138" s="3">
        <f t="shared" si="22"/>
        <v>25.8</v>
      </c>
      <c r="K1138" s="33"/>
    </row>
    <row r="1139" spans="1:11" s="22" customFormat="1" ht="15.75" x14ac:dyDescent="0.25">
      <c r="A1139" s="6">
        <v>43964</v>
      </c>
      <c r="B1139" s="63"/>
      <c r="D1139" s="63"/>
      <c r="E1139" s="178" t="s">
        <v>66</v>
      </c>
      <c r="F1139" s="33">
        <v>100</v>
      </c>
      <c r="G1139" s="3">
        <f t="shared" si="22"/>
        <v>25.4</v>
      </c>
      <c r="K1139" s="33"/>
    </row>
    <row r="1140" spans="1:11" s="22" customFormat="1" ht="15.75" x14ac:dyDescent="0.25">
      <c r="A1140" s="6">
        <v>43964</v>
      </c>
      <c r="B1140" s="63"/>
      <c r="D1140" s="63"/>
      <c r="E1140" s="178" t="s">
        <v>66</v>
      </c>
      <c r="F1140" s="33">
        <v>100</v>
      </c>
      <c r="G1140" s="3">
        <f t="shared" si="22"/>
        <v>25.4</v>
      </c>
      <c r="K1140" s="33"/>
    </row>
    <row r="1141" spans="1:11" s="22" customFormat="1" ht="15.75" x14ac:dyDescent="0.25">
      <c r="A1141" s="6">
        <v>43964</v>
      </c>
      <c r="B1141" s="63"/>
      <c r="D1141" s="63"/>
      <c r="E1141" s="178" t="s">
        <v>66</v>
      </c>
      <c r="F1141" s="33">
        <v>200</v>
      </c>
      <c r="G1141" s="3">
        <f t="shared" si="22"/>
        <v>25.8</v>
      </c>
      <c r="K1141" s="33"/>
    </row>
    <row r="1142" spans="1:11" s="22" customFormat="1" ht="15.75" x14ac:dyDescent="0.25">
      <c r="A1142" s="6">
        <v>43964</v>
      </c>
      <c r="B1142" s="63"/>
      <c r="D1142" s="63"/>
      <c r="E1142" s="178" t="s">
        <v>66</v>
      </c>
      <c r="F1142" s="33">
        <v>150</v>
      </c>
      <c r="G1142" s="3">
        <f t="shared" si="22"/>
        <v>25.6</v>
      </c>
      <c r="K1142" s="33"/>
    </row>
    <row r="1143" spans="1:11" s="22" customFormat="1" ht="15.75" x14ac:dyDescent="0.25">
      <c r="A1143" s="6">
        <v>43964</v>
      </c>
      <c r="B1143" s="63"/>
      <c r="D1143" s="63"/>
      <c r="E1143" s="178" t="s">
        <v>66</v>
      </c>
      <c r="F1143" s="33">
        <v>100</v>
      </c>
      <c r="G1143" s="3">
        <f t="shared" si="22"/>
        <v>25.4</v>
      </c>
      <c r="K1143" s="33"/>
    </row>
    <row r="1144" spans="1:11" s="22" customFormat="1" ht="15.75" x14ac:dyDescent="0.25">
      <c r="A1144" s="6">
        <v>43964</v>
      </c>
      <c r="B1144" s="63"/>
      <c r="D1144" s="63"/>
      <c r="E1144" s="178" t="s">
        <v>66</v>
      </c>
      <c r="F1144" s="33">
        <v>200</v>
      </c>
      <c r="G1144" s="3">
        <f t="shared" si="22"/>
        <v>25.8</v>
      </c>
      <c r="K1144" s="33"/>
    </row>
    <row r="1145" spans="1:11" s="22" customFormat="1" ht="15.75" x14ac:dyDescent="0.25">
      <c r="A1145" s="6">
        <v>43964</v>
      </c>
      <c r="B1145" s="63"/>
      <c r="D1145" s="63"/>
      <c r="E1145" s="178" t="s">
        <v>66</v>
      </c>
      <c r="F1145" s="33">
        <v>200</v>
      </c>
      <c r="G1145" s="3">
        <f t="shared" si="22"/>
        <v>25.8</v>
      </c>
      <c r="K1145" s="33"/>
    </row>
    <row r="1146" spans="1:11" s="22" customFormat="1" ht="15.75" x14ac:dyDescent="0.25">
      <c r="A1146" s="6">
        <v>43964</v>
      </c>
      <c r="B1146" s="63"/>
      <c r="D1146" s="63"/>
      <c r="E1146" s="178" t="s">
        <v>66</v>
      </c>
      <c r="F1146" s="33">
        <v>500</v>
      </c>
      <c r="G1146" s="3">
        <f t="shared" si="22"/>
        <v>27</v>
      </c>
      <c r="K1146" s="33"/>
    </row>
    <row r="1147" spans="1:11" s="22" customFormat="1" ht="15.75" x14ac:dyDescent="0.25">
      <c r="A1147" s="6">
        <v>43964</v>
      </c>
      <c r="B1147" s="63"/>
      <c r="D1147" s="63"/>
      <c r="E1147" s="178" t="s">
        <v>66</v>
      </c>
      <c r="F1147" s="33">
        <v>500</v>
      </c>
      <c r="G1147" s="3">
        <f t="shared" si="22"/>
        <v>27</v>
      </c>
      <c r="K1147" s="33"/>
    </row>
    <row r="1148" spans="1:11" s="22" customFormat="1" ht="15.75" x14ac:dyDescent="0.25">
      <c r="A1148" s="6">
        <v>43964</v>
      </c>
      <c r="B1148" s="63"/>
      <c r="D1148" s="63"/>
      <c r="E1148" s="178" t="s">
        <v>66</v>
      </c>
      <c r="F1148" s="33">
        <v>100</v>
      </c>
      <c r="G1148" s="3">
        <f t="shared" si="22"/>
        <v>25.4</v>
      </c>
      <c r="K1148" s="33"/>
    </row>
    <row r="1149" spans="1:11" s="22" customFormat="1" ht="15.75" x14ac:dyDescent="0.25">
      <c r="A1149" s="6">
        <v>43964</v>
      </c>
      <c r="B1149" s="63"/>
      <c r="D1149" s="63"/>
      <c r="E1149" s="178" t="s">
        <v>66</v>
      </c>
      <c r="F1149" s="33">
        <v>100</v>
      </c>
      <c r="G1149" s="3">
        <f t="shared" si="22"/>
        <v>25.4</v>
      </c>
      <c r="K1149" s="33"/>
    </row>
    <row r="1150" spans="1:11" s="22" customFormat="1" ht="15.75" x14ac:dyDescent="0.25">
      <c r="A1150" s="6">
        <v>43964</v>
      </c>
      <c r="B1150" s="63"/>
      <c r="D1150" s="63"/>
      <c r="E1150" s="178" t="s">
        <v>66</v>
      </c>
      <c r="F1150" s="33">
        <v>100</v>
      </c>
      <c r="G1150" s="3">
        <f t="shared" si="22"/>
        <v>25.4</v>
      </c>
      <c r="K1150" s="33"/>
    </row>
    <row r="1151" spans="1:11" s="22" customFormat="1" ht="15.75" x14ac:dyDescent="0.25">
      <c r="A1151" s="6">
        <v>43964</v>
      </c>
      <c r="B1151" s="63"/>
      <c r="D1151" s="63"/>
      <c r="E1151" s="178" t="s">
        <v>66</v>
      </c>
      <c r="F1151" s="33">
        <v>100</v>
      </c>
      <c r="G1151" s="3">
        <f t="shared" si="22"/>
        <v>25.4</v>
      </c>
      <c r="K1151" s="33"/>
    </row>
    <row r="1152" spans="1:11" s="22" customFormat="1" ht="15.75" x14ac:dyDescent="0.25">
      <c r="A1152" s="6">
        <v>43964</v>
      </c>
      <c r="B1152" s="63"/>
      <c r="D1152" s="63"/>
      <c r="E1152" s="178" t="s">
        <v>66</v>
      </c>
      <c r="F1152" s="33">
        <v>100</v>
      </c>
      <c r="G1152" s="3">
        <f t="shared" si="22"/>
        <v>25.4</v>
      </c>
      <c r="K1152" s="33"/>
    </row>
    <row r="1153" spans="1:11" s="22" customFormat="1" ht="15.75" x14ac:dyDescent="0.25">
      <c r="A1153" s="6">
        <v>43964</v>
      </c>
      <c r="B1153" s="63"/>
      <c r="D1153" s="63"/>
      <c r="E1153" s="178" t="s">
        <v>66</v>
      </c>
      <c r="F1153" s="33">
        <v>100</v>
      </c>
      <c r="G1153" s="3">
        <f t="shared" si="22"/>
        <v>25.4</v>
      </c>
      <c r="K1153" s="33"/>
    </row>
    <row r="1154" spans="1:11" s="22" customFormat="1" ht="15.75" x14ac:dyDescent="0.25">
      <c r="A1154" s="6">
        <v>43964</v>
      </c>
      <c r="B1154" s="63"/>
      <c r="D1154" s="63"/>
      <c r="E1154" s="178" t="s">
        <v>66</v>
      </c>
      <c r="F1154" s="33">
        <v>200</v>
      </c>
      <c r="G1154" s="3">
        <f t="shared" si="22"/>
        <v>25.8</v>
      </c>
      <c r="K1154" s="33"/>
    </row>
    <row r="1155" spans="1:11" s="22" customFormat="1" ht="15.75" x14ac:dyDescent="0.25">
      <c r="A1155" s="6">
        <v>43964</v>
      </c>
      <c r="B1155" s="63"/>
      <c r="D1155" s="63"/>
      <c r="E1155" s="178" t="s">
        <v>66</v>
      </c>
      <c r="F1155" s="33">
        <v>200</v>
      </c>
      <c r="G1155" s="3">
        <f t="shared" si="22"/>
        <v>25.8</v>
      </c>
      <c r="K1155" s="33"/>
    </row>
    <row r="1156" spans="1:11" s="22" customFormat="1" ht="15.75" x14ac:dyDescent="0.25">
      <c r="A1156" s="6">
        <v>43964</v>
      </c>
      <c r="B1156" s="63"/>
      <c r="D1156" s="63"/>
      <c r="E1156" s="178" t="s">
        <v>66</v>
      </c>
      <c r="F1156" s="33">
        <v>100</v>
      </c>
      <c r="G1156" s="3">
        <f t="shared" si="22"/>
        <v>25.4</v>
      </c>
      <c r="K1156" s="33"/>
    </row>
    <row r="1157" spans="1:11" s="22" customFormat="1" ht="15.75" x14ac:dyDescent="0.25">
      <c r="A1157" s="6">
        <v>43964</v>
      </c>
      <c r="B1157" s="63"/>
      <c r="D1157" s="63"/>
      <c r="E1157" s="178" t="s">
        <v>66</v>
      </c>
      <c r="F1157" s="33">
        <v>100</v>
      </c>
      <c r="G1157" s="3">
        <f t="shared" si="22"/>
        <v>25.4</v>
      </c>
      <c r="K1157" s="33"/>
    </row>
    <row r="1158" spans="1:11" s="22" customFormat="1" ht="15.75" x14ac:dyDescent="0.25">
      <c r="A1158" s="6">
        <v>43964</v>
      </c>
      <c r="B1158" s="63"/>
      <c r="D1158" s="63"/>
      <c r="E1158" s="178" t="s">
        <v>66</v>
      </c>
      <c r="F1158" s="33">
        <v>100</v>
      </c>
      <c r="G1158" s="3">
        <f t="shared" si="22"/>
        <v>25.4</v>
      </c>
      <c r="K1158" s="33"/>
    </row>
    <row r="1159" spans="1:11" s="22" customFormat="1" ht="15.75" x14ac:dyDescent="0.25">
      <c r="A1159" s="6">
        <v>43964</v>
      </c>
      <c r="B1159" s="63"/>
      <c r="D1159" s="63"/>
      <c r="E1159" s="178" t="s">
        <v>66</v>
      </c>
      <c r="F1159" s="33">
        <v>100</v>
      </c>
      <c r="G1159" s="3">
        <f t="shared" si="22"/>
        <v>25.4</v>
      </c>
      <c r="K1159" s="33"/>
    </row>
    <row r="1160" spans="1:11" s="22" customFormat="1" ht="15.75" x14ac:dyDescent="0.25">
      <c r="A1160" s="6">
        <v>43964</v>
      </c>
      <c r="B1160" s="63"/>
      <c r="D1160" s="63"/>
      <c r="E1160" s="178" t="s">
        <v>66</v>
      </c>
      <c r="F1160" s="33">
        <v>100</v>
      </c>
      <c r="G1160" s="3">
        <f t="shared" si="22"/>
        <v>25.4</v>
      </c>
      <c r="K1160" s="33"/>
    </row>
    <row r="1161" spans="1:11" s="22" customFormat="1" ht="15.75" x14ac:dyDescent="0.25">
      <c r="A1161" s="6">
        <v>43964</v>
      </c>
      <c r="B1161" s="63"/>
      <c r="D1161" s="63"/>
      <c r="E1161" s="178" t="s">
        <v>66</v>
      </c>
      <c r="F1161" s="33">
        <v>100</v>
      </c>
      <c r="G1161" s="3">
        <f t="shared" si="22"/>
        <v>25.4</v>
      </c>
      <c r="K1161" s="33"/>
    </row>
    <row r="1162" spans="1:11" s="22" customFormat="1" ht="15.75" x14ac:dyDescent="0.25">
      <c r="A1162" s="6">
        <v>43964</v>
      </c>
      <c r="B1162" s="63"/>
      <c r="D1162" s="63"/>
      <c r="E1162" s="178" t="s">
        <v>66</v>
      </c>
      <c r="F1162" s="33">
        <v>100</v>
      </c>
      <c r="G1162" s="3">
        <f t="shared" si="22"/>
        <v>25.4</v>
      </c>
      <c r="K1162" s="33"/>
    </row>
    <row r="1163" spans="1:11" s="22" customFormat="1" ht="15.75" x14ac:dyDescent="0.25">
      <c r="A1163" s="6">
        <v>43964</v>
      </c>
      <c r="B1163" s="63"/>
      <c r="D1163" s="63"/>
      <c r="E1163" s="178" t="s">
        <v>66</v>
      </c>
      <c r="F1163" s="33">
        <v>250</v>
      </c>
      <c r="G1163" s="3">
        <f t="shared" si="22"/>
        <v>26</v>
      </c>
      <c r="K1163" s="33"/>
    </row>
    <row r="1164" spans="1:11" s="22" customFormat="1" ht="15.75" x14ac:dyDescent="0.25">
      <c r="A1164" s="6">
        <v>43964</v>
      </c>
      <c r="B1164" s="63"/>
      <c r="D1164" s="63"/>
      <c r="E1164" s="178" t="s">
        <v>66</v>
      </c>
      <c r="F1164" s="33">
        <v>100</v>
      </c>
      <c r="G1164" s="3">
        <f t="shared" si="22"/>
        <v>25.4</v>
      </c>
      <c r="K1164" s="33"/>
    </row>
    <row r="1165" spans="1:11" s="22" customFormat="1" ht="15.75" x14ac:dyDescent="0.25">
      <c r="A1165" s="6">
        <v>43964</v>
      </c>
      <c r="B1165" s="63"/>
      <c r="D1165" s="63"/>
      <c r="E1165" s="178" t="s">
        <v>66</v>
      </c>
      <c r="F1165" s="33">
        <v>100</v>
      </c>
      <c r="G1165" s="3">
        <f t="shared" si="22"/>
        <v>25.4</v>
      </c>
      <c r="K1165" s="33"/>
    </row>
    <row r="1166" spans="1:11" s="22" customFormat="1" ht="15.75" x14ac:dyDescent="0.25">
      <c r="A1166" s="6">
        <v>43965</v>
      </c>
      <c r="B1166" s="63"/>
      <c r="D1166" s="63"/>
      <c r="E1166" s="178"/>
      <c r="F1166" s="2">
        <v>9500</v>
      </c>
      <c r="G1166" s="3">
        <f t="shared" si="22"/>
        <v>20</v>
      </c>
      <c r="K1166" s="33"/>
    </row>
    <row r="1167" spans="1:11" s="22" customFormat="1" ht="15.75" x14ac:dyDescent="0.25">
      <c r="A1167" s="6">
        <v>43965</v>
      </c>
      <c r="B1167" s="63"/>
      <c r="D1167" s="63"/>
      <c r="E1167" s="178"/>
      <c r="F1167" s="2">
        <v>500</v>
      </c>
      <c r="G1167" s="3">
        <f t="shared" si="22"/>
        <v>2</v>
      </c>
      <c r="K1167" s="33"/>
    </row>
    <row r="1168" spans="1:11" s="22" customFormat="1" ht="15.75" x14ac:dyDescent="0.25">
      <c r="A1168" s="6">
        <v>43965</v>
      </c>
      <c r="B1168" s="63"/>
      <c r="D1168" s="63"/>
      <c r="E1168" s="178" t="s">
        <v>66</v>
      </c>
      <c r="F1168" s="33">
        <v>100</v>
      </c>
      <c r="G1168" s="3">
        <f t="shared" si="22"/>
        <v>25.4</v>
      </c>
      <c r="K1168" s="33"/>
    </row>
    <row r="1169" spans="1:11" s="22" customFormat="1" ht="15.75" x14ac:dyDescent="0.25">
      <c r="A1169" s="6">
        <v>43965</v>
      </c>
      <c r="B1169" s="63"/>
      <c r="D1169" s="63"/>
      <c r="E1169" s="178" t="s">
        <v>66</v>
      </c>
      <c r="F1169" s="33">
        <v>200</v>
      </c>
      <c r="G1169" s="3">
        <f t="shared" si="22"/>
        <v>25.8</v>
      </c>
      <c r="K1169" s="33"/>
    </row>
    <row r="1170" spans="1:11" s="22" customFormat="1" ht="15.75" x14ac:dyDescent="0.25">
      <c r="A1170" s="6">
        <v>43965</v>
      </c>
      <c r="B1170" s="63"/>
      <c r="D1170" s="63"/>
      <c r="E1170" s="178" t="s">
        <v>66</v>
      </c>
      <c r="F1170" s="33">
        <v>200</v>
      </c>
      <c r="G1170" s="3">
        <f t="shared" si="22"/>
        <v>25.8</v>
      </c>
      <c r="K1170" s="33"/>
    </row>
    <row r="1171" spans="1:11" s="22" customFormat="1" ht="15.75" x14ac:dyDescent="0.25">
      <c r="A1171" s="6">
        <v>43965</v>
      </c>
      <c r="B1171" s="63"/>
      <c r="D1171" s="63"/>
      <c r="E1171" s="178" t="s">
        <v>66</v>
      </c>
      <c r="F1171" s="33">
        <v>200</v>
      </c>
      <c r="G1171" s="3">
        <f t="shared" si="22"/>
        <v>25.8</v>
      </c>
      <c r="K1171" s="33"/>
    </row>
    <row r="1172" spans="1:11" s="22" customFormat="1" ht="15.75" x14ac:dyDescent="0.25">
      <c r="A1172" s="6">
        <v>43965</v>
      </c>
      <c r="B1172" s="63"/>
      <c r="D1172" s="63"/>
      <c r="E1172" s="178" t="s">
        <v>66</v>
      </c>
      <c r="F1172" s="33">
        <v>100</v>
      </c>
      <c r="G1172" s="3">
        <f t="shared" si="22"/>
        <v>25.4</v>
      </c>
      <c r="K1172" s="33"/>
    </row>
    <row r="1173" spans="1:11" s="22" customFormat="1" ht="15.75" x14ac:dyDescent="0.25">
      <c r="A1173" s="6">
        <v>43965</v>
      </c>
      <c r="B1173" s="63"/>
      <c r="D1173" s="63"/>
      <c r="E1173" s="178" t="s">
        <v>66</v>
      </c>
      <c r="F1173" s="33">
        <v>100</v>
      </c>
      <c r="G1173" s="3">
        <f t="shared" si="22"/>
        <v>25.4</v>
      </c>
      <c r="K1173" s="33"/>
    </row>
    <row r="1174" spans="1:11" s="22" customFormat="1" ht="15.75" x14ac:dyDescent="0.25">
      <c r="A1174" s="6">
        <v>43965</v>
      </c>
      <c r="B1174" s="63"/>
      <c r="D1174" s="63"/>
      <c r="E1174" s="178" t="s">
        <v>66</v>
      </c>
      <c r="F1174" s="33">
        <v>100</v>
      </c>
      <c r="G1174" s="3">
        <f t="shared" si="22"/>
        <v>25.4</v>
      </c>
      <c r="K1174" s="33"/>
    </row>
    <row r="1175" spans="1:11" s="22" customFormat="1" ht="15.75" x14ac:dyDescent="0.25">
      <c r="A1175" s="6">
        <v>43965</v>
      </c>
      <c r="B1175" s="63"/>
      <c r="D1175" s="63"/>
      <c r="E1175" s="178" t="s">
        <v>66</v>
      </c>
      <c r="F1175" s="33">
        <v>200</v>
      </c>
      <c r="G1175" s="3">
        <f t="shared" si="22"/>
        <v>25.8</v>
      </c>
      <c r="K1175" s="33"/>
    </row>
    <row r="1176" spans="1:11" s="22" customFormat="1" ht="15.75" x14ac:dyDescent="0.25">
      <c r="A1176" s="6">
        <v>43965</v>
      </c>
      <c r="B1176" s="63"/>
      <c r="D1176" s="63"/>
      <c r="E1176" s="178" t="s">
        <v>66</v>
      </c>
      <c r="F1176" s="33">
        <v>200</v>
      </c>
      <c r="G1176" s="3">
        <f t="shared" si="22"/>
        <v>25.8</v>
      </c>
      <c r="K1176" s="33"/>
    </row>
    <row r="1177" spans="1:11" s="22" customFormat="1" ht="15.75" x14ac:dyDescent="0.25">
      <c r="A1177" s="6">
        <v>43965</v>
      </c>
      <c r="B1177" s="63"/>
      <c r="D1177" s="63"/>
      <c r="E1177" s="178" t="s">
        <v>66</v>
      </c>
      <c r="F1177" s="33">
        <v>100</v>
      </c>
      <c r="G1177" s="3">
        <f t="shared" si="22"/>
        <v>25.4</v>
      </c>
      <c r="K1177" s="33"/>
    </row>
    <row r="1178" spans="1:11" s="22" customFormat="1" ht="15.75" x14ac:dyDescent="0.25">
      <c r="A1178" s="6">
        <v>43965</v>
      </c>
      <c r="B1178" s="63"/>
      <c r="D1178" s="63"/>
      <c r="E1178" s="178" t="s">
        <v>66</v>
      </c>
      <c r="F1178" s="33">
        <v>100</v>
      </c>
      <c r="G1178" s="3">
        <f t="shared" si="22"/>
        <v>25.4</v>
      </c>
      <c r="K1178" s="33"/>
    </row>
    <row r="1179" spans="1:11" s="22" customFormat="1" ht="15.75" x14ac:dyDescent="0.25">
      <c r="A1179" s="6">
        <v>43965</v>
      </c>
      <c r="B1179" s="63"/>
      <c r="D1179" s="63"/>
      <c r="E1179" s="178" t="s">
        <v>66</v>
      </c>
      <c r="F1179" s="33">
        <v>100</v>
      </c>
      <c r="G1179" s="3">
        <f t="shared" si="22"/>
        <v>25.4</v>
      </c>
      <c r="K1179" s="33"/>
    </row>
    <row r="1180" spans="1:11" s="22" customFormat="1" ht="15.75" x14ac:dyDescent="0.25">
      <c r="A1180" s="6">
        <v>43965</v>
      </c>
      <c r="B1180" s="63"/>
      <c r="D1180" s="63"/>
      <c r="E1180" s="178" t="s">
        <v>66</v>
      </c>
      <c r="F1180" s="33">
        <v>100</v>
      </c>
      <c r="G1180" s="3">
        <f t="shared" si="22"/>
        <v>25.4</v>
      </c>
      <c r="K1180" s="33"/>
    </row>
    <row r="1181" spans="1:11" s="22" customFormat="1" ht="15.75" x14ac:dyDescent="0.25">
      <c r="A1181" s="6">
        <v>43965</v>
      </c>
      <c r="B1181" s="63"/>
      <c r="D1181" s="63"/>
      <c r="E1181" s="178" t="s">
        <v>66</v>
      </c>
      <c r="F1181" s="33">
        <v>100</v>
      </c>
      <c r="G1181" s="3">
        <f t="shared" si="22"/>
        <v>25.4</v>
      </c>
      <c r="K1181" s="33"/>
    </row>
    <row r="1182" spans="1:11" s="22" customFormat="1" ht="15.75" x14ac:dyDescent="0.25">
      <c r="A1182" s="6">
        <v>43965</v>
      </c>
      <c r="B1182" s="63"/>
      <c r="D1182" s="63"/>
      <c r="E1182" s="178" t="s">
        <v>66</v>
      </c>
      <c r="F1182" s="33">
        <v>100</v>
      </c>
      <c r="G1182" s="3">
        <f t="shared" si="22"/>
        <v>25.4</v>
      </c>
      <c r="K1182" s="33"/>
    </row>
    <row r="1183" spans="1:11" s="22" customFormat="1" ht="15.75" x14ac:dyDescent="0.25">
      <c r="A1183" s="6">
        <v>43965</v>
      </c>
      <c r="B1183" s="63"/>
      <c r="D1183" s="63"/>
      <c r="E1183" s="178" t="s">
        <v>66</v>
      </c>
      <c r="F1183" s="33">
        <v>100</v>
      </c>
      <c r="G1183" s="3">
        <f t="shared" si="22"/>
        <v>25.4</v>
      </c>
      <c r="K1183" s="33"/>
    </row>
    <row r="1184" spans="1:11" s="22" customFormat="1" ht="15.75" x14ac:dyDescent="0.25">
      <c r="A1184" s="6">
        <v>43965</v>
      </c>
      <c r="B1184" s="63"/>
      <c r="D1184" s="63"/>
      <c r="E1184" s="178" t="s">
        <v>66</v>
      </c>
      <c r="F1184" s="33">
        <v>100</v>
      </c>
      <c r="G1184" s="3">
        <f t="shared" si="22"/>
        <v>25.4</v>
      </c>
      <c r="K1184" s="33"/>
    </row>
    <row r="1185" spans="1:11" s="22" customFormat="1" ht="15.75" x14ac:dyDescent="0.25">
      <c r="A1185" s="6">
        <v>43965</v>
      </c>
      <c r="B1185" s="63"/>
      <c r="D1185" s="63"/>
      <c r="E1185" s="178" t="s">
        <v>66</v>
      </c>
      <c r="F1185" s="33">
        <v>100</v>
      </c>
      <c r="G1185" s="3">
        <f t="shared" si="22"/>
        <v>25.4</v>
      </c>
      <c r="K1185" s="33"/>
    </row>
    <row r="1186" spans="1:11" s="22" customFormat="1" ht="15.75" x14ac:dyDescent="0.25">
      <c r="A1186" s="6">
        <v>43965</v>
      </c>
      <c r="B1186" s="63"/>
      <c r="D1186" s="63"/>
      <c r="E1186" s="178" t="s">
        <v>66</v>
      </c>
      <c r="F1186" s="33">
        <v>100</v>
      </c>
      <c r="G1186" s="3">
        <f t="shared" si="22"/>
        <v>25.4</v>
      </c>
      <c r="K1186" s="33"/>
    </row>
    <row r="1187" spans="1:11" s="22" customFormat="1" ht="15.75" x14ac:dyDescent="0.25">
      <c r="A1187" s="6">
        <v>43965</v>
      </c>
      <c r="B1187" s="63"/>
      <c r="D1187" s="63"/>
      <c r="E1187" s="178" t="s">
        <v>66</v>
      </c>
      <c r="F1187" s="33">
        <v>100</v>
      </c>
      <c r="G1187" s="3">
        <f t="shared" si="22"/>
        <v>25.4</v>
      </c>
      <c r="K1187" s="33"/>
    </row>
    <row r="1188" spans="1:11" s="22" customFormat="1" ht="15.75" x14ac:dyDescent="0.25">
      <c r="A1188" s="6">
        <v>43965</v>
      </c>
      <c r="B1188" s="63"/>
      <c r="D1188" s="63"/>
      <c r="E1188" s="178" t="s">
        <v>66</v>
      </c>
      <c r="F1188" s="33">
        <v>100</v>
      </c>
      <c r="G1188" s="3">
        <f t="shared" si="22"/>
        <v>25.4</v>
      </c>
      <c r="K1188" s="33"/>
    </row>
    <row r="1189" spans="1:11" s="22" customFormat="1" ht="15.75" x14ac:dyDescent="0.25">
      <c r="A1189" s="6">
        <v>43965</v>
      </c>
      <c r="B1189" s="63"/>
      <c r="D1189" s="63"/>
      <c r="E1189" s="178" t="s">
        <v>66</v>
      </c>
      <c r="F1189" s="33">
        <v>100</v>
      </c>
      <c r="G1189" s="3">
        <f t="shared" si="22"/>
        <v>25.4</v>
      </c>
      <c r="K1189" s="33"/>
    </row>
    <row r="1190" spans="1:11" s="22" customFormat="1" ht="15.75" x14ac:dyDescent="0.25">
      <c r="A1190" s="6">
        <v>43965</v>
      </c>
      <c r="B1190" s="63"/>
      <c r="D1190" s="63"/>
      <c r="E1190" s="178" t="s">
        <v>66</v>
      </c>
      <c r="F1190" s="33">
        <v>100</v>
      </c>
      <c r="G1190" s="3">
        <f t="shared" si="22"/>
        <v>25.4</v>
      </c>
      <c r="K1190" s="33"/>
    </row>
    <row r="1191" spans="1:11" s="22" customFormat="1" ht="15.75" x14ac:dyDescent="0.25">
      <c r="A1191" s="6">
        <v>43965</v>
      </c>
      <c r="B1191" s="63"/>
      <c r="D1191" s="63"/>
      <c r="E1191" s="178" t="s">
        <v>66</v>
      </c>
      <c r="F1191" s="33">
        <v>100</v>
      </c>
      <c r="G1191" s="3">
        <f t="shared" si="22"/>
        <v>25.4</v>
      </c>
      <c r="K1191" s="33"/>
    </row>
    <row r="1192" spans="1:11" s="22" customFormat="1" ht="15.75" x14ac:dyDescent="0.25">
      <c r="A1192" s="6">
        <v>43965</v>
      </c>
      <c r="B1192" s="63"/>
      <c r="D1192" s="63"/>
      <c r="E1192" s="178" t="s">
        <v>66</v>
      </c>
      <c r="F1192" s="33">
        <v>100</v>
      </c>
      <c r="G1192" s="3">
        <f t="shared" si="22"/>
        <v>25.4</v>
      </c>
      <c r="K1192" s="33"/>
    </row>
    <row r="1193" spans="1:11" s="22" customFormat="1" ht="15.75" x14ac:dyDescent="0.25">
      <c r="A1193" s="6">
        <v>43965</v>
      </c>
      <c r="B1193" s="63"/>
      <c r="D1193" s="63"/>
      <c r="E1193" s="178" t="s">
        <v>66</v>
      </c>
      <c r="F1193" s="33">
        <v>100</v>
      </c>
      <c r="G1193" s="3">
        <f t="shared" si="22"/>
        <v>25.4</v>
      </c>
      <c r="K1193" s="33"/>
    </row>
    <row r="1194" spans="1:11" s="22" customFormat="1" ht="15.75" x14ac:dyDescent="0.25">
      <c r="A1194" s="6">
        <v>43965</v>
      </c>
      <c r="B1194" s="63"/>
      <c r="D1194" s="63"/>
      <c r="E1194" s="178" t="s">
        <v>66</v>
      </c>
      <c r="F1194" s="33">
        <v>200</v>
      </c>
      <c r="G1194" s="3">
        <f t="shared" si="22"/>
        <v>25.8</v>
      </c>
      <c r="K1194" s="33"/>
    </row>
    <row r="1195" spans="1:11" s="22" customFormat="1" ht="15.75" x14ac:dyDescent="0.25">
      <c r="A1195" s="6">
        <v>43965</v>
      </c>
      <c r="B1195" s="63"/>
      <c r="D1195" s="63"/>
      <c r="E1195" s="178" t="s">
        <v>66</v>
      </c>
      <c r="F1195" s="33">
        <v>200</v>
      </c>
      <c r="G1195" s="3">
        <f t="shared" si="22"/>
        <v>25.8</v>
      </c>
      <c r="K1195" s="33"/>
    </row>
    <row r="1196" spans="1:11" s="22" customFormat="1" ht="15.75" x14ac:dyDescent="0.25">
      <c r="A1196" s="6">
        <v>43965</v>
      </c>
      <c r="B1196" s="63"/>
      <c r="D1196" s="63"/>
      <c r="E1196" s="178" t="s">
        <v>66</v>
      </c>
      <c r="F1196" s="33">
        <v>200</v>
      </c>
      <c r="G1196" s="3">
        <f t="shared" si="22"/>
        <v>25.8</v>
      </c>
      <c r="K1196" s="33"/>
    </row>
    <row r="1197" spans="1:11" s="22" customFormat="1" ht="15.75" x14ac:dyDescent="0.25">
      <c r="A1197" s="6">
        <v>43965</v>
      </c>
      <c r="B1197" s="63"/>
      <c r="D1197" s="63"/>
      <c r="E1197" s="178" t="s">
        <v>66</v>
      </c>
      <c r="F1197" s="33">
        <v>100</v>
      </c>
      <c r="G1197" s="3">
        <f t="shared" si="22"/>
        <v>25.4</v>
      </c>
      <c r="K1197" s="33"/>
    </row>
    <row r="1198" spans="1:11" s="22" customFormat="1" ht="15.75" x14ac:dyDescent="0.25">
      <c r="A1198" s="6">
        <v>43965</v>
      </c>
      <c r="B1198" s="63"/>
      <c r="D1198" s="63"/>
      <c r="E1198" s="178" t="s">
        <v>66</v>
      </c>
      <c r="F1198" s="33">
        <v>100</v>
      </c>
      <c r="G1198" s="3">
        <f t="shared" si="22"/>
        <v>25.4</v>
      </c>
      <c r="K1198" s="33"/>
    </row>
    <row r="1199" spans="1:11" s="22" customFormat="1" ht="15.75" x14ac:dyDescent="0.25">
      <c r="A1199" s="6">
        <v>43965</v>
      </c>
      <c r="B1199" s="63"/>
      <c r="D1199" s="63"/>
      <c r="E1199" s="178" t="s">
        <v>66</v>
      </c>
      <c r="F1199" s="33">
        <v>100</v>
      </c>
      <c r="G1199" s="3">
        <f t="shared" si="22"/>
        <v>25.4</v>
      </c>
      <c r="K1199" s="33"/>
    </row>
    <row r="1200" spans="1:11" s="22" customFormat="1" ht="15.75" x14ac:dyDescent="0.25">
      <c r="A1200" s="6">
        <v>43965</v>
      </c>
      <c r="B1200" s="63"/>
      <c r="D1200" s="63"/>
      <c r="E1200" s="178" t="s">
        <v>66</v>
      </c>
      <c r="F1200" s="33">
        <v>100</v>
      </c>
      <c r="G1200" s="3">
        <f t="shared" si="22"/>
        <v>25.4</v>
      </c>
      <c r="K1200" s="33"/>
    </row>
    <row r="1201" spans="1:11" s="22" customFormat="1" ht="15.75" x14ac:dyDescent="0.25">
      <c r="A1201" s="6">
        <v>43965</v>
      </c>
      <c r="B1201" s="63"/>
      <c r="D1201" s="63"/>
      <c r="E1201" s="178" t="s">
        <v>66</v>
      </c>
      <c r="F1201" s="33">
        <v>100</v>
      </c>
      <c r="G1201" s="3">
        <f t="shared" si="22"/>
        <v>25.4</v>
      </c>
      <c r="K1201" s="33"/>
    </row>
    <row r="1202" spans="1:11" s="22" customFormat="1" ht="15.75" x14ac:dyDescent="0.25">
      <c r="A1202" s="6">
        <v>43965</v>
      </c>
      <c r="B1202" s="63"/>
      <c r="D1202" s="63"/>
      <c r="E1202" s="178" t="s">
        <v>66</v>
      </c>
      <c r="F1202" s="33">
        <v>100</v>
      </c>
      <c r="G1202" s="3">
        <f t="shared" si="22"/>
        <v>25.4</v>
      </c>
      <c r="K1202" s="33"/>
    </row>
    <row r="1203" spans="1:11" s="22" customFormat="1" ht="15.75" x14ac:dyDescent="0.25">
      <c r="A1203" s="6">
        <v>43965</v>
      </c>
      <c r="B1203" s="63"/>
      <c r="D1203" s="63"/>
      <c r="E1203" s="178" t="s">
        <v>66</v>
      </c>
      <c r="F1203" s="33">
        <v>100</v>
      </c>
      <c r="G1203" s="3">
        <f t="shared" si="22"/>
        <v>25.4</v>
      </c>
      <c r="K1203" s="33"/>
    </row>
    <row r="1204" spans="1:11" s="22" customFormat="1" ht="15.75" x14ac:dyDescent="0.25">
      <c r="A1204" s="6">
        <v>43965</v>
      </c>
      <c r="B1204" s="63"/>
      <c r="D1204" s="63"/>
      <c r="E1204" s="178" t="s">
        <v>66</v>
      </c>
      <c r="F1204" s="33">
        <v>100</v>
      </c>
      <c r="G1204" s="3">
        <f t="shared" si="22"/>
        <v>25.4</v>
      </c>
      <c r="K1204" s="33"/>
    </row>
    <row r="1205" spans="1:11" s="22" customFormat="1" ht="15.75" x14ac:dyDescent="0.25">
      <c r="A1205" s="6">
        <v>43965</v>
      </c>
      <c r="B1205" s="63"/>
      <c r="D1205" s="63"/>
      <c r="E1205" s="178" t="s">
        <v>66</v>
      </c>
      <c r="F1205" s="33">
        <v>100</v>
      </c>
      <c r="G1205" s="3">
        <f t="shared" si="22"/>
        <v>25.4</v>
      </c>
      <c r="K1205" s="33"/>
    </row>
    <row r="1206" spans="1:11" s="22" customFormat="1" ht="15.75" x14ac:dyDescent="0.25">
      <c r="A1206" s="6">
        <v>43965</v>
      </c>
      <c r="B1206" s="63"/>
      <c r="D1206" s="63"/>
      <c r="E1206" s="178" t="s">
        <v>66</v>
      </c>
      <c r="F1206" s="33">
        <v>200</v>
      </c>
      <c r="G1206" s="3">
        <f t="shared" si="22"/>
        <v>25.8</v>
      </c>
      <c r="K1206" s="33"/>
    </row>
    <row r="1207" spans="1:11" s="22" customFormat="1" ht="15.75" x14ac:dyDescent="0.25">
      <c r="A1207" s="6">
        <v>43965</v>
      </c>
      <c r="B1207" s="63"/>
      <c r="D1207" s="63"/>
      <c r="E1207" s="178" t="s">
        <v>66</v>
      </c>
      <c r="F1207" s="33">
        <v>200</v>
      </c>
      <c r="G1207" s="3">
        <f t="shared" si="22"/>
        <v>25.8</v>
      </c>
      <c r="K1207" s="33"/>
    </row>
    <row r="1208" spans="1:11" s="22" customFormat="1" ht="15.75" x14ac:dyDescent="0.25">
      <c r="A1208" s="6">
        <v>43965</v>
      </c>
      <c r="B1208" s="63"/>
      <c r="D1208" s="63"/>
      <c r="E1208" s="178" t="s">
        <v>66</v>
      </c>
      <c r="F1208" s="33">
        <v>200</v>
      </c>
      <c r="G1208" s="3">
        <f t="shared" si="22"/>
        <v>25.8</v>
      </c>
      <c r="K1208" s="33"/>
    </row>
    <row r="1209" spans="1:11" s="22" customFormat="1" ht="15.75" x14ac:dyDescent="0.25">
      <c r="A1209" s="6">
        <v>43965</v>
      </c>
      <c r="B1209" s="63"/>
      <c r="D1209" s="63"/>
      <c r="E1209" s="178" t="s">
        <v>66</v>
      </c>
      <c r="F1209" s="33">
        <v>100</v>
      </c>
      <c r="G1209" s="3">
        <f t="shared" si="22"/>
        <v>25.4</v>
      </c>
      <c r="K1209" s="33"/>
    </row>
    <row r="1210" spans="1:11" s="22" customFormat="1" ht="15.75" x14ac:dyDescent="0.25">
      <c r="A1210" s="6">
        <v>43965</v>
      </c>
      <c r="B1210" s="63"/>
      <c r="D1210" s="63"/>
      <c r="E1210" s="178" t="s">
        <v>66</v>
      </c>
      <c r="F1210" s="33">
        <v>100</v>
      </c>
      <c r="G1210" s="3">
        <f t="shared" si="22"/>
        <v>25.4</v>
      </c>
      <c r="K1210" s="33"/>
    </row>
    <row r="1211" spans="1:11" s="22" customFormat="1" ht="15.75" x14ac:dyDescent="0.25">
      <c r="A1211" s="6">
        <v>43965</v>
      </c>
      <c r="B1211" s="63"/>
      <c r="D1211" s="63"/>
      <c r="E1211" s="178" t="s">
        <v>66</v>
      </c>
      <c r="F1211" s="33">
        <v>100</v>
      </c>
      <c r="G1211" s="3">
        <f t="shared" si="22"/>
        <v>25.4</v>
      </c>
      <c r="K1211" s="33"/>
    </row>
    <row r="1212" spans="1:11" s="22" customFormat="1" ht="15.75" x14ac:dyDescent="0.25">
      <c r="A1212" s="6">
        <v>43965</v>
      </c>
      <c r="B1212" s="63"/>
      <c r="D1212" s="63"/>
      <c r="E1212" s="178" t="s">
        <v>66</v>
      </c>
      <c r="F1212" s="33">
        <v>100</v>
      </c>
      <c r="G1212" s="3">
        <f t="shared" si="22"/>
        <v>25.4</v>
      </c>
      <c r="K1212" s="33"/>
    </row>
    <row r="1213" spans="1:11" s="22" customFormat="1" ht="15.75" x14ac:dyDescent="0.25">
      <c r="A1213" s="6">
        <v>43965</v>
      </c>
      <c r="B1213" s="63"/>
      <c r="D1213" s="63"/>
      <c r="E1213" s="178" t="s">
        <v>66</v>
      </c>
      <c r="F1213" s="33">
        <v>100</v>
      </c>
      <c r="G1213" s="3">
        <f t="shared" si="22"/>
        <v>25.4</v>
      </c>
      <c r="K1213" s="33"/>
    </row>
    <row r="1214" spans="1:11" s="22" customFormat="1" ht="15.75" x14ac:dyDescent="0.25">
      <c r="A1214" s="6">
        <v>43965</v>
      </c>
      <c r="B1214" s="63"/>
      <c r="D1214" s="63"/>
      <c r="E1214" s="178" t="s">
        <v>66</v>
      </c>
      <c r="F1214" s="33">
        <v>100</v>
      </c>
      <c r="G1214" s="3">
        <f t="shared" si="22"/>
        <v>25.4</v>
      </c>
      <c r="K1214" s="33"/>
    </row>
    <row r="1215" spans="1:11" s="22" customFormat="1" ht="15.75" x14ac:dyDescent="0.25">
      <c r="A1215" s="6">
        <v>43965</v>
      </c>
      <c r="B1215" s="63"/>
      <c r="D1215" s="63"/>
      <c r="E1215" s="178" t="s">
        <v>66</v>
      </c>
      <c r="F1215" s="33">
        <v>100</v>
      </c>
      <c r="G1215" s="3">
        <f t="shared" si="22"/>
        <v>25.4</v>
      </c>
      <c r="K1215" s="33"/>
    </row>
    <row r="1216" spans="1:11" s="22" customFormat="1" ht="15.75" x14ac:dyDescent="0.25">
      <c r="A1216" s="6">
        <v>43965</v>
      </c>
      <c r="B1216" s="63"/>
      <c r="D1216" s="63"/>
      <c r="E1216" s="178" t="s">
        <v>66</v>
      </c>
      <c r="F1216" s="33">
        <v>100</v>
      </c>
      <c r="G1216" s="3">
        <f t="shared" si="22"/>
        <v>25.4</v>
      </c>
      <c r="K1216" s="33"/>
    </row>
    <row r="1217" spans="1:11" s="22" customFormat="1" ht="15.75" x14ac:dyDescent="0.25">
      <c r="A1217" s="6">
        <v>43965</v>
      </c>
      <c r="B1217" s="63"/>
      <c r="D1217" s="63"/>
      <c r="E1217" s="178" t="s">
        <v>66</v>
      </c>
      <c r="F1217" s="33">
        <v>200</v>
      </c>
      <c r="G1217" s="3">
        <f t="shared" si="22"/>
        <v>25.8</v>
      </c>
      <c r="K1217" s="33"/>
    </row>
    <row r="1218" spans="1:11" s="22" customFormat="1" ht="15.75" x14ac:dyDescent="0.25">
      <c r="A1218" s="6">
        <v>43965</v>
      </c>
      <c r="B1218" s="63"/>
      <c r="D1218" s="63"/>
      <c r="E1218" s="178" t="s">
        <v>66</v>
      </c>
      <c r="F1218" s="33">
        <v>100</v>
      </c>
      <c r="G1218" s="3">
        <f t="shared" si="22"/>
        <v>25.4</v>
      </c>
      <c r="K1218" s="33"/>
    </row>
    <row r="1219" spans="1:11" s="22" customFormat="1" ht="15.75" x14ac:dyDescent="0.25">
      <c r="A1219" s="6">
        <v>43965</v>
      </c>
      <c r="B1219" s="63"/>
      <c r="D1219" s="63"/>
      <c r="E1219" s="178" t="s">
        <v>66</v>
      </c>
      <c r="F1219" s="33">
        <v>100</v>
      </c>
      <c r="G1219" s="3">
        <f t="shared" si="22"/>
        <v>25.4</v>
      </c>
      <c r="K1219" s="33"/>
    </row>
    <row r="1220" spans="1:11" s="22" customFormat="1" ht="15.75" x14ac:dyDescent="0.25">
      <c r="A1220" s="6">
        <v>43965</v>
      </c>
      <c r="B1220" s="63"/>
      <c r="D1220" s="63"/>
      <c r="E1220" s="178" t="s">
        <v>66</v>
      </c>
      <c r="F1220" s="33">
        <v>100</v>
      </c>
      <c r="G1220" s="3">
        <f t="shared" si="22"/>
        <v>25.4</v>
      </c>
      <c r="K1220" s="33"/>
    </row>
    <row r="1221" spans="1:11" s="22" customFormat="1" ht="15.75" x14ac:dyDescent="0.25">
      <c r="A1221" s="6">
        <v>43966</v>
      </c>
      <c r="B1221" s="63"/>
      <c r="D1221" s="63"/>
      <c r="E1221" s="178" t="s">
        <v>66</v>
      </c>
      <c r="F1221" s="33">
        <v>100</v>
      </c>
      <c r="G1221" s="3">
        <f t="shared" si="22"/>
        <v>25.4</v>
      </c>
      <c r="K1221" s="33"/>
    </row>
    <row r="1222" spans="1:11" s="22" customFormat="1" ht="15.75" x14ac:dyDescent="0.25">
      <c r="A1222" s="6">
        <v>43966</v>
      </c>
      <c r="B1222" s="63"/>
      <c r="D1222" s="63"/>
      <c r="E1222" s="178" t="s">
        <v>66</v>
      </c>
      <c r="F1222" s="33">
        <v>100</v>
      </c>
      <c r="G1222" s="3">
        <f t="shared" si="22"/>
        <v>25.4</v>
      </c>
      <c r="K1222" s="33"/>
    </row>
    <row r="1223" spans="1:11" s="22" customFormat="1" ht="15.75" x14ac:dyDescent="0.25">
      <c r="A1223" s="6">
        <v>43966</v>
      </c>
      <c r="B1223" s="63"/>
      <c r="D1223" s="63"/>
      <c r="E1223" s="178" t="s">
        <v>66</v>
      </c>
      <c r="F1223" s="33">
        <v>100</v>
      </c>
      <c r="G1223" s="3">
        <f t="shared" si="22"/>
        <v>25.4</v>
      </c>
      <c r="K1223" s="33"/>
    </row>
    <row r="1224" spans="1:11" s="22" customFormat="1" ht="15.75" x14ac:dyDescent="0.25">
      <c r="A1224" s="6">
        <v>43966</v>
      </c>
      <c r="B1224" s="63"/>
      <c r="D1224" s="63"/>
      <c r="E1224" s="178" t="s">
        <v>66</v>
      </c>
      <c r="F1224" s="33">
        <v>100</v>
      </c>
      <c r="G1224" s="3">
        <f t="shared" si="22"/>
        <v>25.4</v>
      </c>
      <c r="K1224" s="33"/>
    </row>
    <row r="1225" spans="1:11" s="22" customFormat="1" ht="15.75" x14ac:dyDescent="0.25">
      <c r="A1225" s="6">
        <v>43966</v>
      </c>
      <c r="B1225" s="63"/>
      <c r="D1225" s="63"/>
      <c r="E1225" s="178" t="s">
        <v>66</v>
      </c>
      <c r="F1225" s="33">
        <v>200</v>
      </c>
      <c r="G1225" s="3">
        <f t="shared" si="22"/>
        <v>25.8</v>
      </c>
      <c r="K1225" s="33"/>
    </row>
    <row r="1226" spans="1:11" s="22" customFormat="1" ht="15.75" x14ac:dyDescent="0.25">
      <c r="A1226" s="6">
        <v>43966</v>
      </c>
      <c r="B1226" s="63"/>
      <c r="D1226" s="63"/>
      <c r="E1226" s="178" t="s">
        <v>66</v>
      </c>
      <c r="F1226" s="33">
        <v>200</v>
      </c>
      <c r="G1226" s="3">
        <f t="shared" si="22"/>
        <v>25.8</v>
      </c>
      <c r="K1226" s="33"/>
    </row>
    <row r="1227" spans="1:11" s="22" customFormat="1" ht="15.75" x14ac:dyDescent="0.25">
      <c r="A1227" s="6">
        <v>43966</v>
      </c>
      <c r="B1227" s="63"/>
      <c r="D1227" s="63"/>
      <c r="E1227" s="178" t="s">
        <v>66</v>
      </c>
      <c r="F1227" s="33">
        <v>100</v>
      </c>
      <c r="G1227" s="3">
        <f t="shared" si="22"/>
        <v>25.4</v>
      </c>
      <c r="K1227" s="33"/>
    </row>
    <row r="1228" spans="1:11" s="22" customFormat="1" ht="15.75" x14ac:dyDescent="0.25">
      <c r="A1228" s="6">
        <v>43966</v>
      </c>
      <c r="B1228" s="63"/>
      <c r="D1228" s="63"/>
      <c r="E1228" s="178" t="s">
        <v>66</v>
      </c>
      <c r="F1228" s="33">
        <v>100</v>
      </c>
      <c r="G1228" s="3">
        <f t="shared" si="22"/>
        <v>25.4</v>
      </c>
      <c r="K1228" s="33"/>
    </row>
    <row r="1229" spans="1:11" s="22" customFormat="1" ht="15.75" x14ac:dyDescent="0.25">
      <c r="A1229" s="6">
        <v>43966</v>
      </c>
      <c r="B1229" s="63"/>
      <c r="D1229" s="63"/>
      <c r="E1229" s="178" t="s">
        <v>66</v>
      </c>
      <c r="F1229" s="33">
        <v>100</v>
      </c>
      <c r="G1229" s="3">
        <f t="shared" si="22"/>
        <v>25.4</v>
      </c>
      <c r="K1229" s="33"/>
    </row>
    <row r="1230" spans="1:11" s="22" customFormat="1" ht="15.75" x14ac:dyDescent="0.25">
      <c r="A1230" s="6">
        <v>43966</v>
      </c>
      <c r="B1230" s="63"/>
      <c r="D1230" s="63"/>
      <c r="E1230" s="178"/>
      <c r="F1230" s="35">
        <v>700</v>
      </c>
      <c r="G1230" s="3">
        <f t="shared" si="22"/>
        <v>2.8000000000000003</v>
      </c>
      <c r="K1230" s="33"/>
    </row>
    <row r="1231" spans="1:11" s="22" customFormat="1" ht="15.75" x14ac:dyDescent="0.25">
      <c r="A1231" s="6">
        <v>43966</v>
      </c>
      <c r="B1231" s="63"/>
      <c r="D1231" s="63"/>
      <c r="E1231" s="178" t="s">
        <v>66</v>
      </c>
      <c r="F1231" s="2">
        <v>100</v>
      </c>
      <c r="G1231" s="3">
        <f t="shared" si="22"/>
        <v>25.4</v>
      </c>
      <c r="K1231" s="33"/>
    </row>
    <row r="1232" spans="1:11" s="22" customFormat="1" ht="15.75" x14ac:dyDescent="0.25">
      <c r="A1232" s="6">
        <v>43966</v>
      </c>
      <c r="B1232" s="63"/>
      <c r="D1232" s="63"/>
      <c r="E1232" s="178" t="s">
        <v>66</v>
      </c>
      <c r="F1232" s="33">
        <v>100</v>
      </c>
      <c r="G1232" s="3">
        <f t="shared" ref="G1232:G1295" si="23">IF(E1232="y",25,IF(OR(E1232="N", E1232="RD",E1232="I"),10,0))+IF(F1232&gt;5000,20,F1232*0.4%)+IF(E1232="PMSBY",1,IF(E1232="PMJJBY",30,0))</f>
        <v>25.4</v>
      </c>
      <c r="K1232" s="33"/>
    </row>
    <row r="1233" spans="1:11" s="22" customFormat="1" ht="15.75" x14ac:dyDescent="0.25">
      <c r="A1233" s="6">
        <v>43966</v>
      </c>
      <c r="B1233" s="63"/>
      <c r="D1233" s="63"/>
      <c r="E1233" s="178" t="s">
        <v>66</v>
      </c>
      <c r="F1233" s="33">
        <v>100</v>
      </c>
      <c r="G1233" s="3">
        <f t="shared" si="23"/>
        <v>25.4</v>
      </c>
      <c r="K1233" s="33"/>
    </row>
    <row r="1234" spans="1:11" s="22" customFormat="1" ht="15.75" x14ac:dyDescent="0.25">
      <c r="A1234" s="6">
        <v>43966</v>
      </c>
      <c r="B1234" s="63"/>
      <c r="D1234" s="63"/>
      <c r="E1234" s="178" t="s">
        <v>66</v>
      </c>
      <c r="F1234" s="33">
        <v>100</v>
      </c>
      <c r="G1234" s="3">
        <f t="shared" si="23"/>
        <v>25.4</v>
      </c>
      <c r="K1234" s="33"/>
    </row>
    <row r="1235" spans="1:11" s="22" customFormat="1" ht="15.75" x14ac:dyDescent="0.25">
      <c r="A1235" s="6">
        <v>43966</v>
      </c>
      <c r="B1235" s="63"/>
      <c r="D1235" s="63"/>
      <c r="E1235" s="178" t="s">
        <v>66</v>
      </c>
      <c r="F1235" s="33">
        <v>100</v>
      </c>
      <c r="G1235" s="3">
        <f t="shared" si="23"/>
        <v>25.4</v>
      </c>
      <c r="K1235" s="33"/>
    </row>
    <row r="1236" spans="1:11" s="22" customFormat="1" ht="15.75" x14ac:dyDescent="0.25">
      <c r="A1236" s="6">
        <v>43966</v>
      </c>
      <c r="B1236" s="63"/>
      <c r="D1236" s="63"/>
      <c r="E1236" s="178" t="s">
        <v>66</v>
      </c>
      <c r="F1236" s="33">
        <v>100</v>
      </c>
      <c r="G1236" s="3">
        <f t="shared" si="23"/>
        <v>25.4</v>
      </c>
      <c r="K1236" s="33"/>
    </row>
    <row r="1237" spans="1:11" s="22" customFormat="1" ht="15.75" x14ac:dyDescent="0.25">
      <c r="A1237" s="6">
        <v>43966</v>
      </c>
      <c r="B1237" s="63"/>
      <c r="D1237" s="63"/>
      <c r="E1237" s="178" t="s">
        <v>66</v>
      </c>
      <c r="F1237" s="33">
        <v>100</v>
      </c>
      <c r="G1237" s="3">
        <f t="shared" si="23"/>
        <v>25.4</v>
      </c>
      <c r="K1237" s="33"/>
    </row>
    <row r="1238" spans="1:11" s="22" customFormat="1" ht="15.75" x14ac:dyDescent="0.25">
      <c r="A1238" s="6">
        <v>43966</v>
      </c>
      <c r="B1238" s="63"/>
      <c r="D1238" s="63"/>
      <c r="E1238" s="178" t="s">
        <v>66</v>
      </c>
      <c r="F1238" s="33">
        <v>200</v>
      </c>
      <c r="G1238" s="3">
        <f t="shared" si="23"/>
        <v>25.8</v>
      </c>
      <c r="K1238" s="33"/>
    </row>
    <row r="1239" spans="1:11" s="22" customFormat="1" ht="15.75" x14ac:dyDescent="0.25">
      <c r="A1239" s="6">
        <v>43966</v>
      </c>
      <c r="B1239" s="63"/>
      <c r="D1239" s="63"/>
      <c r="E1239" s="178" t="s">
        <v>66</v>
      </c>
      <c r="F1239" s="33">
        <v>100</v>
      </c>
      <c r="G1239" s="3">
        <f t="shared" si="23"/>
        <v>25.4</v>
      </c>
      <c r="K1239" s="33"/>
    </row>
    <row r="1240" spans="1:11" s="22" customFormat="1" ht="15.75" x14ac:dyDescent="0.25">
      <c r="A1240" s="6">
        <v>43966</v>
      </c>
      <c r="B1240" s="63"/>
      <c r="D1240" s="63"/>
      <c r="E1240" s="178" t="s">
        <v>66</v>
      </c>
      <c r="F1240" s="33">
        <v>100</v>
      </c>
      <c r="G1240" s="3">
        <f t="shared" si="23"/>
        <v>25.4</v>
      </c>
      <c r="K1240" s="33"/>
    </row>
    <row r="1241" spans="1:11" s="22" customFormat="1" ht="15.75" x14ac:dyDescent="0.25">
      <c r="A1241" s="6">
        <v>43966</v>
      </c>
      <c r="B1241" s="63"/>
      <c r="D1241" s="63"/>
      <c r="E1241" s="178" t="s">
        <v>66</v>
      </c>
      <c r="F1241" s="33">
        <v>100</v>
      </c>
      <c r="G1241" s="3">
        <f t="shared" si="23"/>
        <v>25.4</v>
      </c>
      <c r="K1241" s="33"/>
    </row>
    <row r="1242" spans="1:11" s="22" customFormat="1" ht="15.75" x14ac:dyDescent="0.25">
      <c r="A1242" s="6">
        <v>43966</v>
      </c>
      <c r="B1242" s="63"/>
      <c r="D1242" s="63"/>
      <c r="E1242" s="178" t="s">
        <v>66</v>
      </c>
      <c r="F1242" s="33">
        <v>100</v>
      </c>
      <c r="G1242" s="3">
        <f t="shared" si="23"/>
        <v>25.4</v>
      </c>
      <c r="K1242" s="33"/>
    </row>
    <row r="1243" spans="1:11" s="22" customFormat="1" ht="15.75" x14ac:dyDescent="0.25">
      <c r="A1243" s="6">
        <v>43966</v>
      </c>
      <c r="B1243" s="63"/>
      <c r="D1243" s="63"/>
      <c r="E1243" s="178" t="s">
        <v>66</v>
      </c>
      <c r="F1243" s="33">
        <v>100</v>
      </c>
      <c r="G1243" s="3">
        <f t="shared" si="23"/>
        <v>25.4</v>
      </c>
      <c r="K1243" s="33"/>
    </row>
    <row r="1244" spans="1:11" s="22" customFormat="1" ht="15.75" x14ac:dyDescent="0.25">
      <c r="A1244" s="6">
        <v>43966</v>
      </c>
      <c r="B1244" s="63"/>
      <c r="D1244" s="63"/>
      <c r="E1244" s="178" t="s">
        <v>66</v>
      </c>
      <c r="F1244" s="33">
        <v>100</v>
      </c>
      <c r="G1244" s="3">
        <f t="shared" si="23"/>
        <v>25.4</v>
      </c>
      <c r="K1244" s="33"/>
    </row>
    <row r="1245" spans="1:11" s="22" customFormat="1" ht="15.75" x14ac:dyDescent="0.25">
      <c r="A1245" s="6">
        <v>43966</v>
      </c>
      <c r="B1245" s="63"/>
      <c r="D1245" s="63"/>
      <c r="E1245" s="178" t="s">
        <v>66</v>
      </c>
      <c r="F1245" s="33">
        <v>100</v>
      </c>
      <c r="G1245" s="3">
        <f t="shared" si="23"/>
        <v>25.4</v>
      </c>
      <c r="K1245" s="33"/>
    </row>
    <row r="1246" spans="1:11" s="22" customFormat="1" ht="15.75" x14ac:dyDescent="0.25">
      <c r="A1246" s="6">
        <v>43966</v>
      </c>
      <c r="B1246" s="63"/>
      <c r="D1246" s="63"/>
      <c r="E1246" s="178" t="s">
        <v>66</v>
      </c>
      <c r="F1246" s="33">
        <v>200</v>
      </c>
      <c r="G1246" s="3">
        <f t="shared" si="23"/>
        <v>25.8</v>
      </c>
      <c r="K1246" s="33"/>
    </row>
    <row r="1247" spans="1:11" s="22" customFormat="1" ht="15.75" x14ac:dyDescent="0.25">
      <c r="A1247" s="6">
        <v>43966</v>
      </c>
      <c r="B1247" s="63"/>
      <c r="D1247" s="63"/>
      <c r="E1247" s="178" t="s">
        <v>66</v>
      </c>
      <c r="F1247" s="33">
        <v>100</v>
      </c>
      <c r="G1247" s="3">
        <f t="shared" si="23"/>
        <v>25.4</v>
      </c>
      <c r="K1247" s="33"/>
    </row>
    <row r="1248" spans="1:11" s="22" customFormat="1" ht="15.75" x14ac:dyDescent="0.25">
      <c r="A1248" s="6">
        <v>43966</v>
      </c>
      <c r="B1248" s="63"/>
      <c r="D1248" s="63"/>
      <c r="E1248" s="178" t="s">
        <v>66</v>
      </c>
      <c r="F1248" s="33">
        <v>100</v>
      </c>
      <c r="G1248" s="3">
        <f t="shared" si="23"/>
        <v>25.4</v>
      </c>
      <c r="K1248" s="33"/>
    </row>
    <row r="1249" spans="1:11" s="22" customFormat="1" ht="15.75" x14ac:dyDescent="0.25">
      <c r="A1249" s="6">
        <v>43966</v>
      </c>
      <c r="B1249" s="63"/>
      <c r="D1249" s="63"/>
      <c r="E1249" s="178" t="s">
        <v>66</v>
      </c>
      <c r="F1249" s="33">
        <v>200</v>
      </c>
      <c r="G1249" s="3">
        <f t="shared" si="23"/>
        <v>25.8</v>
      </c>
      <c r="K1249" s="33"/>
    </row>
    <row r="1250" spans="1:11" s="22" customFormat="1" ht="15.75" x14ac:dyDescent="0.25">
      <c r="A1250" s="6">
        <v>43966</v>
      </c>
      <c r="B1250" s="63"/>
      <c r="D1250" s="63"/>
      <c r="E1250" s="178" t="s">
        <v>66</v>
      </c>
      <c r="F1250" s="33">
        <v>100</v>
      </c>
      <c r="G1250" s="3">
        <f t="shared" si="23"/>
        <v>25.4</v>
      </c>
      <c r="K1250" s="33"/>
    </row>
    <row r="1251" spans="1:11" s="22" customFormat="1" ht="15.75" x14ac:dyDescent="0.25">
      <c r="A1251" s="6">
        <v>43966</v>
      </c>
      <c r="B1251" s="63"/>
      <c r="D1251" s="63"/>
      <c r="E1251" s="178" t="s">
        <v>66</v>
      </c>
      <c r="F1251" s="33">
        <v>100</v>
      </c>
      <c r="G1251" s="3">
        <f t="shared" si="23"/>
        <v>25.4</v>
      </c>
      <c r="K1251" s="33"/>
    </row>
    <row r="1252" spans="1:11" s="22" customFormat="1" ht="15.75" x14ac:dyDescent="0.25">
      <c r="A1252" s="6">
        <v>43966</v>
      </c>
      <c r="B1252" s="63"/>
      <c r="D1252" s="63"/>
      <c r="E1252" s="178" t="s">
        <v>66</v>
      </c>
      <c r="F1252" s="33">
        <v>100</v>
      </c>
      <c r="G1252" s="3">
        <f t="shared" si="23"/>
        <v>25.4</v>
      </c>
      <c r="K1252" s="33"/>
    </row>
    <row r="1253" spans="1:11" s="22" customFormat="1" ht="15.75" x14ac:dyDescent="0.25">
      <c r="A1253" s="6">
        <v>43966</v>
      </c>
      <c r="B1253" s="63"/>
      <c r="D1253" s="63"/>
      <c r="E1253" s="178" t="s">
        <v>66</v>
      </c>
      <c r="F1253" s="33">
        <v>100</v>
      </c>
      <c r="G1253" s="3">
        <f t="shared" si="23"/>
        <v>25.4</v>
      </c>
      <c r="K1253" s="33"/>
    </row>
    <row r="1254" spans="1:11" s="22" customFormat="1" ht="15.75" x14ac:dyDescent="0.25">
      <c r="A1254" s="6">
        <v>43966</v>
      </c>
      <c r="B1254" s="63"/>
      <c r="D1254" s="63"/>
      <c r="E1254" s="178" t="s">
        <v>66</v>
      </c>
      <c r="F1254" s="33">
        <v>300</v>
      </c>
      <c r="G1254" s="3">
        <f t="shared" si="23"/>
        <v>26.2</v>
      </c>
      <c r="K1254" s="33"/>
    </row>
    <row r="1255" spans="1:11" s="22" customFormat="1" ht="15.75" x14ac:dyDescent="0.25">
      <c r="A1255" s="6">
        <v>43966</v>
      </c>
      <c r="B1255" s="63"/>
      <c r="D1255" s="63"/>
      <c r="E1255" s="178" t="s">
        <v>66</v>
      </c>
      <c r="F1255" s="33">
        <v>300</v>
      </c>
      <c r="G1255" s="3">
        <f t="shared" si="23"/>
        <v>26.2</v>
      </c>
      <c r="K1255" s="33"/>
    </row>
    <row r="1256" spans="1:11" s="22" customFormat="1" ht="15.75" x14ac:dyDescent="0.25">
      <c r="A1256" s="6">
        <v>43966</v>
      </c>
      <c r="B1256" s="63"/>
      <c r="D1256" s="63"/>
      <c r="E1256" s="178" t="s">
        <v>66</v>
      </c>
      <c r="F1256" s="33">
        <v>100</v>
      </c>
      <c r="G1256" s="3">
        <f t="shared" si="23"/>
        <v>25.4</v>
      </c>
      <c r="K1256" s="33"/>
    </row>
    <row r="1257" spans="1:11" s="22" customFormat="1" ht="15.75" x14ac:dyDescent="0.25">
      <c r="A1257" s="6">
        <v>43966</v>
      </c>
      <c r="B1257" s="63"/>
      <c r="D1257" s="63"/>
      <c r="E1257" s="178" t="s">
        <v>66</v>
      </c>
      <c r="F1257" s="33">
        <v>100</v>
      </c>
      <c r="G1257" s="3">
        <f t="shared" si="23"/>
        <v>25.4</v>
      </c>
      <c r="K1257" s="33"/>
    </row>
    <row r="1258" spans="1:11" s="22" customFormat="1" ht="15.75" x14ac:dyDescent="0.25">
      <c r="A1258" s="6">
        <v>43966</v>
      </c>
      <c r="B1258" s="63"/>
      <c r="D1258" s="63"/>
      <c r="E1258" s="178" t="s">
        <v>66</v>
      </c>
      <c r="F1258" s="33">
        <v>100</v>
      </c>
      <c r="G1258" s="3">
        <f t="shared" si="23"/>
        <v>25.4</v>
      </c>
      <c r="K1258" s="33"/>
    </row>
    <row r="1259" spans="1:11" s="22" customFormat="1" ht="15.75" x14ac:dyDescent="0.25">
      <c r="A1259" s="6">
        <v>43966</v>
      </c>
      <c r="B1259" s="63"/>
      <c r="D1259" s="63"/>
      <c r="E1259" s="178" t="s">
        <v>66</v>
      </c>
      <c r="F1259" s="33">
        <v>100</v>
      </c>
      <c r="G1259" s="3">
        <f t="shared" si="23"/>
        <v>25.4</v>
      </c>
      <c r="K1259" s="33"/>
    </row>
    <row r="1260" spans="1:11" s="22" customFormat="1" ht="15.75" x14ac:dyDescent="0.25">
      <c r="A1260" s="6">
        <v>43966</v>
      </c>
      <c r="B1260" s="63"/>
      <c r="D1260" s="63"/>
      <c r="E1260" s="178" t="s">
        <v>66</v>
      </c>
      <c r="F1260" s="33">
        <v>100</v>
      </c>
      <c r="G1260" s="3">
        <f t="shared" si="23"/>
        <v>25.4</v>
      </c>
      <c r="K1260" s="33"/>
    </row>
    <row r="1261" spans="1:11" s="22" customFormat="1" ht="15.75" x14ac:dyDescent="0.25">
      <c r="A1261" s="6">
        <v>43966</v>
      </c>
      <c r="B1261" s="63"/>
      <c r="D1261" s="63"/>
      <c r="E1261" s="178" t="s">
        <v>66</v>
      </c>
      <c r="F1261" s="33">
        <v>100</v>
      </c>
      <c r="G1261" s="3">
        <f t="shared" si="23"/>
        <v>25.4</v>
      </c>
      <c r="K1261" s="33"/>
    </row>
    <row r="1262" spans="1:11" s="22" customFormat="1" ht="15.75" x14ac:dyDescent="0.25">
      <c r="A1262" s="6">
        <v>43966</v>
      </c>
      <c r="B1262" s="63"/>
      <c r="D1262" s="63"/>
      <c r="E1262" s="178" t="s">
        <v>66</v>
      </c>
      <c r="F1262" s="33">
        <v>100</v>
      </c>
      <c r="G1262" s="3">
        <f t="shared" si="23"/>
        <v>25.4</v>
      </c>
      <c r="K1262" s="33"/>
    </row>
    <row r="1263" spans="1:11" s="22" customFormat="1" ht="15.75" x14ac:dyDescent="0.25">
      <c r="A1263" s="6">
        <v>43966</v>
      </c>
      <c r="B1263" s="63"/>
      <c r="D1263" s="63"/>
      <c r="E1263" s="178" t="s">
        <v>66</v>
      </c>
      <c r="F1263" s="33">
        <v>100</v>
      </c>
      <c r="G1263" s="3">
        <f t="shared" si="23"/>
        <v>25.4</v>
      </c>
      <c r="K1263" s="33"/>
    </row>
    <row r="1264" spans="1:11" s="22" customFormat="1" ht="15.75" x14ac:dyDescent="0.25">
      <c r="A1264" s="6">
        <v>43969</v>
      </c>
      <c r="B1264" s="63"/>
      <c r="D1264" s="63"/>
      <c r="E1264" s="178" t="s">
        <v>66</v>
      </c>
      <c r="F1264" s="33">
        <v>200</v>
      </c>
      <c r="G1264" s="3">
        <f t="shared" si="23"/>
        <v>25.8</v>
      </c>
      <c r="K1264" s="33"/>
    </row>
    <row r="1265" spans="1:11" s="22" customFormat="1" ht="15.75" x14ac:dyDescent="0.25">
      <c r="A1265" s="6">
        <v>43969</v>
      </c>
      <c r="B1265" s="63"/>
      <c r="D1265" s="63"/>
      <c r="E1265" s="178" t="s">
        <v>66</v>
      </c>
      <c r="F1265" s="33">
        <v>100</v>
      </c>
      <c r="G1265" s="3">
        <f t="shared" si="23"/>
        <v>25.4</v>
      </c>
      <c r="K1265" s="33"/>
    </row>
    <row r="1266" spans="1:11" s="22" customFormat="1" ht="15.75" x14ac:dyDescent="0.25">
      <c r="A1266" s="6">
        <v>43969</v>
      </c>
      <c r="B1266" s="63"/>
      <c r="D1266" s="63"/>
      <c r="E1266" s="178" t="s">
        <v>66</v>
      </c>
      <c r="F1266" s="33">
        <v>100</v>
      </c>
      <c r="G1266" s="3">
        <f t="shared" si="23"/>
        <v>25.4</v>
      </c>
      <c r="K1266" s="33"/>
    </row>
    <row r="1267" spans="1:11" s="22" customFormat="1" ht="15.75" x14ac:dyDescent="0.25">
      <c r="A1267" s="6">
        <v>43969</v>
      </c>
      <c r="B1267" s="63"/>
      <c r="D1267" s="63"/>
      <c r="E1267" s="178" t="s">
        <v>66</v>
      </c>
      <c r="F1267" s="33">
        <v>100</v>
      </c>
      <c r="G1267" s="3">
        <f t="shared" si="23"/>
        <v>25.4</v>
      </c>
      <c r="K1267" s="33"/>
    </row>
    <row r="1268" spans="1:11" s="22" customFormat="1" ht="15.75" x14ac:dyDescent="0.25">
      <c r="A1268" s="6">
        <v>43969</v>
      </c>
      <c r="B1268" s="63"/>
      <c r="D1268" s="63"/>
      <c r="E1268" s="178" t="s">
        <v>66</v>
      </c>
      <c r="F1268" s="33">
        <v>100</v>
      </c>
      <c r="G1268" s="3">
        <f t="shared" si="23"/>
        <v>25.4</v>
      </c>
      <c r="K1268" s="33"/>
    </row>
    <row r="1269" spans="1:11" s="22" customFormat="1" ht="15.75" x14ac:dyDescent="0.25">
      <c r="A1269" s="6">
        <v>43969</v>
      </c>
      <c r="B1269" s="63"/>
      <c r="D1269" s="63"/>
      <c r="E1269" s="178" t="s">
        <v>66</v>
      </c>
      <c r="F1269" s="33">
        <v>100</v>
      </c>
      <c r="G1269" s="3">
        <f t="shared" si="23"/>
        <v>25.4</v>
      </c>
      <c r="K1269" s="33"/>
    </row>
    <row r="1270" spans="1:11" s="22" customFormat="1" ht="15.75" x14ac:dyDescent="0.25">
      <c r="A1270" s="6">
        <v>43969</v>
      </c>
      <c r="B1270" s="63"/>
      <c r="D1270" s="63"/>
      <c r="E1270" s="178" t="s">
        <v>66</v>
      </c>
      <c r="F1270" s="33">
        <v>100</v>
      </c>
      <c r="G1270" s="3">
        <f t="shared" si="23"/>
        <v>25.4</v>
      </c>
      <c r="K1270" s="33"/>
    </row>
    <row r="1271" spans="1:11" s="22" customFormat="1" ht="15.75" x14ac:dyDescent="0.25">
      <c r="A1271" s="6">
        <v>43969</v>
      </c>
      <c r="B1271" s="63"/>
      <c r="D1271" s="63"/>
      <c r="E1271" s="178" t="s">
        <v>66</v>
      </c>
      <c r="F1271" s="33">
        <v>100</v>
      </c>
      <c r="G1271" s="3">
        <f t="shared" si="23"/>
        <v>25.4</v>
      </c>
      <c r="K1271" s="33"/>
    </row>
    <row r="1272" spans="1:11" s="22" customFormat="1" ht="15.75" x14ac:dyDescent="0.25">
      <c r="A1272" s="6">
        <v>43969</v>
      </c>
      <c r="B1272" s="63"/>
      <c r="D1272" s="63"/>
      <c r="E1272" s="178" t="s">
        <v>66</v>
      </c>
      <c r="F1272" s="33">
        <v>100</v>
      </c>
      <c r="G1272" s="3">
        <f t="shared" si="23"/>
        <v>25.4</v>
      </c>
      <c r="K1272" s="33"/>
    </row>
    <row r="1273" spans="1:11" s="22" customFormat="1" ht="15.75" x14ac:dyDescent="0.25">
      <c r="A1273" s="6">
        <v>43969</v>
      </c>
      <c r="B1273" s="63"/>
      <c r="D1273" s="63"/>
      <c r="E1273" s="178" t="s">
        <v>66</v>
      </c>
      <c r="F1273" s="33">
        <v>100</v>
      </c>
      <c r="G1273" s="3">
        <f t="shared" si="23"/>
        <v>25.4</v>
      </c>
      <c r="K1273" s="33"/>
    </row>
    <row r="1274" spans="1:11" s="22" customFormat="1" ht="15.75" x14ac:dyDescent="0.25">
      <c r="A1274" s="6">
        <v>43969</v>
      </c>
      <c r="B1274" s="63"/>
      <c r="D1274" s="63"/>
      <c r="E1274" s="178" t="s">
        <v>66</v>
      </c>
      <c r="F1274" s="33">
        <v>100</v>
      </c>
      <c r="G1274" s="3">
        <f t="shared" si="23"/>
        <v>25.4</v>
      </c>
      <c r="K1274" s="33"/>
    </row>
    <row r="1275" spans="1:11" s="22" customFormat="1" ht="15.75" x14ac:dyDescent="0.25">
      <c r="A1275" s="6">
        <v>43969</v>
      </c>
      <c r="B1275" s="63"/>
      <c r="D1275" s="63"/>
      <c r="E1275" s="178" t="s">
        <v>66</v>
      </c>
      <c r="F1275" s="33">
        <v>100</v>
      </c>
      <c r="G1275" s="3">
        <f t="shared" si="23"/>
        <v>25.4</v>
      </c>
      <c r="K1275" s="33"/>
    </row>
    <row r="1276" spans="1:11" s="22" customFormat="1" ht="15.75" x14ac:dyDescent="0.25">
      <c r="A1276" s="6">
        <v>43969</v>
      </c>
      <c r="B1276" s="63"/>
      <c r="D1276" s="63"/>
      <c r="E1276" s="178" t="s">
        <v>66</v>
      </c>
      <c r="F1276" s="33">
        <v>100</v>
      </c>
      <c r="G1276" s="3">
        <f t="shared" si="23"/>
        <v>25.4</v>
      </c>
      <c r="K1276" s="33"/>
    </row>
    <row r="1277" spans="1:11" s="22" customFormat="1" ht="15.75" x14ac:dyDescent="0.25">
      <c r="A1277" s="6">
        <v>43969</v>
      </c>
      <c r="B1277" s="63"/>
      <c r="D1277" s="63"/>
      <c r="E1277" s="178" t="s">
        <v>66</v>
      </c>
      <c r="F1277" s="33">
        <v>100</v>
      </c>
      <c r="G1277" s="3">
        <f t="shared" si="23"/>
        <v>25.4</v>
      </c>
      <c r="K1277" s="33"/>
    </row>
    <row r="1278" spans="1:11" s="22" customFormat="1" ht="15.75" x14ac:dyDescent="0.25">
      <c r="A1278" s="6">
        <v>43969</v>
      </c>
      <c r="B1278" s="63"/>
      <c r="D1278" s="63"/>
      <c r="E1278" s="178" t="s">
        <v>66</v>
      </c>
      <c r="F1278" s="33">
        <v>100</v>
      </c>
      <c r="G1278" s="3">
        <f t="shared" si="23"/>
        <v>25.4</v>
      </c>
      <c r="K1278" s="33"/>
    </row>
    <row r="1279" spans="1:11" s="22" customFormat="1" ht="15.75" x14ac:dyDescent="0.25">
      <c r="A1279" s="6">
        <v>43969</v>
      </c>
      <c r="B1279" s="63"/>
      <c r="D1279" s="63"/>
      <c r="E1279" s="178" t="s">
        <v>66</v>
      </c>
      <c r="F1279" s="33">
        <v>100</v>
      </c>
      <c r="G1279" s="3">
        <f t="shared" si="23"/>
        <v>25.4</v>
      </c>
      <c r="K1279" s="33"/>
    </row>
    <row r="1280" spans="1:11" s="22" customFormat="1" ht="15.75" x14ac:dyDescent="0.25">
      <c r="A1280" s="6">
        <v>43969</v>
      </c>
      <c r="B1280" s="63"/>
      <c r="D1280" s="63"/>
      <c r="E1280" s="178" t="s">
        <v>66</v>
      </c>
      <c r="F1280" s="33">
        <v>100</v>
      </c>
      <c r="G1280" s="3">
        <f t="shared" si="23"/>
        <v>25.4</v>
      </c>
      <c r="K1280" s="33"/>
    </row>
    <row r="1281" spans="1:11" s="22" customFormat="1" ht="15.75" x14ac:dyDescent="0.25">
      <c r="A1281" s="6">
        <v>43969</v>
      </c>
      <c r="B1281" s="63"/>
      <c r="D1281" s="63"/>
      <c r="E1281" s="178" t="s">
        <v>66</v>
      </c>
      <c r="F1281" s="33">
        <v>100</v>
      </c>
      <c r="G1281" s="3">
        <f t="shared" si="23"/>
        <v>25.4</v>
      </c>
      <c r="K1281" s="33"/>
    </row>
    <row r="1282" spans="1:11" s="22" customFormat="1" ht="15.75" x14ac:dyDescent="0.25">
      <c r="A1282" s="6">
        <v>43969</v>
      </c>
      <c r="B1282" s="63"/>
      <c r="D1282" s="63"/>
      <c r="E1282" s="178" t="s">
        <v>66</v>
      </c>
      <c r="F1282" s="33">
        <v>100</v>
      </c>
      <c r="G1282" s="3">
        <f t="shared" si="23"/>
        <v>25.4</v>
      </c>
      <c r="K1282" s="33"/>
    </row>
    <row r="1283" spans="1:11" s="22" customFormat="1" ht="15.75" x14ac:dyDescent="0.25">
      <c r="A1283" s="6">
        <v>43969</v>
      </c>
      <c r="B1283" s="63"/>
      <c r="D1283" s="63"/>
      <c r="E1283" s="178" t="s">
        <v>66</v>
      </c>
      <c r="F1283" s="33">
        <v>100</v>
      </c>
      <c r="G1283" s="3">
        <f t="shared" si="23"/>
        <v>25.4</v>
      </c>
      <c r="K1283" s="33"/>
    </row>
    <row r="1284" spans="1:11" s="22" customFormat="1" ht="15.75" x14ac:dyDescent="0.25">
      <c r="A1284" s="6">
        <v>43969</v>
      </c>
      <c r="B1284" s="63"/>
      <c r="D1284" s="63"/>
      <c r="E1284" s="178" t="s">
        <v>66</v>
      </c>
      <c r="F1284" s="33">
        <v>100</v>
      </c>
      <c r="G1284" s="3">
        <f t="shared" si="23"/>
        <v>25.4</v>
      </c>
      <c r="K1284" s="33"/>
    </row>
    <row r="1285" spans="1:11" s="22" customFormat="1" ht="15.75" x14ac:dyDescent="0.25">
      <c r="A1285" s="6">
        <v>43969</v>
      </c>
      <c r="B1285" s="63"/>
      <c r="D1285" s="63"/>
      <c r="E1285" s="178" t="s">
        <v>66</v>
      </c>
      <c r="F1285" s="33">
        <v>100</v>
      </c>
      <c r="G1285" s="3">
        <f t="shared" si="23"/>
        <v>25.4</v>
      </c>
      <c r="K1285" s="33"/>
    </row>
    <row r="1286" spans="1:11" s="22" customFormat="1" ht="15.75" x14ac:dyDescent="0.25">
      <c r="A1286" s="6">
        <v>43969</v>
      </c>
      <c r="B1286" s="63"/>
      <c r="D1286" s="63"/>
      <c r="E1286" s="178" t="s">
        <v>66</v>
      </c>
      <c r="F1286" s="33">
        <v>100</v>
      </c>
      <c r="G1286" s="3">
        <f t="shared" si="23"/>
        <v>25.4</v>
      </c>
      <c r="K1286" s="33"/>
    </row>
    <row r="1287" spans="1:11" s="22" customFormat="1" ht="15.75" x14ac:dyDescent="0.25">
      <c r="A1287" s="6">
        <v>43969</v>
      </c>
      <c r="B1287" s="63"/>
      <c r="D1287" s="63"/>
      <c r="E1287" s="178" t="s">
        <v>66</v>
      </c>
      <c r="F1287" s="33">
        <v>100</v>
      </c>
      <c r="G1287" s="3">
        <f t="shared" si="23"/>
        <v>25.4</v>
      </c>
      <c r="K1287" s="33"/>
    </row>
    <row r="1288" spans="1:11" s="22" customFormat="1" ht="15.75" x14ac:dyDescent="0.25">
      <c r="A1288" s="6">
        <v>43969</v>
      </c>
      <c r="B1288" s="63"/>
      <c r="D1288" s="63"/>
      <c r="E1288" s="178" t="s">
        <v>66</v>
      </c>
      <c r="F1288" s="33">
        <v>100</v>
      </c>
      <c r="G1288" s="3">
        <f t="shared" si="23"/>
        <v>25.4</v>
      </c>
      <c r="K1288" s="33"/>
    </row>
    <row r="1289" spans="1:11" s="22" customFormat="1" ht="15.75" x14ac:dyDescent="0.25">
      <c r="A1289" s="6">
        <v>43969</v>
      </c>
      <c r="B1289" s="63"/>
      <c r="D1289" s="63"/>
      <c r="E1289" s="178" t="s">
        <v>66</v>
      </c>
      <c r="F1289" s="33">
        <v>100</v>
      </c>
      <c r="G1289" s="3">
        <f t="shared" si="23"/>
        <v>25.4</v>
      </c>
      <c r="K1289" s="33"/>
    </row>
    <row r="1290" spans="1:11" s="22" customFormat="1" ht="15.75" x14ac:dyDescent="0.25">
      <c r="A1290" s="6">
        <v>43969</v>
      </c>
      <c r="B1290" s="63"/>
      <c r="D1290" s="63"/>
      <c r="E1290" s="178" t="s">
        <v>66</v>
      </c>
      <c r="F1290" s="33">
        <v>200</v>
      </c>
      <c r="G1290" s="3">
        <f t="shared" si="23"/>
        <v>25.8</v>
      </c>
      <c r="K1290" s="33"/>
    </row>
    <row r="1291" spans="1:11" s="22" customFormat="1" ht="15.75" x14ac:dyDescent="0.25">
      <c r="A1291" s="6">
        <v>43969</v>
      </c>
      <c r="B1291" s="63"/>
      <c r="D1291" s="63"/>
      <c r="E1291" s="178" t="s">
        <v>66</v>
      </c>
      <c r="F1291" s="33">
        <v>100</v>
      </c>
      <c r="G1291" s="3">
        <f t="shared" si="23"/>
        <v>25.4</v>
      </c>
      <c r="K1291" s="33"/>
    </row>
    <row r="1292" spans="1:11" s="22" customFormat="1" ht="15.75" x14ac:dyDescent="0.25">
      <c r="A1292" s="6">
        <v>43969</v>
      </c>
      <c r="B1292" s="63"/>
      <c r="D1292" s="63"/>
      <c r="E1292" s="178" t="s">
        <v>66</v>
      </c>
      <c r="F1292" s="33">
        <v>100</v>
      </c>
      <c r="G1292" s="3">
        <f t="shared" si="23"/>
        <v>25.4</v>
      </c>
      <c r="K1292" s="33"/>
    </row>
    <row r="1293" spans="1:11" s="22" customFormat="1" ht="15.75" x14ac:dyDescent="0.25">
      <c r="A1293" s="6">
        <v>43969</v>
      </c>
      <c r="B1293" s="63"/>
      <c r="D1293" s="63"/>
      <c r="E1293" s="178" t="s">
        <v>66</v>
      </c>
      <c r="F1293" s="33">
        <v>100</v>
      </c>
      <c r="G1293" s="3">
        <f t="shared" si="23"/>
        <v>25.4</v>
      </c>
      <c r="K1293" s="33"/>
    </row>
    <row r="1294" spans="1:11" s="22" customFormat="1" ht="15.75" x14ac:dyDescent="0.25">
      <c r="A1294" s="6">
        <v>43969</v>
      </c>
      <c r="B1294" s="63"/>
      <c r="D1294" s="63"/>
      <c r="E1294" s="178" t="s">
        <v>66</v>
      </c>
      <c r="F1294" s="33">
        <v>100</v>
      </c>
      <c r="G1294" s="3">
        <f t="shared" si="23"/>
        <v>25.4</v>
      </c>
      <c r="K1294" s="33"/>
    </row>
    <row r="1295" spans="1:11" s="22" customFormat="1" ht="15.75" x14ac:dyDescent="0.25">
      <c r="A1295" s="6">
        <v>43969</v>
      </c>
      <c r="B1295" s="63"/>
      <c r="D1295" s="63"/>
      <c r="E1295" s="178" t="s">
        <v>66</v>
      </c>
      <c r="F1295" s="33">
        <v>100</v>
      </c>
      <c r="G1295" s="3">
        <f t="shared" si="23"/>
        <v>25.4</v>
      </c>
      <c r="K1295" s="33"/>
    </row>
    <row r="1296" spans="1:11" s="22" customFormat="1" ht="15.75" x14ac:dyDescent="0.25">
      <c r="A1296" s="6">
        <v>43969</v>
      </c>
      <c r="B1296" s="63"/>
      <c r="D1296" s="63"/>
      <c r="E1296" s="178" t="s">
        <v>66</v>
      </c>
      <c r="F1296" s="33">
        <v>100</v>
      </c>
      <c r="G1296" s="3">
        <f t="shared" ref="G1296:G1306" si="24">IF(E1296="y",25,IF(OR(E1296="N", E1296="RD",E1296="I"),10,0))+IF(F1296&gt;5000,20,F1296*0.4%)+IF(E1296="PMSBY",1,IF(E1296="PMJJBY",30,0))</f>
        <v>25.4</v>
      </c>
      <c r="K1296" s="33"/>
    </row>
    <row r="1297" spans="1:11" s="22" customFormat="1" ht="15.75" x14ac:dyDescent="0.25">
      <c r="A1297" s="6">
        <v>43969</v>
      </c>
      <c r="B1297" s="63"/>
      <c r="D1297" s="63"/>
      <c r="E1297" s="178" t="s">
        <v>66</v>
      </c>
      <c r="F1297" s="33">
        <v>200</v>
      </c>
      <c r="G1297" s="3">
        <f t="shared" si="24"/>
        <v>25.8</v>
      </c>
      <c r="K1297" s="33"/>
    </row>
    <row r="1298" spans="1:11" s="22" customFormat="1" ht="15.75" x14ac:dyDescent="0.25">
      <c r="A1298" s="6">
        <v>43969</v>
      </c>
      <c r="B1298" s="63"/>
      <c r="D1298" s="63"/>
      <c r="E1298" s="178" t="s">
        <v>66</v>
      </c>
      <c r="F1298" s="33">
        <v>200</v>
      </c>
      <c r="G1298" s="3">
        <f t="shared" si="24"/>
        <v>25.8</v>
      </c>
      <c r="K1298" s="33"/>
    </row>
    <row r="1299" spans="1:11" s="22" customFormat="1" ht="15.75" x14ac:dyDescent="0.25">
      <c r="A1299" s="6">
        <v>43969</v>
      </c>
      <c r="B1299" s="63"/>
      <c r="D1299" s="63"/>
      <c r="E1299" s="178" t="s">
        <v>66</v>
      </c>
      <c r="F1299" s="33">
        <v>100</v>
      </c>
      <c r="G1299" s="3">
        <f t="shared" si="24"/>
        <v>25.4</v>
      </c>
      <c r="K1299" s="33"/>
    </row>
    <row r="1300" spans="1:11" s="22" customFormat="1" ht="15.75" x14ac:dyDescent="0.25">
      <c r="A1300" s="6">
        <v>43969</v>
      </c>
      <c r="B1300" s="63"/>
      <c r="D1300" s="63"/>
      <c r="E1300" s="178" t="s">
        <v>66</v>
      </c>
      <c r="F1300" s="33">
        <v>100</v>
      </c>
      <c r="G1300" s="3">
        <f t="shared" si="24"/>
        <v>25.4</v>
      </c>
      <c r="K1300" s="33"/>
    </row>
    <row r="1301" spans="1:11" s="22" customFormat="1" ht="15.75" x14ac:dyDescent="0.25">
      <c r="A1301" s="6">
        <v>43969</v>
      </c>
      <c r="B1301" s="63"/>
      <c r="D1301" s="63"/>
      <c r="E1301" s="178" t="s">
        <v>66</v>
      </c>
      <c r="F1301" s="33">
        <v>100</v>
      </c>
      <c r="G1301" s="3">
        <f t="shared" si="24"/>
        <v>25.4</v>
      </c>
      <c r="K1301" s="33"/>
    </row>
    <row r="1302" spans="1:11" s="22" customFormat="1" ht="15.75" x14ac:dyDescent="0.25">
      <c r="A1302" s="6">
        <v>43969</v>
      </c>
      <c r="B1302" s="63"/>
      <c r="D1302" s="63"/>
      <c r="E1302" s="178" t="s">
        <v>66</v>
      </c>
      <c r="F1302" s="33">
        <v>100</v>
      </c>
      <c r="G1302" s="3">
        <f t="shared" si="24"/>
        <v>25.4</v>
      </c>
      <c r="K1302" s="33"/>
    </row>
    <row r="1303" spans="1:11" s="22" customFormat="1" ht="15.75" x14ac:dyDescent="0.25">
      <c r="A1303" s="6">
        <v>43969</v>
      </c>
      <c r="B1303" s="63"/>
      <c r="D1303" s="63"/>
      <c r="E1303" s="178" t="s">
        <v>66</v>
      </c>
      <c r="F1303" s="33">
        <v>100</v>
      </c>
      <c r="G1303" s="3">
        <f t="shared" si="24"/>
        <v>25.4</v>
      </c>
      <c r="K1303" s="33"/>
    </row>
    <row r="1304" spans="1:11" s="22" customFormat="1" ht="15.75" x14ac:dyDescent="0.25">
      <c r="A1304" s="6">
        <v>43969</v>
      </c>
      <c r="B1304" s="63"/>
      <c r="D1304" s="63"/>
      <c r="E1304" s="178" t="s">
        <v>66</v>
      </c>
      <c r="F1304" s="33">
        <v>100</v>
      </c>
      <c r="G1304" s="3">
        <f t="shared" si="24"/>
        <v>25.4</v>
      </c>
      <c r="K1304" s="33"/>
    </row>
    <row r="1305" spans="1:11" s="22" customFormat="1" ht="15.75" x14ac:dyDescent="0.25">
      <c r="A1305" s="6">
        <v>43969</v>
      </c>
      <c r="B1305" s="63"/>
      <c r="D1305" s="63"/>
      <c r="E1305" s="178" t="s">
        <v>66</v>
      </c>
      <c r="F1305" s="33">
        <v>500</v>
      </c>
      <c r="G1305" s="3">
        <f t="shared" si="24"/>
        <v>27</v>
      </c>
      <c r="K1305" s="33"/>
    </row>
    <row r="1306" spans="1:11" s="22" customFormat="1" ht="15.75" x14ac:dyDescent="0.25">
      <c r="A1306" s="6">
        <v>43969</v>
      </c>
      <c r="B1306" s="63"/>
      <c r="D1306" s="63"/>
      <c r="E1306" s="178" t="s">
        <v>66</v>
      </c>
      <c r="F1306" s="33">
        <v>100</v>
      </c>
      <c r="G1306" s="3">
        <f t="shared" si="24"/>
        <v>25.4</v>
      </c>
      <c r="K1306" s="33"/>
    </row>
    <row r="1307" spans="1:11" s="22" customFormat="1" ht="15.75" x14ac:dyDescent="0.25">
      <c r="A1307" s="6">
        <v>43969</v>
      </c>
      <c r="B1307" s="63"/>
      <c r="D1307" s="63"/>
      <c r="E1307" s="178" t="s">
        <v>66</v>
      </c>
      <c r="F1307" s="33">
        <v>100</v>
      </c>
      <c r="G1307" s="3">
        <f t="shared" si="22"/>
        <v>25.4</v>
      </c>
      <c r="K1307" s="33"/>
    </row>
    <row r="1308" spans="1:11" s="22" customFormat="1" ht="15.75" x14ac:dyDescent="0.25">
      <c r="A1308" s="6">
        <v>43969</v>
      </c>
      <c r="B1308" s="63"/>
      <c r="D1308" s="63"/>
      <c r="E1308" s="178" t="s">
        <v>66</v>
      </c>
      <c r="F1308" s="33">
        <v>100</v>
      </c>
      <c r="G1308" s="3">
        <f t="shared" si="22"/>
        <v>25.4</v>
      </c>
      <c r="K1308" s="33"/>
    </row>
    <row r="1309" spans="1:11" s="22" customFormat="1" ht="15.75" x14ac:dyDescent="0.25">
      <c r="A1309" s="6">
        <v>43969</v>
      </c>
      <c r="B1309" s="63"/>
      <c r="D1309" s="63"/>
      <c r="E1309" s="178" t="s">
        <v>66</v>
      </c>
      <c r="F1309" s="33">
        <v>100</v>
      </c>
      <c r="G1309" s="3">
        <f t="shared" si="22"/>
        <v>25.4</v>
      </c>
      <c r="K1309" s="33"/>
    </row>
    <row r="1310" spans="1:11" s="22" customFormat="1" ht="15.75" x14ac:dyDescent="0.25">
      <c r="A1310" s="6">
        <v>43970</v>
      </c>
      <c r="B1310" s="63"/>
      <c r="D1310" s="63"/>
      <c r="E1310" s="178" t="s">
        <v>66</v>
      </c>
      <c r="F1310" s="33">
        <v>100</v>
      </c>
      <c r="G1310" s="3">
        <f t="shared" si="22"/>
        <v>25.4</v>
      </c>
      <c r="K1310" s="33"/>
    </row>
    <row r="1311" spans="1:11" s="22" customFormat="1" ht="15.75" x14ac:dyDescent="0.25">
      <c r="A1311" s="6">
        <v>43970</v>
      </c>
      <c r="B1311" s="63"/>
      <c r="D1311" s="63"/>
      <c r="E1311" s="178"/>
      <c r="F1311" s="33">
        <v>100</v>
      </c>
      <c r="G1311" s="3">
        <f t="shared" ref="G1311:G1318" si="25">IF(E1311="y",25,IF(OR(E1311="N", E1311="RD",E1311="I"),10,0))+IF(F1311&gt;5000,20,F1311*0.4%)+IF(E1311="PMSBY",1,IF(E1311="PMJJBY",30,0))</f>
        <v>0.4</v>
      </c>
      <c r="K1311" s="33"/>
    </row>
    <row r="1312" spans="1:11" s="22" customFormat="1" ht="15.75" x14ac:dyDescent="0.25">
      <c r="A1312" s="6">
        <v>43970</v>
      </c>
      <c r="B1312" s="63"/>
      <c r="D1312" s="63"/>
      <c r="E1312" s="178"/>
      <c r="F1312" s="34">
        <v>1000</v>
      </c>
      <c r="G1312" s="3">
        <f t="shared" si="25"/>
        <v>4</v>
      </c>
      <c r="K1312" s="33"/>
    </row>
    <row r="1313" spans="1:11" s="22" customFormat="1" ht="15.75" x14ac:dyDescent="0.25">
      <c r="A1313" s="6">
        <v>43970</v>
      </c>
      <c r="B1313" s="63"/>
      <c r="D1313" s="63"/>
      <c r="E1313" s="178"/>
      <c r="F1313" s="34">
        <v>2000</v>
      </c>
      <c r="G1313" s="3">
        <f t="shared" si="25"/>
        <v>8</v>
      </c>
      <c r="K1313" s="33"/>
    </row>
    <row r="1314" spans="1:11" s="22" customFormat="1" ht="15.75" x14ac:dyDescent="0.25">
      <c r="A1314" s="6">
        <v>43970</v>
      </c>
      <c r="B1314" s="63"/>
      <c r="D1314" s="63"/>
      <c r="E1314" s="178"/>
      <c r="F1314" s="34">
        <v>5500</v>
      </c>
      <c r="G1314" s="3">
        <f t="shared" si="25"/>
        <v>20</v>
      </c>
      <c r="K1314" s="33"/>
    </row>
    <row r="1315" spans="1:11" s="22" customFormat="1" ht="15.75" x14ac:dyDescent="0.25">
      <c r="A1315" s="6">
        <v>43972</v>
      </c>
      <c r="B1315" s="63"/>
      <c r="D1315" s="63"/>
      <c r="E1315" s="178"/>
      <c r="F1315" s="2">
        <v>2000</v>
      </c>
      <c r="G1315" s="3">
        <f t="shared" si="25"/>
        <v>8</v>
      </c>
      <c r="K1315" s="33"/>
    </row>
    <row r="1316" spans="1:11" s="22" customFormat="1" ht="15.75" x14ac:dyDescent="0.25">
      <c r="A1316" s="6">
        <v>43973</v>
      </c>
      <c r="B1316" s="63"/>
      <c r="D1316" s="63"/>
      <c r="E1316" s="178"/>
      <c r="F1316" s="2">
        <v>1000</v>
      </c>
      <c r="G1316" s="3">
        <f t="shared" si="25"/>
        <v>4</v>
      </c>
      <c r="K1316" s="33"/>
    </row>
    <row r="1317" spans="1:11" s="22" customFormat="1" ht="15.75" x14ac:dyDescent="0.25">
      <c r="A1317" s="6">
        <v>43974</v>
      </c>
      <c r="B1317" s="63"/>
      <c r="D1317" s="63"/>
      <c r="E1317" s="178"/>
      <c r="F1317" s="2">
        <v>1000</v>
      </c>
      <c r="G1317" s="3">
        <f t="shared" si="25"/>
        <v>4</v>
      </c>
      <c r="K1317" s="33"/>
    </row>
    <row r="1318" spans="1:11" s="22" customFormat="1" ht="15.75" x14ac:dyDescent="0.25">
      <c r="A1318" s="6">
        <v>43974</v>
      </c>
      <c r="B1318" s="63"/>
      <c r="D1318" s="63"/>
      <c r="E1318" s="178"/>
      <c r="F1318" s="2">
        <v>400</v>
      </c>
      <c r="G1318" s="3">
        <f t="shared" si="25"/>
        <v>1.6</v>
      </c>
      <c r="K1318" s="33"/>
    </row>
    <row r="1319" spans="1:11" s="22" customFormat="1" ht="15.75" x14ac:dyDescent="0.25">
      <c r="A1319" s="6">
        <v>43977</v>
      </c>
      <c r="B1319" s="63"/>
      <c r="C1319" s="4" t="s">
        <v>506</v>
      </c>
      <c r="D1319" s="63"/>
      <c r="E1319" s="178"/>
      <c r="F1319" s="22">
        <v>500</v>
      </c>
      <c r="G1319" s="3">
        <f t="shared" si="22"/>
        <v>2</v>
      </c>
      <c r="K1319" s="33"/>
    </row>
    <row r="1320" spans="1:11" s="22" customFormat="1" ht="15.75" x14ac:dyDescent="0.25">
      <c r="A1320" s="6">
        <v>43977</v>
      </c>
      <c r="B1320" s="63"/>
      <c r="C1320" s="4" t="s">
        <v>95</v>
      </c>
      <c r="D1320" s="63"/>
      <c r="E1320" s="178"/>
      <c r="F1320" s="22">
        <v>5000</v>
      </c>
      <c r="G1320" s="3">
        <f t="shared" si="22"/>
        <v>20</v>
      </c>
      <c r="K1320" s="33"/>
    </row>
    <row r="1321" spans="1:11" s="22" customFormat="1" ht="15.75" x14ac:dyDescent="0.25">
      <c r="A1321" s="6">
        <v>43977</v>
      </c>
      <c r="B1321" s="63"/>
      <c r="C1321" s="4" t="s">
        <v>502</v>
      </c>
      <c r="D1321" s="63"/>
      <c r="E1321" s="178"/>
      <c r="F1321" s="22">
        <v>500</v>
      </c>
      <c r="G1321" s="3">
        <f t="shared" si="22"/>
        <v>2</v>
      </c>
      <c r="K1321" s="33"/>
    </row>
    <row r="1322" spans="1:11" s="22" customFormat="1" ht="15.75" x14ac:dyDescent="0.25">
      <c r="A1322" s="6">
        <v>43978</v>
      </c>
      <c r="B1322" s="63"/>
      <c r="C1322" s="4" t="s">
        <v>503</v>
      </c>
      <c r="D1322" s="63"/>
      <c r="E1322" s="178"/>
      <c r="F1322" s="22">
        <v>100</v>
      </c>
      <c r="G1322" s="3">
        <f t="shared" si="22"/>
        <v>0.4</v>
      </c>
      <c r="K1322" s="33"/>
    </row>
    <row r="1323" spans="1:11" s="22" customFormat="1" ht="15.75" x14ac:dyDescent="0.25">
      <c r="A1323" s="6">
        <v>43978</v>
      </c>
      <c r="B1323" s="63"/>
      <c r="C1323" s="4" t="s">
        <v>504</v>
      </c>
      <c r="D1323" s="63"/>
      <c r="E1323" s="178"/>
      <c r="F1323" s="22">
        <v>1000</v>
      </c>
      <c r="G1323" s="3">
        <f t="shared" si="22"/>
        <v>4</v>
      </c>
      <c r="K1323" s="33"/>
    </row>
    <row r="1324" spans="1:11" s="22" customFormat="1" ht="15.75" x14ac:dyDescent="0.25">
      <c r="A1324" s="6">
        <v>43978</v>
      </c>
      <c r="B1324" s="63"/>
      <c r="C1324" s="4" t="s">
        <v>95</v>
      </c>
      <c r="D1324" s="63"/>
      <c r="E1324" s="178"/>
      <c r="F1324" s="22">
        <v>2500</v>
      </c>
      <c r="G1324" s="3">
        <f t="shared" si="22"/>
        <v>10</v>
      </c>
      <c r="K1324" s="33"/>
    </row>
    <row r="1325" spans="1:11" s="22" customFormat="1" ht="15.75" x14ac:dyDescent="0.25">
      <c r="A1325" s="6">
        <v>43979</v>
      </c>
      <c r="B1325" s="63"/>
      <c r="C1325" s="4" t="s">
        <v>507</v>
      </c>
      <c r="D1325" s="63"/>
      <c r="E1325" s="178"/>
      <c r="F1325" s="22">
        <v>600</v>
      </c>
      <c r="G1325" s="3">
        <f t="shared" si="22"/>
        <v>2.4</v>
      </c>
      <c r="K1325" s="33"/>
    </row>
    <row r="1326" spans="1:11" s="22" customFormat="1" x14ac:dyDescent="0.25">
      <c r="A1326" s="6">
        <v>43980</v>
      </c>
      <c r="B1326" s="63"/>
      <c r="C1326" s="4" t="s">
        <v>71</v>
      </c>
      <c r="D1326" s="63"/>
      <c r="E1326" s="178"/>
      <c r="F1326" s="2">
        <v>500</v>
      </c>
      <c r="G1326" s="3">
        <f t="shared" si="22"/>
        <v>2</v>
      </c>
    </row>
    <row r="1327" spans="1:11" s="22" customFormat="1" x14ac:dyDescent="0.25">
      <c r="A1327" s="6">
        <v>43980</v>
      </c>
      <c r="B1327" s="63"/>
      <c r="C1327" s="4" t="s">
        <v>504</v>
      </c>
      <c r="D1327" s="63"/>
      <c r="E1327" s="178"/>
      <c r="F1327" s="2">
        <v>300</v>
      </c>
      <c r="G1327" s="3">
        <f t="shared" si="22"/>
        <v>1.2</v>
      </c>
    </row>
    <row r="1328" spans="1:11" s="22" customFormat="1" x14ac:dyDescent="0.25">
      <c r="A1328" s="6">
        <v>43981</v>
      </c>
      <c r="B1328" s="63"/>
      <c r="C1328" s="4" t="s">
        <v>71</v>
      </c>
      <c r="D1328" s="63"/>
      <c r="E1328" s="178"/>
      <c r="F1328" s="2">
        <v>5000</v>
      </c>
      <c r="G1328" s="3">
        <f t="shared" si="22"/>
        <v>20</v>
      </c>
    </row>
    <row r="1329" spans="1:17" s="22" customFormat="1" x14ac:dyDescent="0.25">
      <c r="A1329" s="6">
        <v>43981</v>
      </c>
      <c r="B1329" s="63"/>
      <c r="C1329" s="4" t="s">
        <v>509</v>
      </c>
      <c r="D1329" s="63"/>
      <c r="E1329" s="178"/>
      <c r="F1329" s="2">
        <v>5000</v>
      </c>
      <c r="G1329" s="3">
        <f t="shared" si="22"/>
        <v>20</v>
      </c>
    </row>
    <row r="1330" spans="1:17" s="22" customFormat="1" x14ac:dyDescent="0.25">
      <c r="A1330" s="6">
        <v>43981</v>
      </c>
      <c r="B1330" s="63"/>
      <c r="C1330" s="4" t="s">
        <v>512</v>
      </c>
      <c r="D1330" s="63"/>
      <c r="E1330" s="178"/>
      <c r="F1330" s="2">
        <v>3500</v>
      </c>
      <c r="G1330" s="3">
        <f t="shared" si="22"/>
        <v>14</v>
      </c>
    </row>
    <row r="1331" spans="1:17" s="22" customFormat="1" x14ac:dyDescent="0.25">
      <c r="A1331" s="6">
        <v>43981</v>
      </c>
      <c r="B1331" s="63"/>
      <c r="C1331" s="4" t="s">
        <v>510</v>
      </c>
      <c r="D1331" s="63"/>
      <c r="E1331" s="178"/>
      <c r="F1331" s="2">
        <v>500</v>
      </c>
      <c r="G1331" s="3">
        <f t="shared" si="22"/>
        <v>2</v>
      </c>
    </row>
    <row r="1332" spans="1:17" s="22" customFormat="1" x14ac:dyDescent="0.25">
      <c r="A1332" s="6">
        <v>43981</v>
      </c>
      <c r="B1332" s="63"/>
      <c r="C1332" s="4" t="s">
        <v>511</v>
      </c>
      <c r="D1332" s="63"/>
      <c r="E1332" s="178"/>
      <c r="F1332" s="2">
        <v>500</v>
      </c>
      <c r="G1332" s="3">
        <f t="shared" si="22"/>
        <v>2</v>
      </c>
    </row>
    <row r="1333" spans="1:17" x14ac:dyDescent="0.25">
      <c r="A1333" s="29"/>
      <c r="B1333" s="68"/>
      <c r="C1333" s="30"/>
      <c r="D1333" s="68"/>
      <c r="E1333" s="31">
        <f>COUNTIF(E676:E1332,"Y")</f>
        <v>621</v>
      </c>
      <c r="F1333" s="32">
        <f>SUM(F676:F1332)</f>
        <v>151020</v>
      </c>
      <c r="G1333" s="32">
        <f>SUM(G676:G1332)</f>
        <v>16109.079999999865</v>
      </c>
      <c r="H1333" s="30">
        <f>G1333*0.8</f>
        <v>12887.263999999894</v>
      </c>
      <c r="I1333" s="30">
        <f>H1333-0.95</f>
        <v>12886.313999999893</v>
      </c>
      <c r="J1333" s="30"/>
      <c r="K1333" s="30"/>
      <c r="L1333" s="30">
        <f>210+59+5+29</f>
        <v>303</v>
      </c>
    </row>
    <row r="1335" spans="1:17" x14ac:dyDescent="0.25">
      <c r="A1335" s="6">
        <v>43983</v>
      </c>
      <c r="C1335" s="4" t="s">
        <v>516</v>
      </c>
      <c r="F1335" s="2">
        <v>200</v>
      </c>
      <c r="G1335" s="3">
        <f t="shared" ref="G1335:G1390" si="26">IF(E1335="y",25,IF(OR(E1335="N", E1335="RD",E1335="I"),10,0))+IF(F1335&gt;5000,20,F1335*0.4%)+IF(E1335="SB",2,IF(E1335="JJ",35,0))</f>
        <v>0.8</v>
      </c>
    </row>
    <row r="1336" spans="1:17" x14ac:dyDescent="0.25">
      <c r="A1336" s="6">
        <v>43983</v>
      </c>
      <c r="C1336" s="4" t="s">
        <v>515</v>
      </c>
      <c r="F1336" s="2">
        <v>100</v>
      </c>
      <c r="G1336" s="3">
        <f t="shared" si="26"/>
        <v>0.4</v>
      </c>
    </row>
    <row r="1337" spans="1:17" x14ac:dyDescent="0.25">
      <c r="A1337" s="6">
        <v>43983</v>
      </c>
      <c r="C1337" t="s">
        <v>514</v>
      </c>
      <c r="F1337" s="2">
        <v>3000</v>
      </c>
      <c r="G1337" s="3">
        <f t="shared" si="26"/>
        <v>12</v>
      </c>
    </row>
    <row r="1338" spans="1:17" x14ac:dyDescent="0.25">
      <c r="A1338" s="6">
        <v>43983</v>
      </c>
      <c r="B1338" s="63">
        <v>2464</v>
      </c>
      <c r="C1338" t="s">
        <v>1613</v>
      </c>
      <c r="F1338" s="2">
        <v>3000</v>
      </c>
      <c r="G1338" s="3">
        <f t="shared" si="26"/>
        <v>12</v>
      </c>
    </row>
    <row r="1339" spans="1:17" x14ac:dyDescent="0.25">
      <c r="A1339" s="6">
        <v>43983</v>
      </c>
      <c r="B1339" s="63">
        <v>2112</v>
      </c>
      <c r="C1339" t="s">
        <v>1614</v>
      </c>
      <c r="F1339" s="2">
        <v>1100</v>
      </c>
      <c r="G1339" s="3">
        <f t="shared" si="26"/>
        <v>4.4000000000000004</v>
      </c>
    </row>
    <row r="1340" spans="1:17" x14ac:dyDescent="0.25">
      <c r="A1340" s="6">
        <v>43984</v>
      </c>
      <c r="B1340" s="63">
        <v>2357</v>
      </c>
      <c r="C1340" s="4" t="s">
        <v>1615</v>
      </c>
      <c r="F1340" s="2">
        <v>100</v>
      </c>
      <c r="G1340" s="3">
        <f t="shared" si="26"/>
        <v>0.4</v>
      </c>
    </row>
    <row r="1341" spans="1:17" x14ac:dyDescent="0.25">
      <c r="A1341" s="6">
        <v>43983</v>
      </c>
      <c r="B1341" s="63">
        <v>1455</v>
      </c>
      <c r="C1341" s="22" t="s">
        <v>1614</v>
      </c>
      <c r="F1341" s="2">
        <v>1180</v>
      </c>
      <c r="G1341" s="3">
        <f t="shared" si="26"/>
        <v>4.72</v>
      </c>
    </row>
    <row r="1342" spans="1:17" x14ac:dyDescent="0.25">
      <c r="A1342" s="6">
        <v>43984</v>
      </c>
      <c r="C1342" t="s">
        <v>519</v>
      </c>
      <c r="F1342" s="2">
        <v>1000</v>
      </c>
      <c r="G1342" s="3">
        <f t="shared" si="26"/>
        <v>4</v>
      </c>
    </row>
    <row r="1343" spans="1:17" x14ac:dyDescent="0.25">
      <c r="A1343" s="6">
        <v>43984</v>
      </c>
      <c r="B1343" s="63">
        <v>1640</v>
      </c>
      <c r="C1343" t="s">
        <v>1612</v>
      </c>
      <c r="F1343" s="2">
        <v>5000</v>
      </c>
      <c r="G1343" s="3">
        <f t="shared" si="26"/>
        <v>20</v>
      </c>
      <c r="Q1343">
        <f>60+73</f>
        <v>133</v>
      </c>
    </row>
    <row r="1344" spans="1:17" x14ac:dyDescent="0.25">
      <c r="A1344" s="6">
        <v>43984</v>
      </c>
      <c r="C1344" t="s">
        <v>341</v>
      </c>
      <c r="F1344" s="2">
        <v>800</v>
      </c>
      <c r="G1344" s="3">
        <f t="shared" si="26"/>
        <v>3.2</v>
      </c>
    </row>
    <row r="1345" spans="1:7" s="22" customFormat="1" x14ac:dyDescent="0.25">
      <c r="A1345" s="6">
        <v>43986</v>
      </c>
      <c r="B1345" s="63" t="s">
        <v>1624</v>
      </c>
      <c r="C1345" s="22" t="s">
        <v>194</v>
      </c>
      <c r="D1345" s="63"/>
      <c r="E1345" s="178"/>
      <c r="F1345" s="2">
        <v>700</v>
      </c>
      <c r="G1345" s="3">
        <f t="shared" si="26"/>
        <v>2.8000000000000003</v>
      </c>
    </row>
    <row r="1346" spans="1:7" x14ac:dyDescent="0.25">
      <c r="A1346" s="6">
        <v>43987</v>
      </c>
      <c r="B1346" s="63">
        <v>1071</v>
      </c>
      <c r="C1346" s="4" t="s">
        <v>1611</v>
      </c>
      <c r="F1346" s="2">
        <v>1000</v>
      </c>
      <c r="G1346" s="3">
        <f t="shared" si="26"/>
        <v>4</v>
      </c>
    </row>
    <row r="1347" spans="1:7" s="22" customFormat="1" x14ac:dyDescent="0.25">
      <c r="A1347" s="6">
        <v>43987</v>
      </c>
      <c r="B1347" s="63">
        <v>504</v>
      </c>
      <c r="C1347" s="4" t="s">
        <v>1611</v>
      </c>
      <c r="D1347" s="63"/>
      <c r="E1347" s="178"/>
      <c r="F1347" s="2">
        <v>500</v>
      </c>
      <c r="G1347" s="3">
        <f t="shared" si="26"/>
        <v>2</v>
      </c>
    </row>
    <row r="1348" spans="1:7" s="22" customFormat="1" x14ac:dyDescent="0.25">
      <c r="A1348" s="6">
        <v>43987</v>
      </c>
      <c r="B1348" s="63">
        <v>503</v>
      </c>
      <c r="C1348" s="4" t="s">
        <v>1611</v>
      </c>
      <c r="D1348" s="63"/>
      <c r="E1348" s="178"/>
      <c r="F1348" s="2">
        <v>500</v>
      </c>
      <c r="G1348" s="3">
        <f t="shared" si="26"/>
        <v>2</v>
      </c>
    </row>
    <row r="1349" spans="1:7" s="22" customFormat="1" x14ac:dyDescent="0.25">
      <c r="A1349" s="6">
        <v>43987</v>
      </c>
      <c r="B1349" s="63">
        <v>1263</v>
      </c>
      <c r="C1349" s="4" t="s">
        <v>1611</v>
      </c>
      <c r="D1349" s="63"/>
      <c r="E1349" s="178"/>
      <c r="F1349" s="2">
        <v>500</v>
      </c>
      <c r="G1349" s="3">
        <f t="shared" si="26"/>
        <v>2</v>
      </c>
    </row>
    <row r="1350" spans="1:7" s="22" customFormat="1" x14ac:dyDescent="0.25">
      <c r="A1350" s="6">
        <v>43988</v>
      </c>
      <c r="B1350" s="63"/>
      <c r="C1350" s="4" t="s">
        <v>71</v>
      </c>
      <c r="D1350" s="63"/>
      <c r="E1350" s="178"/>
      <c r="F1350" s="2">
        <v>1000</v>
      </c>
      <c r="G1350" s="3">
        <f t="shared" si="26"/>
        <v>4</v>
      </c>
    </row>
    <row r="1351" spans="1:7" s="22" customFormat="1" x14ac:dyDescent="0.25">
      <c r="A1351" s="6">
        <v>43988</v>
      </c>
      <c r="B1351" s="63"/>
      <c r="C1351" s="4" t="s">
        <v>3</v>
      </c>
      <c r="D1351" s="63"/>
      <c r="E1351" s="178"/>
      <c r="F1351" s="2">
        <v>500</v>
      </c>
      <c r="G1351" s="3">
        <f t="shared" si="26"/>
        <v>2</v>
      </c>
    </row>
    <row r="1352" spans="1:7" s="22" customFormat="1" x14ac:dyDescent="0.25">
      <c r="A1352" s="6">
        <v>43988</v>
      </c>
      <c r="B1352" s="63"/>
      <c r="C1352" s="4"/>
      <c r="D1352" s="63"/>
      <c r="E1352" s="178"/>
      <c r="F1352" s="2">
        <v>1200</v>
      </c>
      <c r="G1352" s="3">
        <f t="shared" si="26"/>
        <v>4.8</v>
      </c>
    </row>
    <row r="1353" spans="1:7" s="22" customFormat="1" x14ac:dyDescent="0.25">
      <c r="A1353" s="6">
        <v>43988</v>
      </c>
      <c r="B1353" s="63"/>
      <c r="C1353" s="4"/>
      <c r="D1353" s="63"/>
      <c r="E1353" s="178"/>
      <c r="F1353" s="2">
        <v>1400</v>
      </c>
      <c r="G1353" s="3">
        <f t="shared" si="26"/>
        <v>5.6000000000000005</v>
      </c>
    </row>
    <row r="1354" spans="1:7" s="22" customFormat="1" x14ac:dyDescent="0.25">
      <c r="A1354" s="6">
        <v>43988</v>
      </c>
      <c r="B1354" s="63"/>
      <c r="C1354" s="4"/>
      <c r="D1354" s="63"/>
      <c r="E1354" s="178"/>
      <c r="F1354" s="2">
        <v>1000</v>
      </c>
      <c r="G1354" s="3">
        <f t="shared" si="26"/>
        <v>4</v>
      </c>
    </row>
    <row r="1355" spans="1:7" x14ac:dyDescent="0.25">
      <c r="A1355" s="6">
        <v>43990</v>
      </c>
      <c r="B1355" s="59" t="s">
        <v>1624</v>
      </c>
      <c r="C1355" s="4" t="s">
        <v>3</v>
      </c>
      <c r="F1355" s="2">
        <v>2000</v>
      </c>
      <c r="G1355" s="3">
        <f t="shared" si="26"/>
        <v>8</v>
      </c>
    </row>
    <row r="1356" spans="1:7" s="22" customFormat="1" x14ac:dyDescent="0.25">
      <c r="A1356" s="6">
        <v>43990</v>
      </c>
      <c r="B1356" s="59" t="s">
        <v>1628</v>
      </c>
      <c r="C1356" s="4" t="s">
        <v>3</v>
      </c>
      <c r="D1356" s="63"/>
      <c r="E1356" s="178"/>
      <c r="F1356" s="2">
        <v>5000</v>
      </c>
      <c r="G1356" s="3">
        <f t="shared" si="26"/>
        <v>20</v>
      </c>
    </row>
    <row r="1357" spans="1:7" s="22" customFormat="1" x14ac:dyDescent="0.25">
      <c r="A1357" s="6">
        <v>43990</v>
      </c>
      <c r="B1357" s="59" t="s">
        <v>1622</v>
      </c>
      <c r="C1357" s="4" t="s">
        <v>3</v>
      </c>
      <c r="D1357" s="63"/>
      <c r="E1357" s="178"/>
      <c r="F1357" s="2">
        <v>500</v>
      </c>
      <c r="G1357" s="3">
        <f t="shared" si="26"/>
        <v>2</v>
      </c>
    </row>
    <row r="1358" spans="1:7" s="22" customFormat="1" x14ac:dyDescent="0.25">
      <c r="A1358" s="6">
        <v>43991</v>
      </c>
      <c r="B1358" s="63"/>
      <c r="D1358" s="63"/>
      <c r="E1358" s="178"/>
      <c r="F1358" s="2">
        <v>500</v>
      </c>
      <c r="G1358" s="3">
        <f t="shared" si="26"/>
        <v>2</v>
      </c>
    </row>
    <row r="1359" spans="1:7" s="22" customFormat="1" x14ac:dyDescent="0.25">
      <c r="A1359" s="6">
        <v>43991</v>
      </c>
      <c r="B1359" s="59" t="s">
        <v>1629</v>
      </c>
      <c r="C1359" s="4" t="s">
        <v>3</v>
      </c>
      <c r="D1359" s="63"/>
      <c r="E1359" s="178"/>
      <c r="F1359" s="2">
        <v>4500</v>
      </c>
      <c r="G1359" s="3">
        <f t="shared" si="26"/>
        <v>18</v>
      </c>
    </row>
    <row r="1360" spans="1:7" s="22" customFormat="1" x14ac:dyDescent="0.25">
      <c r="A1360" s="6">
        <v>43991</v>
      </c>
      <c r="B1360" s="59" t="s">
        <v>1630</v>
      </c>
      <c r="C1360" s="4" t="s">
        <v>3</v>
      </c>
      <c r="D1360" s="63"/>
      <c r="E1360" s="178"/>
      <c r="F1360" s="2">
        <v>1600</v>
      </c>
      <c r="G1360" s="3">
        <f t="shared" si="26"/>
        <v>6.4</v>
      </c>
    </row>
    <row r="1361" spans="1:7" s="22" customFormat="1" x14ac:dyDescent="0.25">
      <c r="A1361" s="6">
        <v>43992</v>
      </c>
      <c r="B1361" s="59" t="s">
        <v>1631</v>
      </c>
      <c r="C1361" s="22" t="s">
        <v>3</v>
      </c>
      <c r="D1361" s="63"/>
      <c r="E1361" s="178"/>
      <c r="F1361" s="2">
        <v>300</v>
      </c>
      <c r="G1361" s="3">
        <f t="shared" si="26"/>
        <v>1.2</v>
      </c>
    </row>
    <row r="1362" spans="1:7" s="22" customFormat="1" x14ac:dyDescent="0.25">
      <c r="A1362" s="6">
        <v>43992</v>
      </c>
      <c r="B1362" s="59" t="s">
        <v>1632</v>
      </c>
      <c r="C1362" s="22" t="s">
        <v>3</v>
      </c>
      <c r="D1362" s="63"/>
      <c r="E1362" s="178"/>
      <c r="F1362" s="2">
        <v>200</v>
      </c>
      <c r="G1362" s="3">
        <f t="shared" si="26"/>
        <v>0.8</v>
      </c>
    </row>
    <row r="1363" spans="1:7" s="22" customFormat="1" x14ac:dyDescent="0.25">
      <c r="A1363" s="6">
        <v>43992</v>
      </c>
      <c r="B1363" s="63"/>
      <c r="C1363" s="22" t="s">
        <v>1633</v>
      </c>
      <c r="D1363" s="63"/>
      <c r="E1363" s="178"/>
      <c r="F1363" s="2">
        <v>500</v>
      </c>
      <c r="G1363" s="3">
        <f t="shared" si="26"/>
        <v>2</v>
      </c>
    </row>
    <row r="1364" spans="1:7" s="22" customFormat="1" x14ac:dyDescent="0.25">
      <c r="A1364" s="6">
        <v>43992</v>
      </c>
      <c r="B1364" s="63" t="s">
        <v>1624</v>
      </c>
      <c r="C1364" s="22" t="s">
        <v>3</v>
      </c>
      <c r="D1364" s="63"/>
      <c r="E1364" s="178"/>
      <c r="F1364" s="2">
        <v>1000</v>
      </c>
      <c r="G1364" s="3">
        <f t="shared" si="26"/>
        <v>4</v>
      </c>
    </row>
    <row r="1365" spans="1:7" s="22" customFormat="1" x14ac:dyDescent="0.25">
      <c r="A1365" s="6">
        <v>43992</v>
      </c>
      <c r="B1365" s="59" t="s">
        <v>1634</v>
      </c>
      <c r="C1365" s="22" t="s">
        <v>71</v>
      </c>
      <c r="D1365" s="63"/>
      <c r="E1365" s="178"/>
      <c r="F1365" s="2">
        <v>4000</v>
      </c>
      <c r="G1365" s="3">
        <f t="shared" si="26"/>
        <v>16</v>
      </c>
    </row>
    <row r="1366" spans="1:7" s="22" customFormat="1" x14ac:dyDescent="0.25">
      <c r="A1366" s="6">
        <v>43992</v>
      </c>
      <c r="B1366" s="59" t="s">
        <v>1637</v>
      </c>
      <c r="C1366" s="22" t="s">
        <v>187</v>
      </c>
      <c r="D1366" s="63"/>
      <c r="E1366" s="178"/>
      <c r="F1366" s="2">
        <v>1500</v>
      </c>
      <c r="G1366" s="3">
        <f t="shared" si="26"/>
        <v>6</v>
      </c>
    </row>
    <row r="1367" spans="1:7" s="22" customFormat="1" x14ac:dyDescent="0.25">
      <c r="A1367" s="6">
        <v>43992</v>
      </c>
      <c r="B1367" s="63"/>
      <c r="D1367" s="63"/>
      <c r="E1367" s="178"/>
      <c r="F1367" s="2">
        <v>1000</v>
      </c>
      <c r="G1367" s="3">
        <f t="shared" si="26"/>
        <v>4</v>
      </c>
    </row>
    <row r="1368" spans="1:7" s="22" customFormat="1" x14ac:dyDescent="0.25">
      <c r="A1368" s="6">
        <v>43993</v>
      </c>
      <c r="B1368" s="59"/>
      <c r="D1368" s="63"/>
      <c r="E1368" s="178"/>
      <c r="F1368" s="2">
        <v>300</v>
      </c>
      <c r="G1368" s="3">
        <f t="shared" si="26"/>
        <v>1.2</v>
      </c>
    </row>
    <row r="1369" spans="1:7" s="22" customFormat="1" x14ac:dyDescent="0.25">
      <c r="A1369" s="6">
        <v>43993</v>
      </c>
      <c r="B1369" s="59" t="s">
        <v>1630</v>
      </c>
      <c r="C1369" s="22" t="s">
        <v>1638</v>
      </c>
      <c r="D1369" s="63"/>
      <c r="E1369" s="178"/>
      <c r="F1369" s="2">
        <v>800</v>
      </c>
      <c r="G1369" s="3">
        <f t="shared" si="26"/>
        <v>3.2</v>
      </c>
    </row>
    <row r="1370" spans="1:7" s="22" customFormat="1" x14ac:dyDescent="0.25">
      <c r="A1370" s="6">
        <v>43993</v>
      </c>
      <c r="B1370" s="59" t="s">
        <v>1644</v>
      </c>
      <c r="C1370" s="22" t="s">
        <v>1645</v>
      </c>
      <c r="D1370" s="63"/>
      <c r="E1370" s="178"/>
      <c r="F1370" s="2">
        <v>4000</v>
      </c>
      <c r="G1370" s="3">
        <f t="shared" si="26"/>
        <v>16</v>
      </c>
    </row>
    <row r="1371" spans="1:7" s="22" customFormat="1" x14ac:dyDescent="0.25">
      <c r="A1371" s="6">
        <v>43994</v>
      </c>
      <c r="B1371" s="63"/>
      <c r="C1371" s="22" t="s">
        <v>1649</v>
      </c>
      <c r="D1371" s="63"/>
      <c r="E1371" s="178"/>
      <c r="F1371" s="2">
        <v>1200</v>
      </c>
      <c r="G1371" s="3">
        <f t="shared" si="26"/>
        <v>4.8</v>
      </c>
    </row>
    <row r="1372" spans="1:7" s="22" customFormat="1" x14ac:dyDescent="0.25">
      <c r="A1372" s="6">
        <v>43994</v>
      </c>
      <c r="B1372" s="59" t="s">
        <v>1651</v>
      </c>
      <c r="D1372" s="63"/>
      <c r="E1372" s="178"/>
      <c r="F1372" s="2">
        <v>600</v>
      </c>
      <c r="G1372" s="3">
        <f t="shared" si="26"/>
        <v>2.4</v>
      </c>
    </row>
    <row r="1373" spans="1:7" s="22" customFormat="1" x14ac:dyDescent="0.25">
      <c r="A1373" s="6">
        <v>43994</v>
      </c>
      <c r="B1373" s="63" t="s">
        <v>1624</v>
      </c>
      <c r="C1373" s="22" t="s">
        <v>1652</v>
      </c>
      <c r="D1373" s="63"/>
      <c r="E1373" s="178"/>
      <c r="F1373" s="2">
        <v>2500</v>
      </c>
      <c r="G1373" s="3">
        <f t="shared" si="26"/>
        <v>10</v>
      </c>
    </row>
    <row r="1374" spans="1:7" s="22" customFormat="1" x14ac:dyDescent="0.25">
      <c r="A1374" s="6">
        <v>43994</v>
      </c>
      <c r="B1374" s="63"/>
      <c r="C1374" s="22" t="s">
        <v>1649</v>
      </c>
      <c r="D1374" s="63"/>
      <c r="E1374" s="178"/>
      <c r="F1374" s="2">
        <v>3000</v>
      </c>
      <c r="G1374" s="3">
        <f t="shared" si="26"/>
        <v>12</v>
      </c>
    </row>
    <row r="1375" spans="1:7" s="22" customFormat="1" x14ac:dyDescent="0.25">
      <c r="A1375" s="6">
        <v>43994</v>
      </c>
      <c r="B1375" s="63" t="s">
        <v>1641</v>
      </c>
      <c r="D1375" s="63"/>
      <c r="E1375" s="178"/>
      <c r="F1375" s="2">
        <v>150</v>
      </c>
      <c r="G1375" s="3">
        <f t="shared" si="26"/>
        <v>0.6</v>
      </c>
    </row>
    <row r="1376" spans="1:7" x14ac:dyDescent="0.25">
      <c r="A1376" s="6">
        <v>43995</v>
      </c>
      <c r="B1376" s="59" t="s">
        <v>1653</v>
      </c>
      <c r="F1376" s="2">
        <v>200</v>
      </c>
      <c r="G1376" s="3">
        <f t="shared" si="26"/>
        <v>0.8</v>
      </c>
    </row>
    <row r="1377" spans="1:7" s="22" customFormat="1" x14ac:dyDescent="0.25">
      <c r="A1377" s="6">
        <v>43995</v>
      </c>
      <c r="B1377" s="59" t="s">
        <v>1654</v>
      </c>
      <c r="D1377" s="63"/>
      <c r="E1377" s="178"/>
      <c r="F1377" s="2">
        <v>1000</v>
      </c>
      <c r="G1377" s="3">
        <f t="shared" si="26"/>
        <v>4</v>
      </c>
    </row>
    <row r="1378" spans="1:7" s="22" customFormat="1" x14ac:dyDescent="0.25">
      <c r="A1378" s="6">
        <v>43995</v>
      </c>
      <c r="B1378" s="63"/>
      <c r="C1378" s="22" t="s">
        <v>1655</v>
      </c>
      <c r="D1378" s="63"/>
      <c r="E1378" s="178"/>
      <c r="F1378" s="2">
        <v>2000</v>
      </c>
      <c r="G1378" s="3">
        <f t="shared" si="26"/>
        <v>8</v>
      </c>
    </row>
    <row r="1379" spans="1:7" s="22" customFormat="1" x14ac:dyDescent="0.25">
      <c r="A1379" s="6">
        <v>43995</v>
      </c>
      <c r="B1379" s="63" t="s">
        <v>1656</v>
      </c>
      <c r="D1379" s="63"/>
      <c r="E1379" s="178"/>
      <c r="F1379" s="2">
        <v>4000</v>
      </c>
      <c r="G1379" s="3">
        <f t="shared" si="26"/>
        <v>16</v>
      </c>
    </row>
    <row r="1380" spans="1:7" s="22" customFormat="1" x14ac:dyDescent="0.25">
      <c r="A1380" s="6">
        <v>43997</v>
      </c>
      <c r="B1380" s="63" t="s">
        <v>1624</v>
      </c>
      <c r="C1380" s="22" t="s">
        <v>1652</v>
      </c>
      <c r="D1380" s="63"/>
      <c r="E1380" s="178"/>
      <c r="F1380" s="2">
        <v>5000</v>
      </c>
      <c r="G1380" s="3">
        <f t="shared" si="26"/>
        <v>20</v>
      </c>
    </row>
    <row r="1381" spans="1:7" s="22" customFormat="1" x14ac:dyDescent="0.25">
      <c r="A1381" s="6">
        <v>43997</v>
      </c>
      <c r="B1381" s="63" t="s">
        <v>1657</v>
      </c>
      <c r="C1381" s="22" t="s">
        <v>238</v>
      </c>
      <c r="D1381" s="63"/>
      <c r="E1381" s="178"/>
      <c r="F1381" s="2">
        <v>4000</v>
      </c>
      <c r="G1381" s="3">
        <f t="shared" si="26"/>
        <v>16</v>
      </c>
    </row>
    <row r="1382" spans="1:7" s="22" customFormat="1" x14ac:dyDescent="0.25">
      <c r="A1382" s="6">
        <v>43997</v>
      </c>
      <c r="B1382" s="63" t="s">
        <v>1630</v>
      </c>
      <c r="C1382" s="22" t="s">
        <v>292</v>
      </c>
      <c r="D1382" s="63"/>
      <c r="E1382" s="178"/>
      <c r="F1382" s="2">
        <v>400</v>
      </c>
      <c r="G1382" s="3">
        <f t="shared" si="26"/>
        <v>1.6</v>
      </c>
    </row>
    <row r="1383" spans="1:7" s="22" customFormat="1" x14ac:dyDescent="0.25">
      <c r="A1383" s="6">
        <v>43997</v>
      </c>
      <c r="B1383" s="63" t="s">
        <v>1634</v>
      </c>
      <c r="D1383" s="63"/>
      <c r="E1383" s="178"/>
      <c r="F1383" s="2">
        <v>3000</v>
      </c>
      <c r="G1383" s="3">
        <f t="shared" si="26"/>
        <v>12</v>
      </c>
    </row>
    <row r="1384" spans="1:7" s="22" customFormat="1" x14ac:dyDescent="0.25">
      <c r="A1384" s="6">
        <v>43997</v>
      </c>
      <c r="B1384" s="63"/>
      <c r="D1384" s="63"/>
      <c r="E1384" s="178"/>
      <c r="F1384" s="2">
        <v>100</v>
      </c>
      <c r="G1384" s="3">
        <f t="shared" si="26"/>
        <v>0.4</v>
      </c>
    </row>
    <row r="1385" spans="1:7" s="22" customFormat="1" x14ac:dyDescent="0.25">
      <c r="A1385" s="6">
        <v>43997</v>
      </c>
      <c r="B1385" s="63" t="s">
        <v>1658</v>
      </c>
      <c r="D1385" s="63"/>
      <c r="E1385" s="178"/>
      <c r="F1385" s="2">
        <v>1000</v>
      </c>
      <c r="G1385" s="3">
        <f t="shared" si="26"/>
        <v>4</v>
      </c>
    </row>
    <row r="1386" spans="1:7" s="22" customFormat="1" x14ac:dyDescent="0.25">
      <c r="A1386" s="6">
        <v>43997</v>
      </c>
      <c r="B1386" s="63" t="s">
        <v>1649</v>
      </c>
      <c r="D1386" s="63"/>
      <c r="E1386" s="178"/>
      <c r="F1386" s="2">
        <v>800</v>
      </c>
      <c r="G1386" s="3">
        <f t="shared" si="26"/>
        <v>3.2</v>
      </c>
    </row>
    <row r="1387" spans="1:7" s="22" customFormat="1" x14ac:dyDescent="0.25">
      <c r="A1387" s="6">
        <v>43998</v>
      </c>
      <c r="B1387" s="63" t="s">
        <v>1659</v>
      </c>
      <c r="D1387" s="63"/>
      <c r="E1387" s="178"/>
      <c r="F1387" s="2">
        <v>1000</v>
      </c>
      <c r="G1387" s="3">
        <f t="shared" si="26"/>
        <v>4</v>
      </c>
    </row>
    <row r="1388" spans="1:7" s="22" customFormat="1" x14ac:dyDescent="0.25">
      <c r="A1388" s="6">
        <v>43998</v>
      </c>
      <c r="B1388" s="63"/>
      <c r="D1388" s="63"/>
      <c r="E1388" s="178"/>
      <c r="F1388" s="2">
        <v>1000</v>
      </c>
      <c r="G1388" s="3">
        <f t="shared" si="26"/>
        <v>4</v>
      </c>
    </row>
    <row r="1389" spans="1:7" s="22" customFormat="1" x14ac:dyDescent="0.25">
      <c r="A1389" s="6">
        <v>43998</v>
      </c>
      <c r="B1389" s="63" t="s">
        <v>1661</v>
      </c>
      <c r="D1389" s="63"/>
      <c r="E1389" s="178"/>
      <c r="F1389" s="2">
        <v>1000</v>
      </c>
      <c r="G1389" s="3">
        <f t="shared" si="26"/>
        <v>4</v>
      </c>
    </row>
    <row r="1390" spans="1:7" s="22" customFormat="1" x14ac:dyDescent="0.25">
      <c r="A1390" s="6">
        <v>43998</v>
      </c>
      <c r="B1390" s="63" t="s">
        <v>1641</v>
      </c>
      <c r="C1390" s="22" t="s">
        <v>1662</v>
      </c>
      <c r="D1390" s="63"/>
      <c r="E1390" s="178"/>
      <c r="F1390" s="2">
        <v>300</v>
      </c>
      <c r="G1390" s="3">
        <f t="shared" si="26"/>
        <v>1.2</v>
      </c>
    </row>
    <row r="1391" spans="1:7" s="22" customFormat="1" x14ac:dyDescent="0.25">
      <c r="A1391" s="6">
        <v>43999</v>
      </c>
      <c r="B1391" s="63" t="s">
        <v>1637</v>
      </c>
      <c r="C1391" s="22" t="s">
        <v>187</v>
      </c>
      <c r="D1391" s="63"/>
      <c r="E1391" s="178"/>
      <c r="F1391" s="2">
        <v>1770</v>
      </c>
      <c r="G1391" s="3">
        <f t="shared" ref="G1391:G1409" si="27">IF(E1391="y",25,IF(OR(E1391="N", E1391="RD",E1391="I"),10,0))+IF(F1391&gt;5000,20,F1391*0.4%)+IF(E1391="SB",2,IF(E1391="JJ",35,0))</f>
        <v>7.08</v>
      </c>
    </row>
    <row r="1392" spans="1:7" s="22" customFormat="1" x14ac:dyDescent="0.25">
      <c r="A1392" s="6">
        <v>43999</v>
      </c>
      <c r="B1392" s="59" t="s">
        <v>1668</v>
      </c>
      <c r="D1392" s="63"/>
      <c r="E1392" s="178"/>
      <c r="F1392" s="2">
        <v>300</v>
      </c>
      <c r="G1392" s="3">
        <f t="shared" si="27"/>
        <v>1.2</v>
      </c>
    </row>
    <row r="1393" spans="1:7" s="22" customFormat="1" x14ac:dyDescent="0.25">
      <c r="A1393" s="6">
        <v>43999</v>
      </c>
      <c r="B1393" s="59" t="s">
        <v>1669</v>
      </c>
      <c r="D1393" s="63"/>
      <c r="E1393" s="178"/>
      <c r="F1393" s="2">
        <v>200</v>
      </c>
      <c r="G1393" s="3">
        <f t="shared" si="27"/>
        <v>0.8</v>
      </c>
    </row>
    <row r="1394" spans="1:7" s="22" customFormat="1" x14ac:dyDescent="0.25">
      <c r="A1394" s="6">
        <v>44000</v>
      </c>
      <c r="B1394" s="63" t="s">
        <v>1672</v>
      </c>
      <c r="D1394" s="63"/>
      <c r="E1394" s="178"/>
      <c r="F1394" s="2">
        <v>1000</v>
      </c>
      <c r="G1394" s="3">
        <f t="shared" si="27"/>
        <v>4</v>
      </c>
    </row>
    <row r="1395" spans="1:7" s="22" customFormat="1" x14ac:dyDescent="0.25">
      <c r="A1395" s="6">
        <v>44000</v>
      </c>
      <c r="B1395" s="63" t="s">
        <v>1687</v>
      </c>
      <c r="C1395" s="22" t="s">
        <v>1688</v>
      </c>
      <c r="D1395" s="63"/>
      <c r="E1395" s="178" t="s">
        <v>1686</v>
      </c>
      <c r="F1395" s="2"/>
      <c r="G1395" s="3">
        <f t="shared" si="27"/>
        <v>2</v>
      </c>
    </row>
    <row r="1396" spans="1:7" s="22" customFormat="1" x14ac:dyDescent="0.25">
      <c r="A1396" s="6">
        <v>44001</v>
      </c>
      <c r="B1396" s="63" t="s">
        <v>1673</v>
      </c>
      <c r="C1396" s="22" t="s">
        <v>1670</v>
      </c>
      <c r="D1396" s="63"/>
      <c r="E1396" s="178"/>
      <c r="F1396" s="2">
        <v>200</v>
      </c>
      <c r="G1396" s="3">
        <f t="shared" si="27"/>
        <v>0.8</v>
      </c>
    </row>
    <row r="1397" spans="1:7" s="22" customFormat="1" x14ac:dyDescent="0.25">
      <c r="A1397" s="6">
        <v>44001</v>
      </c>
      <c r="B1397" s="63" t="s">
        <v>1630</v>
      </c>
      <c r="C1397" s="22" t="s">
        <v>292</v>
      </c>
      <c r="D1397" s="63"/>
      <c r="E1397" s="178"/>
      <c r="F1397" s="2">
        <v>800</v>
      </c>
      <c r="G1397" s="3">
        <f t="shared" si="27"/>
        <v>3.2</v>
      </c>
    </row>
    <row r="1398" spans="1:7" s="22" customFormat="1" x14ac:dyDescent="0.25">
      <c r="A1398" s="6">
        <v>44001</v>
      </c>
      <c r="B1398" s="63"/>
      <c r="D1398" s="63"/>
      <c r="E1398" s="178"/>
      <c r="F1398" s="2">
        <v>700</v>
      </c>
      <c r="G1398" s="3">
        <f t="shared" si="27"/>
        <v>2.8000000000000003</v>
      </c>
    </row>
    <row r="1399" spans="1:7" s="22" customFormat="1" x14ac:dyDescent="0.25">
      <c r="A1399" s="6">
        <v>44001</v>
      </c>
      <c r="B1399" s="63"/>
      <c r="D1399" s="63"/>
      <c r="E1399" s="178"/>
      <c r="F1399" s="2">
        <v>100</v>
      </c>
      <c r="G1399" s="3">
        <f t="shared" si="27"/>
        <v>0.4</v>
      </c>
    </row>
    <row r="1400" spans="1:7" s="22" customFormat="1" x14ac:dyDescent="0.25">
      <c r="A1400" s="6">
        <v>44001</v>
      </c>
      <c r="B1400" s="63"/>
      <c r="D1400" s="63"/>
      <c r="E1400" s="178"/>
      <c r="F1400" s="2">
        <v>500</v>
      </c>
      <c r="G1400" s="3">
        <f t="shared" si="27"/>
        <v>2</v>
      </c>
    </row>
    <row r="1401" spans="1:7" s="22" customFormat="1" x14ac:dyDescent="0.25">
      <c r="A1401" s="6">
        <v>44001</v>
      </c>
      <c r="B1401" s="63"/>
      <c r="C1401" s="22" t="s">
        <v>353</v>
      </c>
      <c r="D1401" s="63"/>
      <c r="E1401" s="178"/>
      <c r="F1401" s="2">
        <v>4000</v>
      </c>
      <c r="G1401" s="3">
        <f t="shared" si="27"/>
        <v>16</v>
      </c>
    </row>
    <row r="1402" spans="1:7" s="22" customFormat="1" x14ac:dyDescent="0.25">
      <c r="A1402" s="6">
        <v>44001</v>
      </c>
      <c r="B1402" s="63"/>
      <c r="C1402" s="22" t="s">
        <v>353</v>
      </c>
      <c r="D1402" s="63"/>
      <c r="E1402" s="178"/>
      <c r="F1402" s="2">
        <v>300</v>
      </c>
      <c r="G1402" s="3">
        <f t="shared" si="27"/>
        <v>1.2</v>
      </c>
    </row>
    <row r="1403" spans="1:7" s="22" customFormat="1" x14ac:dyDescent="0.25">
      <c r="A1403" s="6">
        <v>44002</v>
      </c>
      <c r="B1403" s="63"/>
      <c r="D1403" s="63"/>
      <c r="E1403" s="178"/>
      <c r="F1403" s="2">
        <v>100</v>
      </c>
      <c r="G1403" s="3">
        <f t="shared" si="27"/>
        <v>0.4</v>
      </c>
    </row>
    <row r="1404" spans="1:7" s="22" customFormat="1" x14ac:dyDescent="0.25">
      <c r="A1404" s="6">
        <v>44002</v>
      </c>
      <c r="B1404" s="63"/>
      <c r="D1404" s="63"/>
      <c r="E1404" s="178"/>
      <c r="F1404" s="2">
        <v>100</v>
      </c>
      <c r="G1404" s="3">
        <f t="shared" si="27"/>
        <v>0.4</v>
      </c>
    </row>
    <row r="1405" spans="1:7" s="22" customFormat="1" x14ac:dyDescent="0.25">
      <c r="A1405" s="6">
        <v>44002</v>
      </c>
      <c r="B1405" s="63"/>
      <c r="D1405" s="63"/>
      <c r="E1405" s="178"/>
      <c r="F1405" s="2">
        <v>200</v>
      </c>
      <c r="G1405" s="3">
        <f t="shared" si="27"/>
        <v>0.8</v>
      </c>
    </row>
    <row r="1406" spans="1:7" s="22" customFormat="1" x14ac:dyDescent="0.25">
      <c r="A1406" s="6">
        <v>44004</v>
      </c>
      <c r="B1406" s="63" t="s">
        <v>1624</v>
      </c>
      <c r="C1406" s="22" t="s">
        <v>1652</v>
      </c>
      <c r="D1406" s="63"/>
      <c r="E1406" s="178"/>
      <c r="F1406" s="2">
        <v>600</v>
      </c>
      <c r="G1406" s="3">
        <f t="shared" si="27"/>
        <v>2.4</v>
      </c>
    </row>
    <row r="1407" spans="1:7" s="22" customFormat="1" x14ac:dyDescent="0.25">
      <c r="A1407" s="6">
        <v>44004</v>
      </c>
      <c r="B1407" s="63" t="s">
        <v>1680</v>
      </c>
      <c r="C1407" s="22" t="s">
        <v>1681</v>
      </c>
      <c r="D1407" s="63"/>
      <c r="E1407" s="178"/>
      <c r="F1407" s="2">
        <v>550</v>
      </c>
      <c r="G1407" s="3">
        <f t="shared" si="27"/>
        <v>2.2000000000000002</v>
      </c>
    </row>
    <row r="1408" spans="1:7" s="22" customFormat="1" x14ac:dyDescent="0.25">
      <c r="A1408" s="6">
        <v>44004</v>
      </c>
      <c r="B1408" s="63" t="s">
        <v>1678</v>
      </c>
      <c r="C1408" s="22" t="s">
        <v>1679</v>
      </c>
      <c r="D1408" s="63"/>
      <c r="E1408" s="178"/>
      <c r="F1408" s="2">
        <v>200</v>
      </c>
      <c r="G1408" s="3">
        <f t="shared" si="27"/>
        <v>0.8</v>
      </c>
    </row>
    <row r="1409" spans="1:7" s="22" customFormat="1" x14ac:dyDescent="0.25">
      <c r="A1409" s="6">
        <v>44004</v>
      </c>
      <c r="B1409" s="63" t="s">
        <v>1682</v>
      </c>
      <c r="D1409" s="63"/>
      <c r="E1409" s="178"/>
      <c r="F1409" s="2">
        <v>5000</v>
      </c>
      <c r="G1409" s="3">
        <f t="shared" si="27"/>
        <v>20</v>
      </c>
    </row>
    <row r="1410" spans="1:7" s="22" customFormat="1" x14ac:dyDescent="0.25">
      <c r="A1410" s="6">
        <v>44004</v>
      </c>
      <c r="B1410" s="63" t="s">
        <v>1683</v>
      </c>
      <c r="C1410" s="22" t="s">
        <v>256</v>
      </c>
      <c r="D1410" s="63"/>
      <c r="E1410" s="178" t="s">
        <v>1685</v>
      </c>
      <c r="F1410" s="2">
        <v>0</v>
      </c>
      <c r="G1410" s="3">
        <f>IF(E1410="y",25,IF(OR(E1410="N", E1410="RD",E1410="I"),10,0))+IF(F1410&gt;5000,20,F1410*0.4%)+IF(E1410="SB",2,IF(E1410="JJ",35,0))</f>
        <v>35</v>
      </c>
    </row>
    <row r="1411" spans="1:7" s="22" customFormat="1" x14ac:dyDescent="0.25">
      <c r="A1411" s="6">
        <v>44004</v>
      </c>
      <c r="B1411" s="63" t="s">
        <v>1683</v>
      </c>
      <c r="C1411" s="22" t="s">
        <v>1684</v>
      </c>
      <c r="D1411" s="63"/>
      <c r="E1411" s="178" t="s">
        <v>1686</v>
      </c>
      <c r="F1411" s="2">
        <v>0</v>
      </c>
      <c r="G1411" s="3">
        <f t="shared" ref="G1411:G1434" si="28">IF(E1411="y",25,IF(OR(E1411="N", E1411="RD",E1411="I"),10,0))+IF(F1411&gt;5000,20,F1411*0.4%)+IF(E1411="SB",2,IF(E1411="JJ",35,0))</f>
        <v>2</v>
      </c>
    </row>
    <row r="1412" spans="1:7" s="22" customFormat="1" x14ac:dyDescent="0.25">
      <c r="A1412" s="6">
        <v>44005</v>
      </c>
      <c r="B1412" s="63" t="s">
        <v>1693</v>
      </c>
      <c r="D1412" s="63"/>
      <c r="E1412" s="178"/>
      <c r="F1412" s="2">
        <v>500</v>
      </c>
      <c r="G1412" s="3">
        <f t="shared" si="28"/>
        <v>2</v>
      </c>
    </row>
    <row r="1413" spans="1:7" s="22" customFormat="1" x14ac:dyDescent="0.25">
      <c r="A1413" s="6">
        <v>44005</v>
      </c>
      <c r="B1413" s="63" t="s">
        <v>1695</v>
      </c>
      <c r="D1413" s="63"/>
      <c r="E1413" s="178"/>
      <c r="F1413" s="2">
        <v>100</v>
      </c>
      <c r="G1413" s="3">
        <f t="shared" si="28"/>
        <v>0.4</v>
      </c>
    </row>
    <row r="1414" spans="1:7" s="22" customFormat="1" x14ac:dyDescent="0.25">
      <c r="A1414" s="6">
        <v>44005</v>
      </c>
      <c r="B1414" s="63"/>
      <c r="C1414" s="22" t="s">
        <v>1694</v>
      </c>
      <c r="D1414" s="63"/>
      <c r="E1414" s="178"/>
      <c r="F1414" s="2">
        <v>500</v>
      </c>
      <c r="G1414" s="3">
        <f t="shared" si="28"/>
        <v>2</v>
      </c>
    </row>
    <row r="1415" spans="1:7" s="22" customFormat="1" x14ac:dyDescent="0.25">
      <c r="A1415" s="6">
        <v>44005</v>
      </c>
      <c r="B1415" s="63" t="s">
        <v>1630</v>
      </c>
      <c r="C1415" s="22" t="s">
        <v>292</v>
      </c>
      <c r="D1415" s="63"/>
      <c r="E1415" s="178"/>
      <c r="F1415" s="2">
        <v>600</v>
      </c>
      <c r="G1415" s="3">
        <f t="shared" si="28"/>
        <v>2.4</v>
      </c>
    </row>
    <row r="1416" spans="1:7" s="22" customFormat="1" x14ac:dyDescent="0.25">
      <c r="A1416" s="6">
        <v>44005</v>
      </c>
      <c r="B1416" s="63" t="s">
        <v>1624</v>
      </c>
      <c r="C1416" s="22" t="s">
        <v>1652</v>
      </c>
      <c r="D1416" s="63"/>
      <c r="E1416" s="178"/>
      <c r="F1416" s="2">
        <v>2600</v>
      </c>
      <c r="G1416" s="3">
        <f t="shared" si="28"/>
        <v>10.4</v>
      </c>
    </row>
    <row r="1417" spans="1:7" s="22" customFormat="1" x14ac:dyDescent="0.25">
      <c r="A1417" s="6">
        <v>44006</v>
      </c>
      <c r="B1417" s="63" t="s">
        <v>1630</v>
      </c>
      <c r="C1417" s="22" t="s">
        <v>292</v>
      </c>
      <c r="D1417" s="63"/>
      <c r="E1417" s="178"/>
      <c r="F1417" s="2">
        <v>1600</v>
      </c>
      <c r="G1417" s="3">
        <f t="shared" si="28"/>
        <v>6.4</v>
      </c>
    </row>
    <row r="1418" spans="1:7" s="22" customFormat="1" x14ac:dyDescent="0.25">
      <c r="A1418" s="6">
        <v>44007</v>
      </c>
      <c r="B1418" s="63" t="s">
        <v>1624</v>
      </c>
      <c r="C1418" s="22" t="s">
        <v>1652</v>
      </c>
      <c r="D1418" s="63"/>
      <c r="E1418" s="178"/>
      <c r="F1418" s="2">
        <v>3300</v>
      </c>
      <c r="G1418" s="3">
        <f t="shared" si="28"/>
        <v>13.200000000000001</v>
      </c>
    </row>
    <row r="1419" spans="1:7" s="22" customFormat="1" x14ac:dyDescent="0.25">
      <c r="A1419" s="6">
        <v>44008</v>
      </c>
      <c r="B1419" s="63"/>
      <c r="C1419" s="22" t="s">
        <v>1649</v>
      </c>
      <c r="D1419" s="63"/>
      <c r="E1419" s="178"/>
      <c r="F1419" s="2">
        <v>2500</v>
      </c>
      <c r="G1419" s="3">
        <f t="shared" si="28"/>
        <v>10</v>
      </c>
    </row>
    <row r="1420" spans="1:7" s="22" customFormat="1" x14ac:dyDescent="0.25">
      <c r="A1420" s="6">
        <v>44008</v>
      </c>
      <c r="B1420" s="63" t="s">
        <v>1630</v>
      </c>
      <c r="C1420" s="22" t="s">
        <v>292</v>
      </c>
      <c r="D1420" s="63"/>
      <c r="E1420" s="178"/>
      <c r="F1420" s="2">
        <v>1000</v>
      </c>
      <c r="G1420" s="3">
        <f t="shared" si="28"/>
        <v>4</v>
      </c>
    </row>
    <row r="1421" spans="1:7" s="22" customFormat="1" x14ac:dyDescent="0.25">
      <c r="A1421" s="6">
        <v>44008</v>
      </c>
      <c r="B1421" s="63" t="s">
        <v>1696</v>
      </c>
      <c r="C1421" s="22" t="s">
        <v>159</v>
      </c>
      <c r="D1421" s="63"/>
      <c r="E1421" s="178"/>
      <c r="F1421" s="2">
        <v>300</v>
      </c>
      <c r="G1421" s="3">
        <f t="shared" si="28"/>
        <v>1.2</v>
      </c>
    </row>
    <row r="1422" spans="1:7" s="22" customFormat="1" x14ac:dyDescent="0.25">
      <c r="A1422" s="6">
        <v>44008</v>
      </c>
      <c r="B1422" s="63" t="s">
        <v>1637</v>
      </c>
      <c r="C1422" s="22" t="s">
        <v>1697</v>
      </c>
      <c r="D1422" s="63"/>
      <c r="E1422" s="178"/>
      <c r="F1422" s="2">
        <v>4000</v>
      </c>
      <c r="G1422" s="3">
        <f t="shared" si="28"/>
        <v>16</v>
      </c>
    </row>
    <row r="1423" spans="1:7" s="22" customFormat="1" x14ac:dyDescent="0.25">
      <c r="A1423" s="6">
        <v>44008</v>
      </c>
      <c r="B1423" s="63"/>
      <c r="C1423" s="22" t="s">
        <v>1634</v>
      </c>
      <c r="D1423" s="63"/>
      <c r="E1423" s="178"/>
      <c r="F1423" s="2">
        <v>200</v>
      </c>
      <c r="G1423" s="3">
        <f t="shared" si="28"/>
        <v>0.8</v>
      </c>
    </row>
    <row r="1424" spans="1:7" s="22" customFormat="1" x14ac:dyDescent="0.25">
      <c r="A1424" s="6">
        <v>44009</v>
      </c>
      <c r="B1424" s="63" t="s">
        <v>1641</v>
      </c>
      <c r="C1424" s="22" t="s">
        <v>1705</v>
      </c>
      <c r="D1424" s="63"/>
      <c r="E1424" s="178"/>
      <c r="F1424" s="2">
        <v>800</v>
      </c>
      <c r="G1424" s="3">
        <f t="shared" si="28"/>
        <v>3.2</v>
      </c>
    </row>
    <row r="1425" spans="1:16383" s="22" customFormat="1" x14ac:dyDescent="0.25">
      <c r="A1425" s="6">
        <v>44011</v>
      </c>
      <c r="B1425" s="63" t="s">
        <v>1630</v>
      </c>
      <c r="C1425" s="22" t="s">
        <v>292</v>
      </c>
      <c r="D1425" s="63"/>
      <c r="E1425" s="178"/>
      <c r="F1425" s="2">
        <v>1200</v>
      </c>
      <c r="G1425" s="3">
        <f t="shared" si="28"/>
        <v>4.8</v>
      </c>
    </row>
    <row r="1426" spans="1:16383" s="22" customFormat="1" x14ac:dyDescent="0.25">
      <c r="A1426" s="6">
        <v>44011</v>
      </c>
      <c r="B1426" s="63"/>
      <c r="C1426" s="22" t="s">
        <v>1701</v>
      </c>
      <c r="D1426" s="63"/>
      <c r="E1426" s="178"/>
      <c r="F1426" s="2">
        <v>400</v>
      </c>
      <c r="G1426" s="3">
        <f t="shared" si="28"/>
        <v>1.6</v>
      </c>
    </row>
    <row r="1427" spans="1:16383" s="22" customFormat="1" x14ac:dyDescent="0.25">
      <c r="A1427" s="6">
        <v>44011</v>
      </c>
      <c r="B1427" s="63"/>
      <c r="C1427" s="22" t="s">
        <v>1701</v>
      </c>
      <c r="D1427" s="63"/>
      <c r="E1427" s="178"/>
      <c r="F1427" s="2">
        <v>300</v>
      </c>
      <c r="G1427" s="3">
        <f t="shared" si="28"/>
        <v>1.2</v>
      </c>
    </row>
    <row r="1428" spans="1:16383" s="22" customFormat="1" x14ac:dyDescent="0.25">
      <c r="A1428" s="6">
        <v>44011</v>
      </c>
      <c r="B1428" s="63" t="s">
        <v>1680</v>
      </c>
      <c r="D1428" s="63"/>
      <c r="E1428" s="178"/>
      <c r="F1428" s="2">
        <v>500</v>
      </c>
      <c r="G1428" s="3">
        <f t="shared" si="28"/>
        <v>2</v>
      </c>
    </row>
    <row r="1429" spans="1:16383" s="22" customFormat="1" x14ac:dyDescent="0.25">
      <c r="A1429" s="6">
        <v>44011</v>
      </c>
      <c r="B1429" s="63"/>
      <c r="C1429" s="22" t="s">
        <v>1701</v>
      </c>
      <c r="D1429" s="63"/>
      <c r="E1429" s="178"/>
      <c r="F1429" s="2">
        <v>700</v>
      </c>
      <c r="G1429" s="3">
        <f t="shared" si="28"/>
        <v>2.8000000000000003</v>
      </c>
    </row>
    <row r="1430" spans="1:16383" s="22" customFormat="1" x14ac:dyDescent="0.25">
      <c r="A1430" s="6">
        <v>44011</v>
      </c>
      <c r="B1430" s="63" t="s">
        <v>1680</v>
      </c>
      <c r="C1430" s="22" t="s">
        <v>1702</v>
      </c>
      <c r="D1430" s="63"/>
      <c r="E1430" s="178"/>
      <c r="F1430" s="2">
        <v>500</v>
      </c>
      <c r="G1430" s="3">
        <f t="shared" si="28"/>
        <v>2</v>
      </c>
    </row>
    <row r="1431" spans="1:16383" s="22" customFormat="1" x14ac:dyDescent="0.25">
      <c r="A1431" s="6">
        <v>44012</v>
      </c>
      <c r="B1431" s="63" t="s">
        <v>1692</v>
      </c>
      <c r="C1431" s="22" t="s">
        <v>1706</v>
      </c>
      <c r="D1431" s="63"/>
      <c r="E1431" s="178"/>
      <c r="F1431" s="2">
        <v>600</v>
      </c>
      <c r="G1431" s="3">
        <f t="shared" si="28"/>
        <v>2.4</v>
      </c>
    </row>
    <row r="1432" spans="1:16383" s="22" customFormat="1" x14ac:dyDescent="0.25">
      <c r="A1432" s="6">
        <v>44012</v>
      </c>
      <c r="B1432" s="63" t="s">
        <v>1641</v>
      </c>
      <c r="C1432" s="22" t="s">
        <v>1705</v>
      </c>
      <c r="D1432" s="63"/>
      <c r="E1432" s="178"/>
      <c r="F1432" s="2">
        <v>200</v>
      </c>
      <c r="G1432" s="3">
        <f t="shared" si="28"/>
        <v>0.8</v>
      </c>
    </row>
    <row r="1433" spans="1:16383" s="22" customFormat="1" x14ac:dyDescent="0.25">
      <c r="A1433" s="6">
        <v>44012</v>
      </c>
      <c r="B1433" s="63" t="s">
        <v>1637</v>
      </c>
      <c r="C1433" s="22" t="s">
        <v>187</v>
      </c>
      <c r="D1433" s="63"/>
      <c r="E1433" s="178"/>
      <c r="F1433" s="2">
        <v>650</v>
      </c>
      <c r="G1433" s="3">
        <f t="shared" si="28"/>
        <v>2.6</v>
      </c>
    </row>
    <row r="1434" spans="1:16383" s="22" customFormat="1" x14ac:dyDescent="0.25">
      <c r="A1434" s="6">
        <v>44012</v>
      </c>
      <c r="B1434" s="69" t="s">
        <v>1703</v>
      </c>
      <c r="C1434" s="40" t="s">
        <v>1649</v>
      </c>
      <c r="D1434" s="69"/>
      <c r="E1434" s="49"/>
      <c r="F1434" s="40">
        <v>2000</v>
      </c>
      <c r="G1434" s="40">
        <f t="shared" si="28"/>
        <v>8</v>
      </c>
      <c r="H1434" s="40"/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  <c r="AA1434" s="40"/>
      <c r="AB1434" s="40"/>
      <c r="AC1434" s="40"/>
      <c r="AD1434" s="40"/>
      <c r="AE1434" s="40"/>
      <c r="AF1434" s="40"/>
      <c r="AG1434" s="40"/>
      <c r="AH1434" s="40"/>
      <c r="AI1434" s="40"/>
      <c r="AJ1434" s="40"/>
      <c r="AK1434" s="40"/>
      <c r="AL1434" s="40"/>
      <c r="AM1434" s="40"/>
      <c r="AN1434" s="40"/>
      <c r="AO1434" s="40"/>
      <c r="AP1434" s="40"/>
      <c r="AQ1434" s="40"/>
      <c r="AR1434" s="40"/>
      <c r="AS1434" s="40"/>
      <c r="AT1434" s="40"/>
      <c r="AU1434" s="40"/>
      <c r="AV1434" s="40"/>
      <c r="AW1434" s="40"/>
      <c r="AX1434" s="40"/>
      <c r="AY1434" s="40"/>
      <c r="AZ1434" s="40"/>
      <c r="BA1434" s="40"/>
      <c r="BB1434" s="40"/>
      <c r="BC1434" s="40"/>
      <c r="BD1434" s="40"/>
      <c r="BE1434" s="40"/>
      <c r="BF1434" s="40"/>
      <c r="BG1434" s="40"/>
      <c r="BH1434" s="40"/>
      <c r="BI1434" s="40"/>
      <c r="BJ1434" s="40"/>
      <c r="BK1434" s="40"/>
      <c r="BL1434" s="40"/>
      <c r="BM1434" s="40"/>
      <c r="BN1434" s="40"/>
      <c r="BO1434" s="40"/>
      <c r="BP1434" s="40"/>
      <c r="BQ1434" s="40"/>
      <c r="BR1434" s="40"/>
      <c r="BS1434" s="40"/>
      <c r="BT1434" s="40"/>
      <c r="BU1434" s="40"/>
      <c r="BV1434" s="40"/>
      <c r="BW1434" s="40"/>
      <c r="BX1434" s="40"/>
      <c r="BY1434" s="40"/>
      <c r="BZ1434" s="40"/>
      <c r="CA1434" s="40"/>
      <c r="CB1434" s="40"/>
      <c r="CC1434" s="40"/>
      <c r="CD1434" s="40"/>
      <c r="CE1434" s="40"/>
      <c r="CF1434" s="40"/>
      <c r="CG1434" s="40"/>
      <c r="CH1434" s="40"/>
      <c r="CI1434" s="40"/>
      <c r="CJ1434" s="40"/>
      <c r="CK1434" s="40"/>
      <c r="CL1434" s="40"/>
      <c r="CM1434" s="40"/>
      <c r="CN1434" s="40"/>
      <c r="CO1434" s="40"/>
      <c r="CP1434" s="40"/>
      <c r="CQ1434" s="40"/>
      <c r="CR1434" s="40"/>
      <c r="CS1434" s="40"/>
      <c r="CT1434" s="40"/>
      <c r="CU1434" s="40"/>
      <c r="CV1434" s="40"/>
      <c r="CW1434" s="40"/>
      <c r="CX1434" s="40"/>
      <c r="CY1434" s="40"/>
      <c r="CZ1434" s="40"/>
      <c r="DA1434" s="40"/>
      <c r="DB1434" s="40"/>
      <c r="DC1434" s="40"/>
      <c r="DD1434" s="40"/>
      <c r="DE1434" s="40"/>
      <c r="DF1434" s="40"/>
      <c r="DG1434" s="40"/>
      <c r="DH1434" s="40"/>
      <c r="DI1434" s="40"/>
      <c r="DJ1434" s="40"/>
      <c r="DK1434" s="40"/>
      <c r="DL1434" s="40"/>
      <c r="DM1434" s="40"/>
      <c r="DN1434" s="40"/>
      <c r="DO1434" s="40"/>
      <c r="DP1434" s="40"/>
      <c r="DQ1434" s="40"/>
      <c r="DR1434" s="40"/>
      <c r="DS1434" s="40"/>
      <c r="DT1434" s="40"/>
      <c r="DU1434" s="40"/>
      <c r="DV1434" s="40"/>
      <c r="DW1434" s="40"/>
      <c r="DX1434" s="40"/>
      <c r="DY1434" s="40"/>
      <c r="DZ1434" s="40"/>
      <c r="EA1434" s="40"/>
      <c r="EB1434" s="40"/>
      <c r="EC1434" s="40"/>
      <c r="ED1434" s="40"/>
      <c r="EE1434" s="40"/>
      <c r="EF1434" s="40"/>
      <c r="EG1434" s="40"/>
      <c r="EH1434" s="40"/>
      <c r="EI1434" s="40"/>
      <c r="EJ1434" s="40"/>
      <c r="EK1434" s="40"/>
      <c r="EL1434" s="40"/>
      <c r="EM1434" s="40"/>
      <c r="EN1434" s="40"/>
      <c r="EO1434" s="40"/>
      <c r="EP1434" s="40"/>
      <c r="EQ1434" s="40"/>
      <c r="ER1434" s="40"/>
      <c r="ES1434" s="40"/>
      <c r="ET1434" s="40"/>
      <c r="EU1434" s="40"/>
      <c r="EV1434" s="40"/>
      <c r="EW1434" s="40"/>
      <c r="EX1434" s="40"/>
      <c r="EY1434" s="40"/>
      <c r="EZ1434" s="40"/>
      <c r="FA1434" s="40"/>
      <c r="FB1434" s="40"/>
      <c r="FC1434" s="40"/>
      <c r="FD1434" s="40"/>
      <c r="FE1434" s="40"/>
      <c r="FF1434" s="40"/>
      <c r="FG1434" s="40"/>
      <c r="FH1434" s="40"/>
      <c r="FI1434" s="40"/>
      <c r="FJ1434" s="40"/>
      <c r="FK1434" s="40"/>
      <c r="FL1434" s="40"/>
      <c r="FM1434" s="40"/>
      <c r="FN1434" s="40"/>
      <c r="FO1434" s="40"/>
      <c r="FP1434" s="40"/>
      <c r="FQ1434" s="40"/>
      <c r="FR1434" s="40"/>
      <c r="FS1434" s="40"/>
      <c r="FT1434" s="40"/>
      <c r="FU1434" s="40"/>
      <c r="FV1434" s="40"/>
      <c r="FW1434" s="40"/>
      <c r="FX1434" s="40"/>
      <c r="FY1434" s="40"/>
      <c r="FZ1434" s="40"/>
      <c r="GA1434" s="40"/>
      <c r="GB1434" s="40"/>
      <c r="GC1434" s="40"/>
      <c r="GD1434" s="40"/>
      <c r="GE1434" s="40"/>
      <c r="GF1434" s="40"/>
      <c r="GG1434" s="40"/>
      <c r="GH1434" s="40"/>
      <c r="GI1434" s="40"/>
      <c r="GJ1434" s="40"/>
      <c r="GK1434" s="40"/>
      <c r="GL1434" s="40"/>
      <c r="GM1434" s="40"/>
      <c r="GN1434" s="40"/>
      <c r="GO1434" s="40"/>
      <c r="GP1434" s="40"/>
      <c r="GQ1434" s="40"/>
      <c r="GR1434" s="40"/>
      <c r="GS1434" s="40"/>
      <c r="GT1434" s="40"/>
      <c r="GU1434" s="40"/>
      <c r="GV1434" s="40"/>
      <c r="GW1434" s="40"/>
      <c r="GX1434" s="40"/>
      <c r="GY1434" s="40"/>
      <c r="GZ1434" s="40"/>
      <c r="HA1434" s="40"/>
      <c r="HB1434" s="40"/>
      <c r="HC1434" s="40"/>
      <c r="HD1434" s="40"/>
      <c r="HE1434" s="40"/>
      <c r="HF1434" s="40"/>
      <c r="HG1434" s="40"/>
      <c r="HH1434" s="40"/>
      <c r="HI1434" s="40"/>
      <c r="HJ1434" s="40"/>
      <c r="HK1434" s="40"/>
      <c r="HL1434" s="40"/>
      <c r="HM1434" s="40"/>
      <c r="HN1434" s="40"/>
      <c r="HO1434" s="40"/>
      <c r="HP1434" s="40"/>
      <c r="HQ1434" s="40"/>
      <c r="HR1434" s="40"/>
      <c r="HS1434" s="40"/>
      <c r="HT1434" s="40"/>
      <c r="HU1434" s="40"/>
      <c r="HV1434" s="40"/>
      <c r="HW1434" s="40"/>
      <c r="HX1434" s="40"/>
      <c r="HY1434" s="40"/>
      <c r="HZ1434" s="40"/>
      <c r="IA1434" s="40"/>
      <c r="IB1434" s="40"/>
      <c r="IC1434" s="40"/>
      <c r="ID1434" s="40"/>
      <c r="IE1434" s="40"/>
      <c r="IF1434" s="40"/>
      <c r="IG1434" s="40"/>
      <c r="IH1434" s="40"/>
      <c r="II1434" s="40"/>
      <c r="IJ1434" s="40"/>
      <c r="IK1434" s="40"/>
      <c r="IL1434" s="40"/>
      <c r="IM1434" s="40"/>
      <c r="IN1434" s="40"/>
      <c r="IO1434" s="40"/>
      <c r="IP1434" s="40"/>
      <c r="IQ1434" s="40"/>
      <c r="IR1434" s="40"/>
      <c r="IS1434" s="40"/>
      <c r="IT1434" s="40"/>
      <c r="IU1434" s="40"/>
      <c r="IV1434" s="40"/>
      <c r="IW1434" s="40"/>
      <c r="IX1434" s="40"/>
      <c r="IY1434" s="40"/>
      <c r="IZ1434" s="40"/>
      <c r="JA1434" s="40"/>
      <c r="JB1434" s="40"/>
      <c r="JC1434" s="40"/>
      <c r="JD1434" s="40"/>
      <c r="JE1434" s="40"/>
      <c r="JF1434" s="40"/>
      <c r="JG1434" s="40"/>
      <c r="JH1434" s="40"/>
      <c r="JI1434" s="40"/>
      <c r="JJ1434" s="40"/>
      <c r="JK1434" s="40"/>
      <c r="JL1434" s="40"/>
      <c r="JM1434" s="40"/>
      <c r="JN1434" s="40"/>
      <c r="JO1434" s="40"/>
      <c r="JP1434" s="40"/>
      <c r="JQ1434" s="40"/>
      <c r="JR1434" s="40"/>
      <c r="JS1434" s="40"/>
      <c r="JT1434" s="40"/>
      <c r="JU1434" s="40"/>
      <c r="JV1434" s="40"/>
      <c r="JW1434" s="40"/>
      <c r="JX1434" s="40"/>
      <c r="JY1434" s="40"/>
      <c r="JZ1434" s="40"/>
      <c r="KA1434" s="40"/>
      <c r="KB1434" s="40"/>
      <c r="KC1434" s="40"/>
      <c r="KD1434" s="40"/>
      <c r="KE1434" s="40"/>
      <c r="KF1434" s="40"/>
      <c r="KG1434" s="40"/>
      <c r="KH1434" s="40"/>
      <c r="KI1434" s="40"/>
      <c r="KJ1434" s="40"/>
      <c r="KK1434" s="40"/>
      <c r="KL1434" s="40"/>
      <c r="KM1434" s="40"/>
      <c r="KN1434" s="40"/>
      <c r="KO1434" s="40"/>
      <c r="KP1434" s="40"/>
      <c r="KQ1434" s="40"/>
      <c r="KR1434" s="40"/>
      <c r="KS1434" s="40"/>
      <c r="KT1434" s="40"/>
      <c r="KU1434" s="40"/>
      <c r="KV1434" s="40"/>
      <c r="KW1434" s="40"/>
      <c r="KX1434" s="40"/>
      <c r="KY1434" s="40"/>
      <c r="KZ1434" s="40"/>
      <c r="LA1434" s="40"/>
      <c r="LB1434" s="40"/>
      <c r="LC1434" s="40"/>
      <c r="LD1434" s="40"/>
      <c r="LE1434" s="40"/>
      <c r="LF1434" s="40"/>
      <c r="LG1434" s="40"/>
      <c r="LH1434" s="40"/>
      <c r="LI1434" s="40"/>
      <c r="LJ1434" s="40"/>
      <c r="LK1434" s="40"/>
      <c r="LL1434" s="40"/>
      <c r="LM1434" s="40"/>
      <c r="LN1434" s="40"/>
      <c r="LO1434" s="40"/>
      <c r="LP1434" s="40"/>
      <c r="LQ1434" s="40"/>
      <c r="LR1434" s="40"/>
      <c r="LS1434" s="40"/>
      <c r="LT1434" s="40"/>
      <c r="LU1434" s="40"/>
      <c r="LV1434" s="40"/>
      <c r="LW1434" s="40"/>
      <c r="LX1434" s="40"/>
      <c r="LY1434" s="40"/>
      <c r="LZ1434" s="40"/>
      <c r="MA1434" s="40"/>
      <c r="MB1434" s="40"/>
      <c r="MC1434" s="40"/>
      <c r="MD1434" s="40"/>
      <c r="ME1434" s="40"/>
      <c r="MF1434" s="40"/>
      <c r="MG1434" s="40"/>
      <c r="MH1434" s="40"/>
      <c r="MI1434" s="40"/>
      <c r="MJ1434" s="40"/>
      <c r="MK1434" s="40"/>
      <c r="ML1434" s="40"/>
      <c r="MM1434" s="40"/>
      <c r="MN1434" s="40"/>
      <c r="MO1434" s="40"/>
      <c r="MP1434" s="40"/>
      <c r="MQ1434" s="40"/>
      <c r="MR1434" s="40"/>
      <c r="MS1434" s="40"/>
      <c r="MT1434" s="40"/>
      <c r="MU1434" s="40"/>
      <c r="MV1434" s="40"/>
      <c r="MW1434" s="40"/>
      <c r="MX1434" s="40"/>
      <c r="MY1434" s="40"/>
      <c r="MZ1434" s="40"/>
      <c r="NA1434" s="40"/>
      <c r="NB1434" s="40"/>
      <c r="NC1434" s="40"/>
      <c r="ND1434" s="40"/>
      <c r="NE1434" s="40"/>
      <c r="NF1434" s="40"/>
      <c r="NG1434" s="40"/>
      <c r="NH1434" s="40"/>
      <c r="NI1434" s="40"/>
      <c r="NJ1434" s="40"/>
      <c r="NK1434" s="40"/>
      <c r="NL1434" s="40"/>
      <c r="NM1434" s="40"/>
      <c r="NN1434" s="40"/>
      <c r="NO1434" s="40"/>
      <c r="NP1434" s="40"/>
      <c r="NQ1434" s="40"/>
      <c r="NR1434" s="40"/>
      <c r="NS1434" s="40"/>
      <c r="NT1434" s="40"/>
      <c r="NU1434" s="40"/>
      <c r="NV1434" s="40"/>
      <c r="NW1434" s="40"/>
      <c r="NX1434" s="40"/>
      <c r="NY1434" s="40"/>
      <c r="NZ1434" s="40"/>
      <c r="OA1434" s="40"/>
      <c r="OB1434" s="40"/>
      <c r="OC1434" s="40"/>
      <c r="OD1434" s="40"/>
      <c r="OE1434" s="40"/>
      <c r="OF1434" s="40"/>
      <c r="OG1434" s="40"/>
      <c r="OH1434" s="40"/>
      <c r="OI1434" s="40"/>
      <c r="OJ1434" s="40"/>
      <c r="OK1434" s="40"/>
      <c r="OL1434" s="40"/>
      <c r="OM1434" s="40"/>
      <c r="ON1434" s="40"/>
      <c r="OO1434" s="40"/>
      <c r="OP1434" s="40"/>
      <c r="OQ1434" s="40"/>
      <c r="OR1434" s="40"/>
      <c r="OS1434" s="40"/>
      <c r="OT1434" s="40"/>
      <c r="OU1434" s="40"/>
      <c r="OV1434" s="40"/>
      <c r="OW1434" s="40"/>
      <c r="OX1434" s="40"/>
      <c r="OY1434" s="40"/>
      <c r="OZ1434" s="40"/>
      <c r="PA1434" s="40"/>
      <c r="PB1434" s="40"/>
      <c r="PC1434" s="40"/>
      <c r="PD1434" s="40"/>
      <c r="PE1434" s="40"/>
      <c r="PF1434" s="40"/>
      <c r="PG1434" s="40"/>
      <c r="PH1434" s="40"/>
      <c r="PI1434" s="40"/>
      <c r="PJ1434" s="40"/>
      <c r="PK1434" s="40"/>
      <c r="PL1434" s="40"/>
      <c r="PM1434" s="40"/>
      <c r="PN1434" s="40"/>
      <c r="PO1434" s="40"/>
      <c r="PP1434" s="40"/>
      <c r="PQ1434" s="40"/>
      <c r="PR1434" s="40"/>
      <c r="PS1434" s="40"/>
      <c r="PT1434" s="40"/>
      <c r="PU1434" s="40"/>
      <c r="PV1434" s="40"/>
      <c r="PW1434" s="40"/>
      <c r="PX1434" s="40"/>
      <c r="PY1434" s="40"/>
      <c r="PZ1434" s="40"/>
      <c r="QA1434" s="40"/>
      <c r="QB1434" s="40"/>
      <c r="QC1434" s="40"/>
      <c r="QD1434" s="40"/>
      <c r="QE1434" s="40"/>
      <c r="QF1434" s="40"/>
      <c r="QG1434" s="40"/>
      <c r="QH1434" s="40"/>
      <c r="QI1434" s="40"/>
      <c r="QJ1434" s="40"/>
      <c r="QK1434" s="40"/>
      <c r="QL1434" s="40"/>
      <c r="QM1434" s="40"/>
      <c r="QN1434" s="40"/>
      <c r="QO1434" s="40"/>
      <c r="QP1434" s="40"/>
      <c r="QQ1434" s="40"/>
      <c r="QR1434" s="40"/>
      <c r="QS1434" s="40"/>
      <c r="QT1434" s="40"/>
      <c r="QU1434" s="40"/>
      <c r="QV1434" s="40"/>
      <c r="QW1434" s="40"/>
      <c r="QX1434" s="40"/>
      <c r="QY1434" s="40"/>
      <c r="QZ1434" s="40"/>
      <c r="RA1434" s="40"/>
      <c r="RB1434" s="40"/>
      <c r="RC1434" s="40"/>
      <c r="RD1434" s="40"/>
      <c r="RE1434" s="40"/>
      <c r="RF1434" s="40"/>
      <c r="RG1434" s="40"/>
      <c r="RH1434" s="40"/>
      <c r="RI1434" s="40"/>
      <c r="RJ1434" s="40"/>
      <c r="RK1434" s="40"/>
      <c r="RL1434" s="40"/>
      <c r="RM1434" s="40"/>
      <c r="RN1434" s="40"/>
      <c r="RO1434" s="40"/>
      <c r="RP1434" s="40"/>
      <c r="RQ1434" s="40"/>
      <c r="RR1434" s="40"/>
      <c r="RS1434" s="40"/>
      <c r="RT1434" s="40"/>
      <c r="RU1434" s="40"/>
      <c r="RV1434" s="40"/>
      <c r="RW1434" s="40"/>
      <c r="RX1434" s="40"/>
      <c r="RY1434" s="40"/>
      <c r="RZ1434" s="40"/>
      <c r="SA1434" s="40"/>
      <c r="SB1434" s="40"/>
      <c r="SC1434" s="40"/>
      <c r="SD1434" s="40"/>
      <c r="SE1434" s="40"/>
      <c r="SF1434" s="40"/>
      <c r="SG1434" s="40"/>
      <c r="SH1434" s="40"/>
      <c r="SI1434" s="40"/>
      <c r="SJ1434" s="40"/>
      <c r="SK1434" s="40"/>
      <c r="SL1434" s="40"/>
      <c r="SM1434" s="40"/>
      <c r="SN1434" s="40"/>
      <c r="SO1434" s="40"/>
      <c r="SP1434" s="40"/>
      <c r="SQ1434" s="40"/>
      <c r="SR1434" s="40"/>
      <c r="SS1434" s="40"/>
      <c r="ST1434" s="40"/>
      <c r="SU1434" s="40"/>
      <c r="SV1434" s="40"/>
      <c r="SW1434" s="40"/>
      <c r="SX1434" s="40"/>
      <c r="SY1434" s="40"/>
      <c r="SZ1434" s="40"/>
      <c r="TA1434" s="40"/>
      <c r="TB1434" s="40"/>
      <c r="TC1434" s="40"/>
      <c r="TD1434" s="40"/>
      <c r="TE1434" s="40"/>
      <c r="TF1434" s="40"/>
      <c r="TG1434" s="40"/>
      <c r="TH1434" s="40"/>
      <c r="TI1434" s="40"/>
      <c r="TJ1434" s="40"/>
      <c r="TK1434" s="40"/>
      <c r="TL1434" s="40"/>
      <c r="TM1434" s="40"/>
      <c r="TN1434" s="40"/>
      <c r="TO1434" s="40"/>
      <c r="TP1434" s="40"/>
      <c r="TQ1434" s="40"/>
      <c r="TR1434" s="40"/>
      <c r="TS1434" s="40"/>
      <c r="TT1434" s="40"/>
      <c r="TU1434" s="40"/>
      <c r="TV1434" s="40"/>
      <c r="TW1434" s="40"/>
      <c r="TX1434" s="40"/>
      <c r="TY1434" s="40"/>
      <c r="TZ1434" s="40"/>
      <c r="UA1434" s="40"/>
      <c r="UB1434" s="40"/>
      <c r="UC1434" s="40"/>
      <c r="UD1434" s="40"/>
      <c r="UE1434" s="40"/>
      <c r="UF1434" s="40"/>
      <c r="UG1434" s="40"/>
      <c r="UH1434" s="40"/>
      <c r="UI1434" s="40"/>
      <c r="UJ1434" s="40"/>
      <c r="UK1434" s="40"/>
      <c r="UL1434" s="40"/>
      <c r="UM1434" s="40"/>
      <c r="UN1434" s="40"/>
      <c r="UO1434" s="40"/>
      <c r="UP1434" s="40"/>
      <c r="UQ1434" s="40"/>
      <c r="UR1434" s="40"/>
      <c r="US1434" s="40"/>
      <c r="UT1434" s="40"/>
      <c r="UU1434" s="40"/>
      <c r="UV1434" s="40"/>
      <c r="UW1434" s="40"/>
      <c r="UX1434" s="40"/>
      <c r="UY1434" s="40"/>
      <c r="UZ1434" s="40"/>
      <c r="VA1434" s="40"/>
      <c r="VB1434" s="40"/>
      <c r="VC1434" s="40"/>
      <c r="VD1434" s="40"/>
      <c r="VE1434" s="40"/>
      <c r="VF1434" s="40"/>
      <c r="VG1434" s="40"/>
      <c r="VH1434" s="40"/>
      <c r="VI1434" s="40"/>
      <c r="VJ1434" s="40"/>
      <c r="VK1434" s="40"/>
      <c r="VL1434" s="40"/>
      <c r="VM1434" s="40"/>
      <c r="VN1434" s="40"/>
      <c r="VO1434" s="40"/>
      <c r="VP1434" s="40"/>
      <c r="VQ1434" s="40"/>
      <c r="VR1434" s="40"/>
      <c r="VS1434" s="40"/>
      <c r="VT1434" s="40"/>
      <c r="VU1434" s="40"/>
      <c r="VV1434" s="40"/>
      <c r="VW1434" s="40"/>
      <c r="VX1434" s="40"/>
      <c r="VY1434" s="40"/>
      <c r="VZ1434" s="40"/>
      <c r="WA1434" s="40"/>
      <c r="WB1434" s="40"/>
      <c r="WC1434" s="40"/>
      <c r="WD1434" s="40"/>
      <c r="WE1434" s="40"/>
      <c r="WF1434" s="40"/>
      <c r="WG1434" s="40"/>
      <c r="WH1434" s="40"/>
      <c r="WI1434" s="40"/>
      <c r="WJ1434" s="40"/>
      <c r="WK1434" s="40"/>
      <c r="WL1434" s="40"/>
      <c r="WM1434" s="40"/>
      <c r="WN1434" s="40"/>
      <c r="WO1434" s="40"/>
      <c r="WP1434" s="40"/>
      <c r="WQ1434" s="40"/>
      <c r="WR1434" s="40"/>
      <c r="WS1434" s="40"/>
      <c r="WT1434" s="40"/>
      <c r="WU1434" s="40"/>
      <c r="WV1434" s="40"/>
      <c r="WW1434" s="40"/>
      <c r="WX1434" s="40"/>
      <c r="WY1434" s="40"/>
      <c r="WZ1434" s="40"/>
      <c r="XA1434" s="40"/>
      <c r="XB1434" s="40"/>
      <c r="XC1434" s="40"/>
      <c r="XD1434" s="40"/>
      <c r="XE1434" s="40"/>
      <c r="XF1434" s="40"/>
      <c r="XG1434" s="40"/>
      <c r="XH1434" s="40"/>
      <c r="XI1434" s="40"/>
      <c r="XJ1434" s="40"/>
      <c r="XK1434" s="40"/>
      <c r="XL1434" s="40"/>
      <c r="XM1434" s="40"/>
      <c r="XN1434" s="40"/>
      <c r="XO1434" s="40"/>
      <c r="XP1434" s="40"/>
      <c r="XQ1434" s="40"/>
      <c r="XR1434" s="40"/>
      <c r="XS1434" s="40"/>
      <c r="XT1434" s="40"/>
      <c r="XU1434" s="40"/>
      <c r="XV1434" s="40"/>
      <c r="XW1434" s="40"/>
      <c r="XX1434" s="40"/>
      <c r="XY1434" s="40"/>
      <c r="XZ1434" s="40"/>
      <c r="YA1434" s="40"/>
      <c r="YB1434" s="40"/>
      <c r="YC1434" s="40"/>
      <c r="YD1434" s="40"/>
      <c r="YE1434" s="40"/>
      <c r="YF1434" s="40"/>
      <c r="YG1434" s="40"/>
      <c r="YH1434" s="40"/>
      <c r="YI1434" s="40"/>
      <c r="YJ1434" s="40"/>
      <c r="YK1434" s="40"/>
      <c r="YL1434" s="40"/>
      <c r="YM1434" s="40"/>
      <c r="YN1434" s="40"/>
      <c r="YO1434" s="40"/>
      <c r="YP1434" s="40"/>
      <c r="YQ1434" s="40"/>
      <c r="YR1434" s="40"/>
      <c r="YS1434" s="40"/>
      <c r="YT1434" s="40"/>
      <c r="YU1434" s="40"/>
      <c r="YV1434" s="40"/>
      <c r="YW1434" s="40"/>
      <c r="YX1434" s="40"/>
      <c r="YY1434" s="40"/>
      <c r="YZ1434" s="40"/>
      <c r="ZA1434" s="40"/>
      <c r="ZB1434" s="40"/>
      <c r="ZC1434" s="40"/>
      <c r="ZD1434" s="40"/>
      <c r="ZE1434" s="40"/>
      <c r="ZF1434" s="40"/>
      <c r="ZG1434" s="40"/>
      <c r="ZH1434" s="40"/>
      <c r="ZI1434" s="40"/>
      <c r="ZJ1434" s="40"/>
      <c r="ZK1434" s="40"/>
      <c r="ZL1434" s="40"/>
      <c r="ZM1434" s="40"/>
      <c r="ZN1434" s="40"/>
      <c r="ZO1434" s="40"/>
      <c r="ZP1434" s="40"/>
      <c r="ZQ1434" s="40"/>
      <c r="ZR1434" s="40"/>
      <c r="ZS1434" s="40"/>
      <c r="ZT1434" s="40"/>
      <c r="ZU1434" s="40"/>
      <c r="ZV1434" s="40"/>
      <c r="ZW1434" s="40"/>
      <c r="ZX1434" s="40"/>
      <c r="ZY1434" s="40"/>
      <c r="ZZ1434" s="40"/>
      <c r="AAA1434" s="40"/>
      <c r="AAB1434" s="40"/>
      <c r="AAC1434" s="40"/>
      <c r="AAD1434" s="40"/>
      <c r="AAE1434" s="40"/>
      <c r="AAF1434" s="40"/>
      <c r="AAG1434" s="40"/>
      <c r="AAH1434" s="40"/>
      <c r="AAI1434" s="40"/>
      <c r="AAJ1434" s="40"/>
      <c r="AAK1434" s="40"/>
      <c r="AAL1434" s="40"/>
      <c r="AAM1434" s="40"/>
      <c r="AAN1434" s="40"/>
      <c r="AAO1434" s="40"/>
      <c r="AAP1434" s="40"/>
      <c r="AAQ1434" s="40"/>
      <c r="AAR1434" s="40"/>
      <c r="AAS1434" s="40"/>
      <c r="AAT1434" s="40"/>
      <c r="AAU1434" s="40"/>
      <c r="AAV1434" s="40"/>
      <c r="AAW1434" s="40"/>
      <c r="AAX1434" s="40"/>
      <c r="AAY1434" s="40"/>
      <c r="AAZ1434" s="40"/>
      <c r="ABA1434" s="40"/>
      <c r="ABB1434" s="40"/>
      <c r="ABC1434" s="40"/>
      <c r="ABD1434" s="40"/>
      <c r="ABE1434" s="40"/>
      <c r="ABF1434" s="40"/>
      <c r="ABG1434" s="40"/>
      <c r="ABH1434" s="40"/>
      <c r="ABI1434" s="40"/>
      <c r="ABJ1434" s="40"/>
      <c r="ABK1434" s="40"/>
      <c r="ABL1434" s="40"/>
      <c r="ABM1434" s="40"/>
      <c r="ABN1434" s="40"/>
      <c r="ABO1434" s="40"/>
      <c r="ABP1434" s="40"/>
      <c r="ABQ1434" s="40"/>
      <c r="ABR1434" s="40"/>
      <c r="ABS1434" s="40"/>
      <c r="ABT1434" s="40"/>
      <c r="ABU1434" s="40"/>
      <c r="ABV1434" s="40"/>
      <c r="ABW1434" s="40"/>
      <c r="ABX1434" s="40"/>
      <c r="ABY1434" s="40"/>
      <c r="ABZ1434" s="40"/>
      <c r="ACA1434" s="40"/>
      <c r="ACB1434" s="40"/>
      <c r="ACC1434" s="40"/>
      <c r="ACD1434" s="40"/>
      <c r="ACE1434" s="40"/>
      <c r="ACF1434" s="40"/>
      <c r="ACG1434" s="40"/>
      <c r="ACH1434" s="40"/>
      <c r="ACI1434" s="40"/>
      <c r="ACJ1434" s="40"/>
      <c r="ACK1434" s="40"/>
      <c r="ACL1434" s="40"/>
      <c r="ACM1434" s="40"/>
      <c r="ACN1434" s="40"/>
      <c r="ACO1434" s="40"/>
      <c r="ACP1434" s="40"/>
      <c r="ACQ1434" s="40"/>
      <c r="ACR1434" s="40"/>
      <c r="ACS1434" s="40"/>
      <c r="ACT1434" s="40"/>
      <c r="ACU1434" s="40"/>
      <c r="ACV1434" s="40"/>
      <c r="ACW1434" s="40"/>
      <c r="ACX1434" s="40"/>
      <c r="ACY1434" s="40"/>
      <c r="ACZ1434" s="40"/>
      <c r="ADA1434" s="40"/>
      <c r="ADB1434" s="40"/>
      <c r="ADC1434" s="40"/>
      <c r="ADD1434" s="40"/>
      <c r="ADE1434" s="40"/>
      <c r="ADF1434" s="40"/>
      <c r="ADG1434" s="40"/>
      <c r="ADH1434" s="40"/>
      <c r="ADI1434" s="40"/>
      <c r="ADJ1434" s="40"/>
      <c r="ADK1434" s="40"/>
      <c r="ADL1434" s="40"/>
      <c r="ADM1434" s="40"/>
      <c r="ADN1434" s="40"/>
      <c r="ADO1434" s="40"/>
      <c r="ADP1434" s="40"/>
      <c r="ADQ1434" s="40"/>
      <c r="ADR1434" s="40"/>
      <c r="ADS1434" s="40"/>
      <c r="ADT1434" s="40"/>
      <c r="ADU1434" s="40"/>
      <c r="ADV1434" s="40"/>
      <c r="ADW1434" s="40"/>
      <c r="ADX1434" s="40"/>
      <c r="ADY1434" s="40"/>
      <c r="ADZ1434" s="40"/>
      <c r="AEA1434" s="40"/>
      <c r="AEB1434" s="40"/>
      <c r="AEC1434" s="40"/>
      <c r="AED1434" s="40"/>
      <c r="AEE1434" s="40"/>
      <c r="AEF1434" s="40"/>
      <c r="AEG1434" s="40"/>
      <c r="AEH1434" s="40"/>
      <c r="AEI1434" s="40"/>
      <c r="AEJ1434" s="40"/>
      <c r="AEK1434" s="40"/>
      <c r="AEL1434" s="40"/>
      <c r="AEM1434" s="40"/>
      <c r="AEN1434" s="40"/>
      <c r="AEO1434" s="40"/>
      <c r="AEP1434" s="40"/>
      <c r="AEQ1434" s="40"/>
      <c r="AER1434" s="40"/>
      <c r="AES1434" s="40"/>
      <c r="AET1434" s="40"/>
      <c r="AEU1434" s="40"/>
      <c r="AEV1434" s="40"/>
      <c r="AEW1434" s="40"/>
      <c r="AEX1434" s="40"/>
      <c r="AEY1434" s="40"/>
      <c r="AEZ1434" s="40"/>
      <c r="AFA1434" s="40"/>
      <c r="AFB1434" s="40"/>
      <c r="AFC1434" s="40"/>
      <c r="AFD1434" s="40"/>
      <c r="AFE1434" s="40"/>
      <c r="AFF1434" s="40"/>
      <c r="AFG1434" s="40"/>
      <c r="AFH1434" s="40"/>
      <c r="AFI1434" s="40"/>
      <c r="AFJ1434" s="40"/>
      <c r="AFK1434" s="40"/>
      <c r="AFL1434" s="40"/>
      <c r="AFM1434" s="40"/>
      <c r="AFN1434" s="40"/>
      <c r="AFO1434" s="40"/>
      <c r="AFP1434" s="40"/>
      <c r="AFQ1434" s="40"/>
      <c r="AFR1434" s="40"/>
      <c r="AFS1434" s="40"/>
      <c r="AFT1434" s="40"/>
      <c r="AFU1434" s="40"/>
      <c r="AFV1434" s="40"/>
      <c r="AFW1434" s="40"/>
      <c r="AFX1434" s="40"/>
      <c r="AFY1434" s="40"/>
      <c r="AFZ1434" s="40"/>
      <c r="AGA1434" s="40"/>
      <c r="AGB1434" s="40"/>
      <c r="AGC1434" s="40"/>
      <c r="AGD1434" s="40"/>
      <c r="AGE1434" s="40"/>
      <c r="AGF1434" s="40"/>
      <c r="AGG1434" s="40"/>
      <c r="AGH1434" s="40"/>
      <c r="AGI1434" s="40"/>
      <c r="AGJ1434" s="40"/>
      <c r="AGK1434" s="40"/>
      <c r="AGL1434" s="40"/>
      <c r="AGM1434" s="40"/>
      <c r="AGN1434" s="40"/>
      <c r="AGO1434" s="40"/>
      <c r="AGP1434" s="40"/>
      <c r="AGQ1434" s="40"/>
      <c r="AGR1434" s="40"/>
      <c r="AGS1434" s="40"/>
      <c r="AGT1434" s="40"/>
      <c r="AGU1434" s="40"/>
      <c r="AGV1434" s="40"/>
      <c r="AGW1434" s="40"/>
      <c r="AGX1434" s="40"/>
      <c r="AGY1434" s="40"/>
      <c r="AGZ1434" s="40"/>
      <c r="AHA1434" s="40"/>
      <c r="AHB1434" s="40"/>
      <c r="AHC1434" s="40"/>
      <c r="AHD1434" s="40"/>
      <c r="AHE1434" s="40"/>
      <c r="AHF1434" s="40"/>
      <c r="AHG1434" s="40"/>
      <c r="AHH1434" s="40"/>
      <c r="AHI1434" s="40"/>
      <c r="AHJ1434" s="40"/>
      <c r="AHK1434" s="40"/>
      <c r="AHL1434" s="40"/>
      <c r="AHM1434" s="40"/>
      <c r="AHN1434" s="40"/>
      <c r="AHO1434" s="40"/>
      <c r="AHP1434" s="40"/>
      <c r="AHQ1434" s="40"/>
      <c r="AHR1434" s="40"/>
      <c r="AHS1434" s="40"/>
      <c r="AHT1434" s="40"/>
      <c r="AHU1434" s="40"/>
      <c r="AHV1434" s="40"/>
      <c r="AHW1434" s="40"/>
      <c r="AHX1434" s="40"/>
      <c r="AHY1434" s="40"/>
      <c r="AHZ1434" s="40"/>
      <c r="AIA1434" s="40"/>
      <c r="AIB1434" s="40"/>
      <c r="AIC1434" s="40"/>
      <c r="AID1434" s="40"/>
      <c r="AIE1434" s="40"/>
      <c r="AIF1434" s="40"/>
      <c r="AIG1434" s="40"/>
      <c r="AIH1434" s="40"/>
      <c r="AII1434" s="40"/>
      <c r="AIJ1434" s="40"/>
      <c r="AIK1434" s="40"/>
      <c r="AIL1434" s="40"/>
      <c r="AIM1434" s="40"/>
      <c r="AIN1434" s="40"/>
      <c r="AIO1434" s="40"/>
      <c r="AIP1434" s="40"/>
      <c r="AIQ1434" s="40"/>
      <c r="AIR1434" s="40"/>
      <c r="AIS1434" s="40"/>
      <c r="AIT1434" s="40"/>
      <c r="AIU1434" s="40"/>
      <c r="AIV1434" s="40"/>
      <c r="AIW1434" s="40"/>
      <c r="AIX1434" s="40"/>
      <c r="AIY1434" s="40"/>
      <c r="AIZ1434" s="40"/>
      <c r="AJA1434" s="40"/>
      <c r="AJB1434" s="40"/>
      <c r="AJC1434" s="40"/>
      <c r="AJD1434" s="40"/>
      <c r="AJE1434" s="40"/>
      <c r="AJF1434" s="40"/>
      <c r="AJG1434" s="40"/>
      <c r="AJH1434" s="40"/>
      <c r="AJI1434" s="40"/>
      <c r="AJJ1434" s="40"/>
      <c r="AJK1434" s="40"/>
      <c r="AJL1434" s="40"/>
      <c r="AJM1434" s="40"/>
      <c r="AJN1434" s="40"/>
      <c r="AJO1434" s="40"/>
      <c r="AJP1434" s="40"/>
      <c r="AJQ1434" s="40"/>
      <c r="AJR1434" s="40"/>
      <c r="AJS1434" s="40"/>
      <c r="AJT1434" s="40"/>
      <c r="AJU1434" s="40"/>
      <c r="AJV1434" s="40"/>
      <c r="AJW1434" s="40"/>
      <c r="AJX1434" s="40"/>
      <c r="AJY1434" s="40"/>
      <c r="AJZ1434" s="40"/>
      <c r="AKA1434" s="40"/>
      <c r="AKB1434" s="40"/>
      <c r="AKC1434" s="40"/>
      <c r="AKD1434" s="40"/>
      <c r="AKE1434" s="40"/>
      <c r="AKF1434" s="40"/>
      <c r="AKG1434" s="40"/>
      <c r="AKH1434" s="40"/>
      <c r="AKI1434" s="40"/>
      <c r="AKJ1434" s="40"/>
      <c r="AKK1434" s="40"/>
      <c r="AKL1434" s="40"/>
      <c r="AKM1434" s="40"/>
      <c r="AKN1434" s="40"/>
      <c r="AKO1434" s="40"/>
      <c r="AKP1434" s="40"/>
      <c r="AKQ1434" s="40"/>
      <c r="AKR1434" s="40"/>
      <c r="AKS1434" s="40"/>
      <c r="AKT1434" s="40"/>
      <c r="AKU1434" s="40"/>
      <c r="AKV1434" s="40"/>
      <c r="AKW1434" s="40"/>
      <c r="AKX1434" s="40"/>
      <c r="AKY1434" s="40"/>
      <c r="AKZ1434" s="40"/>
      <c r="ALA1434" s="40"/>
      <c r="ALB1434" s="40"/>
      <c r="ALC1434" s="40"/>
      <c r="ALD1434" s="40"/>
      <c r="ALE1434" s="40"/>
      <c r="ALF1434" s="40"/>
      <c r="ALG1434" s="40"/>
      <c r="ALH1434" s="40"/>
      <c r="ALI1434" s="40"/>
      <c r="ALJ1434" s="40"/>
      <c r="ALK1434" s="40"/>
      <c r="ALL1434" s="40"/>
      <c r="ALM1434" s="40"/>
      <c r="ALN1434" s="40"/>
      <c r="ALO1434" s="40"/>
      <c r="ALP1434" s="40"/>
      <c r="ALQ1434" s="40"/>
      <c r="ALR1434" s="40"/>
      <c r="ALS1434" s="40"/>
      <c r="ALT1434" s="40"/>
      <c r="ALU1434" s="40"/>
      <c r="ALV1434" s="40"/>
      <c r="ALW1434" s="40"/>
      <c r="ALX1434" s="40"/>
      <c r="ALY1434" s="40"/>
      <c r="ALZ1434" s="40"/>
      <c r="AMA1434" s="40"/>
      <c r="AMB1434" s="40"/>
      <c r="AMC1434" s="40"/>
      <c r="AMD1434" s="40"/>
      <c r="AME1434" s="40"/>
      <c r="AMF1434" s="40"/>
      <c r="AMG1434" s="40"/>
      <c r="AMH1434" s="40"/>
      <c r="AMI1434" s="40"/>
      <c r="AMJ1434" s="40"/>
      <c r="AMK1434" s="40"/>
      <c r="AML1434" s="40"/>
      <c r="AMM1434" s="40"/>
      <c r="AMN1434" s="40"/>
      <c r="AMO1434" s="40"/>
      <c r="AMP1434" s="40"/>
      <c r="AMQ1434" s="40"/>
      <c r="AMR1434" s="40"/>
      <c r="AMS1434" s="40"/>
      <c r="AMT1434" s="40"/>
      <c r="AMU1434" s="40"/>
      <c r="AMV1434" s="40"/>
      <c r="AMW1434" s="40"/>
      <c r="AMX1434" s="40"/>
      <c r="AMY1434" s="40"/>
      <c r="AMZ1434" s="40"/>
      <c r="ANA1434" s="40"/>
      <c r="ANB1434" s="40"/>
      <c r="ANC1434" s="40"/>
      <c r="AND1434" s="40"/>
      <c r="ANE1434" s="40"/>
      <c r="ANF1434" s="40"/>
      <c r="ANG1434" s="40"/>
      <c r="ANH1434" s="40"/>
      <c r="ANI1434" s="40"/>
      <c r="ANJ1434" s="40"/>
      <c r="ANK1434" s="40"/>
      <c r="ANL1434" s="40"/>
      <c r="ANM1434" s="40"/>
      <c r="ANN1434" s="40"/>
      <c r="ANO1434" s="40"/>
      <c r="ANP1434" s="40"/>
      <c r="ANQ1434" s="40"/>
      <c r="ANR1434" s="40"/>
      <c r="ANS1434" s="40"/>
      <c r="ANT1434" s="40"/>
      <c r="ANU1434" s="40"/>
      <c r="ANV1434" s="40"/>
      <c r="ANW1434" s="40"/>
      <c r="ANX1434" s="40"/>
      <c r="ANY1434" s="40"/>
      <c r="ANZ1434" s="40"/>
      <c r="AOA1434" s="40"/>
      <c r="AOB1434" s="40"/>
      <c r="AOC1434" s="40"/>
      <c r="AOD1434" s="40"/>
      <c r="AOE1434" s="40"/>
      <c r="AOF1434" s="40"/>
      <c r="AOG1434" s="40"/>
      <c r="AOH1434" s="40"/>
      <c r="AOI1434" s="40"/>
      <c r="AOJ1434" s="40"/>
      <c r="AOK1434" s="40"/>
      <c r="AOL1434" s="40"/>
      <c r="AOM1434" s="40"/>
      <c r="AON1434" s="40"/>
      <c r="AOO1434" s="40"/>
      <c r="AOP1434" s="40"/>
      <c r="AOQ1434" s="40"/>
      <c r="AOR1434" s="40"/>
      <c r="AOS1434" s="40"/>
      <c r="AOT1434" s="40"/>
      <c r="AOU1434" s="40"/>
      <c r="AOV1434" s="40"/>
      <c r="AOW1434" s="40"/>
      <c r="AOX1434" s="40"/>
      <c r="AOY1434" s="40"/>
      <c r="AOZ1434" s="40"/>
      <c r="APA1434" s="40"/>
      <c r="APB1434" s="40"/>
      <c r="APC1434" s="40"/>
      <c r="APD1434" s="40"/>
      <c r="APE1434" s="40"/>
      <c r="APF1434" s="40"/>
      <c r="APG1434" s="40"/>
      <c r="APH1434" s="40"/>
      <c r="API1434" s="40"/>
      <c r="APJ1434" s="40"/>
      <c r="APK1434" s="40"/>
      <c r="APL1434" s="40"/>
      <c r="APM1434" s="40"/>
      <c r="APN1434" s="40"/>
      <c r="APO1434" s="40"/>
      <c r="APP1434" s="40"/>
      <c r="APQ1434" s="40"/>
      <c r="APR1434" s="40"/>
      <c r="APS1434" s="40"/>
      <c r="APT1434" s="40"/>
      <c r="APU1434" s="40"/>
      <c r="APV1434" s="40"/>
      <c r="APW1434" s="40"/>
      <c r="APX1434" s="40"/>
      <c r="APY1434" s="40"/>
      <c r="APZ1434" s="40"/>
      <c r="AQA1434" s="40"/>
      <c r="AQB1434" s="40"/>
      <c r="AQC1434" s="40"/>
      <c r="AQD1434" s="40"/>
      <c r="AQE1434" s="40"/>
      <c r="AQF1434" s="40"/>
      <c r="AQG1434" s="40"/>
      <c r="AQH1434" s="40"/>
      <c r="AQI1434" s="40"/>
      <c r="AQJ1434" s="40"/>
      <c r="AQK1434" s="40"/>
      <c r="AQL1434" s="40"/>
      <c r="AQM1434" s="40"/>
      <c r="AQN1434" s="40"/>
      <c r="AQO1434" s="40"/>
      <c r="AQP1434" s="40"/>
      <c r="AQQ1434" s="40"/>
      <c r="AQR1434" s="40"/>
      <c r="AQS1434" s="40"/>
      <c r="AQT1434" s="40"/>
      <c r="AQU1434" s="40"/>
      <c r="AQV1434" s="40"/>
      <c r="AQW1434" s="40"/>
      <c r="AQX1434" s="40"/>
      <c r="AQY1434" s="40"/>
      <c r="AQZ1434" s="40"/>
      <c r="ARA1434" s="40"/>
      <c r="ARB1434" s="40"/>
      <c r="ARC1434" s="40"/>
      <c r="ARD1434" s="40"/>
      <c r="ARE1434" s="40"/>
      <c r="ARF1434" s="40"/>
      <c r="ARG1434" s="40"/>
      <c r="ARH1434" s="40"/>
      <c r="ARI1434" s="40"/>
      <c r="ARJ1434" s="40"/>
      <c r="ARK1434" s="40"/>
      <c r="ARL1434" s="40"/>
      <c r="ARM1434" s="40"/>
      <c r="ARN1434" s="40"/>
      <c r="ARO1434" s="40"/>
      <c r="ARP1434" s="40"/>
      <c r="ARQ1434" s="40"/>
      <c r="ARR1434" s="40"/>
      <c r="ARS1434" s="40"/>
      <c r="ART1434" s="40"/>
      <c r="ARU1434" s="40"/>
      <c r="ARV1434" s="40"/>
      <c r="ARW1434" s="40"/>
      <c r="ARX1434" s="40"/>
      <c r="ARY1434" s="40"/>
      <c r="ARZ1434" s="40"/>
      <c r="ASA1434" s="40"/>
      <c r="ASB1434" s="40"/>
      <c r="ASC1434" s="40"/>
      <c r="ASD1434" s="40"/>
      <c r="ASE1434" s="40"/>
      <c r="ASF1434" s="40"/>
      <c r="ASG1434" s="40"/>
      <c r="ASH1434" s="40"/>
      <c r="ASI1434" s="40"/>
      <c r="ASJ1434" s="40"/>
      <c r="ASK1434" s="40"/>
      <c r="ASL1434" s="40"/>
      <c r="ASM1434" s="40"/>
      <c r="ASN1434" s="40"/>
      <c r="ASO1434" s="40"/>
      <c r="ASP1434" s="40"/>
      <c r="ASQ1434" s="40"/>
      <c r="ASR1434" s="40"/>
      <c r="ASS1434" s="40"/>
      <c r="AST1434" s="40"/>
      <c r="ASU1434" s="40"/>
      <c r="ASV1434" s="40"/>
      <c r="ASW1434" s="40"/>
      <c r="ASX1434" s="40"/>
      <c r="ASY1434" s="40"/>
      <c r="ASZ1434" s="40"/>
      <c r="ATA1434" s="40"/>
      <c r="ATB1434" s="40"/>
      <c r="ATC1434" s="40"/>
      <c r="ATD1434" s="40"/>
      <c r="ATE1434" s="40"/>
      <c r="ATF1434" s="40"/>
      <c r="ATG1434" s="40"/>
      <c r="ATH1434" s="40"/>
      <c r="ATI1434" s="40"/>
      <c r="ATJ1434" s="40"/>
      <c r="ATK1434" s="40"/>
      <c r="ATL1434" s="40"/>
      <c r="ATM1434" s="40"/>
      <c r="ATN1434" s="40"/>
      <c r="ATO1434" s="40"/>
      <c r="ATP1434" s="40"/>
      <c r="ATQ1434" s="40"/>
      <c r="ATR1434" s="40"/>
      <c r="ATS1434" s="40"/>
      <c r="ATT1434" s="40"/>
      <c r="ATU1434" s="40"/>
      <c r="ATV1434" s="40"/>
      <c r="ATW1434" s="40"/>
      <c r="ATX1434" s="40"/>
      <c r="ATY1434" s="40"/>
      <c r="ATZ1434" s="40"/>
      <c r="AUA1434" s="40"/>
      <c r="AUB1434" s="40"/>
      <c r="AUC1434" s="40"/>
      <c r="AUD1434" s="40"/>
      <c r="AUE1434" s="40"/>
      <c r="AUF1434" s="40"/>
      <c r="AUG1434" s="40"/>
      <c r="AUH1434" s="40"/>
      <c r="AUI1434" s="40"/>
      <c r="AUJ1434" s="40"/>
      <c r="AUK1434" s="40"/>
      <c r="AUL1434" s="40"/>
      <c r="AUM1434" s="40"/>
      <c r="AUN1434" s="40"/>
      <c r="AUO1434" s="40"/>
      <c r="AUP1434" s="40"/>
      <c r="AUQ1434" s="40"/>
      <c r="AUR1434" s="40"/>
      <c r="AUS1434" s="40"/>
      <c r="AUT1434" s="40"/>
      <c r="AUU1434" s="40"/>
      <c r="AUV1434" s="40"/>
      <c r="AUW1434" s="40"/>
      <c r="AUX1434" s="40"/>
      <c r="AUY1434" s="40"/>
      <c r="AUZ1434" s="40"/>
      <c r="AVA1434" s="40"/>
      <c r="AVB1434" s="40"/>
      <c r="AVC1434" s="40"/>
      <c r="AVD1434" s="40"/>
      <c r="AVE1434" s="40"/>
      <c r="AVF1434" s="40"/>
      <c r="AVG1434" s="40"/>
      <c r="AVH1434" s="40"/>
      <c r="AVI1434" s="40"/>
      <c r="AVJ1434" s="40"/>
      <c r="AVK1434" s="40"/>
      <c r="AVL1434" s="40"/>
      <c r="AVM1434" s="40"/>
      <c r="AVN1434" s="40"/>
      <c r="AVO1434" s="40"/>
      <c r="AVP1434" s="40"/>
      <c r="AVQ1434" s="40"/>
      <c r="AVR1434" s="40"/>
      <c r="AVS1434" s="40"/>
      <c r="AVT1434" s="40"/>
      <c r="AVU1434" s="40"/>
      <c r="AVV1434" s="40"/>
      <c r="AVW1434" s="40"/>
      <c r="AVX1434" s="40"/>
      <c r="AVY1434" s="40"/>
      <c r="AVZ1434" s="40"/>
      <c r="AWA1434" s="40"/>
      <c r="AWB1434" s="40"/>
      <c r="AWC1434" s="40"/>
      <c r="AWD1434" s="40"/>
      <c r="AWE1434" s="40"/>
      <c r="AWF1434" s="40"/>
      <c r="AWG1434" s="40"/>
      <c r="AWH1434" s="40"/>
      <c r="AWI1434" s="40"/>
      <c r="AWJ1434" s="40"/>
      <c r="AWK1434" s="40"/>
      <c r="AWL1434" s="40"/>
      <c r="AWM1434" s="40"/>
      <c r="AWN1434" s="40"/>
      <c r="AWO1434" s="40"/>
      <c r="AWP1434" s="40"/>
      <c r="AWQ1434" s="40"/>
      <c r="AWR1434" s="40"/>
      <c r="AWS1434" s="40"/>
      <c r="AWT1434" s="40"/>
      <c r="AWU1434" s="40"/>
      <c r="AWV1434" s="40"/>
      <c r="AWW1434" s="40"/>
      <c r="AWX1434" s="40"/>
      <c r="AWY1434" s="40"/>
      <c r="AWZ1434" s="40"/>
      <c r="AXA1434" s="40"/>
      <c r="AXB1434" s="40"/>
      <c r="AXC1434" s="40"/>
      <c r="AXD1434" s="40"/>
      <c r="AXE1434" s="40"/>
      <c r="AXF1434" s="40"/>
      <c r="AXG1434" s="40"/>
      <c r="AXH1434" s="40"/>
      <c r="AXI1434" s="40"/>
      <c r="AXJ1434" s="40"/>
      <c r="AXK1434" s="40"/>
      <c r="AXL1434" s="40"/>
      <c r="AXM1434" s="40"/>
      <c r="AXN1434" s="40"/>
      <c r="AXO1434" s="40"/>
      <c r="AXP1434" s="40"/>
      <c r="AXQ1434" s="40"/>
      <c r="AXR1434" s="40"/>
      <c r="AXS1434" s="40"/>
      <c r="AXT1434" s="40"/>
      <c r="AXU1434" s="40"/>
      <c r="AXV1434" s="40"/>
      <c r="AXW1434" s="40"/>
      <c r="AXX1434" s="40"/>
      <c r="AXY1434" s="40"/>
      <c r="AXZ1434" s="40"/>
      <c r="AYA1434" s="40"/>
      <c r="AYB1434" s="40"/>
      <c r="AYC1434" s="40"/>
      <c r="AYD1434" s="40"/>
      <c r="AYE1434" s="40"/>
      <c r="AYF1434" s="40"/>
      <c r="AYG1434" s="40"/>
      <c r="AYH1434" s="40"/>
      <c r="AYI1434" s="40"/>
      <c r="AYJ1434" s="40"/>
      <c r="AYK1434" s="40"/>
      <c r="AYL1434" s="40"/>
      <c r="AYM1434" s="40"/>
      <c r="AYN1434" s="40"/>
      <c r="AYO1434" s="40"/>
      <c r="AYP1434" s="40"/>
      <c r="AYQ1434" s="40"/>
      <c r="AYR1434" s="40"/>
      <c r="AYS1434" s="40"/>
      <c r="AYT1434" s="40"/>
      <c r="AYU1434" s="40"/>
      <c r="AYV1434" s="40"/>
      <c r="AYW1434" s="40"/>
      <c r="AYX1434" s="40"/>
      <c r="AYY1434" s="40"/>
      <c r="AYZ1434" s="40"/>
      <c r="AZA1434" s="40"/>
      <c r="AZB1434" s="40"/>
      <c r="AZC1434" s="40"/>
      <c r="AZD1434" s="40"/>
      <c r="AZE1434" s="40"/>
      <c r="AZF1434" s="40"/>
      <c r="AZG1434" s="40"/>
      <c r="AZH1434" s="40"/>
      <c r="AZI1434" s="40"/>
      <c r="AZJ1434" s="40"/>
      <c r="AZK1434" s="40"/>
      <c r="AZL1434" s="40"/>
      <c r="AZM1434" s="40"/>
      <c r="AZN1434" s="40"/>
      <c r="AZO1434" s="40"/>
      <c r="AZP1434" s="40"/>
      <c r="AZQ1434" s="40"/>
      <c r="AZR1434" s="40"/>
      <c r="AZS1434" s="40"/>
      <c r="AZT1434" s="40"/>
      <c r="AZU1434" s="40"/>
      <c r="AZV1434" s="40"/>
      <c r="AZW1434" s="40"/>
      <c r="AZX1434" s="40"/>
      <c r="AZY1434" s="40"/>
      <c r="AZZ1434" s="40"/>
      <c r="BAA1434" s="40"/>
      <c r="BAB1434" s="40"/>
      <c r="BAC1434" s="40"/>
      <c r="BAD1434" s="40"/>
      <c r="BAE1434" s="40"/>
      <c r="BAF1434" s="40"/>
      <c r="BAG1434" s="40"/>
      <c r="BAH1434" s="40"/>
      <c r="BAI1434" s="40"/>
      <c r="BAJ1434" s="40"/>
      <c r="BAK1434" s="40"/>
      <c r="BAL1434" s="40"/>
      <c r="BAM1434" s="40"/>
      <c r="BAN1434" s="40"/>
      <c r="BAO1434" s="40"/>
      <c r="BAP1434" s="40"/>
      <c r="BAQ1434" s="40"/>
      <c r="BAR1434" s="40"/>
      <c r="BAS1434" s="40"/>
      <c r="BAT1434" s="40"/>
      <c r="BAU1434" s="40"/>
      <c r="BAV1434" s="40"/>
      <c r="BAW1434" s="40"/>
      <c r="BAX1434" s="40"/>
      <c r="BAY1434" s="40"/>
      <c r="BAZ1434" s="40"/>
      <c r="BBA1434" s="40"/>
      <c r="BBB1434" s="40"/>
      <c r="BBC1434" s="40"/>
      <c r="BBD1434" s="40"/>
      <c r="BBE1434" s="40"/>
      <c r="BBF1434" s="40"/>
      <c r="BBG1434" s="40"/>
      <c r="BBH1434" s="40"/>
      <c r="BBI1434" s="40"/>
      <c r="BBJ1434" s="40"/>
      <c r="BBK1434" s="40"/>
      <c r="BBL1434" s="40"/>
      <c r="BBM1434" s="40"/>
      <c r="BBN1434" s="40"/>
      <c r="BBO1434" s="40"/>
      <c r="BBP1434" s="40"/>
      <c r="BBQ1434" s="40"/>
      <c r="BBR1434" s="40"/>
      <c r="BBS1434" s="40"/>
      <c r="BBT1434" s="40"/>
      <c r="BBU1434" s="40"/>
      <c r="BBV1434" s="40"/>
      <c r="BBW1434" s="40"/>
      <c r="BBX1434" s="40"/>
      <c r="BBY1434" s="40"/>
      <c r="BBZ1434" s="40"/>
      <c r="BCA1434" s="40"/>
      <c r="BCB1434" s="40"/>
      <c r="BCC1434" s="40"/>
      <c r="BCD1434" s="40"/>
      <c r="BCE1434" s="40"/>
      <c r="BCF1434" s="40"/>
      <c r="BCG1434" s="40"/>
      <c r="BCH1434" s="40"/>
      <c r="BCI1434" s="40"/>
      <c r="BCJ1434" s="40"/>
      <c r="BCK1434" s="40"/>
      <c r="BCL1434" s="40"/>
      <c r="BCM1434" s="40"/>
      <c r="BCN1434" s="40"/>
      <c r="BCO1434" s="40"/>
      <c r="BCP1434" s="40"/>
      <c r="BCQ1434" s="40"/>
      <c r="BCR1434" s="40"/>
      <c r="BCS1434" s="40"/>
      <c r="BCT1434" s="40"/>
      <c r="BCU1434" s="40"/>
      <c r="BCV1434" s="40"/>
      <c r="BCW1434" s="40"/>
      <c r="BCX1434" s="40"/>
      <c r="BCY1434" s="40"/>
      <c r="BCZ1434" s="40"/>
      <c r="BDA1434" s="40"/>
      <c r="BDB1434" s="40"/>
      <c r="BDC1434" s="40"/>
      <c r="BDD1434" s="40"/>
      <c r="BDE1434" s="40"/>
      <c r="BDF1434" s="40"/>
      <c r="BDG1434" s="40"/>
      <c r="BDH1434" s="40"/>
      <c r="BDI1434" s="40"/>
      <c r="BDJ1434" s="40"/>
      <c r="BDK1434" s="40"/>
      <c r="BDL1434" s="40"/>
      <c r="BDM1434" s="40"/>
      <c r="BDN1434" s="40"/>
      <c r="BDO1434" s="40"/>
      <c r="BDP1434" s="40"/>
      <c r="BDQ1434" s="40"/>
      <c r="BDR1434" s="40"/>
      <c r="BDS1434" s="40"/>
      <c r="BDT1434" s="40"/>
      <c r="BDU1434" s="40"/>
      <c r="BDV1434" s="40"/>
      <c r="BDW1434" s="40"/>
      <c r="BDX1434" s="40"/>
      <c r="BDY1434" s="40"/>
      <c r="BDZ1434" s="40"/>
      <c r="BEA1434" s="40"/>
      <c r="BEB1434" s="40"/>
      <c r="BEC1434" s="40"/>
      <c r="BED1434" s="40"/>
      <c r="BEE1434" s="40"/>
      <c r="BEF1434" s="40"/>
      <c r="BEG1434" s="40"/>
      <c r="BEH1434" s="40"/>
      <c r="BEI1434" s="40"/>
      <c r="BEJ1434" s="40"/>
      <c r="BEK1434" s="40"/>
      <c r="BEL1434" s="40"/>
      <c r="BEM1434" s="40"/>
      <c r="BEN1434" s="40"/>
      <c r="BEO1434" s="40"/>
      <c r="BEP1434" s="40"/>
      <c r="BEQ1434" s="40"/>
      <c r="BER1434" s="40"/>
      <c r="BES1434" s="40"/>
      <c r="BET1434" s="40"/>
      <c r="BEU1434" s="40"/>
      <c r="BEV1434" s="40"/>
      <c r="BEW1434" s="40"/>
      <c r="BEX1434" s="40"/>
      <c r="BEY1434" s="40"/>
      <c r="BEZ1434" s="40"/>
      <c r="BFA1434" s="40"/>
      <c r="BFB1434" s="40"/>
      <c r="BFC1434" s="40"/>
      <c r="BFD1434" s="40"/>
      <c r="BFE1434" s="40"/>
      <c r="BFF1434" s="40"/>
      <c r="BFG1434" s="40"/>
      <c r="BFH1434" s="40"/>
      <c r="BFI1434" s="40"/>
      <c r="BFJ1434" s="40"/>
      <c r="BFK1434" s="40"/>
      <c r="BFL1434" s="40"/>
      <c r="BFM1434" s="40"/>
      <c r="BFN1434" s="40"/>
      <c r="BFO1434" s="40"/>
      <c r="BFP1434" s="40"/>
      <c r="BFQ1434" s="40"/>
      <c r="BFR1434" s="40"/>
      <c r="BFS1434" s="40"/>
      <c r="BFT1434" s="40"/>
      <c r="BFU1434" s="40"/>
      <c r="BFV1434" s="40"/>
      <c r="BFW1434" s="40"/>
      <c r="BFX1434" s="40"/>
      <c r="BFY1434" s="40"/>
      <c r="BFZ1434" s="40"/>
      <c r="BGA1434" s="40"/>
      <c r="BGB1434" s="40"/>
      <c r="BGC1434" s="40"/>
      <c r="BGD1434" s="40"/>
      <c r="BGE1434" s="40"/>
      <c r="BGF1434" s="40"/>
      <c r="BGG1434" s="40"/>
      <c r="BGH1434" s="40"/>
      <c r="BGI1434" s="40"/>
      <c r="BGJ1434" s="40"/>
      <c r="BGK1434" s="40"/>
      <c r="BGL1434" s="40"/>
      <c r="BGM1434" s="40"/>
      <c r="BGN1434" s="40"/>
      <c r="BGO1434" s="40"/>
      <c r="BGP1434" s="40"/>
      <c r="BGQ1434" s="40"/>
      <c r="BGR1434" s="40"/>
      <c r="BGS1434" s="40"/>
      <c r="BGT1434" s="40"/>
      <c r="BGU1434" s="40"/>
      <c r="BGV1434" s="40"/>
      <c r="BGW1434" s="40"/>
      <c r="BGX1434" s="40"/>
      <c r="BGY1434" s="40"/>
      <c r="BGZ1434" s="40"/>
      <c r="BHA1434" s="40"/>
      <c r="BHB1434" s="40"/>
      <c r="BHC1434" s="40"/>
      <c r="BHD1434" s="40"/>
      <c r="BHE1434" s="40"/>
      <c r="BHF1434" s="40"/>
      <c r="BHG1434" s="40"/>
      <c r="BHH1434" s="40"/>
      <c r="BHI1434" s="40"/>
      <c r="BHJ1434" s="40"/>
      <c r="BHK1434" s="40"/>
      <c r="BHL1434" s="40"/>
      <c r="BHM1434" s="40"/>
      <c r="BHN1434" s="40"/>
      <c r="BHO1434" s="40"/>
      <c r="BHP1434" s="40"/>
      <c r="BHQ1434" s="40"/>
      <c r="BHR1434" s="40"/>
      <c r="BHS1434" s="40"/>
      <c r="BHT1434" s="40"/>
      <c r="BHU1434" s="40"/>
      <c r="BHV1434" s="40"/>
      <c r="BHW1434" s="40"/>
      <c r="BHX1434" s="40"/>
      <c r="BHY1434" s="40"/>
      <c r="BHZ1434" s="40"/>
      <c r="BIA1434" s="40"/>
      <c r="BIB1434" s="40"/>
      <c r="BIC1434" s="40"/>
      <c r="BID1434" s="40"/>
      <c r="BIE1434" s="40"/>
      <c r="BIF1434" s="40"/>
      <c r="BIG1434" s="40"/>
      <c r="BIH1434" s="40"/>
      <c r="BII1434" s="40"/>
      <c r="BIJ1434" s="40"/>
      <c r="BIK1434" s="40"/>
      <c r="BIL1434" s="40"/>
      <c r="BIM1434" s="40"/>
      <c r="BIN1434" s="40"/>
      <c r="BIO1434" s="40"/>
      <c r="BIP1434" s="40"/>
      <c r="BIQ1434" s="40"/>
      <c r="BIR1434" s="40"/>
      <c r="BIS1434" s="40"/>
      <c r="BIT1434" s="40"/>
      <c r="BIU1434" s="40"/>
      <c r="BIV1434" s="40"/>
      <c r="BIW1434" s="40"/>
      <c r="BIX1434" s="40"/>
      <c r="BIY1434" s="40"/>
      <c r="BIZ1434" s="40"/>
      <c r="BJA1434" s="40"/>
      <c r="BJB1434" s="40"/>
      <c r="BJC1434" s="40"/>
      <c r="BJD1434" s="40"/>
      <c r="BJE1434" s="40"/>
      <c r="BJF1434" s="40"/>
      <c r="BJG1434" s="40"/>
      <c r="BJH1434" s="40"/>
      <c r="BJI1434" s="40"/>
      <c r="BJJ1434" s="40"/>
      <c r="BJK1434" s="40"/>
      <c r="BJL1434" s="40"/>
      <c r="BJM1434" s="40"/>
      <c r="BJN1434" s="40"/>
      <c r="BJO1434" s="40"/>
      <c r="BJP1434" s="40"/>
      <c r="BJQ1434" s="40"/>
      <c r="BJR1434" s="40"/>
      <c r="BJS1434" s="40"/>
      <c r="BJT1434" s="40"/>
      <c r="BJU1434" s="40"/>
      <c r="BJV1434" s="40"/>
      <c r="BJW1434" s="40"/>
      <c r="BJX1434" s="40"/>
      <c r="BJY1434" s="40"/>
      <c r="BJZ1434" s="40"/>
      <c r="BKA1434" s="40"/>
      <c r="BKB1434" s="40"/>
      <c r="BKC1434" s="40"/>
      <c r="BKD1434" s="40"/>
      <c r="BKE1434" s="40"/>
      <c r="BKF1434" s="40"/>
      <c r="BKG1434" s="40"/>
      <c r="BKH1434" s="40"/>
      <c r="BKI1434" s="40"/>
      <c r="BKJ1434" s="40"/>
      <c r="BKK1434" s="40"/>
      <c r="BKL1434" s="40"/>
      <c r="BKM1434" s="40"/>
      <c r="BKN1434" s="40"/>
      <c r="BKO1434" s="40"/>
      <c r="BKP1434" s="40"/>
      <c r="BKQ1434" s="40"/>
      <c r="BKR1434" s="40"/>
      <c r="BKS1434" s="40"/>
      <c r="BKT1434" s="40"/>
      <c r="BKU1434" s="40"/>
      <c r="BKV1434" s="40"/>
      <c r="BKW1434" s="40"/>
      <c r="BKX1434" s="40"/>
      <c r="BKY1434" s="40"/>
      <c r="BKZ1434" s="40"/>
      <c r="BLA1434" s="40"/>
      <c r="BLB1434" s="40"/>
      <c r="BLC1434" s="40"/>
      <c r="BLD1434" s="40"/>
      <c r="BLE1434" s="40"/>
      <c r="BLF1434" s="40"/>
      <c r="BLG1434" s="40"/>
      <c r="BLH1434" s="40"/>
      <c r="BLI1434" s="40"/>
      <c r="BLJ1434" s="40"/>
      <c r="BLK1434" s="40"/>
      <c r="BLL1434" s="40"/>
      <c r="BLM1434" s="40"/>
      <c r="BLN1434" s="40"/>
      <c r="BLO1434" s="40"/>
      <c r="BLP1434" s="40"/>
      <c r="BLQ1434" s="40"/>
      <c r="BLR1434" s="40"/>
      <c r="BLS1434" s="40"/>
      <c r="BLT1434" s="40"/>
      <c r="BLU1434" s="40"/>
      <c r="BLV1434" s="40"/>
      <c r="BLW1434" s="40"/>
      <c r="BLX1434" s="40"/>
      <c r="BLY1434" s="40"/>
      <c r="BLZ1434" s="40"/>
      <c r="BMA1434" s="40"/>
      <c r="BMB1434" s="40"/>
      <c r="BMC1434" s="40"/>
      <c r="BMD1434" s="40"/>
      <c r="BME1434" s="40"/>
      <c r="BMF1434" s="40"/>
      <c r="BMG1434" s="40"/>
      <c r="BMH1434" s="40"/>
      <c r="BMI1434" s="40"/>
      <c r="BMJ1434" s="40"/>
      <c r="BMK1434" s="40"/>
      <c r="BML1434" s="40"/>
      <c r="BMM1434" s="40"/>
      <c r="BMN1434" s="40"/>
      <c r="BMO1434" s="40"/>
      <c r="BMP1434" s="40"/>
      <c r="BMQ1434" s="40"/>
      <c r="BMR1434" s="40"/>
      <c r="BMS1434" s="40"/>
      <c r="BMT1434" s="40"/>
      <c r="BMU1434" s="40"/>
      <c r="BMV1434" s="40"/>
      <c r="BMW1434" s="40"/>
      <c r="BMX1434" s="40"/>
      <c r="BMY1434" s="40"/>
      <c r="BMZ1434" s="40"/>
      <c r="BNA1434" s="40"/>
      <c r="BNB1434" s="40"/>
      <c r="BNC1434" s="40"/>
      <c r="BND1434" s="40"/>
      <c r="BNE1434" s="40"/>
      <c r="BNF1434" s="40"/>
      <c r="BNG1434" s="40"/>
      <c r="BNH1434" s="40"/>
      <c r="BNI1434" s="40"/>
      <c r="BNJ1434" s="40"/>
      <c r="BNK1434" s="40"/>
      <c r="BNL1434" s="40"/>
      <c r="BNM1434" s="40"/>
      <c r="BNN1434" s="40"/>
      <c r="BNO1434" s="40"/>
      <c r="BNP1434" s="40"/>
      <c r="BNQ1434" s="40"/>
      <c r="BNR1434" s="40"/>
      <c r="BNS1434" s="40"/>
      <c r="BNT1434" s="40"/>
      <c r="BNU1434" s="40"/>
      <c r="BNV1434" s="40"/>
      <c r="BNW1434" s="40"/>
      <c r="BNX1434" s="40"/>
      <c r="BNY1434" s="40"/>
      <c r="BNZ1434" s="40"/>
      <c r="BOA1434" s="40"/>
      <c r="BOB1434" s="40"/>
      <c r="BOC1434" s="40"/>
      <c r="BOD1434" s="40"/>
      <c r="BOE1434" s="40"/>
      <c r="BOF1434" s="40"/>
      <c r="BOG1434" s="40"/>
      <c r="BOH1434" s="40"/>
      <c r="BOI1434" s="40"/>
      <c r="BOJ1434" s="40"/>
      <c r="BOK1434" s="40"/>
      <c r="BOL1434" s="40"/>
      <c r="BOM1434" s="40"/>
      <c r="BON1434" s="40"/>
      <c r="BOO1434" s="40"/>
      <c r="BOP1434" s="40"/>
      <c r="BOQ1434" s="40"/>
      <c r="BOR1434" s="40"/>
      <c r="BOS1434" s="40"/>
      <c r="BOT1434" s="40"/>
      <c r="BOU1434" s="40"/>
      <c r="BOV1434" s="40"/>
      <c r="BOW1434" s="40"/>
      <c r="BOX1434" s="40"/>
      <c r="BOY1434" s="40"/>
      <c r="BOZ1434" s="40"/>
      <c r="BPA1434" s="40"/>
      <c r="BPB1434" s="40"/>
      <c r="BPC1434" s="40"/>
      <c r="BPD1434" s="40"/>
      <c r="BPE1434" s="40"/>
      <c r="BPF1434" s="40"/>
      <c r="BPG1434" s="40"/>
      <c r="BPH1434" s="40"/>
      <c r="BPI1434" s="40"/>
      <c r="BPJ1434" s="40"/>
      <c r="BPK1434" s="40"/>
      <c r="BPL1434" s="40"/>
      <c r="BPM1434" s="40"/>
      <c r="BPN1434" s="40"/>
      <c r="BPO1434" s="40"/>
      <c r="BPP1434" s="40"/>
      <c r="BPQ1434" s="40"/>
      <c r="BPR1434" s="40"/>
      <c r="BPS1434" s="40"/>
      <c r="BPT1434" s="40"/>
      <c r="BPU1434" s="40"/>
      <c r="BPV1434" s="40"/>
      <c r="BPW1434" s="40"/>
      <c r="BPX1434" s="40"/>
      <c r="BPY1434" s="40"/>
      <c r="BPZ1434" s="40"/>
      <c r="BQA1434" s="40"/>
      <c r="BQB1434" s="40"/>
      <c r="BQC1434" s="40"/>
      <c r="BQD1434" s="40"/>
      <c r="BQE1434" s="40"/>
      <c r="BQF1434" s="40"/>
      <c r="BQG1434" s="40"/>
      <c r="BQH1434" s="40"/>
      <c r="BQI1434" s="40"/>
      <c r="BQJ1434" s="40"/>
      <c r="BQK1434" s="40"/>
      <c r="BQL1434" s="40"/>
      <c r="BQM1434" s="40"/>
      <c r="BQN1434" s="40"/>
      <c r="BQO1434" s="40"/>
      <c r="BQP1434" s="40"/>
      <c r="BQQ1434" s="40"/>
      <c r="BQR1434" s="40"/>
      <c r="BQS1434" s="40"/>
      <c r="BQT1434" s="40"/>
      <c r="BQU1434" s="40"/>
      <c r="BQV1434" s="40"/>
      <c r="BQW1434" s="40"/>
      <c r="BQX1434" s="40"/>
      <c r="BQY1434" s="40"/>
      <c r="BQZ1434" s="40"/>
      <c r="BRA1434" s="40"/>
      <c r="BRB1434" s="40"/>
      <c r="BRC1434" s="40"/>
      <c r="BRD1434" s="40"/>
      <c r="BRE1434" s="40"/>
      <c r="BRF1434" s="40"/>
      <c r="BRG1434" s="40"/>
      <c r="BRH1434" s="40"/>
      <c r="BRI1434" s="40"/>
      <c r="BRJ1434" s="40"/>
      <c r="BRK1434" s="40"/>
      <c r="BRL1434" s="40"/>
      <c r="BRM1434" s="40"/>
      <c r="BRN1434" s="40"/>
      <c r="BRO1434" s="40"/>
      <c r="BRP1434" s="40"/>
      <c r="BRQ1434" s="40"/>
      <c r="BRR1434" s="40"/>
      <c r="BRS1434" s="40"/>
      <c r="BRT1434" s="40"/>
      <c r="BRU1434" s="40"/>
      <c r="BRV1434" s="40"/>
      <c r="BRW1434" s="40"/>
      <c r="BRX1434" s="40"/>
      <c r="BRY1434" s="40"/>
      <c r="BRZ1434" s="40"/>
      <c r="BSA1434" s="40"/>
      <c r="BSB1434" s="40"/>
      <c r="BSC1434" s="40"/>
      <c r="BSD1434" s="40"/>
      <c r="BSE1434" s="40"/>
      <c r="BSF1434" s="40"/>
      <c r="BSG1434" s="40"/>
      <c r="BSH1434" s="40"/>
      <c r="BSI1434" s="40"/>
      <c r="BSJ1434" s="40"/>
      <c r="BSK1434" s="40"/>
      <c r="BSL1434" s="40"/>
      <c r="BSM1434" s="40"/>
      <c r="BSN1434" s="40"/>
      <c r="BSO1434" s="40"/>
      <c r="BSP1434" s="40"/>
      <c r="BSQ1434" s="40"/>
      <c r="BSR1434" s="40"/>
      <c r="BSS1434" s="40"/>
      <c r="BST1434" s="40"/>
      <c r="BSU1434" s="40"/>
      <c r="BSV1434" s="40"/>
      <c r="BSW1434" s="40"/>
      <c r="BSX1434" s="40"/>
      <c r="BSY1434" s="40"/>
      <c r="BSZ1434" s="40"/>
      <c r="BTA1434" s="40"/>
      <c r="BTB1434" s="40"/>
      <c r="BTC1434" s="40"/>
      <c r="BTD1434" s="40"/>
      <c r="BTE1434" s="40"/>
      <c r="BTF1434" s="40"/>
      <c r="BTG1434" s="40"/>
      <c r="BTH1434" s="40"/>
      <c r="BTI1434" s="40"/>
      <c r="BTJ1434" s="40"/>
      <c r="BTK1434" s="40"/>
      <c r="BTL1434" s="40"/>
      <c r="BTM1434" s="40"/>
      <c r="BTN1434" s="40"/>
      <c r="BTO1434" s="40"/>
      <c r="BTP1434" s="40"/>
      <c r="BTQ1434" s="40"/>
      <c r="BTR1434" s="40"/>
      <c r="BTS1434" s="40"/>
      <c r="BTT1434" s="40"/>
      <c r="BTU1434" s="40"/>
      <c r="BTV1434" s="40"/>
      <c r="BTW1434" s="40"/>
      <c r="BTX1434" s="40"/>
      <c r="BTY1434" s="40"/>
      <c r="BTZ1434" s="40"/>
      <c r="BUA1434" s="40"/>
      <c r="BUB1434" s="40"/>
      <c r="BUC1434" s="40"/>
      <c r="BUD1434" s="40"/>
      <c r="BUE1434" s="40"/>
      <c r="BUF1434" s="40"/>
      <c r="BUG1434" s="40"/>
      <c r="BUH1434" s="40"/>
      <c r="BUI1434" s="40"/>
      <c r="BUJ1434" s="40"/>
      <c r="BUK1434" s="40"/>
      <c r="BUL1434" s="40"/>
      <c r="BUM1434" s="40"/>
      <c r="BUN1434" s="40"/>
      <c r="BUO1434" s="40"/>
      <c r="BUP1434" s="40"/>
      <c r="BUQ1434" s="40"/>
      <c r="BUR1434" s="40"/>
      <c r="BUS1434" s="40"/>
      <c r="BUT1434" s="40"/>
      <c r="BUU1434" s="40"/>
      <c r="BUV1434" s="40"/>
      <c r="BUW1434" s="40"/>
      <c r="BUX1434" s="40"/>
      <c r="BUY1434" s="40"/>
      <c r="BUZ1434" s="40"/>
      <c r="BVA1434" s="40"/>
      <c r="BVB1434" s="40"/>
      <c r="BVC1434" s="40"/>
      <c r="BVD1434" s="40"/>
      <c r="BVE1434" s="40"/>
      <c r="BVF1434" s="40"/>
      <c r="BVG1434" s="40"/>
      <c r="BVH1434" s="40"/>
      <c r="BVI1434" s="40"/>
      <c r="BVJ1434" s="40"/>
      <c r="BVK1434" s="40"/>
      <c r="BVL1434" s="40"/>
      <c r="BVM1434" s="40"/>
      <c r="BVN1434" s="40"/>
      <c r="BVO1434" s="40"/>
      <c r="BVP1434" s="40"/>
      <c r="BVQ1434" s="40"/>
      <c r="BVR1434" s="40"/>
      <c r="BVS1434" s="40"/>
      <c r="BVT1434" s="40"/>
      <c r="BVU1434" s="40"/>
      <c r="BVV1434" s="40"/>
      <c r="BVW1434" s="40"/>
      <c r="BVX1434" s="40"/>
      <c r="BVY1434" s="40"/>
      <c r="BVZ1434" s="40"/>
      <c r="BWA1434" s="40"/>
      <c r="BWB1434" s="40"/>
      <c r="BWC1434" s="40"/>
      <c r="BWD1434" s="40"/>
      <c r="BWE1434" s="40"/>
      <c r="BWF1434" s="40"/>
      <c r="BWG1434" s="40"/>
      <c r="BWH1434" s="40"/>
      <c r="BWI1434" s="40"/>
      <c r="BWJ1434" s="40"/>
      <c r="BWK1434" s="40"/>
      <c r="BWL1434" s="40"/>
      <c r="BWM1434" s="40"/>
      <c r="BWN1434" s="40"/>
      <c r="BWO1434" s="40"/>
      <c r="BWP1434" s="40"/>
      <c r="BWQ1434" s="40"/>
      <c r="BWR1434" s="40"/>
      <c r="BWS1434" s="40"/>
      <c r="BWT1434" s="40"/>
      <c r="BWU1434" s="40"/>
      <c r="BWV1434" s="40"/>
      <c r="BWW1434" s="40"/>
      <c r="BWX1434" s="40"/>
      <c r="BWY1434" s="40"/>
      <c r="BWZ1434" s="40"/>
      <c r="BXA1434" s="40"/>
      <c r="BXB1434" s="40"/>
      <c r="BXC1434" s="40"/>
      <c r="BXD1434" s="40"/>
      <c r="BXE1434" s="40"/>
      <c r="BXF1434" s="40"/>
      <c r="BXG1434" s="40"/>
      <c r="BXH1434" s="40"/>
      <c r="BXI1434" s="40"/>
      <c r="BXJ1434" s="40"/>
      <c r="BXK1434" s="40"/>
      <c r="BXL1434" s="40"/>
      <c r="BXM1434" s="40"/>
      <c r="BXN1434" s="40"/>
      <c r="BXO1434" s="40"/>
      <c r="BXP1434" s="40"/>
      <c r="BXQ1434" s="40"/>
      <c r="BXR1434" s="40"/>
      <c r="BXS1434" s="40"/>
      <c r="BXT1434" s="40"/>
      <c r="BXU1434" s="40"/>
      <c r="BXV1434" s="40"/>
      <c r="BXW1434" s="40"/>
      <c r="BXX1434" s="40"/>
      <c r="BXY1434" s="40"/>
      <c r="BXZ1434" s="40"/>
      <c r="BYA1434" s="40"/>
      <c r="BYB1434" s="40"/>
      <c r="BYC1434" s="40"/>
      <c r="BYD1434" s="40"/>
      <c r="BYE1434" s="40"/>
      <c r="BYF1434" s="40"/>
      <c r="BYG1434" s="40"/>
      <c r="BYH1434" s="40"/>
      <c r="BYI1434" s="40"/>
      <c r="BYJ1434" s="40"/>
      <c r="BYK1434" s="40"/>
      <c r="BYL1434" s="40"/>
      <c r="BYM1434" s="40"/>
      <c r="BYN1434" s="40"/>
      <c r="BYO1434" s="40"/>
      <c r="BYP1434" s="40"/>
      <c r="BYQ1434" s="40"/>
      <c r="BYR1434" s="40"/>
      <c r="BYS1434" s="40"/>
      <c r="BYT1434" s="40"/>
      <c r="BYU1434" s="40"/>
      <c r="BYV1434" s="40"/>
      <c r="BYW1434" s="40"/>
      <c r="BYX1434" s="40"/>
      <c r="BYY1434" s="40"/>
      <c r="BYZ1434" s="40"/>
      <c r="BZA1434" s="40"/>
      <c r="BZB1434" s="40"/>
      <c r="BZC1434" s="40"/>
      <c r="BZD1434" s="40"/>
      <c r="BZE1434" s="40"/>
      <c r="BZF1434" s="40"/>
      <c r="BZG1434" s="40"/>
      <c r="BZH1434" s="40"/>
      <c r="BZI1434" s="40"/>
      <c r="BZJ1434" s="40"/>
      <c r="BZK1434" s="40"/>
      <c r="BZL1434" s="40"/>
      <c r="BZM1434" s="40"/>
      <c r="BZN1434" s="40"/>
      <c r="BZO1434" s="40"/>
      <c r="BZP1434" s="40"/>
      <c r="BZQ1434" s="40"/>
      <c r="BZR1434" s="40"/>
      <c r="BZS1434" s="40"/>
      <c r="BZT1434" s="40"/>
      <c r="BZU1434" s="40"/>
      <c r="BZV1434" s="40"/>
      <c r="BZW1434" s="40"/>
      <c r="BZX1434" s="40"/>
      <c r="BZY1434" s="40"/>
      <c r="BZZ1434" s="40"/>
      <c r="CAA1434" s="40"/>
      <c r="CAB1434" s="40"/>
      <c r="CAC1434" s="40"/>
      <c r="CAD1434" s="40"/>
      <c r="CAE1434" s="40"/>
      <c r="CAF1434" s="40"/>
      <c r="CAG1434" s="40"/>
      <c r="CAH1434" s="40"/>
      <c r="CAI1434" s="40"/>
      <c r="CAJ1434" s="40"/>
      <c r="CAK1434" s="40"/>
      <c r="CAL1434" s="40"/>
      <c r="CAM1434" s="40"/>
      <c r="CAN1434" s="40"/>
      <c r="CAO1434" s="40"/>
      <c r="CAP1434" s="40"/>
      <c r="CAQ1434" s="40"/>
      <c r="CAR1434" s="40"/>
      <c r="CAS1434" s="40"/>
      <c r="CAT1434" s="40"/>
      <c r="CAU1434" s="40"/>
      <c r="CAV1434" s="40"/>
      <c r="CAW1434" s="40"/>
      <c r="CAX1434" s="40"/>
      <c r="CAY1434" s="40"/>
      <c r="CAZ1434" s="40"/>
      <c r="CBA1434" s="40"/>
      <c r="CBB1434" s="40"/>
      <c r="CBC1434" s="40"/>
      <c r="CBD1434" s="40"/>
      <c r="CBE1434" s="40"/>
      <c r="CBF1434" s="40"/>
      <c r="CBG1434" s="40"/>
      <c r="CBH1434" s="40"/>
      <c r="CBI1434" s="40"/>
      <c r="CBJ1434" s="40"/>
      <c r="CBK1434" s="40"/>
      <c r="CBL1434" s="40"/>
      <c r="CBM1434" s="40"/>
      <c r="CBN1434" s="40"/>
      <c r="CBO1434" s="40"/>
      <c r="CBP1434" s="40"/>
      <c r="CBQ1434" s="40"/>
      <c r="CBR1434" s="40"/>
      <c r="CBS1434" s="40"/>
      <c r="CBT1434" s="40"/>
      <c r="CBU1434" s="40"/>
      <c r="CBV1434" s="40"/>
      <c r="CBW1434" s="40"/>
      <c r="CBX1434" s="40"/>
      <c r="CBY1434" s="40"/>
      <c r="CBZ1434" s="40"/>
      <c r="CCA1434" s="40"/>
      <c r="CCB1434" s="40"/>
      <c r="CCC1434" s="40"/>
      <c r="CCD1434" s="40"/>
      <c r="CCE1434" s="40"/>
      <c r="CCF1434" s="40"/>
      <c r="CCG1434" s="40"/>
      <c r="CCH1434" s="40"/>
      <c r="CCI1434" s="40"/>
      <c r="CCJ1434" s="40"/>
      <c r="CCK1434" s="40"/>
      <c r="CCL1434" s="40"/>
      <c r="CCM1434" s="40"/>
      <c r="CCN1434" s="40"/>
      <c r="CCO1434" s="40"/>
      <c r="CCP1434" s="40"/>
      <c r="CCQ1434" s="40"/>
      <c r="CCR1434" s="40"/>
      <c r="CCS1434" s="40"/>
      <c r="CCT1434" s="40"/>
      <c r="CCU1434" s="40"/>
      <c r="CCV1434" s="40"/>
      <c r="CCW1434" s="40"/>
      <c r="CCX1434" s="40"/>
      <c r="CCY1434" s="40"/>
      <c r="CCZ1434" s="40"/>
      <c r="CDA1434" s="40"/>
      <c r="CDB1434" s="40"/>
      <c r="CDC1434" s="40"/>
      <c r="CDD1434" s="40"/>
      <c r="CDE1434" s="40"/>
      <c r="CDF1434" s="40"/>
      <c r="CDG1434" s="40"/>
      <c r="CDH1434" s="40"/>
      <c r="CDI1434" s="40"/>
      <c r="CDJ1434" s="40"/>
      <c r="CDK1434" s="40"/>
      <c r="CDL1434" s="40"/>
      <c r="CDM1434" s="40"/>
      <c r="CDN1434" s="40"/>
      <c r="CDO1434" s="40"/>
      <c r="CDP1434" s="40"/>
      <c r="CDQ1434" s="40"/>
      <c r="CDR1434" s="40"/>
      <c r="CDS1434" s="40"/>
      <c r="CDT1434" s="40"/>
      <c r="CDU1434" s="40"/>
      <c r="CDV1434" s="40"/>
      <c r="CDW1434" s="40"/>
      <c r="CDX1434" s="40"/>
      <c r="CDY1434" s="40"/>
      <c r="CDZ1434" s="40"/>
      <c r="CEA1434" s="40"/>
      <c r="CEB1434" s="40"/>
      <c r="CEC1434" s="40"/>
      <c r="CED1434" s="40"/>
      <c r="CEE1434" s="40"/>
      <c r="CEF1434" s="40"/>
      <c r="CEG1434" s="40"/>
      <c r="CEH1434" s="40"/>
      <c r="CEI1434" s="40"/>
      <c r="CEJ1434" s="40"/>
      <c r="CEK1434" s="40"/>
      <c r="CEL1434" s="40"/>
      <c r="CEM1434" s="40"/>
      <c r="CEN1434" s="40"/>
      <c r="CEO1434" s="40"/>
      <c r="CEP1434" s="40"/>
      <c r="CEQ1434" s="40"/>
      <c r="CER1434" s="40"/>
      <c r="CES1434" s="40"/>
      <c r="CET1434" s="40"/>
      <c r="CEU1434" s="40"/>
      <c r="CEV1434" s="40"/>
      <c r="CEW1434" s="40"/>
      <c r="CEX1434" s="40"/>
      <c r="CEY1434" s="40"/>
      <c r="CEZ1434" s="40"/>
      <c r="CFA1434" s="40"/>
      <c r="CFB1434" s="40"/>
      <c r="CFC1434" s="40"/>
      <c r="CFD1434" s="40"/>
      <c r="CFE1434" s="40"/>
      <c r="CFF1434" s="40"/>
      <c r="CFG1434" s="40"/>
      <c r="CFH1434" s="40"/>
      <c r="CFI1434" s="40"/>
      <c r="CFJ1434" s="40"/>
      <c r="CFK1434" s="40"/>
      <c r="CFL1434" s="40"/>
      <c r="CFM1434" s="40"/>
      <c r="CFN1434" s="40"/>
      <c r="CFO1434" s="40"/>
      <c r="CFP1434" s="40"/>
      <c r="CFQ1434" s="40"/>
      <c r="CFR1434" s="40"/>
      <c r="CFS1434" s="40"/>
      <c r="CFT1434" s="40"/>
      <c r="CFU1434" s="40"/>
      <c r="CFV1434" s="40"/>
      <c r="CFW1434" s="40"/>
      <c r="CFX1434" s="40"/>
      <c r="CFY1434" s="40"/>
      <c r="CFZ1434" s="40"/>
      <c r="CGA1434" s="40"/>
      <c r="CGB1434" s="40"/>
      <c r="CGC1434" s="40"/>
      <c r="CGD1434" s="40"/>
      <c r="CGE1434" s="40"/>
      <c r="CGF1434" s="40"/>
      <c r="CGG1434" s="40"/>
      <c r="CGH1434" s="40"/>
      <c r="CGI1434" s="40"/>
      <c r="CGJ1434" s="40"/>
      <c r="CGK1434" s="40"/>
      <c r="CGL1434" s="40"/>
      <c r="CGM1434" s="40"/>
      <c r="CGN1434" s="40"/>
      <c r="CGO1434" s="40"/>
      <c r="CGP1434" s="40"/>
      <c r="CGQ1434" s="40"/>
      <c r="CGR1434" s="40"/>
      <c r="CGS1434" s="40"/>
      <c r="CGT1434" s="40"/>
      <c r="CGU1434" s="40"/>
      <c r="CGV1434" s="40"/>
      <c r="CGW1434" s="40"/>
      <c r="CGX1434" s="40"/>
      <c r="CGY1434" s="40"/>
      <c r="CGZ1434" s="40"/>
      <c r="CHA1434" s="40"/>
      <c r="CHB1434" s="40"/>
      <c r="CHC1434" s="40"/>
      <c r="CHD1434" s="40"/>
      <c r="CHE1434" s="40"/>
      <c r="CHF1434" s="40"/>
      <c r="CHG1434" s="40"/>
      <c r="CHH1434" s="40"/>
      <c r="CHI1434" s="40"/>
      <c r="CHJ1434" s="40"/>
      <c r="CHK1434" s="40"/>
      <c r="CHL1434" s="40"/>
      <c r="CHM1434" s="40"/>
      <c r="CHN1434" s="40"/>
      <c r="CHO1434" s="40"/>
      <c r="CHP1434" s="40"/>
      <c r="CHQ1434" s="40"/>
      <c r="CHR1434" s="40"/>
      <c r="CHS1434" s="40"/>
      <c r="CHT1434" s="40"/>
      <c r="CHU1434" s="40"/>
      <c r="CHV1434" s="40"/>
      <c r="CHW1434" s="40"/>
      <c r="CHX1434" s="40"/>
      <c r="CHY1434" s="40"/>
      <c r="CHZ1434" s="40"/>
      <c r="CIA1434" s="40"/>
      <c r="CIB1434" s="40"/>
      <c r="CIC1434" s="40"/>
      <c r="CID1434" s="40"/>
      <c r="CIE1434" s="40"/>
      <c r="CIF1434" s="40"/>
      <c r="CIG1434" s="40"/>
      <c r="CIH1434" s="40"/>
      <c r="CII1434" s="40"/>
      <c r="CIJ1434" s="40"/>
      <c r="CIK1434" s="40"/>
      <c r="CIL1434" s="40"/>
      <c r="CIM1434" s="40"/>
      <c r="CIN1434" s="40"/>
      <c r="CIO1434" s="40"/>
      <c r="CIP1434" s="40"/>
      <c r="CIQ1434" s="40"/>
      <c r="CIR1434" s="40"/>
      <c r="CIS1434" s="40"/>
      <c r="CIT1434" s="40"/>
      <c r="CIU1434" s="40"/>
      <c r="CIV1434" s="40"/>
      <c r="CIW1434" s="40"/>
      <c r="CIX1434" s="40"/>
      <c r="CIY1434" s="40"/>
      <c r="CIZ1434" s="40"/>
      <c r="CJA1434" s="40"/>
      <c r="CJB1434" s="40"/>
      <c r="CJC1434" s="40"/>
      <c r="CJD1434" s="40"/>
      <c r="CJE1434" s="40"/>
      <c r="CJF1434" s="40"/>
      <c r="CJG1434" s="40"/>
      <c r="CJH1434" s="40"/>
      <c r="CJI1434" s="40"/>
      <c r="CJJ1434" s="40"/>
      <c r="CJK1434" s="40"/>
      <c r="CJL1434" s="40"/>
      <c r="CJM1434" s="40"/>
      <c r="CJN1434" s="40"/>
      <c r="CJO1434" s="40"/>
      <c r="CJP1434" s="40"/>
      <c r="CJQ1434" s="40"/>
      <c r="CJR1434" s="40"/>
      <c r="CJS1434" s="40"/>
      <c r="CJT1434" s="40"/>
      <c r="CJU1434" s="40"/>
      <c r="CJV1434" s="40"/>
      <c r="CJW1434" s="40"/>
      <c r="CJX1434" s="40"/>
      <c r="CJY1434" s="40"/>
      <c r="CJZ1434" s="40"/>
      <c r="CKA1434" s="40"/>
      <c r="CKB1434" s="40"/>
      <c r="CKC1434" s="40"/>
      <c r="CKD1434" s="40"/>
      <c r="CKE1434" s="40"/>
      <c r="CKF1434" s="40"/>
      <c r="CKG1434" s="40"/>
      <c r="CKH1434" s="40"/>
      <c r="CKI1434" s="40"/>
      <c r="CKJ1434" s="40"/>
      <c r="CKK1434" s="40"/>
      <c r="CKL1434" s="40"/>
      <c r="CKM1434" s="40"/>
      <c r="CKN1434" s="40"/>
      <c r="CKO1434" s="40"/>
      <c r="CKP1434" s="40"/>
      <c r="CKQ1434" s="40"/>
      <c r="CKR1434" s="40"/>
      <c r="CKS1434" s="40"/>
      <c r="CKT1434" s="40"/>
      <c r="CKU1434" s="40"/>
      <c r="CKV1434" s="40"/>
      <c r="CKW1434" s="40"/>
      <c r="CKX1434" s="40"/>
      <c r="CKY1434" s="40"/>
      <c r="CKZ1434" s="40"/>
      <c r="CLA1434" s="40"/>
      <c r="CLB1434" s="40"/>
      <c r="CLC1434" s="40"/>
      <c r="CLD1434" s="40"/>
      <c r="CLE1434" s="40"/>
      <c r="CLF1434" s="40"/>
      <c r="CLG1434" s="40"/>
      <c r="CLH1434" s="40"/>
      <c r="CLI1434" s="40"/>
      <c r="CLJ1434" s="40"/>
      <c r="CLK1434" s="40"/>
      <c r="CLL1434" s="40"/>
      <c r="CLM1434" s="40"/>
      <c r="CLN1434" s="40"/>
      <c r="CLO1434" s="40"/>
      <c r="CLP1434" s="40"/>
      <c r="CLQ1434" s="40"/>
      <c r="CLR1434" s="40"/>
      <c r="CLS1434" s="40"/>
      <c r="CLT1434" s="40"/>
      <c r="CLU1434" s="40"/>
      <c r="CLV1434" s="40"/>
      <c r="CLW1434" s="40"/>
      <c r="CLX1434" s="40"/>
      <c r="CLY1434" s="40"/>
      <c r="CLZ1434" s="40"/>
      <c r="CMA1434" s="40"/>
      <c r="CMB1434" s="40"/>
      <c r="CMC1434" s="40"/>
      <c r="CMD1434" s="40"/>
      <c r="CME1434" s="40"/>
      <c r="CMF1434" s="40"/>
      <c r="CMG1434" s="40"/>
      <c r="CMH1434" s="40"/>
      <c r="CMI1434" s="40"/>
      <c r="CMJ1434" s="40"/>
      <c r="CMK1434" s="40"/>
      <c r="CML1434" s="40"/>
      <c r="CMM1434" s="40"/>
      <c r="CMN1434" s="40"/>
      <c r="CMO1434" s="40"/>
      <c r="CMP1434" s="40"/>
      <c r="CMQ1434" s="40"/>
      <c r="CMR1434" s="40"/>
      <c r="CMS1434" s="40"/>
      <c r="CMT1434" s="40"/>
      <c r="CMU1434" s="40"/>
      <c r="CMV1434" s="40"/>
      <c r="CMW1434" s="40"/>
      <c r="CMX1434" s="40"/>
      <c r="CMY1434" s="40"/>
      <c r="CMZ1434" s="40"/>
      <c r="CNA1434" s="40"/>
      <c r="CNB1434" s="40"/>
      <c r="CNC1434" s="40"/>
      <c r="CND1434" s="40"/>
      <c r="CNE1434" s="40"/>
      <c r="CNF1434" s="40"/>
      <c r="CNG1434" s="40"/>
      <c r="CNH1434" s="40"/>
      <c r="CNI1434" s="40"/>
      <c r="CNJ1434" s="40"/>
      <c r="CNK1434" s="40"/>
      <c r="CNL1434" s="40"/>
      <c r="CNM1434" s="40"/>
      <c r="CNN1434" s="40"/>
      <c r="CNO1434" s="40"/>
      <c r="CNP1434" s="40"/>
      <c r="CNQ1434" s="40"/>
      <c r="CNR1434" s="40"/>
      <c r="CNS1434" s="40"/>
      <c r="CNT1434" s="40"/>
      <c r="CNU1434" s="40"/>
      <c r="CNV1434" s="40"/>
      <c r="CNW1434" s="40"/>
      <c r="CNX1434" s="40"/>
      <c r="CNY1434" s="40"/>
      <c r="CNZ1434" s="40"/>
      <c r="COA1434" s="40"/>
      <c r="COB1434" s="40"/>
      <c r="COC1434" s="40"/>
      <c r="COD1434" s="40"/>
      <c r="COE1434" s="40"/>
      <c r="COF1434" s="40"/>
      <c r="COG1434" s="40"/>
      <c r="COH1434" s="40"/>
      <c r="COI1434" s="40"/>
      <c r="COJ1434" s="40"/>
      <c r="COK1434" s="40"/>
      <c r="COL1434" s="40"/>
      <c r="COM1434" s="40"/>
      <c r="CON1434" s="40"/>
      <c r="COO1434" s="40"/>
      <c r="COP1434" s="40"/>
      <c r="COQ1434" s="40"/>
      <c r="COR1434" s="40"/>
      <c r="COS1434" s="40"/>
      <c r="COT1434" s="40"/>
      <c r="COU1434" s="40"/>
      <c r="COV1434" s="40"/>
      <c r="COW1434" s="40"/>
      <c r="COX1434" s="40"/>
      <c r="COY1434" s="40"/>
      <c r="COZ1434" s="40"/>
      <c r="CPA1434" s="40"/>
      <c r="CPB1434" s="40"/>
      <c r="CPC1434" s="40"/>
      <c r="CPD1434" s="40"/>
      <c r="CPE1434" s="40"/>
      <c r="CPF1434" s="40"/>
      <c r="CPG1434" s="40"/>
      <c r="CPH1434" s="40"/>
      <c r="CPI1434" s="40"/>
      <c r="CPJ1434" s="40"/>
      <c r="CPK1434" s="40"/>
      <c r="CPL1434" s="40"/>
      <c r="CPM1434" s="40"/>
      <c r="CPN1434" s="40"/>
      <c r="CPO1434" s="40"/>
      <c r="CPP1434" s="40"/>
      <c r="CPQ1434" s="40"/>
      <c r="CPR1434" s="40"/>
      <c r="CPS1434" s="40"/>
      <c r="CPT1434" s="40"/>
      <c r="CPU1434" s="40"/>
      <c r="CPV1434" s="40"/>
      <c r="CPW1434" s="40"/>
      <c r="CPX1434" s="40"/>
      <c r="CPY1434" s="40"/>
      <c r="CPZ1434" s="40"/>
      <c r="CQA1434" s="40"/>
      <c r="CQB1434" s="40"/>
      <c r="CQC1434" s="40"/>
      <c r="CQD1434" s="40"/>
      <c r="CQE1434" s="40"/>
      <c r="CQF1434" s="40"/>
      <c r="CQG1434" s="40"/>
      <c r="CQH1434" s="40"/>
      <c r="CQI1434" s="40"/>
      <c r="CQJ1434" s="40"/>
      <c r="CQK1434" s="40"/>
      <c r="CQL1434" s="40"/>
      <c r="CQM1434" s="40"/>
      <c r="CQN1434" s="40"/>
      <c r="CQO1434" s="40"/>
      <c r="CQP1434" s="40"/>
      <c r="CQQ1434" s="40"/>
      <c r="CQR1434" s="40"/>
      <c r="CQS1434" s="40"/>
      <c r="CQT1434" s="40"/>
      <c r="CQU1434" s="40"/>
      <c r="CQV1434" s="40"/>
      <c r="CQW1434" s="40"/>
      <c r="CQX1434" s="40"/>
      <c r="CQY1434" s="40"/>
      <c r="CQZ1434" s="40"/>
      <c r="CRA1434" s="40"/>
      <c r="CRB1434" s="40"/>
      <c r="CRC1434" s="40"/>
      <c r="CRD1434" s="40"/>
      <c r="CRE1434" s="40"/>
      <c r="CRF1434" s="40"/>
      <c r="CRG1434" s="40"/>
      <c r="CRH1434" s="40"/>
      <c r="CRI1434" s="40"/>
      <c r="CRJ1434" s="40"/>
      <c r="CRK1434" s="40"/>
      <c r="CRL1434" s="40"/>
      <c r="CRM1434" s="40"/>
      <c r="CRN1434" s="40"/>
      <c r="CRO1434" s="40"/>
      <c r="CRP1434" s="40"/>
      <c r="CRQ1434" s="40"/>
      <c r="CRR1434" s="40"/>
      <c r="CRS1434" s="40"/>
      <c r="CRT1434" s="40"/>
      <c r="CRU1434" s="40"/>
      <c r="CRV1434" s="40"/>
      <c r="CRW1434" s="40"/>
      <c r="CRX1434" s="40"/>
      <c r="CRY1434" s="40"/>
      <c r="CRZ1434" s="40"/>
      <c r="CSA1434" s="40"/>
      <c r="CSB1434" s="40"/>
      <c r="CSC1434" s="40"/>
      <c r="CSD1434" s="40"/>
      <c r="CSE1434" s="40"/>
      <c r="CSF1434" s="40"/>
      <c r="CSG1434" s="40"/>
      <c r="CSH1434" s="40"/>
      <c r="CSI1434" s="40"/>
      <c r="CSJ1434" s="40"/>
      <c r="CSK1434" s="40"/>
      <c r="CSL1434" s="40"/>
      <c r="CSM1434" s="40"/>
      <c r="CSN1434" s="40"/>
      <c r="CSO1434" s="40"/>
      <c r="CSP1434" s="40"/>
      <c r="CSQ1434" s="40"/>
      <c r="CSR1434" s="40"/>
      <c r="CSS1434" s="40"/>
      <c r="CST1434" s="40"/>
      <c r="CSU1434" s="40"/>
      <c r="CSV1434" s="40"/>
      <c r="CSW1434" s="40"/>
      <c r="CSX1434" s="40"/>
      <c r="CSY1434" s="40"/>
      <c r="CSZ1434" s="40"/>
      <c r="CTA1434" s="40"/>
      <c r="CTB1434" s="40"/>
      <c r="CTC1434" s="40"/>
      <c r="CTD1434" s="40"/>
      <c r="CTE1434" s="40"/>
      <c r="CTF1434" s="40"/>
      <c r="CTG1434" s="40"/>
      <c r="CTH1434" s="40"/>
      <c r="CTI1434" s="40"/>
      <c r="CTJ1434" s="40"/>
      <c r="CTK1434" s="40"/>
      <c r="CTL1434" s="40"/>
      <c r="CTM1434" s="40"/>
      <c r="CTN1434" s="40"/>
      <c r="CTO1434" s="40"/>
      <c r="CTP1434" s="40"/>
      <c r="CTQ1434" s="40"/>
      <c r="CTR1434" s="40"/>
      <c r="CTS1434" s="40"/>
      <c r="CTT1434" s="40"/>
      <c r="CTU1434" s="40"/>
      <c r="CTV1434" s="40"/>
      <c r="CTW1434" s="40"/>
      <c r="CTX1434" s="40"/>
      <c r="CTY1434" s="40"/>
      <c r="CTZ1434" s="40"/>
      <c r="CUA1434" s="40"/>
      <c r="CUB1434" s="40"/>
      <c r="CUC1434" s="40"/>
      <c r="CUD1434" s="40"/>
      <c r="CUE1434" s="40"/>
      <c r="CUF1434" s="40"/>
      <c r="CUG1434" s="40"/>
      <c r="CUH1434" s="40"/>
      <c r="CUI1434" s="40"/>
      <c r="CUJ1434" s="40"/>
      <c r="CUK1434" s="40"/>
      <c r="CUL1434" s="40"/>
      <c r="CUM1434" s="40"/>
      <c r="CUN1434" s="40"/>
      <c r="CUO1434" s="40"/>
      <c r="CUP1434" s="40"/>
      <c r="CUQ1434" s="40"/>
      <c r="CUR1434" s="40"/>
      <c r="CUS1434" s="40"/>
      <c r="CUT1434" s="40"/>
      <c r="CUU1434" s="40"/>
      <c r="CUV1434" s="40"/>
      <c r="CUW1434" s="40"/>
      <c r="CUX1434" s="40"/>
      <c r="CUY1434" s="40"/>
      <c r="CUZ1434" s="40"/>
      <c r="CVA1434" s="40"/>
      <c r="CVB1434" s="40"/>
      <c r="CVC1434" s="40"/>
      <c r="CVD1434" s="40"/>
      <c r="CVE1434" s="40"/>
      <c r="CVF1434" s="40"/>
      <c r="CVG1434" s="40"/>
      <c r="CVH1434" s="40"/>
      <c r="CVI1434" s="40"/>
      <c r="CVJ1434" s="40"/>
      <c r="CVK1434" s="40"/>
      <c r="CVL1434" s="40"/>
      <c r="CVM1434" s="40"/>
      <c r="CVN1434" s="40"/>
      <c r="CVO1434" s="40"/>
      <c r="CVP1434" s="40"/>
      <c r="CVQ1434" s="40"/>
      <c r="CVR1434" s="40"/>
      <c r="CVS1434" s="40"/>
      <c r="CVT1434" s="40"/>
      <c r="CVU1434" s="40"/>
      <c r="CVV1434" s="40"/>
      <c r="CVW1434" s="40"/>
      <c r="CVX1434" s="40"/>
      <c r="CVY1434" s="40"/>
      <c r="CVZ1434" s="40"/>
      <c r="CWA1434" s="40"/>
      <c r="CWB1434" s="40"/>
      <c r="CWC1434" s="40"/>
      <c r="CWD1434" s="40"/>
      <c r="CWE1434" s="40"/>
      <c r="CWF1434" s="40"/>
      <c r="CWG1434" s="40"/>
      <c r="CWH1434" s="40"/>
      <c r="CWI1434" s="40"/>
      <c r="CWJ1434" s="40"/>
      <c r="CWK1434" s="40"/>
      <c r="CWL1434" s="40"/>
      <c r="CWM1434" s="40"/>
      <c r="CWN1434" s="40"/>
      <c r="CWO1434" s="40"/>
      <c r="CWP1434" s="40"/>
      <c r="CWQ1434" s="40"/>
      <c r="CWR1434" s="40"/>
      <c r="CWS1434" s="40"/>
      <c r="CWT1434" s="40"/>
      <c r="CWU1434" s="40"/>
      <c r="CWV1434" s="40"/>
      <c r="CWW1434" s="40"/>
      <c r="CWX1434" s="40"/>
      <c r="CWY1434" s="40"/>
      <c r="CWZ1434" s="40"/>
      <c r="CXA1434" s="40"/>
      <c r="CXB1434" s="40"/>
      <c r="CXC1434" s="40"/>
      <c r="CXD1434" s="40"/>
      <c r="CXE1434" s="40"/>
      <c r="CXF1434" s="40"/>
      <c r="CXG1434" s="40"/>
      <c r="CXH1434" s="40"/>
      <c r="CXI1434" s="40"/>
      <c r="CXJ1434" s="40"/>
      <c r="CXK1434" s="40"/>
      <c r="CXL1434" s="40"/>
      <c r="CXM1434" s="40"/>
      <c r="CXN1434" s="40"/>
      <c r="CXO1434" s="40"/>
      <c r="CXP1434" s="40"/>
      <c r="CXQ1434" s="40"/>
      <c r="CXR1434" s="40"/>
      <c r="CXS1434" s="40"/>
      <c r="CXT1434" s="40"/>
      <c r="CXU1434" s="40"/>
      <c r="CXV1434" s="40"/>
      <c r="CXW1434" s="40"/>
      <c r="CXX1434" s="40"/>
      <c r="CXY1434" s="40"/>
      <c r="CXZ1434" s="40"/>
      <c r="CYA1434" s="40"/>
      <c r="CYB1434" s="40"/>
      <c r="CYC1434" s="40"/>
      <c r="CYD1434" s="40"/>
      <c r="CYE1434" s="40"/>
      <c r="CYF1434" s="40"/>
      <c r="CYG1434" s="40"/>
      <c r="CYH1434" s="40"/>
      <c r="CYI1434" s="40"/>
      <c r="CYJ1434" s="40"/>
      <c r="CYK1434" s="40"/>
      <c r="CYL1434" s="40"/>
      <c r="CYM1434" s="40"/>
      <c r="CYN1434" s="40"/>
      <c r="CYO1434" s="40"/>
      <c r="CYP1434" s="40"/>
      <c r="CYQ1434" s="40"/>
      <c r="CYR1434" s="40"/>
      <c r="CYS1434" s="40"/>
      <c r="CYT1434" s="40"/>
      <c r="CYU1434" s="40"/>
      <c r="CYV1434" s="40"/>
      <c r="CYW1434" s="40"/>
      <c r="CYX1434" s="40"/>
      <c r="CYY1434" s="40"/>
      <c r="CYZ1434" s="40"/>
      <c r="CZA1434" s="40"/>
      <c r="CZB1434" s="40"/>
      <c r="CZC1434" s="40"/>
      <c r="CZD1434" s="40"/>
      <c r="CZE1434" s="40"/>
      <c r="CZF1434" s="40"/>
      <c r="CZG1434" s="40"/>
      <c r="CZH1434" s="40"/>
      <c r="CZI1434" s="40"/>
      <c r="CZJ1434" s="40"/>
      <c r="CZK1434" s="40"/>
      <c r="CZL1434" s="40"/>
      <c r="CZM1434" s="40"/>
      <c r="CZN1434" s="40"/>
      <c r="CZO1434" s="40"/>
      <c r="CZP1434" s="40"/>
      <c r="CZQ1434" s="40"/>
      <c r="CZR1434" s="40"/>
      <c r="CZS1434" s="40"/>
      <c r="CZT1434" s="40"/>
      <c r="CZU1434" s="40"/>
      <c r="CZV1434" s="40"/>
      <c r="CZW1434" s="40"/>
      <c r="CZX1434" s="40"/>
      <c r="CZY1434" s="40"/>
      <c r="CZZ1434" s="40"/>
      <c r="DAA1434" s="40"/>
      <c r="DAB1434" s="40"/>
      <c r="DAC1434" s="40"/>
      <c r="DAD1434" s="40"/>
      <c r="DAE1434" s="40"/>
      <c r="DAF1434" s="40"/>
      <c r="DAG1434" s="40"/>
      <c r="DAH1434" s="40"/>
      <c r="DAI1434" s="40"/>
      <c r="DAJ1434" s="40"/>
      <c r="DAK1434" s="40"/>
      <c r="DAL1434" s="40"/>
      <c r="DAM1434" s="40"/>
      <c r="DAN1434" s="40"/>
      <c r="DAO1434" s="40"/>
      <c r="DAP1434" s="40"/>
      <c r="DAQ1434" s="40"/>
      <c r="DAR1434" s="40"/>
      <c r="DAS1434" s="40"/>
      <c r="DAT1434" s="40"/>
      <c r="DAU1434" s="40"/>
      <c r="DAV1434" s="40"/>
      <c r="DAW1434" s="40"/>
      <c r="DAX1434" s="40"/>
      <c r="DAY1434" s="40"/>
      <c r="DAZ1434" s="40"/>
      <c r="DBA1434" s="40"/>
      <c r="DBB1434" s="40"/>
      <c r="DBC1434" s="40"/>
      <c r="DBD1434" s="40"/>
      <c r="DBE1434" s="40"/>
      <c r="DBF1434" s="40"/>
      <c r="DBG1434" s="40"/>
      <c r="DBH1434" s="40"/>
      <c r="DBI1434" s="40"/>
      <c r="DBJ1434" s="40"/>
      <c r="DBK1434" s="40"/>
      <c r="DBL1434" s="40"/>
      <c r="DBM1434" s="40"/>
      <c r="DBN1434" s="40"/>
      <c r="DBO1434" s="40"/>
      <c r="DBP1434" s="40"/>
      <c r="DBQ1434" s="40"/>
      <c r="DBR1434" s="40"/>
      <c r="DBS1434" s="40"/>
      <c r="DBT1434" s="40"/>
      <c r="DBU1434" s="40"/>
      <c r="DBV1434" s="40"/>
      <c r="DBW1434" s="40"/>
      <c r="DBX1434" s="40"/>
      <c r="DBY1434" s="40"/>
      <c r="DBZ1434" s="40"/>
      <c r="DCA1434" s="40"/>
      <c r="DCB1434" s="40"/>
      <c r="DCC1434" s="40"/>
      <c r="DCD1434" s="40"/>
      <c r="DCE1434" s="40"/>
      <c r="DCF1434" s="40"/>
      <c r="DCG1434" s="40"/>
      <c r="DCH1434" s="40"/>
      <c r="DCI1434" s="40"/>
      <c r="DCJ1434" s="40"/>
      <c r="DCK1434" s="40"/>
      <c r="DCL1434" s="40"/>
      <c r="DCM1434" s="40"/>
      <c r="DCN1434" s="40"/>
      <c r="DCO1434" s="40"/>
      <c r="DCP1434" s="40"/>
      <c r="DCQ1434" s="40"/>
      <c r="DCR1434" s="40"/>
      <c r="DCS1434" s="40"/>
      <c r="DCT1434" s="40"/>
      <c r="DCU1434" s="40"/>
      <c r="DCV1434" s="40"/>
      <c r="DCW1434" s="40"/>
      <c r="DCX1434" s="40"/>
      <c r="DCY1434" s="40"/>
      <c r="DCZ1434" s="40"/>
      <c r="DDA1434" s="40"/>
      <c r="DDB1434" s="40"/>
      <c r="DDC1434" s="40"/>
      <c r="DDD1434" s="40"/>
      <c r="DDE1434" s="40"/>
      <c r="DDF1434" s="40"/>
      <c r="DDG1434" s="40"/>
      <c r="DDH1434" s="40"/>
      <c r="DDI1434" s="40"/>
      <c r="DDJ1434" s="40"/>
      <c r="DDK1434" s="40"/>
      <c r="DDL1434" s="40"/>
      <c r="DDM1434" s="40"/>
      <c r="DDN1434" s="40"/>
      <c r="DDO1434" s="40"/>
      <c r="DDP1434" s="40"/>
      <c r="DDQ1434" s="40"/>
      <c r="DDR1434" s="40"/>
      <c r="DDS1434" s="40"/>
      <c r="DDT1434" s="40"/>
      <c r="DDU1434" s="40"/>
      <c r="DDV1434" s="40"/>
      <c r="DDW1434" s="40"/>
      <c r="DDX1434" s="40"/>
      <c r="DDY1434" s="40"/>
      <c r="DDZ1434" s="40"/>
      <c r="DEA1434" s="40"/>
      <c r="DEB1434" s="40"/>
      <c r="DEC1434" s="40"/>
      <c r="DED1434" s="40"/>
      <c r="DEE1434" s="40"/>
      <c r="DEF1434" s="40"/>
      <c r="DEG1434" s="40"/>
      <c r="DEH1434" s="40"/>
      <c r="DEI1434" s="40"/>
      <c r="DEJ1434" s="40"/>
      <c r="DEK1434" s="40"/>
      <c r="DEL1434" s="40"/>
      <c r="DEM1434" s="40"/>
      <c r="DEN1434" s="40"/>
      <c r="DEO1434" s="40"/>
      <c r="DEP1434" s="40"/>
      <c r="DEQ1434" s="40"/>
      <c r="DER1434" s="40"/>
      <c r="DES1434" s="40"/>
      <c r="DET1434" s="40"/>
      <c r="DEU1434" s="40"/>
      <c r="DEV1434" s="40"/>
      <c r="DEW1434" s="40"/>
      <c r="DEX1434" s="40"/>
      <c r="DEY1434" s="40"/>
      <c r="DEZ1434" s="40"/>
      <c r="DFA1434" s="40"/>
      <c r="DFB1434" s="40"/>
      <c r="DFC1434" s="40"/>
      <c r="DFD1434" s="40"/>
      <c r="DFE1434" s="40"/>
      <c r="DFF1434" s="40"/>
      <c r="DFG1434" s="40"/>
      <c r="DFH1434" s="40"/>
      <c r="DFI1434" s="40"/>
      <c r="DFJ1434" s="40"/>
      <c r="DFK1434" s="40"/>
      <c r="DFL1434" s="40"/>
      <c r="DFM1434" s="40"/>
      <c r="DFN1434" s="40"/>
      <c r="DFO1434" s="40"/>
      <c r="DFP1434" s="40"/>
      <c r="DFQ1434" s="40"/>
      <c r="DFR1434" s="40"/>
      <c r="DFS1434" s="40"/>
      <c r="DFT1434" s="40"/>
      <c r="DFU1434" s="40"/>
      <c r="DFV1434" s="40"/>
      <c r="DFW1434" s="40"/>
      <c r="DFX1434" s="40"/>
      <c r="DFY1434" s="40"/>
      <c r="DFZ1434" s="40"/>
      <c r="DGA1434" s="40"/>
      <c r="DGB1434" s="40"/>
      <c r="DGC1434" s="40"/>
      <c r="DGD1434" s="40"/>
      <c r="DGE1434" s="40"/>
      <c r="DGF1434" s="40"/>
      <c r="DGG1434" s="40"/>
      <c r="DGH1434" s="40"/>
      <c r="DGI1434" s="40"/>
      <c r="DGJ1434" s="40"/>
      <c r="DGK1434" s="40"/>
      <c r="DGL1434" s="40"/>
      <c r="DGM1434" s="40"/>
      <c r="DGN1434" s="40"/>
      <c r="DGO1434" s="40"/>
      <c r="DGP1434" s="40"/>
      <c r="DGQ1434" s="40"/>
      <c r="DGR1434" s="40"/>
      <c r="DGS1434" s="40"/>
      <c r="DGT1434" s="40"/>
      <c r="DGU1434" s="40"/>
      <c r="DGV1434" s="40"/>
      <c r="DGW1434" s="40"/>
      <c r="DGX1434" s="40"/>
      <c r="DGY1434" s="40"/>
      <c r="DGZ1434" s="40"/>
      <c r="DHA1434" s="40"/>
      <c r="DHB1434" s="40"/>
      <c r="DHC1434" s="40"/>
      <c r="DHD1434" s="40"/>
      <c r="DHE1434" s="40"/>
      <c r="DHF1434" s="40"/>
      <c r="DHG1434" s="40"/>
      <c r="DHH1434" s="40"/>
      <c r="DHI1434" s="40"/>
      <c r="DHJ1434" s="40"/>
      <c r="DHK1434" s="40"/>
      <c r="DHL1434" s="40"/>
      <c r="DHM1434" s="40"/>
      <c r="DHN1434" s="40"/>
      <c r="DHO1434" s="40"/>
      <c r="DHP1434" s="40"/>
      <c r="DHQ1434" s="40"/>
      <c r="DHR1434" s="40"/>
      <c r="DHS1434" s="40"/>
      <c r="DHT1434" s="40"/>
      <c r="DHU1434" s="40"/>
      <c r="DHV1434" s="40"/>
      <c r="DHW1434" s="40"/>
      <c r="DHX1434" s="40"/>
      <c r="DHY1434" s="40"/>
      <c r="DHZ1434" s="40"/>
      <c r="DIA1434" s="40"/>
      <c r="DIB1434" s="40"/>
      <c r="DIC1434" s="40"/>
      <c r="DID1434" s="40"/>
      <c r="DIE1434" s="40"/>
      <c r="DIF1434" s="40"/>
      <c r="DIG1434" s="40"/>
      <c r="DIH1434" s="40"/>
      <c r="DII1434" s="40"/>
      <c r="DIJ1434" s="40"/>
      <c r="DIK1434" s="40"/>
      <c r="DIL1434" s="40"/>
      <c r="DIM1434" s="40"/>
      <c r="DIN1434" s="40"/>
      <c r="DIO1434" s="40"/>
      <c r="DIP1434" s="40"/>
      <c r="DIQ1434" s="40"/>
      <c r="DIR1434" s="40"/>
      <c r="DIS1434" s="40"/>
      <c r="DIT1434" s="40"/>
      <c r="DIU1434" s="40"/>
      <c r="DIV1434" s="40"/>
      <c r="DIW1434" s="40"/>
      <c r="DIX1434" s="40"/>
      <c r="DIY1434" s="40"/>
      <c r="DIZ1434" s="40"/>
      <c r="DJA1434" s="40"/>
      <c r="DJB1434" s="40"/>
      <c r="DJC1434" s="40"/>
      <c r="DJD1434" s="40"/>
      <c r="DJE1434" s="40"/>
      <c r="DJF1434" s="40"/>
      <c r="DJG1434" s="40"/>
      <c r="DJH1434" s="40"/>
      <c r="DJI1434" s="40"/>
      <c r="DJJ1434" s="40"/>
      <c r="DJK1434" s="40"/>
      <c r="DJL1434" s="40"/>
      <c r="DJM1434" s="40"/>
      <c r="DJN1434" s="40"/>
      <c r="DJO1434" s="40"/>
      <c r="DJP1434" s="40"/>
      <c r="DJQ1434" s="40"/>
      <c r="DJR1434" s="40"/>
      <c r="DJS1434" s="40"/>
      <c r="DJT1434" s="40"/>
      <c r="DJU1434" s="40"/>
      <c r="DJV1434" s="40"/>
      <c r="DJW1434" s="40"/>
      <c r="DJX1434" s="40"/>
      <c r="DJY1434" s="40"/>
      <c r="DJZ1434" s="40"/>
      <c r="DKA1434" s="40"/>
      <c r="DKB1434" s="40"/>
      <c r="DKC1434" s="40"/>
      <c r="DKD1434" s="40"/>
      <c r="DKE1434" s="40"/>
      <c r="DKF1434" s="40"/>
      <c r="DKG1434" s="40"/>
      <c r="DKH1434" s="40"/>
      <c r="DKI1434" s="40"/>
      <c r="DKJ1434" s="40"/>
      <c r="DKK1434" s="40"/>
      <c r="DKL1434" s="40"/>
      <c r="DKM1434" s="40"/>
      <c r="DKN1434" s="40"/>
      <c r="DKO1434" s="40"/>
      <c r="DKP1434" s="40"/>
      <c r="DKQ1434" s="40"/>
      <c r="DKR1434" s="40"/>
      <c r="DKS1434" s="40"/>
      <c r="DKT1434" s="40"/>
      <c r="DKU1434" s="40"/>
      <c r="DKV1434" s="40"/>
      <c r="DKW1434" s="40"/>
      <c r="DKX1434" s="40"/>
      <c r="DKY1434" s="40"/>
      <c r="DKZ1434" s="40"/>
      <c r="DLA1434" s="40"/>
      <c r="DLB1434" s="40"/>
      <c r="DLC1434" s="40"/>
      <c r="DLD1434" s="40"/>
      <c r="DLE1434" s="40"/>
      <c r="DLF1434" s="40"/>
      <c r="DLG1434" s="40"/>
      <c r="DLH1434" s="40"/>
      <c r="DLI1434" s="40"/>
      <c r="DLJ1434" s="40"/>
      <c r="DLK1434" s="40"/>
      <c r="DLL1434" s="40"/>
      <c r="DLM1434" s="40"/>
      <c r="DLN1434" s="40"/>
      <c r="DLO1434" s="40"/>
      <c r="DLP1434" s="40"/>
      <c r="DLQ1434" s="40"/>
      <c r="DLR1434" s="40"/>
      <c r="DLS1434" s="40"/>
      <c r="DLT1434" s="40"/>
      <c r="DLU1434" s="40"/>
      <c r="DLV1434" s="40"/>
      <c r="DLW1434" s="40"/>
      <c r="DLX1434" s="40"/>
      <c r="DLY1434" s="40"/>
      <c r="DLZ1434" s="40"/>
      <c r="DMA1434" s="40"/>
      <c r="DMB1434" s="40"/>
      <c r="DMC1434" s="40"/>
      <c r="DMD1434" s="40"/>
      <c r="DME1434" s="40"/>
      <c r="DMF1434" s="40"/>
      <c r="DMG1434" s="40"/>
      <c r="DMH1434" s="40"/>
      <c r="DMI1434" s="40"/>
      <c r="DMJ1434" s="40"/>
      <c r="DMK1434" s="40"/>
      <c r="DML1434" s="40"/>
      <c r="DMM1434" s="40"/>
      <c r="DMN1434" s="40"/>
      <c r="DMO1434" s="40"/>
      <c r="DMP1434" s="40"/>
      <c r="DMQ1434" s="40"/>
      <c r="DMR1434" s="40"/>
      <c r="DMS1434" s="40"/>
      <c r="DMT1434" s="40"/>
      <c r="DMU1434" s="40"/>
      <c r="DMV1434" s="40"/>
      <c r="DMW1434" s="40"/>
      <c r="DMX1434" s="40"/>
      <c r="DMY1434" s="40"/>
      <c r="DMZ1434" s="40"/>
      <c r="DNA1434" s="40"/>
      <c r="DNB1434" s="40"/>
      <c r="DNC1434" s="40"/>
      <c r="DND1434" s="40"/>
      <c r="DNE1434" s="40"/>
      <c r="DNF1434" s="40"/>
      <c r="DNG1434" s="40"/>
      <c r="DNH1434" s="40"/>
      <c r="DNI1434" s="40"/>
      <c r="DNJ1434" s="40"/>
      <c r="DNK1434" s="40"/>
      <c r="DNL1434" s="40"/>
      <c r="DNM1434" s="40"/>
      <c r="DNN1434" s="40"/>
      <c r="DNO1434" s="40"/>
      <c r="DNP1434" s="40"/>
      <c r="DNQ1434" s="40"/>
      <c r="DNR1434" s="40"/>
      <c r="DNS1434" s="40"/>
      <c r="DNT1434" s="40"/>
      <c r="DNU1434" s="40"/>
      <c r="DNV1434" s="40"/>
      <c r="DNW1434" s="40"/>
      <c r="DNX1434" s="40"/>
      <c r="DNY1434" s="40"/>
      <c r="DNZ1434" s="40"/>
      <c r="DOA1434" s="40"/>
      <c r="DOB1434" s="40"/>
      <c r="DOC1434" s="40"/>
      <c r="DOD1434" s="40"/>
      <c r="DOE1434" s="40"/>
      <c r="DOF1434" s="40"/>
      <c r="DOG1434" s="40"/>
      <c r="DOH1434" s="40"/>
      <c r="DOI1434" s="40"/>
      <c r="DOJ1434" s="40"/>
      <c r="DOK1434" s="40"/>
      <c r="DOL1434" s="40"/>
      <c r="DOM1434" s="40"/>
      <c r="DON1434" s="40"/>
      <c r="DOO1434" s="40"/>
      <c r="DOP1434" s="40"/>
      <c r="DOQ1434" s="40"/>
      <c r="DOR1434" s="40"/>
      <c r="DOS1434" s="40"/>
      <c r="DOT1434" s="40"/>
      <c r="DOU1434" s="40"/>
      <c r="DOV1434" s="40"/>
      <c r="DOW1434" s="40"/>
      <c r="DOX1434" s="40"/>
      <c r="DOY1434" s="40"/>
      <c r="DOZ1434" s="40"/>
      <c r="DPA1434" s="40"/>
      <c r="DPB1434" s="40"/>
      <c r="DPC1434" s="40"/>
      <c r="DPD1434" s="40"/>
      <c r="DPE1434" s="40"/>
      <c r="DPF1434" s="40"/>
      <c r="DPG1434" s="40"/>
      <c r="DPH1434" s="40"/>
      <c r="DPI1434" s="40"/>
      <c r="DPJ1434" s="40"/>
      <c r="DPK1434" s="40"/>
      <c r="DPL1434" s="40"/>
      <c r="DPM1434" s="40"/>
      <c r="DPN1434" s="40"/>
      <c r="DPO1434" s="40"/>
      <c r="DPP1434" s="40"/>
      <c r="DPQ1434" s="40"/>
      <c r="DPR1434" s="40"/>
      <c r="DPS1434" s="40"/>
      <c r="DPT1434" s="40"/>
      <c r="DPU1434" s="40"/>
      <c r="DPV1434" s="40"/>
      <c r="DPW1434" s="40"/>
      <c r="DPX1434" s="40"/>
      <c r="DPY1434" s="40"/>
      <c r="DPZ1434" s="40"/>
      <c r="DQA1434" s="40"/>
      <c r="DQB1434" s="40"/>
      <c r="DQC1434" s="40"/>
      <c r="DQD1434" s="40"/>
      <c r="DQE1434" s="40"/>
      <c r="DQF1434" s="40"/>
      <c r="DQG1434" s="40"/>
      <c r="DQH1434" s="40"/>
      <c r="DQI1434" s="40"/>
      <c r="DQJ1434" s="40"/>
      <c r="DQK1434" s="40"/>
      <c r="DQL1434" s="40"/>
      <c r="DQM1434" s="40"/>
      <c r="DQN1434" s="40"/>
      <c r="DQO1434" s="40"/>
      <c r="DQP1434" s="40"/>
      <c r="DQQ1434" s="40"/>
      <c r="DQR1434" s="40"/>
      <c r="DQS1434" s="40"/>
      <c r="DQT1434" s="40"/>
      <c r="DQU1434" s="40"/>
      <c r="DQV1434" s="40"/>
      <c r="DQW1434" s="40"/>
      <c r="DQX1434" s="40"/>
      <c r="DQY1434" s="40"/>
      <c r="DQZ1434" s="40"/>
      <c r="DRA1434" s="40"/>
      <c r="DRB1434" s="40"/>
      <c r="DRC1434" s="40"/>
      <c r="DRD1434" s="40"/>
      <c r="DRE1434" s="40"/>
      <c r="DRF1434" s="40"/>
      <c r="DRG1434" s="40"/>
      <c r="DRH1434" s="40"/>
      <c r="DRI1434" s="40"/>
      <c r="DRJ1434" s="40"/>
      <c r="DRK1434" s="40"/>
      <c r="DRL1434" s="40"/>
      <c r="DRM1434" s="40"/>
      <c r="DRN1434" s="40"/>
      <c r="DRO1434" s="40"/>
      <c r="DRP1434" s="40"/>
      <c r="DRQ1434" s="40"/>
      <c r="DRR1434" s="40"/>
      <c r="DRS1434" s="40"/>
      <c r="DRT1434" s="40"/>
      <c r="DRU1434" s="40"/>
      <c r="DRV1434" s="40"/>
      <c r="DRW1434" s="40"/>
      <c r="DRX1434" s="40"/>
      <c r="DRY1434" s="40"/>
      <c r="DRZ1434" s="40"/>
      <c r="DSA1434" s="40"/>
      <c r="DSB1434" s="40"/>
      <c r="DSC1434" s="40"/>
      <c r="DSD1434" s="40"/>
      <c r="DSE1434" s="40"/>
      <c r="DSF1434" s="40"/>
      <c r="DSG1434" s="40"/>
      <c r="DSH1434" s="40"/>
      <c r="DSI1434" s="40"/>
      <c r="DSJ1434" s="40"/>
      <c r="DSK1434" s="40"/>
      <c r="DSL1434" s="40"/>
      <c r="DSM1434" s="40"/>
      <c r="DSN1434" s="40"/>
      <c r="DSO1434" s="40"/>
      <c r="DSP1434" s="40"/>
      <c r="DSQ1434" s="40"/>
      <c r="DSR1434" s="40"/>
      <c r="DSS1434" s="40"/>
      <c r="DST1434" s="40"/>
      <c r="DSU1434" s="40"/>
      <c r="DSV1434" s="40"/>
      <c r="DSW1434" s="40"/>
      <c r="DSX1434" s="40"/>
      <c r="DSY1434" s="40"/>
      <c r="DSZ1434" s="40"/>
      <c r="DTA1434" s="40"/>
      <c r="DTB1434" s="40"/>
      <c r="DTC1434" s="40"/>
      <c r="DTD1434" s="40"/>
      <c r="DTE1434" s="40"/>
      <c r="DTF1434" s="40"/>
      <c r="DTG1434" s="40"/>
      <c r="DTH1434" s="40"/>
      <c r="DTI1434" s="40"/>
      <c r="DTJ1434" s="40"/>
      <c r="DTK1434" s="40"/>
      <c r="DTL1434" s="40"/>
      <c r="DTM1434" s="40"/>
      <c r="DTN1434" s="40"/>
      <c r="DTO1434" s="40"/>
      <c r="DTP1434" s="40"/>
      <c r="DTQ1434" s="40"/>
      <c r="DTR1434" s="40"/>
      <c r="DTS1434" s="40"/>
      <c r="DTT1434" s="40"/>
      <c r="DTU1434" s="40"/>
      <c r="DTV1434" s="40"/>
      <c r="DTW1434" s="40"/>
      <c r="DTX1434" s="40"/>
      <c r="DTY1434" s="40"/>
      <c r="DTZ1434" s="40"/>
      <c r="DUA1434" s="40"/>
      <c r="DUB1434" s="40"/>
      <c r="DUC1434" s="40"/>
      <c r="DUD1434" s="40"/>
      <c r="DUE1434" s="40"/>
      <c r="DUF1434" s="40"/>
      <c r="DUG1434" s="40"/>
      <c r="DUH1434" s="40"/>
      <c r="DUI1434" s="40"/>
      <c r="DUJ1434" s="40"/>
      <c r="DUK1434" s="40"/>
      <c r="DUL1434" s="40"/>
      <c r="DUM1434" s="40"/>
      <c r="DUN1434" s="40"/>
      <c r="DUO1434" s="40"/>
      <c r="DUP1434" s="40"/>
      <c r="DUQ1434" s="40"/>
      <c r="DUR1434" s="40"/>
      <c r="DUS1434" s="40"/>
      <c r="DUT1434" s="40"/>
      <c r="DUU1434" s="40"/>
      <c r="DUV1434" s="40"/>
      <c r="DUW1434" s="40"/>
      <c r="DUX1434" s="40"/>
      <c r="DUY1434" s="40"/>
      <c r="DUZ1434" s="40"/>
      <c r="DVA1434" s="40"/>
      <c r="DVB1434" s="40"/>
      <c r="DVC1434" s="40"/>
      <c r="DVD1434" s="40"/>
      <c r="DVE1434" s="40"/>
      <c r="DVF1434" s="40"/>
      <c r="DVG1434" s="40"/>
      <c r="DVH1434" s="40"/>
      <c r="DVI1434" s="40"/>
      <c r="DVJ1434" s="40"/>
      <c r="DVK1434" s="40"/>
      <c r="DVL1434" s="40"/>
      <c r="DVM1434" s="40"/>
      <c r="DVN1434" s="40"/>
      <c r="DVO1434" s="40"/>
      <c r="DVP1434" s="40"/>
      <c r="DVQ1434" s="40"/>
      <c r="DVR1434" s="40"/>
      <c r="DVS1434" s="40"/>
      <c r="DVT1434" s="40"/>
      <c r="DVU1434" s="40"/>
      <c r="DVV1434" s="40"/>
      <c r="DVW1434" s="40"/>
      <c r="DVX1434" s="40"/>
      <c r="DVY1434" s="40"/>
      <c r="DVZ1434" s="40"/>
      <c r="DWA1434" s="40"/>
      <c r="DWB1434" s="40"/>
      <c r="DWC1434" s="40"/>
      <c r="DWD1434" s="40"/>
      <c r="DWE1434" s="40"/>
      <c r="DWF1434" s="40"/>
      <c r="DWG1434" s="40"/>
      <c r="DWH1434" s="40"/>
      <c r="DWI1434" s="40"/>
      <c r="DWJ1434" s="40"/>
      <c r="DWK1434" s="40"/>
      <c r="DWL1434" s="40"/>
      <c r="DWM1434" s="40"/>
      <c r="DWN1434" s="40"/>
      <c r="DWO1434" s="40"/>
      <c r="DWP1434" s="40"/>
      <c r="DWQ1434" s="40"/>
      <c r="DWR1434" s="40"/>
      <c r="DWS1434" s="40"/>
      <c r="DWT1434" s="40"/>
      <c r="DWU1434" s="40"/>
      <c r="DWV1434" s="40"/>
      <c r="DWW1434" s="40"/>
      <c r="DWX1434" s="40"/>
      <c r="DWY1434" s="40"/>
      <c r="DWZ1434" s="40"/>
      <c r="DXA1434" s="40"/>
      <c r="DXB1434" s="40"/>
      <c r="DXC1434" s="40"/>
      <c r="DXD1434" s="40"/>
      <c r="DXE1434" s="40"/>
      <c r="DXF1434" s="40"/>
      <c r="DXG1434" s="40"/>
      <c r="DXH1434" s="40"/>
      <c r="DXI1434" s="40"/>
      <c r="DXJ1434" s="40"/>
      <c r="DXK1434" s="40"/>
      <c r="DXL1434" s="40"/>
      <c r="DXM1434" s="40"/>
      <c r="DXN1434" s="40"/>
      <c r="DXO1434" s="40"/>
      <c r="DXP1434" s="40"/>
      <c r="DXQ1434" s="40"/>
      <c r="DXR1434" s="40"/>
      <c r="DXS1434" s="40"/>
      <c r="DXT1434" s="40"/>
      <c r="DXU1434" s="40"/>
      <c r="DXV1434" s="40"/>
      <c r="DXW1434" s="40"/>
      <c r="DXX1434" s="40"/>
      <c r="DXY1434" s="40"/>
      <c r="DXZ1434" s="40"/>
      <c r="DYA1434" s="40"/>
      <c r="DYB1434" s="40"/>
      <c r="DYC1434" s="40"/>
      <c r="DYD1434" s="40"/>
      <c r="DYE1434" s="40"/>
      <c r="DYF1434" s="40"/>
      <c r="DYG1434" s="40"/>
      <c r="DYH1434" s="40"/>
      <c r="DYI1434" s="40"/>
      <c r="DYJ1434" s="40"/>
      <c r="DYK1434" s="40"/>
      <c r="DYL1434" s="40"/>
      <c r="DYM1434" s="40"/>
      <c r="DYN1434" s="40"/>
      <c r="DYO1434" s="40"/>
      <c r="DYP1434" s="40"/>
      <c r="DYQ1434" s="40"/>
      <c r="DYR1434" s="40"/>
      <c r="DYS1434" s="40"/>
      <c r="DYT1434" s="40"/>
      <c r="DYU1434" s="40"/>
      <c r="DYV1434" s="40"/>
      <c r="DYW1434" s="40"/>
      <c r="DYX1434" s="40"/>
      <c r="DYY1434" s="40"/>
      <c r="DYZ1434" s="40"/>
      <c r="DZA1434" s="40"/>
      <c r="DZB1434" s="40"/>
      <c r="DZC1434" s="40"/>
      <c r="DZD1434" s="40"/>
      <c r="DZE1434" s="40"/>
      <c r="DZF1434" s="40"/>
      <c r="DZG1434" s="40"/>
      <c r="DZH1434" s="40"/>
      <c r="DZI1434" s="40"/>
      <c r="DZJ1434" s="40"/>
      <c r="DZK1434" s="40"/>
      <c r="DZL1434" s="40"/>
      <c r="DZM1434" s="40"/>
      <c r="DZN1434" s="40"/>
      <c r="DZO1434" s="40"/>
      <c r="DZP1434" s="40"/>
      <c r="DZQ1434" s="40"/>
      <c r="DZR1434" s="40"/>
      <c r="DZS1434" s="40"/>
      <c r="DZT1434" s="40"/>
      <c r="DZU1434" s="40"/>
      <c r="DZV1434" s="40"/>
      <c r="DZW1434" s="40"/>
      <c r="DZX1434" s="40"/>
      <c r="DZY1434" s="40"/>
      <c r="DZZ1434" s="40"/>
      <c r="EAA1434" s="40"/>
      <c r="EAB1434" s="40"/>
      <c r="EAC1434" s="40"/>
      <c r="EAD1434" s="40"/>
      <c r="EAE1434" s="40"/>
      <c r="EAF1434" s="40"/>
      <c r="EAG1434" s="40"/>
      <c r="EAH1434" s="40"/>
      <c r="EAI1434" s="40"/>
      <c r="EAJ1434" s="40"/>
      <c r="EAK1434" s="40"/>
      <c r="EAL1434" s="40"/>
      <c r="EAM1434" s="40"/>
      <c r="EAN1434" s="40"/>
      <c r="EAO1434" s="40"/>
      <c r="EAP1434" s="40"/>
      <c r="EAQ1434" s="40"/>
      <c r="EAR1434" s="40"/>
      <c r="EAS1434" s="40"/>
      <c r="EAT1434" s="40"/>
      <c r="EAU1434" s="40"/>
      <c r="EAV1434" s="40"/>
      <c r="EAW1434" s="40"/>
      <c r="EAX1434" s="40"/>
      <c r="EAY1434" s="40"/>
      <c r="EAZ1434" s="40"/>
      <c r="EBA1434" s="40"/>
      <c r="EBB1434" s="40"/>
      <c r="EBC1434" s="40"/>
      <c r="EBD1434" s="40"/>
      <c r="EBE1434" s="40"/>
      <c r="EBF1434" s="40"/>
      <c r="EBG1434" s="40"/>
      <c r="EBH1434" s="40"/>
      <c r="EBI1434" s="40"/>
      <c r="EBJ1434" s="40"/>
      <c r="EBK1434" s="40"/>
      <c r="EBL1434" s="40"/>
      <c r="EBM1434" s="40"/>
      <c r="EBN1434" s="40"/>
      <c r="EBO1434" s="40"/>
      <c r="EBP1434" s="40"/>
      <c r="EBQ1434" s="40"/>
      <c r="EBR1434" s="40"/>
      <c r="EBS1434" s="40"/>
      <c r="EBT1434" s="40"/>
      <c r="EBU1434" s="40"/>
      <c r="EBV1434" s="40"/>
      <c r="EBW1434" s="40"/>
      <c r="EBX1434" s="40"/>
      <c r="EBY1434" s="40"/>
      <c r="EBZ1434" s="40"/>
      <c r="ECA1434" s="40"/>
      <c r="ECB1434" s="40"/>
      <c r="ECC1434" s="40"/>
      <c r="ECD1434" s="40"/>
      <c r="ECE1434" s="40"/>
      <c r="ECF1434" s="40"/>
      <c r="ECG1434" s="40"/>
      <c r="ECH1434" s="40"/>
      <c r="ECI1434" s="40"/>
      <c r="ECJ1434" s="40"/>
      <c r="ECK1434" s="40"/>
      <c r="ECL1434" s="40"/>
      <c r="ECM1434" s="40"/>
      <c r="ECN1434" s="40"/>
      <c r="ECO1434" s="40"/>
      <c r="ECP1434" s="40"/>
      <c r="ECQ1434" s="40"/>
      <c r="ECR1434" s="40"/>
      <c r="ECS1434" s="40"/>
      <c r="ECT1434" s="40"/>
      <c r="ECU1434" s="40"/>
      <c r="ECV1434" s="40"/>
      <c r="ECW1434" s="40"/>
      <c r="ECX1434" s="40"/>
      <c r="ECY1434" s="40"/>
      <c r="ECZ1434" s="40"/>
      <c r="EDA1434" s="40"/>
      <c r="EDB1434" s="40"/>
      <c r="EDC1434" s="40"/>
      <c r="EDD1434" s="40"/>
      <c r="EDE1434" s="40"/>
      <c r="EDF1434" s="40"/>
      <c r="EDG1434" s="40"/>
      <c r="EDH1434" s="40"/>
      <c r="EDI1434" s="40"/>
      <c r="EDJ1434" s="40"/>
      <c r="EDK1434" s="40"/>
      <c r="EDL1434" s="40"/>
      <c r="EDM1434" s="40"/>
      <c r="EDN1434" s="40"/>
      <c r="EDO1434" s="40"/>
      <c r="EDP1434" s="40"/>
      <c r="EDQ1434" s="40"/>
      <c r="EDR1434" s="40"/>
      <c r="EDS1434" s="40"/>
      <c r="EDT1434" s="40"/>
      <c r="EDU1434" s="40"/>
      <c r="EDV1434" s="40"/>
      <c r="EDW1434" s="40"/>
      <c r="EDX1434" s="40"/>
      <c r="EDY1434" s="40"/>
      <c r="EDZ1434" s="40"/>
      <c r="EEA1434" s="40"/>
      <c r="EEB1434" s="40"/>
      <c r="EEC1434" s="40"/>
      <c r="EED1434" s="40"/>
      <c r="EEE1434" s="40"/>
      <c r="EEF1434" s="40"/>
      <c r="EEG1434" s="40"/>
      <c r="EEH1434" s="40"/>
      <c r="EEI1434" s="40"/>
      <c r="EEJ1434" s="40"/>
      <c r="EEK1434" s="40"/>
      <c r="EEL1434" s="40"/>
      <c r="EEM1434" s="40"/>
      <c r="EEN1434" s="40"/>
      <c r="EEO1434" s="40"/>
      <c r="EEP1434" s="40"/>
      <c r="EEQ1434" s="40"/>
      <c r="EER1434" s="40"/>
      <c r="EES1434" s="40"/>
      <c r="EET1434" s="40"/>
      <c r="EEU1434" s="40"/>
      <c r="EEV1434" s="40"/>
      <c r="EEW1434" s="40"/>
      <c r="EEX1434" s="40"/>
      <c r="EEY1434" s="40"/>
      <c r="EEZ1434" s="40"/>
      <c r="EFA1434" s="40"/>
      <c r="EFB1434" s="40"/>
      <c r="EFC1434" s="40"/>
      <c r="EFD1434" s="40"/>
      <c r="EFE1434" s="40"/>
      <c r="EFF1434" s="40"/>
      <c r="EFG1434" s="40"/>
      <c r="EFH1434" s="40"/>
      <c r="EFI1434" s="40"/>
      <c r="EFJ1434" s="40"/>
      <c r="EFK1434" s="40"/>
      <c r="EFL1434" s="40"/>
      <c r="EFM1434" s="40"/>
      <c r="EFN1434" s="40"/>
      <c r="EFO1434" s="40"/>
      <c r="EFP1434" s="40"/>
      <c r="EFQ1434" s="40"/>
      <c r="EFR1434" s="40"/>
      <c r="EFS1434" s="40"/>
      <c r="EFT1434" s="40"/>
      <c r="EFU1434" s="40"/>
      <c r="EFV1434" s="40"/>
      <c r="EFW1434" s="40"/>
      <c r="EFX1434" s="40"/>
      <c r="EFY1434" s="40"/>
      <c r="EFZ1434" s="40"/>
      <c r="EGA1434" s="40"/>
      <c r="EGB1434" s="40"/>
      <c r="EGC1434" s="40"/>
      <c r="EGD1434" s="40"/>
      <c r="EGE1434" s="40"/>
      <c r="EGF1434" s="40"/>
      <c r="EGG1434" s="40"/>
      <c r="EGH1434" s="40"/>
      <c r="EGI1434" s="40"/>
      <c r="EGJ1434" s="40"/>
      <c r="EGK1434" s="40"/>
      <c r="EGL1434" s="40"/>
      <c r="EGM1434" s="40"/>
      <c r="EGN1434" s="40"/>
      <c r="EGO1434" s="40"/>
      <c r="EGP1434" s="40"/>
      <c r="EGQ1434" s="40"/>
      <c r="EGR1434" s="40"/>
      <c r="EGS1434" s="40"/>
      <c r="EGT1434" s="40"/>
      <c r="EGU1434" s="40"/>
      <c r="EGV1434" s="40"/>
      <c r="EGW1434" s="40"/>
      <c r="EGX1434" s="40"/>
      <c r="EGY1434" s="40"/>
      <c r="EGZ1434" s="40"/>
      <c r="EHA1434" s="40"/>
      <c r="EHB1434" s="40"/>
      <c r="EHC1434" s="40"/>
      <c r="EHD1434" s="40"/>
      <c r="EHE1434" s="40"/>
      <c r="EHF1434" s="40"/>
      <c r="EHG1434" s="40"/>
      <c r="EHH1434" s="40"/>
      <c r="EHI1434" s="40"/>
      <c r="EHJ1434" s="40"/>
      <c r="EHK1434" s="40"/>
      <c r="EHL1434" s="40"/>
      <c r="EHM1434" s="40"/>
      <c r="EHN1434" s="40"/>
      <c r="EHO1434" s="40"/>
      <c r="EHP1434" s="40"/>
      <c r="EHQ1434" s="40"/>
      <c r="EHR1434" s="40"/>
      <c r="EHS1434" s="40"/>
      <c r="EHT1434" s="40"/>
      <c r="EHU1434" s="40"/>
      <c r="EHV1434" s="40"/>
      <c r="EHW1434" s="40"/>
      <c r="EHX1434" s="40"/>
      <c r="EHY1434" s="40"/>
      <c r="EHZ1434" s="40"/>
      <c r="EIA1434" s="40"/>
      <c r="EIB1434" s="40"/>
      <c r="EIC1434" s="40"/>
      <c r="EID1434" s="40"/>
      <c r="EIE1434" s="40"/>
      <c r="EIF1434" s="40"/>
      <c r="EIG1434" s="40"/>
      <c r="EIH1434" s="40"/>
      <c r="EII1434" s="40"/>
      <c r="EIJ1434" s="40"/>
      <c r="EIK1434" s="40"/>
      <c r="EIL1434" s="40"/>
      <c r="EIM1434" s="40"/>
      <c r="EIN1434" s="40"/>
      <c r="EIO1434" s="40"/>
      <c r="EIP1434" s="40"/>
      <c r="EIQ1434" s="40"/>
      <c r="EIR1434" s="40"/>
      <c r="EIS1434" s="40"/>
      <c r="EIT1434" s="40"/>
      <c r="EIU1434" s="40"/>
      <c r="EIV1434" s="40"/>
      <c r="EIW1434" s="40"/>
      <c r="EIX1434" s="40"/>
      <c r="EIY1434" s="40"/>
      <c r="EIZ1434" s="40"/>
      <c r="EJA1434" s="40"/>
      <c r="EJB1434" s="40"/>
      <c r="EJC1434" s="40"/>
      <c r="EJD1434" s="40"/>
      <c r="EJE1434" s="40"/>
      <c r="EJF1434" s="40"/>
      <c r="EJG1434" s="40"/>
      <c r="EJH1434" s="40"/>
      <c r="EJI1434" s="40"/>
      <c r="EJJ1434" s="40"/>
      <c r="EJK1434" s="40"/>
      <c r="EJL1434" s="40"/>
      <c r="EJM1434" s="40"/>
      <c r="EJN1434" s="40"/>
      <c r="EJO1434" s="40"/>
      <c r="EJP1434" s="40"/>
      <c r="EJQ1434" s="40"/>
      <c r="EJR1434" s="40"/>
      <c r="EJS1434" s="40"/>
      <c r="EJT1434" s="40"/>
      <c r="EJU1434" s="40"/>
      <c r="EJV1434" s="40"/>
      <c r="EJW1434" s="40"/>
      <c r="EJX1434" s="40"/>
      <c r="EJY1434" s="40"/>
      <c r="EJZ1434" s="40"/>
      <c r="EKA1434" s="40"/>
      <c r="EKB1434" s="40"/>
      <c r="EKC1434" s="40"/>
      <c r="EKD1434" s="40"/>
      <c r="EKE1434" s="40"/>
      <c r="EKF1434" s="40"/>
      <c r="EKG1434" s="40"/>
      <c r="EKH1434" s="40"/>
      <c r="EKI1434" s="40"/>
      <c r="EKJ1434" s="40"/>
      <c r="EKK1434" s="40"/>
      <c r="EKL1434" s="40"/>
      <c r="EKM1434" s="40"/>
      <c r="EKN1434" s="40"/>
      <c r="EKO1434" s="40"/>
      <c r="EKP1434" s="40"/>
      <c r="EKQ1434" s="40"/>
      <c r="EKR1434" s="40"/>
      <c r="EKS1434" s="40"/>
      <c r="EKT1434" s="40"/>
      <c r="EKU1434" s="40"/>
      <c r="EKV1434" s="40"/>
      <c r="EKW1434" s="40"/>
      <c r="EKX1434" s="40"/>
      <c r="EKY1434" s="40"/>
      <c r="EKZ1434" s="40"/>
      <c r="ELA1434" s="40"/>
      <c r="ELB1434" s="40"/>
      <c r="ELC1434" s="40"/>
      <c r="ELD1434" s="40"/>
      <c r="ELE1434" s="40"/>
      <c r="ELF1434" s="40"/>
      <c r="ELG1434" s="40"/>
      <c r="ELH1434" s="40"/>
      <c r="ELI1434" s="40"/>
      <c r="ELJ1434" s="40"/>
      <c r="ELK1434" s="40"/>
      <c r="ELL1434" s="40"/>
      <c r="ELM1434" s="40"/>
      <c r="ELN1434" s="40"/>
      <c r="ELO1434" s="40"/>
      <c r="ELP1434" s="40"/>
      <c r="ELQ1434" s="40"/>
      <c r="ELR1434" s="40"/>
      <c r="ELS1434" s="40"/>
      <c r="ELT1434" s="40"/>
      <c r="ELU1434" s="40"/>
      <c r="ELV1434" s="40"/>
      <c r="ELW1434" s="40"/>
      <c r="ELX1434" s="40"/>
      <c r="ELY1434" s="40"/>
      <c r="ELZ1434" s="40"/>
      <c r="EMA1434" s="40"/>
      <c r="EMB1434" s="40"/>
      <c r="EMC1434" s="40"/>
      <c r="EMD1434" s="40"/>
      <c r="EME1434" s="40"/>
      <c r="EMF1434" s="40"/>
      <c r="EMG1434" s="40"/>
      <c r="EMH1434" s="40"/>
      <c r="EMI1434" s="40"/>
      <c r="EMJ1434" s="40"/>
      <c r="EMK1434" s="40"/>
      <c r="EML1434" s="40"/>
      <c r="EMM1434" s="40"/>
      <c r="EMN1434" s="40"/>
      <c r="EMO1434" s="40"/>
      <c r="EMP1434" s="40"/>
      <c r="EMQ1434" s="40"/>
      <c r="EMR1434" s="40"/>
      <c r="EMS1434" s="40"/>
      <c r="EMT1434" s="40"/>
      <c r="EMU1434" s="40"/>
      <c r="EMV1434" s="40"/>
      <c r="EMW1434" s="40"/>
      <c r="EMX1434" s="40"/>
      <c r="EMY1434" s="40"/>
      <c r="EMZ1434" s="40"/>
      <c r="ENA1434" s="40"/>
      <c r="ENB1434" s="40"/>
      <c r="ENC1434" s="40"/>
      <c r="END1434" s="40"/>
      <c r="ENE1434" s="40"/>
      <c r="ENF1434" s="40"/>
      <c r="ENG1434" s="40"/>
      <c r="ENH1434" s="40"/>
      <c r="ENI1434" s="40"/>
      <c r="ENJ1434" s="40"/>
      <c r="ENK1434" s="40"/>
      <c r="ENL1434" s="40"/>
      <c r="ENM1434" s="40"/>
      <c r="ENN1434" s="40"/>
      <c r="ENO1434" s="40"/>
      <c r="ENP1434" s="40"/>
      <c r="ENQ1434" s="40"/>
      <c r="ENR1434" s="40"/>
      <c r="ENS1434" s="40"/>
      <c r="ENT1434" s="40"/>
      <c r="ENU1434" s="40"/>
      <c r="ENV1434" s="40"/>
      <c r="ENW1434" s="40"/>
      <c r="ENX1434" s="40"/>
      <c r="ENY1434" s="40"/>
      <c r="ENZ1434" s="40"/>
      <c r="EOA1434" s="40"/>
      <c r="EOB1434" s="40"/>
      <c r="EOC1434" s="40"/>
      <c r="EOD1434" s="40"/>
      <c r="EOE1434" s="40"/>
      <c r="EOF1434" s="40"/>
      <c r="EOG1434" s="40"/>
      <c r="EOH1434" s="40"/>
      <c r="EOI1434" s="40"/>
      <c r="EOJ1434" s="40"/>
      <c r="EOK1434" s="40"/>
      <c r="EOL1434" s="40"/>
      <c r="EOM1434" s="40"/>
      <c r="EON1434" s="40"/>
      <c r="EOO1434" s="40"/>
      <c r="EOP1434" s="40"/>
      <c r="EOQ1434" s="40"/>
      <c r="EOR1434" s="40"/>
      <c r="EOS1434" s="40"/>
      <c r="EOT1434" s="40"/>
      <c r="EOU1434" s="40"/>
      <c r="EOV1434" s="40"/>
      <c r="EOW1434" s="40"/>
      <c r="EOX1434" s="40"/>
      <c r="EOY1434" s="40"/>
      <c r="EOZ1434" s="40"/>
      <c r="EPA1434" s="40"/>
      <c r="EPB1434" s="40"/>
      <c r="EPC1434" s="40"/>
      <c r="EPD1434" s="40"/>
      <c r="EPE1434" s="40"/>
      <c r="EPF1434" s="40"/>
      <c r="EPG1434" s="40"/>
      <c r="EPH1434" s="40"/>
      <c r="EPI1434" s="40"/>
      <c r="EPJ1434" s="40"/>
      <c r="EPK1434" s="40"/>
      <c r="EPL1434" s="40"/>
      <c r="EPM1434" s="40"/>
      <c r="EPN1434" s="40"/>
      <c r="EPO1434" s="40"/>
      <c r="EPP1434" s="40"/>
      <c r="EPQ1434" s="40"/>
      <c r="EPR1434" s="40"/>
      <c r="EPS1434" s="40"/>
      <c r="EPT1434" s="40"/>
      <c r="EPU1434" s="40"/>
      <c r="EPV1434" s="40"/>
      <c r="EPW1434" s="40"/>
      <c r="EPX1434" s="40"/>
      <c r="EPY1434" s="40"/>
      <c r="EPZ1434" s="40"/>
      <c r="EQA1434" s="40"/>
      <c r="EQB1434" s="40"/>
      <c r="EQC1434" s="40"/>
      <c r="EQD1434" s="40"/>
      <c r="EQE1434" s="40"/>
      <c r="EQF1434" s="40"/>
      <c r="EQG1434" s="40"/>
      <c r="EQH1434" s="40"/>
      <c r="EQI1434" s="40"/>
      <c r="EQJ1434" s="40"/>
      <c r="EQK1434" s="40"/>
      <c r="EQL1434" s="40"/>
      <c r="EQM1434" s="40"/>
      <c r="EQN1434" s="40"/>
      <c r="EQO1434" s="40"/>
      <c r="EQP1434" s="40"/>
      <c r="EQQ1434" s="40"/>
      <c r="EQR1434" s="40"/>
      <c r="EQS1434" s="40"/>
      <c r="EQT1434" s="40"/>
      <c r="EQU1434" s="40"/>
      <c r="EQV1434" s="40"/>
      <c r="EQW1434" s="40"/>
      <c r="EQX1434" s="40"/>
      <c r="EQY1434" s="40"/>
      <c r="EQZ1434" s="40"/>
      <c r="ERA1434" s="40"/>
      <c r="ERB1434" s="40"/>
      <c r="ERC1434" s="40"/>
      <c r="ERD1434" s="40"/>
      <c r="ERE1434" s="40"/>
      <c r="ERF1434" s="40"/>
      <c r="ERG1434" s="40"/>
      <c r="ERH1434" s="40"/>
      <c r="ERI1434" s="40"/>
      <c r="ERJ1434" s="40"/>
      <c r="ERK1434" s="40"/>
      <c r="ERL1434" s="40"/>
      <c r="ERM1434" s="40"/>
      <c r="ERN1434" s="40"/>
      <c r="ERO1434" s="40"/>
      <c r="ERP1434" s="40"/>
      <c r="ERQ1434" s="40"/>
      <c r="ERR1434" s="40"/>
      <c r="ERS1434" s="40"/>
      <c r="ERT1434" s="40"/>
      <c r="ERU1434" s="40"/>
      <c r="ERV1434" s="40"/>
      <c r="ERW1434" s="40"/>
      <c r="ERX1434" s="40"/>
      <c r="ERY1434" s="40"/>
      <c r="ERZ1434" s="40"/>
      <c r="ESA1434" s="40"/>
      <c r="ESB1434" s="40"/>
      <c r="ESC1434" s="40"/>
      <c r="ESD1434" s="40"/>
      <c r="ESE1434" s="40"/>
      <c r="ESF1434" s="40"/>
      <c r="ESG1434" s="40"/>
      <c r="ESH1434" s="40"/>
      <c r="ESI1434" s="40"/>
      <c r="ESJ1434" s="40"/>
      <c r="ESK1434" s="40"/>
      <c r="ESL1434" s="40"/>
      <c r="ESM1434" s="40"/>
      <c r="ESN1434" s="40"/>
      <c r="ESO1434" s="40"/>
      <c r="ESP1434" s="40"/>
      <c r="ESQ1434" s="40"/>
      <c r="ESR1434" s="40"/>
      <c r="ESS1434" s="40"/>
      <c r="EST1434" s="40"/>
      <c r="ESU1434" s="40"/>
      <c r="ESV1434" s="40"/>
      <c r="ESW1434" s="40"/>
      <c r="ESX1434" s="40"/>
      <c r="ESY1434" s="40"/>
      <c r="ESZ1434" s="40"/>
      <c r="ETA1434" s="40"/>
      <c r="ETB1434" s="40"/>
      <c r="ETC1434" s="40"/>
      <c r="ETD1434" s="40"/>
      <c r="ETE1434" s="40"/>
      <c r="ETF1434" s="40"/>
      <c r="ETG1434" s="40"/>
      <c r="ETH1434" s="40"/>
      <c r="ETI1434" s="40"/>
      <c r="ETJ1434" s="40"/>
      <c r="ETK1434" s="40"/>
      <c r="ETL1434" s="40"/>
      <c r="ETM1434" s="40"/>
      <c r="ETN1434" s="40"/>
      <c r="ETO1434" s="40"/>
      <c r="ETP1434" s="40"/>
      <c r="ETQ1434" s="40"/>
      <c r="ETR1434" s="40"/>
      <c r="ETS1434" s="40"/>
      <c r="ETT1434" s="40"/>
      <c r="ETU1434" s="40"/>
      <c r="ETV1434" s="40"/>
      <c r="ETW1434" s="40"/>
      <c r="ETX1434" s="40"/>
      <c r="ETY1434" s="40"/>
      <c r="ETZ1434" s="40"/>
      <c r="EUA1434" s="40"/>
      <c r="EUB1434" s="40"/>
      <c r="EUC1434" s="40"/>
      <c r="EUD1434" s="40"/>
      <c r="EUE1434" s="40"/>
      <c r="EUF1434" s="40"/>
      <c r="EUG1434" s="40"/>
      <c r="EUH1434" s="40"/>
      <c r="EUI1434" s="40"/>
      <c r="EUJ1434" s="40"/>
      <c r="EUK1434" s="40"/>
      <c r="EUL1434" s="40"/>
      <c r="EUM1434" s="40"/>
      <c r="EUN1434" s="40"/>
      <c r="EUO1434" s="40"/>
      <c r="EUP1434" s="40"/>
      <c r="EUQ1434" s="40"/>
      <c r="EUR1434" s="40"/>
      <c r="EUS1434" s="40"/>
      <c r="EUT1434" s="40"/>
      <c r="EUU1434" s="40"/>
      <c r="EUV1434" s="40"/>
      <c r="EUW1434" s="40"/>
      <c r="EUX1434" s="40"/>
      <c r="EUY1434" s="40"/>
      <c r="EUZ1434" s="40"/>
      <c r="EVA1434" s="40"/>
      <c r="EVB1434" s="40"/>
      <c r="EVC1434" s="40"/>
      <c r="EVD1434" s="40"/>
      <c r="EVE1434" s="40"/>
      <c r="EVF1434" s="40"/>
      <c r="EVG1434" s="40"/>
      <c r="EVH1434" s="40"/>
      <c r="EVI1434" s="40"/>
      <c r="EVJ1434" s="40"/>
      <c r="EVK1434" s="40"/>
      <c r="EVL1434" s="40"/>
      <c r="EVM1434" s="40"/>
      <c r="EVN1434" s="40"/>
      <c r="EVO1434" s="40"/>
      <c r="EVP1434" s="40"/>
      <c r="EVQ1434" s="40"/>
      <c r="EVR1434" s="40"/>
      <c r="EVS1434" s="40"/>
      <c r="EVT1434" s="40"/>
      <c r="EVU1434" s="40"/>
      <c r="EVV1434" s="40"/>
      <c r="EVW1434" s="40"/>
      <c r="EVX1434" s="40"/>
      <c r="EVY1434" s="40"/>
      <c r="EVZ1434" s="40"/>
      <c r="EWA1434" s="40"/>
      <c r="EWB1434" s="40"/>
      <c r="EWC1434" s="40"/>
      <c r="EWD1434" s="40"/>
      <c r="EWE1434" s="40"/>
      <c r="EWF1434" s="40"/>
      <c r="EWG1434" s="40"/>
      <c r="EWH1434" s="40"/>
      <c r="EWI1434" s="40"/>
      <c r="EWJ1434" s="40"/>
      <c r="EWK1434" s="40"/>
      <c r="EWL1434" s="40"/>
      <c r="EWM1434" s="40"/>
      <c r="EWN1434" s="40"/>
      <c r="EWO1434" s="40"/>
      <c r="EWP1434" s="40"/>
      <c r="EWQ1434" s="40"/>
      <c r="EWR1434" s="40"/>
      <c r="EWS1434" s="40"/>
      <c r="EWT1434" s="40"/>
      <c r="EWU1434" s="40"/>
      <c r="EWV1434" s="40"/>
      <c r="EWW1434" s="40"/>
      <c r="EWX1434" s="40"/>
      <c r="EWY1434" s="40"/>
      <c r="EWZ1434" s="40"/>
      <c r="EXA1434" s="40"/>
      <c r="EXB1434" s="40"/>
      <c r="EXC1434" s="40"/>
      <c r="EXD1434" s="40"/>
      <c r="EXE1434" s="40"/>
      <c r="EXF1434" s="40"/>
      <c r="EXG1434" s="40"/>
      <c r="EXH1434" s="40"/>
      <c r="EXI1434" s="40"/>
      <c r="EXJ1434" s="40"/>
      <c r="EXK1434" s="40"/>
      <c r="EXL1434" s="40"/>
      <c r="EXM1434" s="40"/>
      <c r="EXN1434" s="40"/>
      <c r="EXO1434" s="40"/>
      <c r="EXP1434" s="40"/>
      <c r="EXQ1434" s="40"/>
      <c r="EXR1434" s="40"/>
      <c r="EXS1434" s="40"/>
      <c r="EXT1434" s="40"/>
      <c r="EXU1434" s="40"/>
      <c r="EXV1434" s="40"/>
      <c r="EXW1434" s="40"/>
      <c r="EXX1434" s="40"/>
      <c r="EXY1434" s="40"/>
      <c r="EXZ1434" s="40"/>
      <c r="EYA1434" s="40"/>
      <c r="EYB1434" s="40"/>
      <c r="EYC1434" s="40"/>
      <c r="EYD1434" s="40"/>
      <c r="EYE1434" s="40"/>
      <c r="EYF1434" s="40"/>
      <c r="EYG1434" s="40"/>
      <c r="EYH1434" s="40"/>
      <c r="EYI1434" s="40"/>
      <c r="EYJ1434" s="40"/>
      <c r="EYK1434" s="40"/>
      <c r="EYL1434" s="40"/>
      <c r="EYM1434" s="40"/>
      <c r="EYN1434" s="40"/>
      <c r="EYO1434" s="40"/>
      <c r="EYP1434" s="40"/>
      <c r="EYQ1434" s="40"/>
      <c r="EYR1434" s="40"/>
      <c r="EYS1434" s="40"/>
      <c r="EYT1434" s="40"/>
      <c r="EYU1434" s="40"/>
      <c r="EYV1434" s="40"/>
      <c r="EYW1434" s="40"/>
      <c r="EYX1434" s="40"/>
      <c r="EYY1434" s="40"/>
      <c r="EYZ1434" s="40"/>
      <c r="EZA1434" s="40"/>
      <c r="EZB1434" s="40"/>
      <c r="EZC1434" s="40"/>
      <c r="EZD1434" s="40"/>
      <c r="EZE1434" s="40"/>
      <c r="EZF1434" s="40"/>
      <c r="EZG1434" s="40"/>
      <c r="EZH1434" s="40"/>
      <c r="EZI1434" s="40"/>
      <c r="EZJ1434" s="40"/>
      <c r="EZK1434" s="40"/>
      <c r="EZL1434" s="40"/>
      <c r="EZM1434" s="40"/>
      <c r="EZN1434" s="40"/>
      <c r="EZO1434" s="40"/>
      <c r="EZP1434" s="40"/>
      <c r="EZQ1434" s="40"/>
      <c r="EZR1434" s="40"/>
      <c r="EZS1434" s="40"/>
      <c r="EZT1434" s="40"/>
      <c r="EZU1434" s="40"/>
      <c r="EZV1434" s="40"/>
      <c r="EZW1434" s="40"/>
      <c r="EZX1434" s="40"/>
      <c r="EZY1434" s="40"/>
      <c r="EZZ1434" s="40"/>
      <c r="FAA1434" s="40"/>
      <c r="FAB1434" s="40"/>
      <c r="FAC1434" s="40"/>
      <c r="FAD1434" s="40"/>
      <c r="FAE1434" s="40"/>
      <c r="FAF1434" s="40"/>
      <c r="FAG1434" s="40"/>
      <c r="FAH1434" s="40"/>
      <c r="FAI1434" s="40"/>
      <c r="FAJ1434" s="40"/>
      <c r="FAK1434" s="40"/>
      <c r="FAL1434" s="40"/>
      <c r="FAM1434" s="40"/>
      <c r="FAN1434" s="40"/>
      <c r="FAO1434" s="40"/>
      <c r="FAP1434" s="40"/>
      <c r="FAQ1434" s="40"/>
      <c r="FAR1434" s="40"/>
      <c r="FAS1434" s="40"/>
      <c r="FAT1434" s="40"/>
      <c r="FAU1434" s="40"/>
      <c r="FAV1434" s="40"/>
      <c r="FAW1434" s="40"/>
      <c r="FAX1434" s="40"/>
      <c r="FAY1434" s="40"/>
      <c r="FAZ1434" s="40"/>
      <c r="FBA1434" s="40"/>
      <c r="FBB1434" s="40"/>
      <c r="FBC1434" s="40"/>
      <c r="FBD1434" s="40"/>
      <c r="FBE1434" s="40"/>
      <c r="FBF1434" s="40"/>
      <c r="FBG1434" s="40"/>
      <c r="FBH1434" s="40"/>
      <c r="FBI1434" s="40"/>
      <c r="FBJ1434" s="40"/>
      <c r="FBK1434" s="40"/>
      <c r="FBL1434" s="40"/>
      <c r="FBM1434" s="40"/>
      <c r="FBN1434" s="40"/>
      <c r="FBO1434" s="40"/>
      <c r="FBP1434" s="40"/>
      <c r="FBQ1434" s="40"/>
      <c r="FBR1434" s="40"/>
      <c r="FBS1434" s="40"/>
      <c r="FBT1434" s="40"/>
      <c r="FBU1434" s="40"/>
      <c r="FBV1434" s="40"/>
      <c r="FBW1434" s="40"/>
      <c r="FBX1434" s="40"/>
      <c r="FBY1434" s="40"/>
      <c r="FBZ1434" s="40"/>
      <c r="FCA1434" s="40"/>
      <c r="FCB1434" s="40"/>
      <c r="FCC1434" s="40"/>
      <c r="FCD1434" s="40"/>
      <c r="FCE1434" s="40"/>
      <c r="FCF1434" s="40"/>
      <c r="FCG1434" s="40"/>
      <c r="FCH1434" s="40"/>
      <c r="FCI1434" s="40"/>
      <c r="FCJ1434" s="40"/>
      <c r="FCK1434" s="40"/>
      <c r="FCL1434" s="40"/>
      <c r="FCM1434" s="40"/>
      <c r="FCN1434" s="40"/>
      <c r="FCO1434" s="40"/>
      <c r="FCP1434" s="40"/>
      <c r="FCQ1434" s="40"/>
      <c r="FCR1434" s="40"/>
      <c r="FCS1434" s="40"/>
      <c r="FCT1434" s="40"/>
      <c r="FCU1434" s="40"/>
      <c r="FCV1434" s="40"/>
      <c r="FCW1434" s="40"/>
      <c r="FCX1434" s="40"/>
      <c r="FCY1434" s="40"/>
      <c r="FCZ1434" s="40"/>
      <c r="FDA1434" s="40"/>
      <c r="FDB1434" s="40"/>
      <c r="FDC1434" s="40"/>
      <c r="FDD1434" s="40"/>
      <c r="FDE1434" s="40"/>
      <c r="FDF1434" s="40"/>
      <c r="FDG1434" s="40"/>
      <c r="FDH1434" s="40"/>
      <c r="FDI1434" s="40"/>
      <c r="FDJ1434" s="40"/>
      <c r="FDK1434" s="40"/>
      <c r="FDL1434" s="40"/>
      <c r="FDM1434" s="40"/>
      <c r="FDN1434" s="40"/>
      <c r="FDO1434" s="40"/>
      <c r="FDP1434" s="40"/>
      <c r="FDQ1434" s="40"/>
      <c r="FDR1434" s="40"/>
      <c r="FDS1434" s="40"/>
      <c r="FDT1434" s="40"/>
      <c r="FDU1434" s="40"/>
      <c r="FDV1434" s="40"/>
      <c r="FDW1434" s="40"/>
      <c r="FDX1434" s="40"/>
      <c r="FDY1434" s="40"/>
      <c r="FDZ1434" s="40"/>
      <c r="FEA1434" s="40"/>
      <c r="FEB1434" s="40"/>
      <c r="FEC1434" s="40"/>
      <c r="FED1434" s="40"/>
      <c r="FEE1434" s="40"/>
      <c r="FEF1434" s="40"/>
      <c r="FEG1434" s="40"/>
      <c r="FEH1434" s="40"/>
      <c r="FEI1434" s="40"/>
      <c r="FEJ1434" s="40"/>
      <c r="FEK1434" s="40"/>
      <c r="FEL1434" s="40"/>
      <c r="FEM1434" s="40"/>
      <c r="FEN1434" s="40"/>
      <c r="FEO1434" s="40"/>
      <c r="FEP1434" s="40"/>
      <c r="FEQ1434" s="40"/>
      <c r="FER1434" s="40"/>
      <c r="FES1434" s="40"/>
      <c r="FET1434" s="40"/>
      <c r="FEU1434" s="40"/>
      <c r="FEV1434" s="40"/>
      <c r="FEW1434" s="40"/>
      <c r="FEX1434" s="40"/>
      <c r="FEY1434" s="40"/>
      <c r="FEZ1434" s="40"/>
      <c r="FFA1434" s="40"/>
      <c r="FFB1434" s="40"/>
      <c r="FFC1434" s="40"/>
      <c r="FFD1434" s="40"/>
      <c r="FFE1434" s="40"/>
      <c r="FFF1434" s="40"/>
      <c r="FFG1434" s="40"/>
      <c r="FFH1434" s="40"/>
      <c r="FFI1434" s="40"/>
      <c r="FFJ1434" s="40"/>
      <c r="FFK1434" s="40"/>
      <c r="FFL1434" s="40"/>
      <c r="FFM1434" s="40"/>
      <c r="FFN1434" s="40"/>
      <c r="FFO1434" s="40"/>
      <c r="FFP1434" s="40"/>
      <c r="FFQ1434" s="40"/>
      <c r="FFR1434" s="40"/>
      <c r="FFS1434" s="40"/>
      <c r="FFT1434" s="40"/>
      <c r="FFU1434" s="40"/>
      <c r="FFV1434" s="40"/>
      <c r="FFW1434" s="40"/>
      <c r="FFX1434" s="40"/>
      <c r="FFY1434" s="40"/>
      <c r="FFZ1434" s="40"/>
      <c r="FGA1434" s="40"/>
      <c r="FGB1434" s="40"/>
      <c r="FGC1434" s="40"/>
      <c r="FGD1434" s="40"/>
      <c r="FGE1434" s="40"/>
      <c r="FGF1434" s="40"/>
      <c r="FGG1434" s="40"/>
      <c r="FGH1434" s="40"/>
      <c r="FGI1434" s="40"/>
      <c r="FGJ1434" s="40"/>
      <c r="FGK1434" s="40"/>
      <c r="FGL1434" s="40"/>
      <c r="FGM1434" s="40"/>
      <c r="FGN1434" s="40"/>
      <c r="FGO1434" s="40"/>
      <c r="FGP1434" s="40"/>
      <c r="FGQ1434" s="40"/>
      <c r="FGR1434" s="40"/>
      <c r="FGS1434" s="40"/>
      <c r="FGT1434" s="40"/>
      <c r="FGU1434" s="40"/>
      <c r="FGV1434" s="40"/>
      <c r="FGW1434" s="40"/>
      <c r="FGX1434" s="40"/>
      <c r="FGY1434" s="40"/>
      <c r="FGZ1434" s="40"/>
      <c r="FHA1434" s="40"/>
      <c r="FHB1434" s="40"/>
      <c r="FHC1434" s="40"/>
      <c r="FHD1434" s="40"/>
      <c r="FHE1434" s="40"/>
      <c r="FHF1434" s="40"/>
      <c r="FHG1434" s="40"/>
      <c r="FHH1434" s="40"/>
      <c r="FHI1434" s="40"/>
      <c r="FHJ1434" s="40"/>
      <c r="FHK1434" s="40"/>
      <c r="FHL1434" s="40"/>
      <c r="FHM1434" s="40"/>
      <c r="FHN1434" s="40"/>
      <c r="FHO1434" s="40"/>
      <c r="FHP1434" s="40"/>
      <c r="FHQ1434" s="40"/>
      <c r="FHR1434" s="40"/>
      <c r="FHS1434" s="40"/>
      <c r="FHT1434" s="40"/>
      <c r="FHU1434" s="40"/>
      <c r="FHV1434" s="40"/>
      <c r="FHW1434" s="40"/>
      <c r="FHX1434" s="40"/>
      <c r="FHY1434" s="40"/>
      <c r="FHZ1434" s="40"/>
      <c r="FIA1434" s="40"/>
      <c r="FIB1434" s="40"/>
      <c r="FIC1434" s="40"/>
      <c r="FID1434" s="40"/>
      <c r="FIE1434" s="40"/>
      <c r="FIF1434" s="40"/>
      <c r="FIG1434" s="40"/>
      <c r="FIH1434" s="40"/>
      <c r="FII1434" s="40"/>
      <c r="FIJ1434" s="40"/>
      <c r="FIK1434" s="40"/>
      <c r="FIL1434" s="40"/>
      <c r="FIM1434" s="40"/>
      <c r="FIN1434" s="40"/>
      <c r="FIO1434" s="40"/>
      <c r="FIP1434" s="40"/>
      <c r="FIQ1434" s="40"/>
      <c r="FIR1434" s="40"/>
      <c r="FIS1434" s="40"/>
      <c r="FIT1434" s="40"/>
      <c r="FIU1434" s="40"/>
      <c r="FIV1434" s="40"/>
      <c r="FIW1434" s="40"/>
      <c r="FIX1434" s="40"/>
      <c r="FIY1434" s="40"/>
      <c r="FIZ1434" s="40"/>
      <c r="FJA1434" s="40"/>
      <c r="FJB1434" s="40"/>
      <c r="FJC1434" s="40"/>
      <c r="FJD1434" s="40"/>
      <c r="FJE1434" s="40"/>
      <c r="FJF1434" s="40"/>
      <c r="FJG1434" s="40"/>
      <c r="FJH1434" s="40"/>
      <c r="FJI1434" s="40"/>
      <c r="FJJ1434" s="40"/>
      <c r="FJK1434" s="40"/>
      <c r="FJL1434" s="40"/>
      <c r="FJM1434" s="40"/>
      <c r="FJN1434" s="40"/>
      <c r="FJO1434" s="40"/>
      <c r="FJP1434" s="40"/>
      <c r="FJQ1434" s="40"/>
      <c r="FJR1434" s="40"/>
      <c r="FJS1434" s="40"/>
      <c r="FJT1434" s="40"/>
      <c r="FJU1434" s="40"/>
      <c r="FJV1434" s="40"/>
      <c r="FJW1434" s="40"/>
      <c r="FJX1434" s="40"/>
      <c r="FJY1434" s="40"/>
      <c r="FJZ1434" s="40"/>
      <c r="FKA1434" s="40"/>
      <c r="FKB1434" s="40"/>
      <c r="FKC1434" s="40"/>
      <c r="FKD1434" s="40"/>
      <c r="FKE1434" s="40"/>
      <c r="FKF1434" s="40"/>
      <c r="FKG1434" s="40"/>
      <c r="FKH1434" s="40"/>
      <c r="FKI1434" s="40"/>
      <c r="FKJ1434" s="40"/>
      <c r="FKK1434" s="40"/>
      <c r="FKL1434" s="40"/>
      <c r="FKM1434" s="40"/>
      <c r="FKN1434" s="40"/>
      <c r="FKO1434" s="40"/>
      <c r="FKP1434" s="40"/>
      <c r="FKQ1434" s="40"/>
      <c r="FKR1434" s="40"/>
      <c r="FKS1434" s="40"/>
      <c r="FKT1434" s="40"/>
      <c r="FKU1434" s="40"/>
      <c r="FKV1434" s="40"/>
      <c r="FKW1434" s="40"/>
      <c r="FKX1434" s="40"/>
      <c r="FKY1434" s="40"/>
      <c r="FKZ1434" s="40"/>
      <c r="FLA1434" s="40"/>
      <c r="FLB1434" s="40"/>
      <c r="FLC1434" s="40"/>
      <c r="FLD1434" s="40"/>
      <c r="FLE1434" s="40"/>
      <c r="FLF1434" s="40"/>
      <c r="FLG1434" s="40"/>
      <c r="FLH1434" s="40"/>
      <c r="FLI1434" s="40"/>
      <c r="FLJ1434" s="40"/>
      <c r="FLK1434" s="40"/>
      <c r="FLL1434" s="40"/>
      <c r="FLM1434" s="40"/>
      <c r="FLN1434" s="40"/>
      <c r="FLO1434" s="40"/>
      <c r="FLP1434" s="40"/>
      <c r="FLQ1434" s="40"/>
      <c r="FLR1434" s="40"/>
      <c r="FLS1434" s="40"/>
      <c r="FLT1434" s="40"/>
      <c r="FLU1434" s="40"/>
      <c r="FLV1434" s="40"/>
      <c r="FLW1434" s="40"/>
      <c r="FLX1434" s="40"/>
      <c r="FLY1434" s="40"/>
      <c r="FLZ1434" s="40"/>
      <c r="FMA1434" s="40"/>
      <c r="FMB1434" s="40"/>
      <c r="FMC1434" s="40"/>
      <c r="FMD1434" s="40"/>
      <c r="FME1434" s="40"/>
      <c r="FMF1434" s="40"/>
      <c r="FMG1434" s="40"/>
      <c r="FMH1434" s="40"/>
      <c r="FMI1434" s="40"/>
      <c r="FMJ1434" s="40"/>
      <c r="FMK1434" s="40"/>
      <c r="FML1434" s="40"/>
      <c r="FMM1434" s="40"/>
      <c r="FMN1434" s="40"/>
      <c r="FMO1434" s="40"/>
      <c r="FMP1434" s="40"/>
      <c r="FMQ1434" s="40"/>
      <c r="FMR1434" s="40"/>
      <c r="FMS1434" s="40"/>
      <c r="FMT1434" s="40"/>
      <c r="FMU1434" s="40"/>
      <c r="FMV1434" s="40"/>
      <c r="FMW1434" s="40"/>
      <c r="FMX1434" s="40"/>
      <c r="FMY1434" s="40"/>
      <c r="FMZ1434" s="40"/>
      <c r="FNA1434" s="40"/>
      <c r="FNB1434" s="40"/>
      <c r="FNC1434" s="40"/>
      <c r="FND1434" s="40"/>
      <c r="FNE1434" s="40"/>
      <c r="FNF1434" s="40"/>
      <c r="FNG1434" s="40"/>
      <c r="FNH1434" s="40"/>
      <c r="FNI1434" s="40"/>
      <c r="FNJ1434" s="40"/>
      <c r="FNK1434" s="40"/>
      <c r="FNL1434" s="40"/>
      <c r="FNM1434" s="40"/>
      <c r="FNN1434" s="40"/>
      <c r="FNO1434" s="40"/>
      <c r="FNP1434" s="40"/>
      <c r="FNQ1434" s="40"/>
      <c r="FNR1434" s="40"/>
      <c r="FNS1434" s="40"/>
      <c r="FNT1434" s="40"/>
      <c r="FNU1434" s="40"/>
      <c r="FNV1434" s="40"/>
      <c r="FNW1434" s="40"/>
      <c r="FNX1434" s="40"/>
      <c r="FNY1434" s="40"/>
      <c r="FNZ1434" s="40"/>
      <c r="FOA1434" s="40"/>
      <c r="FOB1434" s="40"/>
      <c r="FOC1434" s="40"/>
      <c r="FOD1434" s="40"/>
      <c r="FOE1434" s="40"/>
      <c r="FOF1434" s="40"/>
      <c r="FOG1434" s="40"/>
      <c r="FOH1434" s="40"/>
      <c r="FOI1434" s="40"/>
      <c r="FOJ1434" s="40"/>
      <c r="FOK1434" s="40"/>
      <c r="FOL1434" s="40"/>
      <c r="FOM1434" s="40"/>
      <c r="FON1434" s="40"/>
      <c r="FOO1434" s="40"/>
      <c r="FOP1434" s="40"/>
      <c r="FOQ1434" s="40"/>
      <c r="FOR1434" s="40"/>
      <c r="FOS1434" s="40"/>
      <c r="FOT1434" s="40"/>
      <c r="FOU1434" s="40"/>
      <c r="FOV1434" s="40"/>
      <c r="FOW1434" s="40"/>
      <c r="FOX1434" s="40"/>
      <c r="FOY1434" s="40"/>
      <c r="FOZ1434" s="40"/>
      <c r="FPA1434" s="40"/>
      <c r="FPB1434" s="40"/>
      <c r="FPC1434" s="40"/>
      <c r="FPD1434" s="40"/>
      <c r="FPE1434" s="40"/>
      <c r="FPF1434" s="40"/>
      <c r="FPG1434" s="40"/>
      <c r="FPH1434" s="40"/>
      <c r="FPI1434" s="40"/>
      <c r="FPJ1434" s="40"/>
      <c r="FPK1434" s="40"/>
      <c r="FPL1434" s="40"/>
      <c r="FPM1434" s="40"/>
      <c r="FPN1434" s="40"/>
      <c r="FPO1434" s="40"/>
      <c r="FPP1434" s="40"/>
      <c r="FPQ1434" s="40"/>
      <c r="FPR1434" s="40"/>
      <c r="FPS1434" s="40"/>
      <c r="FPT1434" s="40"/>
      <c r="FPU1434" s="40"/>
      <c r="FPV1434" s="40"/>
      <c r="FPW1434" s="40"/>
      <c r="FPX1434" s="40"/>
      <c r="FPY1434" s="40"/>
      <c r="FPZ1434" s="40"/>
      <c r="FQA1434" s="40"/>
      <c r="FQB1434" s="40"/>
      <c r="FQC1434" s="40"/>
      <c r="FQD1434" s="40"/>
      <c r="FQE1434" s="40"/>
      <c r="FQF1434" s="40"/>
      <c r="FQG1434" s="40"/>
      <c r="FQH1434" s="40"/>
      <c r="FQI1434" s="40"/>
      <c r="FQJ1434" s="40"/>
      <c r="FQK1434" s="40"/>
      <c r="FQL1434" s="40"/>
      <c r="FQM1434" s="40"/>
      <c r="FQN1434" s="40"/>
      <c r="FQO1434" s="40"/>
      <c r="FQP1434" s="40"/>
      <c r="FQQ1434" s="40"/>
      <c r="FQR1434" s="40"/>
      <c r="FQS1434" s="40"/>
      <c r="FQT1434" s="40"/>
      <c r="FQU1434" s="40"/>
      <c r="FQV1434" s="40"/>
      <c r="FQW1434" s="40"/>
      <c r="FQX1434" s="40"/>
      <c r="FQY1434" s="40"/>
      <c r="FQZ1434" s="40"/>
      <c r="FRA1434" s="40"/>
      <c r="FRB1434" s="40"/>
      <c r="FRC1434" s="40"/>
      <c r="FRD1434" s="40"/>
      <c r="FRE1434" s="40"/>
      <c r="FRF1434" s="40"/>
      <c r="FRG1434" s="40"/>
      <c r="FRH1434" s="40"/>
      <c r="FRI1434" s="40"/>
      <c r="FRJ1434" s="40"/>
      <c r="FRK1434" s="40"/>
      <c r="FRL1434" s="40"/>
      <c r="FRM1434" s="40"/>
      <c r="FRN1434" s="40"/>
      <c r="FRO1434" s="40"/>
      <c r="FRP1434" s="40"/>
      <c r="FRQ1434" s="40"/>
      <c r="FRR1434" s="40"/>
      <c r="FRS1434" s="40"/>
      <c r="FRT1434" s="40"/>
      <c r="FRU1434" s="40"/>
      <c r="FRV1434" s="40"/>
      <c r="FRW1434" s="40"/>
      <c r="FRX1434" s="40"/>
      <c r="FRY1434" s="40"/>
      <c r="FRZ1434" s="40"/>
      <c r="FSA1434" s="40"/>
      <c r="FSB1434" s="40"/>
      <c r="FSC1434" s="40"/>
      <c r="FSD1434" s="40"/>
      <c r="FSE1434" s="40"/>
      <c r="FSF1434" s="40"/>
      <c r="FSG1434" s="40"/>
      <c r="FSH1434" s="40"/>
      <c r="FSI1434" s="40"/>
      <c r="FSJ1434" s="40"/>
      <c r="FSK1434" s="40"/>
      <c r="FSL1434" s="40"/>
      <c r="FSM1434" s="40"/>
      <c r="FSN1434" s="40"/>
      <c r="FSO1434" s="40"/>
      <c r="FSP1434" s="40"/>
      <c r="FSQ1434" s="40"/>
      <c r="FSR1434" s="40"/>
      <c r="FSS1434" s="40"/>
      <c r="FST1434" s="40"/>
      <c r="FSU1434" s="40"/>
      <c r="FSV1434" s="40"/>
      <c r="FSW1434" s="40"/>
      <c r="FSX1434" s="40"/>
      <c r="FSY1434" s="40"/>
      <c r="FSZ1434" s="40"/>
      <c r="FTA1434" s="40"/>
      <c r="FTB1434" s="40"/>
      <c r="FTC1434" s="40"/>
      <c r="FTD1434" s="40"/>
      <c r="FTE1434" s="40"/>
      <c r="FTF1434" s="40"/>
      <c r="FTG1434" s="40"/>
      <c r="FTH1434" s="40"/>
      <c r="FTI1434" s="40"/>
      <c r="FTJ1434" s="40"/>
      <c r="FTK1434" s="40"/>
      <c r="FTL1434" s="40"/>
      <c r="FTM1434" s="40"/>
      <c r="FTN1434" s="40"/>
      <c r="FTO1434" s="40"/>
      <c r="FTP1434" s="40"/>
      <c r="FTQ1434" s="40"/>
      <c r="FTR1434" s="40"/>
      <c r="FTS1434" s="40"/>
      <c r="FTT1434" s="40"/>
      <c r="FTU1434" s="40"/>
      <c r="FTV1434" s="40"/>
      <c r="FTW1434" s="40"/>
      <c r="FTX1434" s="40"/>
      <c r="FTY1434" s="40"/>
      <c r="FTZ1434" s="40"/>
      <c r="FUA1434" s="40"/>
      <c r="FUB1434" s="40"/>
      <c r="FUC1434" s="40"/>
      <c r="FUD1434" s="40"/>
      <c r="FUE1434" s="40"/>
      <c r="FUF1434" s="40"/>
      <c r="FUG1434" s="40"/>
      <c r="FUH1434" s="40"/>
      <c r="FUI1434" s="40"/>
      <c r="FUJ1434" s="40"/>
      <c r="FUK1434" s="40"/>
      <c r="FUL1434" s="40"/>
      <c r="FUM1434" s="40"/>
      <c r="FUN1434" s="40"/>
      <c r="FUO1434" s="40"/>
      <c r="FUP1434" s="40"/>
      <c r="FUQ1434" s="40"/>
      <c r="FUR1434" s="40"/>
      <c r="FUS1434" s="40"/>
      <c r="FUT1434" s="40"/>
      <c r="FUU1434" s="40"/>
      <c r="FUV1434" s="40"/>
      <c r="FUW1434" s="40"/>
      <c r="FUX1434" s="40"/>
      <c r="FUY1434" s="40"/>
      <c r="FUZ1434" s="40"/>
      <c r="FVA1434" s="40"/>
      <c r="FVB1434" s="40"/>
      <c r="FVC1434" s="40"/>
      <c r="FVD1434" s="40"/>
      <c r="FVE1434" s="40"/>
      <c r="FVF1434" s="40"/>
      <c r="FVG1434" s="40"/>
      <c r="FVH1434" s="40"/>
      <c r="FVI1434" s="40"/>
      <c r="FVJ1434" s="40"/>
      <c r="FVK1434" s="40"/>
      <c r="FVL1434" s="40"/>
      <c r="FVM1434" s="40"/>
      <c r="FVN1434" s="40"/>
      <c r="FVO1434" s="40"/>
      <c r="FVP1434" s="40"/>
      <c r="FVQ1434" s="40"/>
      <c r="FVR1434" s="40"/>
      <c r="FVS1434" s="40"/>
      <c r="FVT1434" s="40"/>
      <c r="FVU1434" s="40"/>
      <c r="FVV1434" s="40"/>
      <c r="FVW1434" s="40"/>
      <c r="FVX1434" s="40"/>
      <c r="FVY1434" s="40"/>
      <c r="FVZ1434" s="40"/>
      <c r="FWA1434" s="40"/>
      <c r="FWB1434" s="40"/>
      <c r="FWC1434" s="40"/>
      <c r="FWD1434" s="40"/>
      <c r="FWE1434" s="40"/>
      <c r="FWF1434" s="40"/>
      <c r="FWG1434" s="40"/>
      <c r="FWH1434" s="40"/>
      <c r="FWI1434" s="40"/>
      <c r="FWJ1434" s="40"/>
      <c r="FWK1434" s="40"/>
      <c r="FWL1434" s="40"/>
      <c r="FWM1434" s="40"/>
      <c r="FWN1434" s="40"/>
      <c r="FWO1434" s="40"/>
      <c r="FWP1434" s="40"/>
      <c r="FWQ1434" s="40"/>
      <c r="FWR1434" s="40"/>
      <c r="FWS1434" s="40"/>
      <c r="FWT1434" s="40"/>
      <c r="FWU1434" s="40"/>
      <c r="FWV1434" s="40"/>
      <c r="FWW1434" s="40"/>
      <c r="FWX1434" s="40"/>
      <c r="FWY1434" s="40"/>
      <c r="FWZ1434" s="40"/>
      <c r="FXA1434" s="40"/>
      <c r="FXB1434" s="40"/>
      <c r="FXC1434" s="40"/>
      <c r="FXD1434" s="40"/>
      <c r="FXE1434" s="40"/>
      <c r="FXF1434" s="40"/>
      <c r="FXG1434" s="40"/>
      <c r="FXH1434" s="40"/>
      <c r="FXI1434" s="40"/>
      <c r="FXJ1434" s="40"/>
      <c r="FXK1434" s="40"/>
      <c r="FXL1434" s="40"/>
      <c r="FXM1434" s="40"/>
      <c r="FXN1434" s="40"/>
      <c r="FXO1434" s="40"/>
      <c r="FXP1434" s="40"/>
      <c r="FXQ1434" s="40"/>
      <c r="FXR1434" s="40"/>
      <c r="FXS1434" s="40"/>
      <c r="FXT1434" s="40"/>
      <c r="FXU1434" s="40"/>
      <c r="FXV1434" s="40"/>
      <c r="FXW1434" s="40"/>
      <c r="FXX1434" s="40"/>
      <c r="FXY1434" s="40"/>
      <c r="FXZ1434" s="40"/>
      <c r="FYA1434" s="40"/>
      <c r="FYB1434" s="40"/>
      <c r="FYC1434" s="40"/>
      <c r="FYD1434" s="40"/>
      <c r="FYE1434" s="40"/>
      <c r="FYF1434" s="40"/>
      <c r="FYG1434" s="40"/>
      <c r="FYH1434" s="40"/>
      <c r="FYI1434" s="40"/>
      <c r="FYJ1434" s="40"/>
      <c r="FYK1434" s="40"/>
      <c r="FYL1434" s="40"/>
      <c r="FYM1434" s="40"/>
      <c r="FYN1434" s="40"/>
      <c r="FYO1434" s="40"/>
      <c r="FYP1434" s="40"/>
      <c r="FYQ1434" s="40"/>
      <c r="FYR1434" s="40"/>
      <c r="FYS1434" s="40"/>
      <c r="FYT1434" s="40"/>
      <c r="FYU1434" s="40"/>
      <c r="FYV1434" s="40"/>
      <c r="FYW1434" s="40"/>
      <c r="FYX1434" s="40"/>
      <c r="FYY1434" s="40"/>
      <c r="FYZ1434" s="40"/>
      <c r="FZA1434" s="40"/>
      <c r="FZB1434" s="40"/>
      <c r="FZC1434" s="40"/>
      <c r="FZD1434" s="40"/>
      <c r="FZE1434" s="40"/>
      <c r="FZF1434" s="40"/>
      <c r="FZG1434" s="40"/>
      <c r="FZH1434" s="40"/>
      <c r="FZI1434" s="40"/>
      <c r="FZJ1434" s="40"/>
      <c r="FZK1434" s="40"/>
      <c r="FZL1434" s="40"/>
      <c r="FZM1434" s="40"/>
      <c r="FZN1434" s="40"/>
      <c r="FZO1434" s="40"/>
      <c r="FZP1434" s="40"/>
      <c r="FZQ1434" s="40"/>
      <c r="FZR1434" s="40"/>
      <c r="FZS1434" s="40"/>
      <c r="FZT1434" s="40"/>
      <c r="FZU1434" s="40"/>
      <c r="FZV1434" s="40"/>
      <c r="FZW1434" s="40"/>
      <c r="FZX1434" s="40"/>
      <c r="FZY1434" s="40"/>
      <c r="FZZ1434" s="40"/>
      <c r="GAA1434" s="40"/>
      <c r="GAB1434" s="40"/>
      <c r="GAC1434" s="40"/>
      <c r="GAD1434" s="40"/>
      <c r="GAE1434" s="40"/>
      <c r="GAF1434" s="40"/>
      <c r="GAG1434" s="40"/>
      <c r="GAH1434" s="40"/>
      <c r="GAI1434" s="40"/>
      <c r="GAJ1434" s="40"/>
      <c r="GAK1434" s="40"/>
      <c r="GAL1434" s="40"/>
      <c r="GAM1434" s="40"/>
      <c r="GAN1434" s="40"/>
      <c r="GAO1434" s="40"/>
      <c r="GAP1434" s="40"/>
      <c r="GAQ1434" s="40"/>
      <c r="GAR1434" s="40"/>
      <c r="GAS1434" s="40"/>
      <c r="GAT1434" s="40"/>
      <c r="GAU1434" s="40"/>
      <c r="GAV1434" s="40"/>
      <c r="GAW1434" s="40"/>
      <c r="GAX1434" s="40"/>
      <c r="GAY1434" s="40"/>
      <c r="GAZ1434" s="40"/>
      <c r="GBA1434" s="40"/>
      <c r="GBB1434" s="40"/>
      <c r="GBC1434" s="40"/>
      <c r="GBD1434" s="40"/>
      <c r="GBE1434" s="40"/>
      <c r="GBF1434" s="40"/>
      <c r="GBG1434" s="40"/>
      <c r="GBH1434" s="40"/>
      <c r="GBI1434" s="40"/>
      <c r="GBJ1434" s="40"/>
      <c r="GBK1434" s="40"/>
      <c r="GBL1434" s="40"/>
      <c r="GBM1434" s="40"/>
      <c r="GBN1434" s="40"/>
      <c r="GBO1434" s="40"/>
      <c r="GBP1434" s="40"/>
      <c r="GBQ1434" s="40"/>
      <c r="GBR1434" s="40"/>
      <c r="GBS1434" s="40"/>
      <c r="GBT1434" s="40"/>
      <c r="GBU1434" s="40"/>
      <c r="GBV1434" s="40"/>
      <c r="GBW1434" s="40"/>
      <c r="GBX1434" s="40"/>
      <c r="GBY1434" s="40"/>
      <c r="GBZ1434" s="40"/>
      <c r="GCA1434" s="40"/>
      <c r="GCB1434" s="40"/>
      <c r="GCC1434" s="40"/>
      <c r="GCD1434" s="40"/>
      <c r="GCE1434" s="40"/>
      <c r="GCF1434" s="40"/>
      <c r="GCG1434" s="40"/>
      <c r="GCH1434" s="40"/>
      <c r="GCI1434" s="40"/>
      <c r="GCJ1434" s="40"/>
      <c r="GCK1434" s="40"/>
      <c r="GCL1434" s="40"/>
      <c r="GCM1434" s="40"/>
      <c r="GCN1434" s="40"/>
      <c r="GCO1434" s="40"/>
      <c r="GCP1434" s="40"/>
      <c r="GCQ1434" s="40"/>
      <c r="GCR1434" s="40"/>
      <c r="GCS1434" s="40"/>
      <c r="GCT1434" s="40"/>
      <c r="GCU1434" s="40"/>
      <c r="GCV1434" s="40"/>
      <c r="GCW1434" s="40"/>
      <c r="GCX1434" s="40"/>
      <c r="GCY1434" s="40"/>
      <c r="GCZ1434" s="40"/>
      <c r="GDA1434" s="40"/>
      <c r="GDB1434" s="40"/>
      <c r="GDC1434" s="40"/>
      <c r="GDD1434" s="40"/>
      <c r="GDE1434" s="40"/>
      <c r="GDF1434" s="40"/>
      <c r="GDG1434" s="40"/>
      <c r="GDH1434" s="40"/>
      <c r="GDI1434" s="40"/>
      <c r="GDJ1434" s="40"/>
      <c r="GDK1434" s="40"/>
      <c r="GDL1434" s="40"/>
      <c r="GDM1434" s="40"/>
      <c r="GDN1434" s="40"/>
      <c r="GDO1434" s="40"/>
      <c r="GDP1434" s="40"/>
      <c r="GDQ1434" s="40"/>
      <c r="GDR1434" s="40"/>
      <c r="GDS1434" s="40"/>
      <c r="GDT1434" s="40"/>
      <c r="GDU1434" s="40"/>
      <c r="GDV1434" s="40"/>
      <c r="GDW1434" s="40"/>
      <c r="GDX1434" s="40"/>
      <c r="GDY1434" s="40"/>
      <c r="GDZ1434" s="40"/>
      <c r="GEA1434" s="40"/>
      <c r="GEB1434" s="40"/>
      <c r="GEC1434" s="40"/>
      <c r="GED1434" s="40"/>
      <c r="GEE1434" s="40"/>
      <c r="GEF1434" s="40"/>
      <c r="GEG1434" s="40"/>
      <c r="GEH1434" s="40"/>
      <c r="GEI1434" s="40"/>
      <c r="GEJ1434" s="40"/>
      <c r="GEK1434" s="40"/>
      <c r="GEL1434" s="40"/>
      <c r="GEM1434" s="40"/>
      <c r="GEN1434" s="40"/>
      <c r="GEO1434" s="40"/>
      <c r="GEP1434" s="40"/>
      <c r="GEQ1434" s="40"/>
      <c r="GER1434" s="40"/>
      <c r="GES1434" s="40"/>
      <c r="GET1434" s="40"/>
      <c r="GEU1434" s="40"/>
      <c r="GEV1434" s="40"/>
      <c r="GEW1434" s="40"/>
      <c r="GEX1434" s="40"/>
      <c r="GEY1434" s="40"/>
      <c r="GEZ1434" s="40"/>
      <c r="GFA1434" s="40"/>
      <c r="GFB1434" s="40"/>
      <c r="GFC1434" s="40"/>
      <c r="GFD1434" s="40"/>
      <c r="GFE1434" s="40"/>
      <c r="GFF1434" s="40"/>
      <c r="GFG1434" s="40"/>
      <c r="GFH1434" s="40"/>
      <c r="GFI1434" s="40"/>
      <c r="GFJ1434" s="40"/>
      <c r="GFK1434" s="40"/>
      <c r="GFL1434" s="40"/>
      <c r="GFM1434" s="40"/>
      <c r="GFN1434" s="40"/>
      <c r="GFO1434" s="40"/>
      <c r="GFP1434" s="40"/>
      <c r="GFQ1434" s="40"/>
      <c r="GFR1434" s="40"/>
      <c r="GFS1434" s="40"/>
      <c r="GFT1434" s="40"/>
      <c r="GFU1434" s="40"/>
      <c r="GFV1434" s="40"/>
      <c r="GFW1434" s="40"/>
      <c r="GFX1434" s="40"/>
      <c r="GFY1434" s="40"/>
      <c r="GFZ1434" s="40"/>
      <c r="GGA1434" s="40"/>
      <c r="GGB1434" s="40"/>
      <c r="GGC1434" s="40"/>
      <c r="GGD1434" s="40"/>
      <c r="GGE1434" s="40"/>
      <c r="GGF1434" s="40"/>
      <c r="GGG1434" s="40"/>
      <c r="GGH1434" s="40"/>
      <c r="GGI1434" s="40"/>
      <c r="GGJ1434" s="40"/>
      <c r="GGK1434" s="40"/>
      <c r="GGL1434" s="40"/>
      <c r="GGM1434" s="40"/>
      <c r="GGN1434" s="40"/>
      <c r="GGO1434" s="40"/>
      <c r="GGP1434" s="40"/>
      <c r="GGQ1434" s="40"/>
      <c r="GGR1434" s="40"/>
      <c r="GGS1434" s="40"/>
      <c r="GGT1434" s="40"/>
      <c r="GGU1434" s="40"/>
      <c r="GGV1434" s="40"/>
      <c r="GGW1434" s="40"/>
      <c r="GGX1434" s="40"/>
      <c r="GGY1434" s="40"/>
      <c r="GGZ1434" s="40"/>
      <c r="GHA1434" s="40"/>
      <c r="GHB1434" s="40"/>
      <c r="GHC1434" s="40"/>
      <c r="GHD1434" s="40"/>
      <c r="GHE1434" s="40"/>
      <c r="GHF1434" s="40"/>
      <c r="GHG1434" s="40"/>
      <c r="GHH1434" s="40"/>
      <c r="GHI1434" s="40"/>
      <c r="GHJ1434" s="40"/>
      <c r="GHK1434" s="40"/>
      <c r="GHL1434" s="40"/>
      <c r="GHM1434" s="40"/>
      <c r="GHN1434" s="40"/>
      <c r="GHO1434" s="40"/>
      <c r="GHP1434" s="40"/>
      <c r="GHQ1434" s="40"/>
      <c r="GHR1434" s="40"/>
      <c r="GHS1434" s="40"/>
      <c r="GHT1434" s="40"/>
      <c r="GHU1434" s="40"/>
      <c r="GHV1434" s="40"/>
      <c r="GHW1434" s="40"/>
      <c r="GHX1434" s="40"/>
      <c r="GHY1434" s="40"/>
      <c r="GHZ1434" s="40"/>
      <c r="GIA1434" s="40"/>
      <c r="GIB1434" s="40"/>
      <c r="GIC1434" s="40"/>
      <c r="GID1434" s="40"/>
      <c r="GIE1434" s="40"/>
      <c r="GIF1434" s="40"/>
      <c r="GIG1434" s="40"/>
      <c r="GIH1434" s="40"/>
      <c r="GII1434" s="40"/>
      <c r="GIJ1434" s="40"/>
      <c r="GIK1434" s="40"/>
      <c r="GIL1434" s="40"/>
      <c r="GIM1434" s="40"/>
      <c r="GIN1434" s="40"/>
      <c r="GIO1434" s="40"/>
      <c r="GIP1434" s="40"/>
      <c r="GIQ1434" s="40"/>
      <c r="GIR1434" s="40"/>
      <c r="GIS1434" s="40"/>
      <c r="GIT1434" s="40"/>
      <c r="GIU1434" s="40"/>
      <c r="GIV1434" s="40"/>
      <c r="GIW1434" s="40"/>
      <c r="GIX1434" s="40"/>
      <c r="GIY1434" s="40"/>
      <c r="GIZ1434" s="40"/>
      <c r="GJA1434" s="40"/>
      <c r="GJB1434" s="40"/>
      <c r="GJC1434" s="40"/>
      <c r="GJD1434" s="40"/>
      <c r="GJE1434" s="40"/>
      <c r="GJF1434" s="40"/>
      <c r="GJG1434" s="40"/>
      <c r="GJH1434" s="40"/>
      <c r="GJI1434" s="40"/>
      <c r="GJJ1434" s="40"/>
      <c r="GJK1434" s="40"/>
      <c r="GJL1434" s="40"/>
      <c r="GJM1434" s="40"/>
      <c r="GJN1434" s="40"/>
      <c r="GJO1434" s="40"/>
      <c r="GJP1434" s="40"/>
      <c r="GJQ1434" s="40"/>
      <c r="GJR1434" s="40"/>
      <c r="GJS1434" s="40"/>
      <c r="GJT1434" s="40"/>
      <c r="GJU1434" s="40"/>
      <c r="GJV1434" s="40"/>
      <c r="GJW1434" s="40"/>
      <c r="GJX1434" s="40"/>
      <c r="GJY1434" s="40"/>
      <c r="GJZ1434" s="40"/>
      <c r="GKA1434" s="40"/>
      <c r="GKB1434" s="40"/>
      <c r="GKC1434" s="40"/>
      <c r="GKD1434" s="40"/>
      <c r="GKE1434" s="40"/>
      <c r="GKF1434" s="40"/>
      <c r="GKG1434" s="40"/>
      <c r="GKH1434" s="40"/>
      <c r="GKI1434" s="40"/>
      <c r="GKJ1434" s="40"/>
      <c r="GKK1434" s="40"/>
      <c r="GKL1434" s="40"/>
      <c r="GKM1434" s="40"/>
      <c r="GKN1434" s="40"/>
      <c r="GKO1434" s="40"/>
      <c r="GKP1434" s="40"/>
      <c r="GKQ1434" s="40"/>
      <c r="GKR1434" s="40"/>
      <c r="GKS1434" s="40"/>
      <c r="GKT1434" s="40"/>
      <c r="GKU1434" s="40"/>
      <c r="GKV1434" s="40"/>
      <c r="GKW1434" s="40"/>
      <c r="GKX1434" s="40"/>
      <c r="GKY1434" s="40"/>
      <c r="GKZ1434" s="40"/>
      <c r="GLA1434" s="40"/>
      <c r="GLB1434" s="40"/>
      <c r="GLC1434" s="40"/>
      <c r="GLD1434" s="40"/>
      <c r="GLE1434" s="40"/>
      <c r="GLF1434" s="40"/>
      <c r="GLG1434" s="40"/>
      <c r="GLH1434" s="40"/>
      <c r="GLI1434" s="40"/>
      <c r="GLJ1434" s="40"/>
      <c r="GLK1434" s="40"/>
      <c r="GLL1434" s="40"/>
      <c r="GLM1434" s="40"/>
      <c r="GLN1434" s="40"/>
      <c r="GLO1434" s="40"/>
      <c r="GLP1434" s="40"/>
      <c r="GLQ1434" s="40"/>
      <c r="GLR1434" s="40"/>
      <c r="GLS1434" s="40"/>
      <c r="GLT1434" s="40"/>
      <c r="GLU1434" s="40"/>
      <c r="GLV1434" s="40"/>
      <c r="GLW1434" s="40"/>
      <c r="GLX1434" s="40"/>
      <c r="GLY1434" s="40"/>
      <c r="GLZ1434" s="40"/>
      <c r="GMA1434" s="40"/>
      <c r="GMB1434" s="40"/>
      <c r="GMC1434" s="40"/>
      <c r="GMD1434" s="40"/>
      <c r="GME1434" s="40"/>
      <c r="GMF1434" s="40"/>
      <c r="GMG1434" s="40"/>
      <c r="GMH1434" s="40"/>
      <c r="GMI1434" s="40"/>
      <c r="GMJ1434" s="40"/>
      <c r="GMK1434" s="40"/>
      <c r="GML1434" s="40"/>
      <c r="GMM1434" s="40"/>
      <c r="GMN1434" s="40"/>
      <c r="GMO1434" s="40"/>
      <c r="GMP1434" s="40"/>
      <c r="GMQ1434" s="40"/>
      <c r="GMR1434" s="40"/>
      <c r="GMS1434" s="40"/>
      <c r="GMT1434" s="40"/>
      <c r="GMU1434" s="40"/>
      <c r="GMV1434" s="40"/>
      <c r="GMW1434" s="40"/>
      <c r="GMX1434" s="40"/>
      <c r="GMY1434" s="40"/>
      <c r="GMZ1434" s="40"/>
      <c r="GNA1434" s="40"/>
      <c r="GNB1434" s="40"/>
      <c r="GNC1434" s="40"/>
      <c r="GND1434" s="40"/>
      <c r="GNE1434" s="40"/>
      <c r="GNF1434" s="40"/>
      <c r="GNG1434" s="40"/>
      <c r="GNH1434" s="40"/>
      <c r="GNI1434" s="40"/>
      <c r="GNJ1434" s="40"/>
      <c r="GNK1434" s="40"/>
      <c r="GNL1434" s="40"/>
      <c r="GNM1434" s="40"/>
      <c r="GNN1434" s="40"/>
      <c r="GNO1434" s="40"/>
      <c r="GNP1434" s="40"/>
      <c r="GNQ1434" s="40"/>
      <c r="GNR1434" s="40"/>
      <c r="GNS1434" s="40"/>
      <c r="GNT1434" s="40"/>
      <c r="GNU1434" s="40"/>
      <c r="GNV1434" s="40"/>
      <c r="GNW1434" s="40"/>
      <c r="GNX1434" s="40"/>
      <c r="GNY1434" s="40"/>
      <c r="GNZ1434" s="40"/>
      <c r="GOA1434" s="40"/>
      <c r="GOB1434" s="40"/>
      <c r="GOC1434" s="40"/>
      <c r="GOD1434" s="40"/>
      <c r="GOE1434" s="40"/>
      <c r="GOF1434" s="40"/>
      <c r="GOG1434" s="40"/>
      <c r="GOH1434" s="40"/>
      <c r="GOI1434" s="40"/>
      <c r="GOJ1434" s="40"/>
      <c r="GOK1434" s="40"/>
      <c r="GOL1434" s="40"/>
      <c r="GOM1434" s="40"/>
      <c r="GON1434" s="40"/>
      <c r="GOO1434" s="40"/>
      <c r="GOP1434" s="40"/>
      <c r="GOQ1434" s="40"/>
      <c r="GOR1434" s="40"/>
      <c r="GOS1434" s="40"/>
      <c r="GOT1434" s="40"/>
      <c r="GOU1434" s="40"/>
      <c r="GOV1434" s="40"/>
      <c r="GOW1434" s="40"/>
      <c r="GOX1434" s="40"/>
      <c r="GOY1434" s="40"/>
      <c r="GOZ1434" s="40"/>
      <c r="GPA1434" s="40"/>
      <c r="GPB1434" s="40"/>
      <c r="GPC1434" s="40"/>
      <c r="GPD1434" s="40"/>
      <c r="GPE1434" s="40"/>
      <c r="GPF1434" s="40"/>
      <c r="GPG1434" s="40"/>
      <c r="GPH1434" s="40"/>
      <c r="GPI1434" s="40"/>
      <c r="GPJ1434" s="40"/>
      <c r="GPK1434" s="40"/>
      <c r="GPL1434" s="40"/>
      <c r="GPM1434" s="40"/>
      <c r="GPN1434" s="40"/>
      <c r="GPO1434" s="40"/>
      <c r="GPP1434" s="40"/>
      <c r="GPQ1434" s="40"/>
      <c r="GPR1434" s="40"/>
      <c r="GPS1434" s="40"/>
      <c r="GPT1434" s="40"/>
      <c r="GPU1434" s="40"/>
      <c r="GPV1434" s="40"/>
      <c r="GPW1434" s="40"/>
      <c r="GPX1434" s="40"/>
      <c r="GPY1434" s="40"/>
      <c r="GPZ1434" s="40"/>
      <c r="GQA1434" s="40"/>
      <c r="GQB1434" s="40"/>
      <c r="GQC1434" s="40"/>
      <c r="GQD1434" s="40"/>
      <c r="GQE1434" s="40"/>
      <c r="GQF1434" s="40"/>
      <c r="GQG1434" s="40"/>
      <c r="GQH1434" s="40"/>
      <c r="GQI1434" s="40"/>
      <c r="GQJ1434" s="40"/>
      <c r="GQK1434" s="40"/>
      <c r="GQL1434" s="40"/>
      <c r="GQM1434" s="40"/>
      <c r="GQN1434" s="40"/>
      <c r="GQO1434" s="40"/>
      <c r="GQP1434" s="40"/>
      <c r="GQQ1434" s="40"/>
      <c r="GQR1434" s="40"/>
      <c r="GQS1434" s="40"/>
      <c r="GQT1434" s="40"/>
      <c r="GQU1434" s="40"/>
      <c r="GQV1434" s="40"/>
      <c r="GQW1434" s="40"/>
      <c r="GQX1434" s="40"/>
      <c r="GQY1434" s="40"/>
      <c r="GQZ1434" s="40"/>
      <c r="GRA1434" s="40"/>
      <c r="GRB1434" s="40"/>
      <c r="GRC1434" s="40"/>
      <c r="GRD1434" s="40"/>
      <c r="GRE1434" s="40"/>
      <c r="GRF1434" s="40"/>
      <c r="GRG1434" s="40"/>
      <c r="GRH1434" s="40"/>
      <c r="GRI1434" s="40"/>
      <c r="GRJ1434" s="40"/>
      <c r="GRK1434" s="40"/>
      <c r="GRL1434" s="40"/>
      <c r="GRM1434" s="40"/>
      <c r="GRN1434" s="40"/>
      <c r="GRO1434" s="40"/>
      <c r="GRP1434" s="40"/>
      <c r="GRQ1434" s="40"/>
      <c r="GRR1434" s="40"/>
      <c r="GRS1434" s="40"/>
      <c r="GRT1434" s="40"/>
      <c r="GRU1434" s="40"/>
      <c r="GRV1434" s="40"/>
      <c r="GRW1434" s="40"/>
      <c r="GRX1434" s="40"/>
      <c r="GRY1434" s="40"/>
      <c r="GRZ1434" s="40"/>
      <c r="GSA1434" s="40"/>
      <c r="GSB1434" s="40"/>
      <c r="GSC1434" s="40"/>
      <c r="GSD1434" s="40"/>
      <c r="GSE1434" s="40"/>
      <c r="GSF1434" s="40"/>
      <c r="GSG1434" s="40"/>
      <c r="GSH1434" s="40"/>
      <c r="GSI1434" s="40"/>
      <c r="GSJ1434" s="40"/>
      <c r="GSK1434" s="40"/>
      <c r="GSL1434" s="40"/>
      <c r="GSM1434" s="40"/>
      <c r="GSN1434" s="40"/>
      <c r="GSO1434" s="40"/>
      <c r="GSP1434" s="40"/>
      <c r="GSQ1434" s="40"/>
      <c r="GSR1434" s="40"/>
      <c r="GSS1434" s="40"/>
      <c r="GST1434" s="40"/>
      <c r="GSU1434" s="40"/>
      <c r="GSV1434" s="40"/>
      <c r="GSW1434" s="40"/>
      <c r="GSX1434" s="40"/>
      <c r="GSY1434" s="40"/>
      <c r="GSZ1434" s="40"/>
      <c r="GTA1434" s="40"/>
      <c r="GTB1434" s="40"/>
      <c r="GTC1434" s="40"/>
      <c r="GTD1434" s="40"/>
      <c r="GTE1434" s="40"/>
      <c r="GTF1434" s="40"/>
      <c r="GTG1434" s="40"/>
      <c r="GTH1434" s="40"/>
      <c r="GTI1434" s="40"/>
      <c r="GTJ1434" s="40"/>
      <c r="GTK1434" s="40"/>
      <c r="GTL1434" s="40"/>
      <c r="GTM1434" s="40"/>
      <c r="GTN1434" s="40"/>
      <c r="GTO1434" s="40"/>
      <c r="GTP1434" s="40"/>
      <c r="GTQ1434" s="40"/>
      <c r="GTR1434" s="40"/>
      <c r="GTS1434" s="40"/>
      <c r="GTT1434" s="40"/>
      <c r="GTU1434" s="40"/>
      <c r="GTV1434" s="40"/>
      <c r="GTW1434" s="40"/>
      <c r="GTX1434" s="40"/>
      <c r="GTY1434" s="40"/>
      <c r="GTZ1434" s="40"/>
      <c r="GUA1434" s="40"/>
      <c r="GUB1434" s="40"/>
      <c r="GUC1434" s="40"/>
      <c r="GUD1434" s="40"/>
      <c r="GUE1434" s="40"/>
      <c r="GUF1434" s="40"/>
      <c r="GUG1434" s="40"/>
      <c r="GUH1434" s="40"/>
      <c r="GUI1434" s="40"/>
      <c r="GUJ1434" s="40"/>
      <c r="GUK1434" s="40"/>
      <c r="GUL1434" s="40"/>
      <c r="GUM1434" s="40"/>
      <c r="GUN1434" s="40"/>
      <c r="GUO1434" s="40"/>
      <c r="GUP1434" s="40"/>
      <c r="GUQ1434" s="40"/>
      <c r="GUR1434" s="40"/>
      <c r="GUS1434" s="40"/>
      <c r="GUT1434" s="40"/>
      <c r="GUU1434" s="40"/>
      <c r="GUV1434" s="40"/>
      <c r="GUW1434" s="40"/>
      <c r="GUX1434" s="40"/>
      <c r="GUY1434" s="40"/>
      <c r="GUZ1434" s="40"/>
      <c r="GVA1434" s="40"/>
      <c r="GVB1434" s="40"/>
      <c r="GVC1434" s="40"/>
      <c r="GVD1434" s="40"/>
      <c r="GVE1434" s="40"/>
      <c r="GVF1434" s="40"/>
      <c r="GVG1434" s="40"/>
      <c r="GVH1434" s="40"/>
      <c r="GVI1434" s="40"/>
      <c r="GVJ1434" s="40"/>
      <c r="GVK1434" s="40"/>
      <c r="GVL1434" s="40"/>
      <c r="GVM1434" s="40"/>
      <c r="GVN1434" s="40"/>
      <c r="GVO1434" s="40"/>
      <c r="GVP1434" s="40"/>
      <c r="GVQ1434" s="40"/>
      <c r="GVR1434" s="40"/>
      <c r="GVS1434" s="40"/>
      <c r="GVT1434" s="40"/>
      <c r="GVU1434" s="40"/>
      <c r="GVV1434" s="40"/>
      <c r="GVW1434" s="40"/>
      <c r="GVX1434" s="40"/>
      <c r="GVY1434" s="40"/>
      <c r="GVZ1434" s="40"/>
      <c r="GWA1434" s="40"/>
      <c r="GWB1434" s="40"/>
      <c r="GWC1434" s="40"/>
      <c r="GWD1434" s="40"/>
      <c r="GWE1434" s="40"/>
      <c r="GWF1434" s="40"/>
      <c r="GWG1434" s="40"/>
      <c r="GWH1434" s="40"/>
      <c r="GWI1434" s="40"/>
      <c r="GWJ1434" s="40"/>
      <c r="GWK1434" s="40"/>
      <c r="GWL1434" s="40"/>
      <c r="GWM1434" s="40"/>
      <c r="GWN1434" s="40"/>
      <c r="GWO1434" s="40"/>
      <c r="GWP1434" s="40"/>
      <c r="GWQ1434" s="40"/>
      <c r="GWR1434" s="40"/>
      <c r="GWS1434" s="40"/>
      <c r="GWT1434" s="40"/>
      <c r="GWU1434" s="40"/>
      <c r="GWV1434" s="40"/>
      <c r="GWW1434" s="40"/>
      <c r="GWX1434" s="40"/>
      <c r="GWY1434" s="40"/>
      <c r="GWZ1434" s="40"/>
      <c r="GXA1434" s="40"/>
      <c r="GXB1434" s="40"/>
      <c r="GXC1434" s="40"/>
      <c r="GXD1434" s="40"/>
      <c r="GXE1434" s="40"/>
      <c r="GXF1434" s="40"/>
      <c r="GXG1434" s="40"/>
      <c r="GXH1434" s="40"/>
      <c r="GXI1434" s="40"/>
      <c r="GXJ1434" s="40"/>
      <c r="GXK1434" s="40"/>
      <c r="GXL1434" s="40"/>
      <c r="GXM1434" s="40"/>
      <c r="GXN1434" s="40"/>
      <c r="GXO1434" s="40"/>
      <c r="GXP1434" s="40"/>
      <c r="GXQ1434" s="40"/>
      <c r="GXR1434" s="40"/>
      <c r="GXS1434" s="40"/>
      <c r="GXT1434" s="40"/>
      <c r="GXU1434" s="40"/>
      <c r="GXV1434" s="40"/>
      <c r="GXW1434" s="40"/>
      <c r="GXX1434" s="40"/>
      <c r="GXY1434" s="40"/>
      <c r="GXZ1434" s="40"/>
      <c r="GYA1434" s="40"/>
      <c r="GYB1434" s="40"/>
      <c r="GYC1434" s="40"/>
      <c r="GYD1434" s="40"/>
      <c r="GYE1434" s="40"/>
      <c r="GYF1434" s="40"/>
      <c r="GYG1434" s="40"/>
      <c r="GYH1434" s="40"/>
      <c r="GYI1434" s="40"/>
      <c r="GYJ1434" s="40"/>
      <c r="GYK1434" s="40"/>
      <c r="GYL1434" s="40"/>
      <c r="GYM1434" s="40"/>
      <c r="GYN1434" s="40"/>
      <c r="GYO1434" s="40"/>
      <c r="GYP1434" s="40"/>
      <c r="GYQ1434" s="40"/>
      <c r="GYR1434" s="40"/>
      <c r="GYS1434" s="40"/>
      <c r="GYT1434" s="40"/>
      <c r="GYU1434" s="40"/>
      <c r="GYV1434" s="40"/>
      <c r="GYW1434" s="40"/>
      <c r="GYX1434" s="40"/>
      <c r="GYY1434" s="40"/>
      <c r="GYZ1434" s="40"/>
      <c r="GZA1434" s="40"/>
      <c r="GZB1434" s="40"/>
      <c r="GZC1434" s="40"/>
      <c r="GZD1434" s="40"/>
      <c r="GZE1434" s="40"/>
      <c r="GZF1434" s="40"/>
      <c r="GZG1434" s="40"/>
      <c r="GZH1434" s="40"/>
      <c r="GZI1434" s="40"/>
      <c r="GZJ1434" s="40"/>
      <c r="GZK1434" s="40"/>
      <c r="GZL1434" s="40"/>
      <c r="GZM1434" s="40"/>
      <c r="GZN1434" s="40"/>
      <c r="GZO1434" s="40"/>
      <c r="GZP1434" s="40"/>
      <c r="GZQ1434" s="40"/>
      <c r="GZR1434" s="40"/>
      <c r="GZS1434" s="40"/>
      <c r="GZT1434" s="40"/>
      <c r="GZU1434" s="40"/>
      <c r="GZV1434" s="40"/>
      <c r="GZW1434" s="40"/>
      <c r="GZX1434" s="40"/>
      <c r="GZY1434" s="40"/>
      <c r="GZZ1434" s="40"/>
      <c r="HAA1434" s="40"/>
      <c r="HAB1434" s="40"/>
      <c r="HAC1434" s="40"/>
      <c r="HAD1434" s="40"/>
      <c r="HAE1434" s="40"/>
      <c r="HAF1434" s="40"/>
      <c r="HAG1434" s="40"/>
      <c r="HAH1434" s="40"/>
      <c r="HAI1434" s="40"/>
      <c r="HAJ1434" s="40"/>
      <c r="HAK1434" s="40"/>
      <c r="HAL1434" s="40"/>
      <c r="HAM1434" s="40"/>
      <c r="HAN1434" s="40"/>
      <c r="HAO1434" s="40"/>
      <c r="HAP1434" s="40"/>
      <c r="HAQ1434" s="40"/>
      <c r="HAR1434" s="40"/>
      <c r="HAS1434" s="40"/>
      <c r="HAT1434" s="40"/>
      <c r="HAU1434" s="40"/>
      <c r="HAV1434" s="40"/>
      <c r="HAW1434" s="40"/>
      <c r="HAX1434" s="40"/>
      <c r="HAY1434" s="40"/>
      <c r="HAZ1434" s="40"/>
      <c r="HBA1434" s="40"/>
      <c r="HBB1434" s="40"/>
      <c r="HBC1434" s="40"/>
      <c r="HBD1434" s="40"/>
      <c r="HBE1434" s="40"/>
      <c r="HBF1434" s="40"/>
      <c r="HBG1434" s="40"/>
      <c r="HBH1434" s="40"/>
      <c r="HBI1434" s="40"/>
      <c r="HBJ1434" s="40"/>
      <c r="HBK1434" s="40"/>
      <c r="HBL1434" s="40"/>
      <c r="HBM1434" s="40"/>
      <c r="HBN1434" s="40"/>
      <c r="HBO1434" s="40"/>
      <c r="HBP1434" s="40"/>
      <c r="HBQ1434" s="40"/>
      <c r="HBR1434" s="40"/>
      <c r="HBS1434" s="40"/>
      <c r="HBT1434" s="40"/>
      <c r="HBU1434" s="40"/>
      <c r="HBV1434" s="40"/>
      <c r="HBW1434" s="40"/>
      <c r="HBX1434" s="40"/>
      <c r="HBY1434" s="40"/>
      <c r="HBZ1434" s="40"/>
      <c r="HCA1434" s="40"/>
      <c r="HCB1434" s="40"/>
      <c r="HCC1434" s="40"/>
      <c r="HCD1434" s="40"/>
      <c r="HCE1434" s="40"/>
      <c r="HCF1434" s="40"/>
      <c r="HCG1434" s="40"/>
      <c r="HCH1434" s="40"/>
      <c r="HCI1434" s="40"/>
      <c r="HCJ1434" s="40"/>
      <c r="HCK1434" s="40"/>
      <c r="HCL1434" s="40"/>
      <c r="HCM1434" s="40"/>
      <c r="HCN1434" s="40"/>
      <c r="HCO1434" s="40"/>
      <c r="HCP1434" s="40"/>
      <c r="HCQ1434" s="40"/>
      <c r="HCR1434" s="40"/>
      <c r="HCS1434" s="40"/>
      <c r="HCT1434" s="40"/>
      <c r="HCU1434" s="40"/>
      <c r="HCV1434" s="40"/>
      <c r="HCW1434" s="40"/>
      <c r="HCX1434" s="40"/>
      <c r="HCY1434" s="40"/>
      <c r="HCZ1434" s="40"/>
      <c r="HDA1434" s="40"/>
      <c r="HDB1434" s="40"/>
      <c r="HDC1434" s="40"/>
      <c r="HDD1434" s="40"/>
      <c r="HDE1434" s="40"/>
      <c r="HDF1434" s="40"/>
      <c r="HDG1434" s="40"/>
      <c r="HDH1434" s="40"/>
      <c r="HDI1434" s="40"/>
      <c r="HDJ1434" s="40"/>
      <c r="HDK1434" s="40"/>
      <c r="HDL1434" s="40"/>
      <c r="HDM1434" s="40"/>
      <c r="HDN1434" s="40"/>
      <c r="HDO1434" s="40"/>
      <c r="HDP1434" s="40"/>
      <c r="HDQ1434" s="40"/>
      <c r="HDR1434" s="40"/>
      <c r="HDS1434" s="40"/>
      <c r="HDT1434" s="40"/>
      <c r="HDU1434" s="40"/>
      <c r="HDV1434" s="40"/>
      <c r="HDW1434" s="40"/>
      <c r="HDX1434" s="40"/>
      <c r="HDY1434" s="40"/>
      <c r="HDZ1434" s="40"/>
      <c r="HEA1434" s="40"/>
      <c r="HEB1434" s="40"/>
      <c r="HEC1434" s="40"/>
      <c r="HED1434" s="40"/>
      <c r="HEE1434" s="40"/>
      <c r="HEF1434" s="40"/>
      <c r="HEG1434" s="40"/>
      <c r="HEH1434" s="40"/>
      <c r="HEI1434" s="40"/>
      <c r="HEJ1434" s="40"/>
      <c r="HEK1434" s="40"/>
      <c r="HEL1434" s="40"/>
      <c r="HEM1434" s="40"/>
      <c r="HEN1434" s="40"/>
      <c r="HEO1434" s="40"/>
      <c r="HEP1434" s="40"/>
      <c r="HEQ1434" s="40"/>
      <c r="HER1434" s="40"/>
      <c r="HES1434" s="40"/>
      <c r="HET1434" s="40"/>
      <c r="HEU1434" s="40"/>
      <c r="HEV1434" s="40"/>
      <c r="HEW1434" s="40"/>
      <c r="HEX1434" s="40"/>
      <c r="HEY1434" s="40"/>
      <c r="HEZ1434" s="40"/>
      <c r="HFA1434" s="40"/>
      <c r="HFB1434" s="40"/>
      <c r="HFC1434" s="40"/>
      <c r="HFD1434" s="40"/>
      <c r="HFE1434" s="40"/>
      <c r="HFF1434" s="40"/>
      <c r="HFG1434" s="40"/>
      <c r="HFH1434" s="40"/>
      <c r="HFI1434" s="40"/>
      <c r="HFJ1434" s="40"/>
      <c r="HFK1434" s="40"/>
      <c r="HFL1434" s="40"/>
      <c r="HFM1434" s="40"/>
      <c r="HFN1434" s="40"/>
      <c r="HFO1434" s="40"/>
      <c r="HFP1434" s="40"/>
      <c r="HFQ1434" s="40"/>
      <c r="HFR1434" s="40"/>
      <c r="HFS1434" s="40"/>
      <c r="HFT1434" s="40"/>
      <c r="HFU1434" s="40"/>
      <c r="HFV1434" s="40"/>
      <c r="HFW1434" s="40"/>
      <c r="HFX1434" s="40"/>
      <c r="HFY1434" s="40"/>
      <c r="HFZ1434" s="40"/>
      <c r="HGA1434" s="40"/>
      <c r="HGB1434" s="40"/>
      <c r="HGC1434" s="40"/>
      <c r="HGD1434" s="40"/>
      <c r="HGE1434" s="40"/>
      <c r="HGF1434" s="40"/>
      <c r="HGG1434" s="40"/>
      <c r="HGH1434" s="40"/>
      <c r="HGI1434" s="40"/>
      <c r="HGJ1434" s="40"/>
      <c r="HGK1434" s="40"/>
      <c r="HGL1434" s="40"/>
      <c r="HGM1434" s="40"/>
      <c r="HGN1434" s="40"/>
      <c r="HGO1434" s="40"/>
      <c r="HGP1434" s="40"/>
      <c r="HGQ1434" s="40"/>
      <c r="HGR1434" s="40"/>
      <c r="HGS1434" s="40"/>
      <c r="HGT1434" s="40"/>
      <c r="HGU1434" s="40"/>
      <c r="HGV1434" s="40"/>
      <c r="HGW1434" s="40"/>
      <c r="HGX1434" s="40"/>
      <c r="HGY1434" s="40"/>
      <c r="HGZ1434" s="40"/>
      <c r="HHA1434" s="40"/>
      <c r="HHB1434" s="40"/>
      <c r="HHC1434" s="40"/>
      <c r="HHD1434" s="40"/>
      <c r="HHE1434" s="40"/>
      <c r="HHF1434" s="40"/>
      <c r="HHG1434" s="40"/>
      <c r="HHH1434" s="40"/>
      <c r="HHI1434" s="40"/>
      <c r="HHJ1434" s="40"/>
      <c r="HHK1434" s="40"/>
      <c r="HHL1434" s="40"/>
      <c r="HHM1434" s="40"/>
      <c r="HHN1434" s="40"/>
      <c r="HHO1434" s="40"/>
      <c r="HHP1434" s="40"/>
      <c r="HHQ1434" s="40"/>
      <c r="HHR1434" s="40"/>
      <c r="HHS1434" s="40"/>
      <c r="HHT1434" s="40"/>
      <c r="HHU1434" s="40"/>
      <c r="HHV1434" s="40"/>
      <c r="HHW1434" s="40"/>
      <c r="HHX1434" s="40"/>
      <c r="HHY1434" s="40"/>
      <c r="HHZ1434" s="40"/>
      <c r="HIA1434" s="40"/>
      <c r="HIB1434" s="40"/>
      <c r="HIC1434" s="40"/>
      <c r="HID1434" s="40"/>
      <c r="HIE1434" s="40"/>
      <c r="HIF1434" s="40"/>
      <c r="HIG1434" s="40"/>
      <c r="HIH1434" s="40"/>
      <c r="HII1434" s="40"/>
      <c r="HIJ1434" s="40"/>
      <c r="HIK1434" s="40"/>
      <c r="HIL1434" s="40"/>
      <c r="HIM1434" s="40"/>
      <c r="HIN1434" s="40"/>
      <c r="HIO1434" s="40"/>
      <c r="HIP1434" s="40"/>
      <c r="HIQ1434" s="40"/>
      <c r="HIR1434" s="40"/>
      <c r="HIS1434" s="40"/>
      <c r="HIT1434" s="40"/>
      <c r="HIU1434" s="40"/>
      <c r="HIV1434" s="40"/>
      <c r="HIW1434" s="40"/>
      <c r="HIX1434" s="40"/>
      <c r="HIY1434" s="40"/>
      <c r="HIZ1434" s="40"/>
      <c r="HJA1434" s="40"/>
      <c r="HJB1434" s="40"/>
      <c r="HJC1434" s="40"/>
      <c r="HJD1434" s="40"/>
      <c r="HJE1434" s="40"/>
      <c r="HJF1434" s="40"/>
      <c r="HJG1434" s="40"/>
      <c r="HJH1434" s="40"/>
      <c r="HJI1434" s="40"/>
      <c r="HJJ1434" s="40"/>
      <c r="HJK1434" s="40"/>
      <c r="HJL1434" s="40"/>
      <c r="HJM1434" s="40"/>
      <c r="HJN1434" s="40"/>
      <c r="HJO1434" s="40"/>
      <c r="HJP1434" s="40"/>
      <c r="HJQ1434" s="40"/>
      <c r="HJR1434" s="40"/>
      <c r="HJS1434" s="40"/>
      <c r="HJT1434" s="40"/>
      <c r="HJU1434" s="40"/>
      <c r="HJV1434" s="40"/>
      <c r="HJW1434" s="40"/>
      <c r="HJX1434" s="40"/>
      <c r="HJY1434" s="40"/>
      <c r="HJZ1434" s="40"/>
      <c r="HKA1434" s="40"/>
      <c r="HKB1434" s="40"/>
      <c r="HKC1434" s="40"/>
      <c r="HKD1434" s="40"/>
      <c r="HKE1434" s="40"/>
      <c r="HKF1434" s="40"/>
      <c r="HKG1434" s="40"/>
      <c r="HKH1434" s="40"/>
      <c r="HKI1434" s="40"/>
      <c r="HKJ1434" s="40"/>
      <c r="HKK1434" s="40"/>
      <c r="HKL1434" s="40"/>
      <c r="HKM1434" s="40"/>
      <c r="HKN1434" s="40"/>
      <c r="HKO1434" s="40"/>
      <c r="HKP1434" s="40"/>
      <c r="HKQ1434" s="40"/>
      <c r="HKR1434" s="40"/>
      <c r="HKS1434" s="40"/>
      <c r="HKT1434" s="40"/>
      <c r="HKU1434" s="40"/>
      <c r="HKV1434" s="40"/>
      <c r="HKW1434" s="40"/>
      <c r="HKX1434" s="40"/>
      <c r="HKY1434" s="40"/>
      <c r="HKZ1434" s="40"/>
      <c r="HLA1434" s="40"/>
      <c r="HLB1434" s="40"/>
      <c r="HLC1434" s="40"/>
      <c r="HLD1434" s="40"/>
      <c r="HLE1434" s="40"/>
      <c r="HLF1434" s="40"/>
      <c r="HLG1434" s="40"/>
      <c r="HLH1434" s="40"/>
      <c r="HLI1434" s="40"/>
      <c r="HLJ1434" s="40"/>
      <c r="HLK1434" s="40"/>
      <c r="HLL1434" s="40"/>
      <c r="HLM1434" s="40"/>
      <c r="HLN1434" s="40"/>
      <c r="HLO1434" s="40"/>
      <c r="HLP1434" s="40"/>
      <c r="HLQ1434" s="40"/>
      <c r="HLR1434" s="40"/>
      <c r="HLS1434" s="40"/>
      <c r="HLT1434" s="40"/>
      <c r="HLU1434" s="40"/>
      <c r="HLV1434" s="40"/>
      <c r="HLW1434" s="40"/>
      <c r="HLX1434" s="40"/>
      <c r="HLY1434" s="40"/>
      <c r="HLZ1434" s="40"/>
      <c r="HMA1434" s="40"/>
      <c r="HMB1434" s="40"/>
      <c r="HMC1434" s="40"/>
      <c r="HMD1434" s="40"/>
      <c r="HME1434" s="40"/>
      <c r="HMF1434" s="40"/>
      <c r="HMG1434" s="40"/>
      <c r="HMH1434" s="40"/>
      <c r="HMI1434" s="40"/>
      <c r="HMJ1434" s="40"/>
      <c r="HMK1434" s="40"/>
      <c r="HML1434" s="40"/>
      <c r="HMM1434" s="40"/>
      <c r="HMN1434" s="40"/>
      <c r="HMO1434" s="40"/>
      <c r="HMP1434" s="40"/>
      <c r="HMQ1434" s="40"/>
      <c r="HMR1434" s="40"/>
      <c r="HMS1434" s="40"/>
      <c r="HMT1434" s="40"/>
      <c r="HMU1434" s="40"/>
      <c r="HMV1434" s="40"/>
      <c r="HMW1434" s="40"/>
      <c r="HMX1434" s="40"/>
      <c r="HMY1434" s="40"/>
      <c r="HMZ1434" s="40"/>
      <c r="HNA1434" s="40"/>
      <c r="HNB1434" s="40"/>
      <c r="HNC1434" s="40"/>
      <c r="HND1434" s="40"/>
      <c r="HNE1434" s="40"/>
      <c r="HNF1434" s="40"/>
      <c r="HNG1434" s="40"/>
      <c r="HNH1434" s="40"/>
      <c r="HNI1434" s="40"/>
      <c r="HNJ1434" s="40"/>
      <c r="HNK1434" s="40"/>
      <c r="HNL1434" s="40"/>
      <c r="HNM1434" s="40"/>
      <c r="HNN1434" s="40"/>
      <c r="HNO1434" s="40"/>
      <c r="HNP1434" s="40"/>
      <c r="HNQ1434" s="40"/>
      <c r="HNR1434" s="40"/>
      <c r="HNS1434" s="40"/>
      <c r="HNT1434" s="40"/>
      <c r="HNU1434" s="40"/>
      <c r="HNV1434" s="40"/>
      <c r="HNW1434" s="40"/>
      <c r="HNX1434" s="40"/>
      <c r="HNY1434" s="40"/>
      <c r="HNZ1434" s="40"/>
      <c r="HOA1434" s="40"/>
      <c r="HOB1434" s="40"/>
      <c r="HOC1434" s="40"/>
      <c r="HOD1434" s="40"/>
      <c r="HOE1434" s="40"/>
      <c r="HOF1434" s="40"/>
      <c r="HOG1434" s="40"/>
      <c r="HOH1434" s="40"/>
      <c r="HOI1434" s="40"/>
      <c r="HOJ1434" s="40"/>
      <c r="HOK1434" s="40"/>
      <c r="HOL1434" s="40"/>
      <c r="HOM1434" s="40"/>
      <c r="HON1434" s="40"/>
      <c r="HOO1434" s="40"/>
      <c r="HOP1434" s="40"/>
      <c r="HOQ1434" s="40"/>
      <c r="HOR1434" s="40"/>
      <c r="HOS1434" s="40"/>
      <c r="HOT1434" s="40"/>
      <c r="HOU1434" s="40"/>
      <c r="HOV1434" s="40"/>
      <c r="HOW1434" s="40"/>
      <c r="HOX1434" s="40"/>
      <c r="HOY1434" s="40"/>
      <c r="HOZ1434" s="40"/>
      <c r="HPA1434" s="40"/>
      <c r="HPB1434" s="40"/>
      <c r="HPC1434" s="40"/>
      <c r="HPD1434" s="40"/>
      <c r="HPE1434" s="40"/>
      <c r="HPF1434" s="40"/>
      <c r="HPG1434" s="40"/>
      <c r="HPH1434" s="40"/>
      <c r="HPI1434" s="40"/>
      <c r="HPJ1434" s="40"/>
      <c r="HPK1434" s="40"/>
      <c r="HPL1434" s="40"/>
      <c r="HPM1434" s="40"/>
      <c r="HPN1434" s="40"/>
      <c r="HPO1434" s="40"/>
      <c r="HPP1434" s="40"/>
      <c r="HPQ1434" s="40"/>
      <c r="HPR1434" s="40"/>
      <c r="HPS1434" s="40"/>
      <c r="HPT1434" s="40"/>
      <c r="HPU1434" s="40"/>
      <c r="HPV1434" s="40"/>
      <c r="HPW1434" s="40"/>
      <c r="HPX1434" s="40"/>
      <c r="HPY1434" s="40"/>
      <c r="HPZ1434" s="40"/>
      <c r="HQA1434" s="40"/>
      <c r="HQB1434" s="40"/>
      <c r="HQC1434" s="40"/>
      <c r="HQD1434" s="40"/>
      <c r="HQE1434" s="40"/>
      <c r="HQF1434" s="40"/>
      <c r="HQG1434" s="40"/>
      <c r="HQH1434" s="40"/>
      <c r="HQI1434" s="40"/>
      <c r="HQJ1434" s="40"/>
      <c r="HQK1434" s="40"/>
      <c r="HQL1434" s="40"/>
      <c r="HQM1434" s="40"/>
      <c r="HQN1434" s="40"/>
      <c r="HQO1434" s="40"/>
      <c r="HQP1434" s="40"/>
      <c r="HQQ1434" s="40"/>
      <c r="HQR1434" s="40"/>
      <c r="HQS1434" s="40"/>
      <c r="HQT1434" s="40"/>
      <c r="HQU1434" s="40"/>
      <c r="HQV1434" s="40"/>
      <c r="HQW1434" s="40"/>
      <c r="HQX1434" s="40"/>
      <c r="HQY1434" s="40"/>
      <c r="HQZ1434" s="40"/>
      <c r="HRA1434" s="40"/>
      <c r="HRB1434" s="40"/>
      <c r="HRC1434" s="40"/>
      <c r="HRD1434" s="40"/>
      <c r="HRE1434" s="40"/>
      <c r="HRF1434" s="40"/>
      <c r="HRG1434" s="40"/>
      <c r="HRH1434" s="40"/>
      <c r="HRI1434" s="40"/>
      <c r="HRJ1434" s="40"/>
      <c r="HRK1434" s="40"/>
      <c r="HRL1434" s="40"/>
      <c r="HRM1434" s="40"/>
      <c r="HRN1434" s="40"/>
      <c r="HRO1434" s="40"/>
      <c r="HRP1434" s="40"/>
      <c r="HRQ1434" s="40"/>
      <c r="HRR1434" s="40"/>
      <c r="HRS1434" s="40"/>
      <c r="HRT1434" s="40"/>
      <c r="HRU1434" s="40"/>
      <c r="HRV1434" s="40"/>
      <c r="HRW1434" s="40"/>
      <c r="HRX1434" s="40"/>
      <c r="HRY1434" s="40"/>
      <c r="HRZ1434" s="40"/>
      <c r="HSA1434" s="40"/>
      <c r="HSB1434" s="40"/>
      <c r="HSC1434" s="40"/>
      <c r="HSD1434" s="40"/>
      <c r="HSE1434" s="40"/>
      <c r="HSF1434" s="40"/>
      <c r="HSG1434" s="40"/>
      <c r="HSH1434" s="40"/>
      <c r="HSI1434" s="40"/>
      <c r="HSJ1434" s="40"/>
      <c r="HSK1434" s="40"/>
      <c r="HSL1434" s="40"/>
      <c r="HSM1434" s="40"/>
      <c r="HSN1434" s="40"/>
      <c r="HSO1434" s="40"/>
      <c r="HSP1434" s="40"/>
      <c r="HSQ1434" s="40"/>
      <c r="HSR1434" s="40"/>
      <c r="HSS1434" s="40"/>
      <c r="HST1434" s="40"/>
      <c r="HSU1434" s="40"/>
      <c r="HSV1434" s="40"/>
      <c r="HSW1434" s="40"/>
      <c r="HSX1434" s="40"/>
      <c r="HSY1434" s="40"/>
      <c r="HSZ1434" s="40"/>
      <c r="HTA1434" s="40"/>
      <c r="HTB1434" s="40"/>
      <c r="HTC1434" s="40"/>
      <c r="HTD1434" s="40"/>
      <c r="HTE1434" s="40"/>
      <c r="HTF1434" s="40"/>
      <c r="HTG1434" s="40"/>
      <c r="HTH1434" s="40"/>
      <c r="HTI1434" s="40"/>
      <c r="HTJ1434" s="40"/>
      <c r="HTK1434" s="40"/>
      <c r="HTL1434" s="40"/>
      <c r="HTM1434" s="40"/>
      <c r="HTN1434" s="40"/>
      <c r="HTO1434" s="40"/>
      <c r="HTP1434" s="40"/>
      <c r="HTQ1434" s="40"/>
      <c r="HTR1434" s="40"/>
      <c r="HTS1434" s="40"/>
      <c r="HTT1434" s="40"/>
      <c r="HTU1434" s="40"/>
      <c r="HTV1434" s="40"/>
      <c r="HTW1434" s="40"/>
      <c r="HTX1434" s="40"/>
      <c r="HTY1434" s="40"/>
      <c r="HTZ1434" s="40"/>
      <c r="HUA1434" s="40"/>
      <c r="HUB1434" s="40"/>
      <c r="HUC1434" s="40"/>
      <c r="HUD1434" s="40"/>
      <c r="HUE1434" s="40"/>
      <c r="HUF1434" s="40"/>
      <c r="HUG1434" s="40"/>
      <c r="HUH1434" s="40"/>
      <c r="HUI1434" s="40"/>
      <c r="HUJ1434" s="40"/>
      <c r="HUK1434" s="40"/>
      <c r="HUL1434" s="40"/>
      <c r="HUM1434" s="40"/>
      <c r="HUN1434" s="40"/>
      <c r="HUO1434" s="40"/>
      <c r="HUP1434" s="40"/>
      <c r="HUQ1434" s="40"/>
      <c r="HUR1434" s="40"/>
      <c r="HUS1434" s="40"/>
      <c r="HUT1434" s="40"/>
      <c r="HUU1434" s="40"/>
      <c r="HUV1434" s="40"/>
      <c r="HUW1434" s="40"/>
      <c r="HUX1434" s="40"/>
      <c r="HUY1434" s="40"/>
      <c r="HUZ1434" s="40"/>
      <c r="HVA1434" s="40"/>
      <c r="HVB1434" s="40"/>
      <c r="HVC1434" s="40"/>
      <c r="HVD1434" s="40"/>
      <c r="HVE1434" s="40"/>
      <c r="HVF1434" s="40"/>
      <c r="HVG1434" s="40"/>
      <c r="HVH1434" s="40"/>
      <c r="HVI1434" s="40"/>
      <c r="HVJ1434" s="40"/>
      <c r="HVK1434" s="40"/>
      <c r="HVL1434" s="40"/>
      <c r="HVM1434" s="40"/>
      <c r="HVN1434" s="40"/>
      <c r="HVO1434" s="40"/>
      <c r="HVP1434" s="40"/>
      <c r="HVQ1434" s="40"/>
      <c r="HVR1434" s="40"/>
      <c r="HVS1434" s="40"/>
      <c r="HVT1434" s="40"/>
      <c r="HVU1434" s="40"/>
      <c r="HVV1434" s="40"/>
      <c r="HVW1434" s="40"/>
      <c r="HVX1434" s="40"/>
      <c r="HVY1434" s="40"/>
      <c r="HVZ1434" s="40"/>
      <c r="HWA1434" s="40"/>
      <c r="HWB1434" s="40"/>
      <c r="HWC1434" s="40"/>
      <c r="HWD1434" s="40"/>
      <c r="HWE1434" s="40"/>
      <c r="HWF1434" s="40"/>
      <c r="HWG1434" s="40"/>
      <c r="HWH1434" s="40"/>
      <c r="HWI1434" s="40"/>
      <c r="HWJ1434" s="40"/>
      <c r="HWK1434" s="40"/>
      <c r="HWL1434" s="40"/>
      <c r="HWM1434" s="40"/>
      <c r="HWN1434" s="40"/>
      <c r="HWO1434" s="40"/>
      <c r="HWP1434" s="40"/>
      <c r="HWQ1434" s="40"/>
      <c r="HWR1434" s="40"/>
      <c r="HWS1434" s="40"/>
      <c r="HWT1434" s="40"/>
      <c r="HWU1434" s="40"/>
      <c r="HWV1434" s="40"/>
      <c r="HWW1434" s="40"/>
      <c r="HWX1434" s="40"/>
      <c r="HWY1434" s="40"/>
      <c r="HWZ1434" s="40"/>
      <c r="HXA1434" s="40"/>
      <c r="HXB1434" s="40"/>
      <c r="HXC1434" s="40"/>
      <c r="HXD1434" s="40"/>
      <c r="HXE1434" s="40"/>
      <c r="HXF1434" s="40"/>
      <c r="HXG1434" s="40"/>
      <c r="HXH1434" s="40"/>
      <c r="HXI1434" s="40"/>
      <c r="HXJ1434" s="40"/>
      <c r="HXK1434" s="40"/>
      <c r="HXL1434" s="40"/>
      <c r="HXM1434" s="40"/>
      <c r="HXN1434" s="40"/>
      <c r="HXO1434" s="40"/>
      <c r="HXP1434" s="40"/>
      <c r="HXQ1434" s="40"/>
      <c r="HXR1434" s="40"/>
      <c r="HXS1434" s="40"/>
      <c r="HXT1434" s="40"/>
      <c r="HXU1434" s="40"/>
      <c r="HXV1434" s="40"/>
      <c r="HXW1434" s="40"/>
      <c r="HXX1434" s="40"/>
      <c r="HXY1434" s="40"/>
      <c r="HXZ1434" s="40"/>
      <c r="HYA1434" s="40"/>
      <c r="HYB1434" s="40"/>
      <c r="HYC1434" s="40"/>
      <c r="HYD1434" s="40"/>
      <c r="HYE1434" s="40"/>
      <c r="HYF1434" s="40"/>
      <c r="HYG1434" s="40"/>
      <c r="HYH1434" s="40"/>
      <c r="HYI1434" s="40"/>
      <c r="HYJ1434" s="40"/>
      <c r="HYK1434" s="40"/>
      <c r="HYL1434" s="40"/>
      <c r="HYM1434" s="40"/>
      <c r="HYN1434" s="40"/>
      <c r="HYO1434" s="40"/>
      <c r="HYP1434" s="40"/>
      <c r="HYQ1434" s="40"/>
      <c r="HYR1434" s="40"/>
      <c r="HYS1434" s="40"/>
      <c r="HYT1434" s="40"/>
      <c r="HYU1434" s="40"/>
      <c r="HYV1434" s="40"/>
      <c r="HYW1434" s="40"/>
      <c r="HYX1434" s="40"/>
      <c r="HYY1434" s="40"/>
      <c r="HYZ1434" s="40"/>
      <c r="HZA1434" s="40"/>
      <c r="HZB1434" s="40"/>
      <c r="HZC1434" s="40"/>
      <c r="HZD1434" s="40"/>
      <c r="HZE1434" s="40"/>
      <c r="HZF1434" s="40"/>
      <c r="HZG1434" s="40"/>
      <c r="HZH1434" s="40"/>
      <c r="HZI1434" s="40"/>
      <c r="HZJ1434" s="40"/>
      <c r="HZK1434" s="40"/>
      <c r="HZL1434" s="40"/>
      <c r="HZM1434" s="40"/>
      <c r="HZN1434" s="40"/>
      <c r="HZO1434" s="40"/>
      <c r="HZP1434" s="40"/>
      <c r="HZQ1434" s="40"/>
      <c r="HZR1434" s="40"/>
      <c r="HZS1434" s="40"/>
      <c r="HZT1434" s="40"/>
      <c r="HZU1434" s="40"/>
      <c r="HZV1434" s="40"/>
      <c r="HZW1434" s="40"/>
      <c r="HZX1434" s="40"/>
      <c r="HZY1434" s="40"/>
      <c r="HZZ1434" s="40"/>
      <c r="IAA1434" s="40"/>
      <c r="IAB1434" s="40"/>
      <c r="IAC1434" s="40"/>
      <c r="IAD1434" s="40"/>
      <c r="IAE1434" s="40"/>
      <c r="IAF1434" s="40"/>
      <c r="IAG1434" s="40"/>
      <c r="IAH1434" s="40"/>
      <c r="IAI1434" s="40"/>
      <c r="IAJ1434" s="40"/>
      <c r="IAK1434" s="40"/>
      <c r="IAL1434" s="40"/>
      <c r="IAM1434" s="40"/>
      <c r="IAN1434" s="40"/>
      <c r="IAO1434" s="40"/>
      <c r="IAP1434" s="40"/>
      <c r="IAQ1434" s="40"/>
      <c r="IAR1434" s="40"/>
      <c r="IAS1434" s="40"/>
      <c r="IAT1434" s="40"/>
      <c r="IAU1434" s="40"/>
      <c r="IAV1434" s="40"/>
      <c r="IAW1434" s="40"/>
      <c r="IAX1434" s="40"/>
      <c r="IAY1434" s="40"/>
      <c r="IAZ1434" s="40"/>
      <c r="IBA1434" s="40"/>
      <c r="IBB1434" s="40"/>
      <c r="IBC1434" s="40"/>
      <c r="IBD1434" s="40"/>
      <c r="IBE1434" s="40"/>
      <c r="IBF1434" s="40"/>
      <c r="IBG1434" s="40"/>
      <c r="IBH1434" s="40"/>
      <c r="IBI1434" s="40"/>
      <c r="IBJ1434" s="40"/>
      <c r="IBK1434" s="40"/>
      <c r="IBL1434" s="40"/>
      <c r="IBM1434" s="40"/>
      <c r="IBN1434" s="40"/>
      <c r="IBO1434" s="40"/>
      <c r="IBP1434" s="40"/>
      <c r="IBQ1434" s="40"/>
      <c r="IBR1434" s="40"/>
      <c r="IBS1434" s="40"/>
      <c r="IBT1434" s="40"/>
      <c r="IBU1434" s="40"/>
      <c r="IBV1434" s="40"/>
      <c r="IBW1434" s="40"/>
      <c r="IBX1434" s="40"/>
      <c r="IBY1434" s="40"/>
      <c r="IBZ1434" s="40"/>
      <c r="ICA1434" s="40"/>
      <c r="ICB1434" s="40"/>
      <c r="ICC1434" s="40"/>
      <c r="ICD1434" s="40"/>
      <c r="ICE1434" s="40"/>
      <c r="ICF1434" s="40"/>
      <c r="ICG1434" s="40"/>
      <c r="ICH1434" s="40"/>
      <c r="ICI1434" s="40"/>
      <c r="ICJ1434" s="40"/>
      <c r="ICK1434" s="40"/>
      <c r="ICL1434" s="40"/>
      <c r="ICM1434" s="40"/>
      <c r="ICN1434" s="40"/>
      <c r="ICO1434" s="40"/>
      <c r="ICP1434" s="40"/>
      <c r="ICQ1434" s="40"/>
      <c r="ICR1434" s="40"/>
      <c r="ICS1434" s="40"/>
      <c r="ICT1434" s="40"/>
      <c r="ICU1434" s="40"/>
      <c r="ICV1434" s="40"/>
      <c r="ICW1434" s="40"/>
      <c r="ICX1434" s="40"/>
      <c r="ICY1434" s="40"/>
      <c r="ICZ1434" s="40"/>
      <c r="IDA1434" s="40"/>
      <c r="IDB1434" s="40"/>
      <c r="IDC1434" s="40"/>
      <c r="IDD1434" s="40"/>
      <c r="IDE1434" s="40"/>
      <c r="IDF1434" s="40"/>
      <c r="IDG1434" s="40"/>
      <c r="IDH1434" s="40"/>
      <c r="IDI1434" s="40"/>
      <c r="IDJ1434" s="40"/>
      <c r="IDK1434" s="40"/>
      <c r="IDL1434" s="40"/>
      <c r="IDM1434" s="40"/>
      <c r="IDN1434" s="40"/>
      <c r="IDO1434" s="40"/>
      <c r="IDP1434" s="40"/>
      <c r="IDQ1434" s="40"/>
      <c r="IDR1434" s="40"/>
      <c r="IDS1434" s="40"/>
      <c r="IDT1434" s="40"/>
      <c r="IDU1434" s="40"/>
      <c r="IDV1434" s="40"/>
      <c r="IDW1434" s="40"/>
      <c r="IDX1434" s="40"/>
      <c r="IDY1434" s="40"/>
      <c r="IDZ1434" s="40"/>
      <c r="IEA1434" s="40"/>
      <c r="IEB1434" s="40"/>
      <c r="IEC1434" s="40"/>
      <c r="IED1434" s="40"/>
      <c r="IEE1434" s="40"/>
      <c r="IEF1434" s="40"/>
      <c r="IEG1434" s="40"/>
      <c r="IEH1434" s="40"/>
      <c r="IEI1434" s="40"/>
      <c r="IEJ1434" s="40"/>
      <c r="IEK1434" s="40"/>
      <c r="IEL1434" s="40"/>
      <c r="IEM1434" s="40"/>
      <c r="IEN1434" s="40"/>
      <c r="IEO1434" s="40"/>
      <c r="IEP1434" s="40"/>
      <c r="IEQ1434" s="40"/>
      <c r="IER1434" s="40"/>
      <c r="IES1434" s="40"/>
      <c r="IET1434" s="40"/>
      <c r="IEU1434" s="40"/>
      <c r="IEV1434" s="40"/>
      <c r="IEW1434" s="40"/>
      <c r="IEX1434" s="40"/>
      <c r="IEY1434" s="40"/>
      <c r="IEZ1434" s="40"/>
      <c r="IFA1434" s="40"/>
      <c r="IFB1434" s="40"/>
      <c r="IFC1434" s="40"/>
      <c r="IFD1434" s="40"/>
      <c r="IFE1434" s="40"/>
      <c r="IFF1434" s="40"/>
      <c r="IFG1434" s="40"/>
      <c r="IFH1434" s="40"/>
      <c r="IFI1434" s="40"/>
      <c r="IFJ1434" s="40"/>
      <c r="IFK1434" s="40"/>
      <c r="IFL1434" s="40"/>
      <c r="IFM1434" s="40"/>
      <c r="IFN1434" s="40"/>
      <c r="IFO1434" s="40"/>
      <c r="IFP1434" s="40"/>
      <c r="IFQ1434" s="40"/>
      <c r="IFR1434" s="40"/>
      <c r="IFS1434" s="40"/>
      <c r="IFT1434" s="40"/>
      <c r="IFU1434" s="40"/>
      <c r="IFV1434" s="40"/>
      <c r="IFW1434" s="40"/>
      <c r="IFX1434" s="40"/>
      <c r="IFY1434" s="40"/>
      <c r="IFZ1434" s="40"/>
      <c r="IGA1434" s="40"/>
      <c r="IGB1434" s="40"/>
      <c r="IGC1434" s="40"/>
      <c r="IGD1434" s="40"/>
      <c r="IGE1434" s="40"/>
      <c r="IGF1434" s="40"/>
      <c r="IGG1434" s="40"/>
      <c r="IGH1434" s="40"/>
      <c r="IGI1434" s="40"/>
      <c r="IGJ1434" s="40"/>
      <c r="IGK1434" s="40"/>
      <c r="IGL1434" s="40"/>
      <c r="IGM1434" s="40"/>
      <c r="IGN1434" s="40"/>
      <c r="IGO1434" s="40"/>
      <c r="IGP1434" s="40"/>
      <c r="IGQ1434" s="40"/>
      <c r="IGR1434" s="40"/>
      <c r="IGS1434" s="40"/>
      <c r="IGT1434" s="40"/>
      <c r="IGU1434" s="40"/>
      <c r="IGV1434" s="40"/>
      <c r="IGW1434" s="40"/>
      <c r="IGX1434" s="40"/>
      <c r="IGY1434" s="40"/>
      <c r="IGZ1434" s="40"/>
      <c r="IHA1434" s="40"/>
      <c r="IHB1434" s="40"/>
      <c r="IHC1434" s="40"/>
      <c r="IHD1434" s="40"/>
      <c r="IHE1434" s="40"/>
      <c r="IHF1434" s="40"/>
      <c r="IHG1434" s="40"/>
      <c r="IHH1434" s="40"/>
      <c r="IHI1434" s="40"/>
      <c r="IHJ1434" s="40"/>
      <c r="IHK1434" s="40"/>
      <c r="IHL1434" s="40"/>
      <c r="IHM1434" s="40"/>
      <c r="IHN1434" s="40"/>
      <c r="IHO1434" s="40"/>
      <c r="IHP1434" s="40"/>
      <c r="IHQ1434" s="40"/>
      <c r="IHR1434" s="40"/>
      <c r="IHS1434" s="40"/>
      <c r="IHT1434" s="40"/>
      <c r="IHU1434" s="40"/>
      <c r="IHV1434" s="40"/>
      <c r="IHW1434" s="40"/>
      <c r="IHX1434" s="40"/>
      <c r="IHY1434" s="40"/>
      <c r="IHZ1434" s="40"/>
      <c r="IIA1434" s="40"/>
      <c r="IIB1434" s="40"/>
      <c r="IIC1434" s="40"/>
      <c r="IID1434" s="40"/>
      <c r="IIE1434" s="40"/>
      <c r="IIF1434" s="40"/>
      <c r="IIG1434" s="40"/>
      <c r="IIH1434" s="40"/>
      <c r="III1434" s="40"/>
      <c r="IIJ1434" s="40"/>
      <c r="IIK1434" s="40"/>
      <c r="IIL1434" s="40"/>
      <c r="IIM1434" s="40"/>
      <c r="IIN1434" s="40"/>
      <c r="IIO1434" s="40"/>
      <c r="IIP1434" s="40"/>
      <c r="IIQ1434" s="40"/>
      <c r="IIR1434" s="40"/>
      <c r="IIS1434" s="40"/>
      <c r="IIT1434" s="40"/>
      <c r="IIU1434" s="40"/>
      <c r="IIV1434" s="40"/>
      <c r="IIW1434" s="40"/>
      <c r="IIX1434" s="40"/>
      <c r="IIY1434" s="40"/>
      <c r="IIZ1434" s="40"/>
      <c r="IJA1434" s="40"/>
      <c r="IJB1434" s="40"/>
      <c r="IJC1434" s="40"/>
      <c r="IJD1434" s="40"/>
      <c r="IJE1434" s="40"/>
      <c r="IJF1434" s="40"/>
      <c r="IJG1434" s="40"/>
      <c r="IJH1434" s="40"/>
      <c r="IJI1434" s="40"/>
      <c r="IJJ1434" s="40"/>
      <c r="IJK1434" s="40"/>
      <c r="IJL1434" s="40"/>
      <c r="IJM1434" s="40"/>
      <c r="IJN1434" s="40"/>
      <c r="IJO1434" s="40"/>
      <c r="IJP1434" s="40"/>
      <c r="IJQ1434" s="40"/>
      <c r="IJR1434" s="40"/>
      <c r="IJS1434" s="40"/>
      <c r="IJT1434" s="40"/>
      <c r="IJU1434" s="40"/>
      <c r="IJV1434" s="40"/>
      <c r="IJW1434" s="40"/>
      <c r="IJX1434" s="40"/>
      <c r="IJY1434" s="40"/>
      <c r="IJZ1434" s="40"/>
      <c r="IKA1434" s="40"/>
      <c r="IKB1434" s="40"/>
      <c r="IKC1434" s="40"/>
      <c r="IKD1434" s="40"/>
      <c r="IKE1434" s="40"/>
      <c r="IKF1434" s="40"/>
      <c r="IKG1434" s="40"/>
      <c r="IKH1434" s="40"/>
      <c r="IKI1434" s="40"/>
      <c r="IKJ1434" s="40"/>
      <c r="IKK1434" s="40"/>
      <c r="IKL1434" s="40"/>
      <c r="IKM1434" s="40"/>
      <c r="IKN1434" s="40"/>
      <c r="IKO1434" s="40"/>
      <c r="IKP1434" s="40"/>
      <c r="IKQ1434" s="40"/>
      <c r="IKR1434" s="40"/>
      <c r="IKS1434" s="40"/>
      <c r="IKT1434" s="40"/>
      <c r="IKU1434" s="40"/>
      <c r="IKV1434" s="40"/>
      <c r="IKW1434" s="40"/>
      <c r="IKX1434" s="40"/>
      <c r="IKY1434" s="40"/>
      <c r="IKZ1434" s="40"/>
      <c r="ILA1434" s="40"/>
      <c r="ILB1434" s="40"/>
      <c r="ILC1434" s="40"/>
      <c r="ILD1434" s="40"/>
      <c r="ILE1434" s="40"/>
      <c r="ILF1434" s="40"/>
      <c r="ILG1434" s="40"/>
      <c r="ILH1434" s="40"/>
      <c r="ILI1434" s="40"/>
      <c r="ILJ1434" s="40"/>
      <c r="ILK1434" s="40"/>
      <c r="ILL1434" s="40"/>
      <c r="ILM1434" s="40"/>
      <c r="ILN1434" s="40"/>
      <c r="ILO1434" s="40"/>
      <c r="ILP1434" s="40"/>
      <c r="ILQ1434" s="40"/>
      <c r="ILR1434" s="40"/>
      <c r="ILS1434" s="40"/>
      <c r="ILT1434" s="40"/>
      <c r="ILU1434" s="40"/>
      <c r="ILV1434" s="40"/>
      <c r="ILW1434" s="40"/>
      <c r="ILX1434" s="40"/>
      <c r="ILY1434" s="40"/>
      <c r="ILZ1434" s="40"/>
      <c r="IMA1434" s="40"/>
      <c r="IMB1434" s="40"/>
      <c r="IMC1434" s="40"/>
      <c r="IMD1434" s="40"/>
      <c r="IME1434" s="40"/>
      <c r="IMF1434" s="40"/>
      <c r="IMG1434" s="40"/>
      <c r="IMH1434" s="40"/>
      <c r="IMI1434" s="40"/>
      <c r="IMJ1434" s="40"/>
      <c r="IMK1434" s="40"/>
      <c r="IML1434" s="40"/>
      <c r="IMM1434" s="40"/>
      <c r="IMN1434" s="40"/>
      <c r="IMO1434" s="40"/>
      <c r="IMP1434" s="40"/>
      <c r="IMQ1434" s="40"/>
      <c r="IMR1434" s="40"/>
      <c r="IMS1434" s="40"/>
      <c r="IMT1434" s="40"/>
      <c r="IMU1434" s="40"/>
      <c r="IMV1434" s="40"/>
      <c r="IMW1434" s="40"/>
      <c r="IMX1434" s="40"/>
      <c r="IMY1434" s="40"/>
      <c r="IMZ1434" s="40"/>
      <c r="INA1434" s="40"/>
      <c r="INB1434" s="40"/>
      <c r="INC1434" s="40"/>
      <c r="IND1434" s="40"/>
      <c r="INE1434" s="40"/>
      <c r="INF1434" s="40"/>
      <c r="ING1434" s="40"/>
      <c r="INH1434" s="40"/>
      <c r="INI1434" s="40"/>
      <c r="INJ1434" s="40"/>
      <c r="INK1434" s="40"/>
      <c r="INL1434" s="40"/>
      <c r="INM1434" s="40"/>
      <c r="INN1434" s="40"/>
      <c r="INO1434" s="40"/>
      <c r="INP1434" s="40"/>
      <c r="INQ1434" s="40"/>
      <c r="INR1434" s="40"/>
      <c r="INS1434" s="40"/>
      <c r="INT1434" s="40"/>
      <c r="INU1434" s="40"/>
      <c r="INV1434" s="40"/>
      <c r="INW1434" s="40"/>
      <c r="INX1434" s="40"/>
      <c r="INY1434" s="40"/>
      <c r="INZ1434" s="40"/>
      <c r="IOA1434" s="40"/>
      <c r="IOB1434" s="40"/>
      <c r="IOC1434" s="40"/>
      <c r="IOD1434" s="40"/>
      <c r="IOE1434" s="40"/>
      <c r="IOF1434" s="40"/>
      <c r="IOG1434" s="40"/>
      <c r="IOH1434" s="40"/>
      <c r="IOI1434" s="40"/>
      <c r="IOJ1434" s="40"/>
      <c r="IOK1434" s="40"/>
      <c r="IOL1434" s="40"/>
      <c r="IOM1434" s="40"/>
      <c r="ION1434" s="40"/>
      <c r="IOO1434" s="40"/>
      <c r="IOP1434" s="40"/>
      <c r="IOQ1434" s="40"/>
      <c r="IOR1434" s="40"/>
      <c r="IOS1434" s="40"/>
      <c r="IOT1434" s="40"/>
      <c r="IOU1434" s="40"/>
      <c r="IOV1434" s="40"/>
      <c r="IOW1434" s="40"/>
      <c r="IOX1434" s="40"/>
      <c r="IOY1434" s="40"/>
      <c r="IOZ1434" s="40"/>
      <c r="IPA1434" s="40"/>
      <c r="IPB1434" s="40"/>
      <c r="IPC1434" s="40"/>
      <c r="IPD1434" s="40"/>
      <c r="IPE1434" s="40"/>
      <c r="IPF1434" s="40"/>
      <c r="IPG1434" s="40"/>
      <c r="IPH1434" s="40"/>
      <c r="IPI1434" s="40"/>
      <c r="IPJ1434" s="40"/>
      <c r="IPK1434" s="40"/>
      <c r="IPL1434" s="40"/>
      <c r="IPM1434" s="40"/>
      <c r="IPN1434" s="40"/>
      <c r="IPO1434" s="40"/>
      <c r="IPP1434" s="40"/>
      <c r="IPQ1434" s="40"/>
      <c r="IPR1434" s="40"/>
      <c r="IPS1434" s="40"/>
      <c r="IPT1434" s="40"/>
      <c r="IPU1434" s="40"/>
      <c r="IPV1434" s="40"/>
      <c r="IPW1434" s="40"/>
      <c r="IPX1434" s="40"/>
      <c r="IPY1434" s="40"/>
      <c r="IPZ1434" s="40"/>
      <c r="IQA1434" s="40"/>
      <c r="IQB1434" s="40"/>
      <c r="IQC1434" s="40"/>
      <c r="IQD1434" s="40"/>
      <c r="IQE1434" s="40"/>
      <c r="IQF1434" s="40"/>
      <c r="IQG1434" s="40"/>
      <c r="IQH1434" s="40"/>
      <c r="IQI1434" s="40"/>
      <c r="IQJ1434" s="40"/>
      <c r="IQK1434" s="40"/>
      <c r="IQL1434" s="40"/>
      <c r="IQM1434" s="40"/>
      <c r="IQN1434" s="40"/>
      <c r="IQO1434" s="40"/>
      <c r="IQP1434" s="40"/>
      <c r="IQQ1434" s="40"/>
      <c r="IQR1434" s="40"/>
      <c r="IQS1434" s="40"/>
      <c r="IQT1434" s="40"/>
      <c r="IQU1434" s="40"/>
      <c r="IQV1434" s="40"/>
      <c r="IQW1434" s="40"/>
      <c r="IQX1434" s="40"/>
      <c r="IQY1434" s="40"/>
      <c r="IQZ1434" s="40"/>
      <c r="IRA1434" s="40"/>
      <c r="IRB1434" s="40"/>
      <c r="IRC1434" s="40"/>
      <c r="IRD1434" s="40"/>
      <c r="IRE1434" s="40"/>
      <c r="IRF1434" s="40"/>
      <c r="IRG1434" s="40"/>
      <c r="IRH1434" s="40"/>
      <c r="IRI1434" s="40"/>
      <c r="IRJ1434" s="40"/>
      <c r="IRK1434" s="40"/>
      <c r="IRL1434" s="40"/>
      <c r="IRM1434" s="40"/>
      <c r="IRN1434" s="40"/>
      <c r="IRO1434" s="40"/>
      <c r="IRP1434" s="40"/>
      <c r="IRQ1434" s="40"/>
      <c r="IRR1434" s="40"/>
      <c r="IRS1434" s="40"/>
      <c r="IRT1434" s="40"/>
      <c r="IRU1434" s="40"/>
      <c r="IRV1434" s="40"/>
      <c r="IRW1434" s="40"/>
      <c r="IRX1434" s="40"/>
      <c r="IRY1434" s="40"/>
      <c r="IRZ1434" s="40"/>
      <c r="ISA1434" s="40"/>
      <c r="ISB1434" s="40"/>
      <c r="ISC1434" s="40"/>
      <c r="ISD1434" s="40"/>
      <c r="ISE1434" s="40"/>
      <c r="ISF1434" s="40"/>
      <c r="ISG1434" s="40"/>
      <c r="ISH1434" s="40"/>
      <c r="ISI1434" s="40"/>
      <c r="ISJ1434" s="40"/>
      <c r="ISK1434" s="40"/>
      <c r="ISL1434" s="40"/>
      <c r="ISM1434" s="40"/>
      <c r="ISN1434" s="40"/>
      <c r="ISO1434" s="40"/>
      <c r="ISP1434" s="40"/>
      <c r="ISQ1434" s="40"/>
      <c r="ISR1434" s="40"/>
      <c r="ISS1434" s="40"/>
      <c r="IST1434" s="40"/>
      <c r="ISU1434" s="40"/>
      <c r="ISV1434" s="40"/>
      <c r="ISW1434" s="40"/>
      <c r="ISX1434" s="40"/>
      <c r="ISY1434" s="40"/>
      <c r="ISZ1434" s="40"/>
      <c r="ITA1434" s="40"/>
      <c r="ITB1434" s="40"/>
      <c r="ITC1434" s="40"/>
      <c r="ITD1434" s="40"/>
      <c r="ITE1434" s="40"/>
      <c r="ITF1434" s="40"/>
      <c r="ITG1434" s="40"/>
      <c r="ITH1434" s="40"/>
      <c r="ITI1434" s="40"/>
      <c r="ITJ1434" s="40"/>
      <c r="ITK1434" s="40"/>
      <c r="ITL1434" s="40"/>
      <c r="ITM1434" s="40"/>
      <c r="ITN1434" s="40"/>
      <c r="ITO1434" s="40"/>
      <c r="ITP1434" s="40"/>
      <c r="ITQ1434" s="40"/>
      <c r="ITR1434" s="40"/>
      <c r="ITS1434" s="40"/>
      <c r="ITT1434" s="40"/>
      <c r="ITU1434" s="40"/>
      <c r="ITV1434" s="40"/>
      <c r="ITW1434" s="40"/>
      <c r="ITX1434" s="40"/>
      <c r="ITY1434" s="40"/>
      <c r="ITZ1434" s="40"/>
      <c r="IUA1434" s="40"/>
      <c r="IUB1434" s="40"/>
      <c r="IUC1434" s="40"/>
      <c r="IUD1434" s="40"/>
      <c r="IUE1434" s="40"/>
      <c r="IUF1434" s="40"/>
      <c r="IUG1434" s="40"/>
      <c r="IUH1434" s="40"/>
      <c r="IUI1434" s="40"/>
      <c r="IUJ1434" s="40"/>
      <c r="IUK1434" s="40"/>
      <c r="IUL1434" s="40"/>
      <c r="IUM1434" s="40"/>
      <c r="IUN1434" s="40"/>
      <c r="IUO1434" s="40"/>
      <c r="IUP1434" s="40"/>
      <c r="IUQ1434" s="40"/>
      <c r="IUR1434" s="40"/>
      <c r="IUS1434" s="40"/>
      <c r="IUT1434" s="40"/>
      <c r="IUU1434" s="40"/>
      <c r="IUV1434" s="40"/>
      <c r="IUW1434" s="40"/>
      <c r="IUX1434" s="40"/>
      <c r="IUY1434" s="40"/>
      <c r="IUZ1434" s="40"/>
      <c r="IVA1434" s="40"/>
      <c r="IVB1434" s="40"/>
      <c r="IVC1434" s="40"/>
      <c r="IVD1434" s="40"/>
      <c r="IVE1434" s="40"/>
      <c r="IVF1434" s="40"/>
      <c r="IVG1434" s="40"/>
      <c r="IVH1434" s="40"/>
      <c r="IVI1434" s="40"/>
      <c r="IVJ1434" s="40"/>
      <c r="IVK1434" s="40"/>
      <c r="IVL1434" s="40"/>
      <c r="IVM1434" s="40"/>
      <c r="IVN1434" s="40"/>
      <c r="IVO1434" s="40"/>
      <c r="IVP1434" s="40"/>
      <c r="IVQ1434" s="40"/>
      <c r="IVR1434" s="40"/>
      <c r="IVS1434" s="40"/>
      <c r="IVT1434" s="40"/>
      <c r="IVU1434" s="40"/>
      <c r="IVV1434" s="40"/>
      <c r="IVW1434" s="40"/>
      <c r="IVX1434" s="40"/>
      <c r="IVY1434" s="40"/>
      <c r="IVZ1434" s="40"/>
      <c r="IWA1434" s="40"/>
      <c r="IWB1434" s="40"/>
      <c r="IWC1434" s="40"/>
      <c r="IWD1434" s="40"/>
      <c r="IWE1434" s="40"/>
      <c r="IWF1434" s="40"/>
      <c r="IWG1434" s="40"/>
      <c r="IWH1434" s="40"/>
      <c r="IWI1434" s="40"/>
      <c r="IWJ1434" s="40"/>
      <c r="IWK1434" s="40"/>
      <c r="IWL1434" s="40"/>
      <c r="IWM1434" s="40"/>
      <c r="IWN1434" s="40"/>
      <c r="IWO1434" s="40"/>
      <c r="IWP1434" s="40"/>
      <c r="IWQ1434" s="40"/>
      <c r="IWR1434" s="40"/>
      <c r="IWS1434" s="40"/>
      <c r="IWT1434" s="40"/>
      <c r="IWU1434" s="40"/>
      <c r="IWV1434" s="40"/>
      <c r="IWW1434" s="40"/>
      <c r="IWX1434" s="40"/>
      <c r="IWY1434" s="40"/>
      <c r="IWZ1434" s="40"/>
      <c r="IXA1434" s="40"/>
      <c r="IXB1434" s="40"/>
      <c r="IXC1434" s="40"/>
      <c r="IXD1434" s="40"/>
      <c r="IXE1434" s="40"/>
      <c r="IXF1434" s="40"/>
      <c r="IXG1434" s="40"/>
      <c r="IXH1434" s="40"/>
      <c r="IXI1434" s="40"/>
      <c r="IXJ1434" s="40"/>
      <c r="IXK1434" s="40"/>
      <c r="IXL1434" s="40"/>
      <c r="IXM1434" s="40"/>
      <c r="IXN1434" s="40"/>
      <c r="IXO1434" s="40"/>
      <c r="IXP1434" s="40"/>
      <c r="IXQ1434" s="40"/>
      <c r="IXR1434" s="40"/>
      <c r="IXS1434" s="40"/>
      <c r="IXT1434" s="40"/>
      <c r="IXU1434" s="40"/>
      <c r="IXV1434" s="40"/>
      <c r="IXW1434" s="40"/>
      <c r="IXX1434" s="40"/>
      <c r="IXY1434" s="40"/>
      <c r="IXZ1434" s="40"/>
      <c r="IYA1434" s="40"/>
      <c r="IYB1434" s="40"/>
      <c r="IYC1434" s="40"/>
      <c r="IYD1434" s="40"/>
      <c r="IYE1434" s="40"/>
      <c r="IYF1434" s="40"/>
      <c r="IYG1434" s="40"/>
      <c r="IYH1434" s="40"/>
      <c r="IYI1434" s="40"/>
      <c r="IYJ1434" s="40"/>
      <c r="IYK1434" s="40"/>
      <c r="IYL1434" s="40"/>
      <c r="IYM1434" s="40"/>
      <c r="IYN1434" s="40"/>
      <c r="IYO1434" s="40"/>
      <c r="IYP1434" s="40"/>
      <c r="IYQ1434" s="40"/>
      <c r="IYR1434" s="40"/>
      <c r="IYS1434" s="40"/>
      <c r="IYT1434" s="40"/>
      <c r="IYU1434" s="40"/>
      <c r="IYV1434" s="40"/>
      <c r="IYW1434" s="40"/>
      <c r="IYX1434" s="40"/>
      <c r="IYY1434" s="40"/>
      <c r="IYZ1434" s="40"/>
      <c r="IZA1434" s="40"/>
      <c r="IZB1434" s="40"/>
      <c r="IZC1434" s="40"/>
      <c r="IZD1434" s="40"/>
      <c r="IZE1434" s="40"/>
      <c r="IZF1434" s="40"/>
      <c r="IZG1434" s="40"/>
      <c r="IZH1434" s="40"/>
      <c r="IZI1434" s="40"/>
      <c r="IZJ1434" s="40"/>
      <c r="IZK1434" s="40"/>
      <c r="IZL1434" s="40"/>
      <c r="IZM1434" s="40"/>
      <c r="IZN1434" s="40"/>
      <c r="IZO1434" s="40"/>
      <c r="IZP1434" s="40"/>
      <c r="IZQ1434" s="40"/>
      <c r="IZR1434" s="40"/>
      <c r="IZS1434" s="40"/>
      <c r="IZT1434" s="40"/>
      <c r="IZU1434" s="40"/>
      <c r="IZV1434" s="40"/>
      <c r="IZW1434" s="40"/>
      <c r="IZX1434" s="40"/>
      <c r="IZY1434" s="40"/>
      <c r="IZZ1434" s="40"/>
      <c r="JAA1434" s="40"/>
      <c r="JAB1434" s="40"/>
      <c r="JAC1434" s="40"/>
      <c r="JAD1434" s="40"/>
      <c r="JAE1434" s="40"/>
      <c r="JAF1434" s="40"/>
      <c r="JAG1434" s="40"/>
      <c r="JAH1434" s="40"/>
      <c r="JAI1434" s="40"/>
      <c r="JAJ1434" s="40"/>
      <c r="JAK1434" s="40"/>
      <c r="JAL1434" s="40"/>
      <c r="JAM1434" s="40"/>
      <c r="JAN1434" s="40"/>
      <c r="JAO1434" s="40"/>
      <c r="JAP1434" s="40"/>
      <c r="JAQ1434" s="40"/>
      <c r="JAR1434" s="40"/>
      <c r="JAS1434" s="40"/>
      <c r="JAT1434" s="40"/>
      <c r="JAU1434" s="40"/>
      <c r="JAV1434" s="40"/>
      <c r="JAW1434" s="40"/>
      <c r="JAX1434" s="40"/>
      <c r="JAY1434" s="40"/>
      <c r="JAZ1434" s="40"/>
      <c r="JBA1434" s="40"/>
      <c r="JBB1434" s="40"/>
      <c r="JBC1434" s="40"/>
      <c r="JBD1434" s="40"/>
      <c r="JBE1434" s="40"/>
      <c r="JBF1434" s="40"/>
      <c r="JBG1434" s="40"/>
      <c r="JBH1434" s="40"/>
      <c r="JBI1434" s="40"/>
      <c r="JBJ1434" s="40"/>
      <c r="JBK1434" s="40"/>
      <c r="JBL1434" s="40"/>
      <c r="JBM1434" s="40"/>
      <c r="JBN1434" s="40"/>
      <c r="JBO1434" s="40"/>
      <c r="JBP1434" s="40"/>
      <c r="JBQ1434" s="40"/>
      <c r="JBR1434" s="40"/>
      <c r="JBS1434" s="40"/>
      <c r="JBT1434" s="40"/>
      <c r="JBU1434" s="40"/>
      <c r="JBV1434" s="40"/>
      <c r="JBW1434" s="40"/>
      <c r="JBX1434" s="40"/>
      <c r="JBY1434" s="40"/>
      <c r="JBZ1434" s="40"/>
      <c r="JCA1434" s="40"/>
      <c r="JCB1434" s="40"/>
      <c r="JCC1434" s="40"/>
      <c r="JCD1434" s="40"/>
      <c r="JCE1434" s="40"/>
      <c r="JCF1434" s="40"/>
      <c r="JCG1434" s="40"/>
      <c r="JCH1434" s="40"/>
      <c r="JCI1434" s="40"/>
      <c r="JCJ1434" s="40"/>
      <c r="JCK1434" s="40"/>
      <c r="JCL1434" s="40"/>
      <c r="JCM1434" s="40"/>
      <c r="JCN1434" s="40"/>
      <c r="JCO1434" s="40"/>
      <c r="JCP1434" s="40"/>
      <c r="JCQ1434" s="40"/>
      <c r="JCR1434" s="40"/>
      <c r="JCS1434" s="40"/>
      <c r="JCT1434" s="40"/>
      <c r="JCU1434" s="40"/>
      <c r="JCV1434" s="40"/>
      <c r="JCW1434" s="40"/>
      <c r="JCX1434" s="40"/>
      <c r="JCY1434" s="40"/>
      <c r="JCZ1434" s="40"/>
      <c r="JDA1434" s="40"/>
      <c r="JDB1434" s="40"/>
      <c r="JDC1434" s="40"/>
      <c r="JDD1434" s="40"/>
      <c r="JDE1434" s="40"/>
      <c r="JDF1434" s="40"/>
      <c r="JDG1434" s="40"/>
      <c r="JDH1434" s="40"/>
      <c r="JDI1434" s="40"/>
      <c r="JDJ1434" s="40"/>
      <c r="JDK1434" s="40"/>
      <c r="JDL1434" s="40"/>
      <c r="JDM1434" s="40"/>
      <c r="JDN1434" s="40"/>
      <c r="JDO1434" s="40"/>
      <c r="JDP1434" s="40"/>
      <c r="JDQ1434" s="40"/>
      <c r="JDR1434" s="40"/>
      <c r="JDS1434" s="40"/>
      <c r="JDT1434" s="40"/>
      <c r="JDU1434" s="40"/>
      <c r="JDV1434" s="40"/>
      <c r="JDW1434" s="40"/>
      <c r="JDX1434" s="40"/>
      <c r="JDY1434" s="40"/>
      <c r="JDZ1434" s="40"/>
      <c r="JEA1434" s="40"/>
      <c r="JEB1434" s="40"/>
      <c r="JEC1434" s="40"/>
      <c r="JED1434" s="40"/>
      <c r="JEE1434" s="40"/>
      <c r="JEF1434" s="40"/>
      <c r="JEG1434" s="40"/>
      <c r="JEH1434" s="40"/>
      <c r="JEI1434" s="40"/>
      <c r="JEJ1434" s="40"/>
      <c r="JEK1434" s="40"/>
      <c r="JEL1434" s="40"/>
      <c r="JEM1434" s="40"/>
      <c r="JEN1434" s="40"/>
      <c r="JEO1434" s="40"/>
      <c r="JEP1434" s="40"/>
      <c r="JEQ1434" s="40"/>
      <c r="JER1434" s="40"/>
      <c r="JES1434" s="40"/>
      <c r="JET1434" s="40"/>
      <c r="JEU1434" s="40"/>
      <c r="JEV1434" s="40"/>
      <c r="JEW1434" s="40"/>
      <c r="JEX1434" s="40"/>
      <c r="JEY1434" s="40"/>
      <c r="JEZ1434" s="40"/>
      <c r="JFA1434" s="40"/>
      <c r="JFB1434" s="40"/>
      <c r="JFC1434" s="40"/>
      <c r="JFD1434" s="40"/>
      <c r="JFE1434" s="40"/>
      <c r="JFF1434" s="40"/>
      <c r="JFG1434" s="40"/>
      <c r="JFH1434" s="40"/>
      <c r="JFI1434" s="40"/>
      <c r="JFJ1434" s="40"/>
      <c r="JFK1434" s="40"/>
      <c r="JFL1434" s="40"/>
      <c r="JFM1434" s="40"/>
      <c r="JFN1434" s="40"/>
      <c r="JFO1434" s="40"/>
      <c r="JFP1434" s="40"/>
      <c r="JFQ1434" s="40"/>
      <c r="JFR1434" s="40"/>
      <c r="JFS1434" s="40"/>
      <c r="JFT1434" s="40"/>
      <c r="JFU1434" s="40"/>
      <c r="JFV1434" s="40"/>
      <c r="JFW1434" s="40"/>
      <c r="JFX1434" s="40"/>
      <c r="JFY1434" s="40"/>
      <c r="JFZ1434" s="40"/>
      <c r="JGA1434" s="40"/>
      <c r="JGB1434" s="40"/>
      <c r="JGC1434" s="40"/>
      <c r="JGD1434" s="40"/>
      <c r="JGE1434" s="40"/>
      <c r="JGF1434" s="40"/>
      <c r="JGG1434" s="40"/>
      <c r="JGH1434" s="40"/>
      <c r="JGI1434" s="40"/>
      <c r="JGJ1434" s="40"/>
      <c r="JGK1434" s="40"/>
      <c r="JGL1434" s="40"/>
      <c r="JGM1434" s="40"/>
      <c r="JGN1434" s="40"/>
      <c r="JGO1434" s="40"/>
      <c r="JGP1434" s="40"/>
      <c r="JGQ1434" s="40"/>
      <c r="JGR1434" s="40"/>
      <c r="JGS1434" s="40"/>
      <c r="JGT1434" s="40"/>
      <c r="JGU1434" s="40"/>
      <c r="JGV1434" s="40"/>
      <c r="JGW1434" s="40"/>
      <c r="JGX1434" s="40"/>
      <c r="JGY1434" s="40"/>
      <c r="JGZ1434" s="40"/>
      <c r="JHA1434" s="40"/>
      <c r="JHB1434" s="40"/>
      <c r="JHC1434" s="40"/>
      <c r="JHD1434" s="40"/>
      <c r="JHE1434" s="40"/>
      <c r="JHF1434" s="40"/>
      <c r="JHG1434" s="40"/>
      <c r="JHH1434" s="40"/>
      <c r="JHI1434" s="40"/>
      <c r="JHJ1434" s="40"/>
      <c r="JHK1434" s="40"/>
      <c r="JHL1434" s="40"/>
      <c r="JHM1434" s="40"/>
      <c r="JHN1434" s="40"/>
      <c r="JHO1434" s="40"/>
      <c r="JHP1434" s="40"/>
      <c r="JHQ1434" s="40"/>
      <c r="JHR1434" s="40"/>
      <c r="JHS1434" s="40"/>
      <c r="JHT1434" s="40"/>
      <c r="JHU1434" s="40"/>
      <c r="JHV1434" s="40"/>
      <c r="JHW1434" s="40"/>
      <c r="JHX1434" s="40"/>
      <c r="JHY1434" s="40"/>
      <c r="JHZ1434" s="40"/>
      <c r="JIA1434" s="40"/>
      <c r="JIB1434" s="40"/>
      <c r="JIC1434" s="40"/>
      <c r="JID1434" s="40"/>
      <c r="JIE1434" s="40"/>
      <c r="JIF1434" s="40"/>
      <c r="JIG1434" s="40"/>
      <c r="JIH1434" s="40"/>
      <c r="JII1434" s="40"/>
      <c r="JIJ1434" s="40"/>
      <c r="JIK1434" s="40"/>
      <c r="JIL1434" s="40"/>
      <c r="JIM1434" s="40"/>
      <c r="JIN1434" s="40"/>
      <c r="JIO1434" s="40"/>
      <c r="JIP1434" s="40"/>
      <c r="JIQ1434" s="40"/>
      <c r="JIR1434" s="40"/>
      <c r="JIS1434" s="40"/>
      <c r="JIT1434" s="40"/>
      <c r="JIU1434" s="40"/>
      <c r="JIV1434" s="40"/>
      <c r="JIW1434" s="40"/>
      <c r="JIX1434" s="40"/>
      <c r="JIY1434" s="40"/>
      <c r="JIZ1434" s="40"/>
      <c r="JJA1434" s="40"/>
      <c r="JJB1434" s="40"/>
      <c r="JJC1434" s="40"/>
      <c r="JJD1434" s="40"/>
      <c r="JJE1434" s="40"/>
      <c r="JJF1434" s="40"/>
      <c r="JJG1434" s="40"/>
      <c r="JJH1434" s="40"/>
      <c r="JJI1434" s="40"/>
      <c r="JJJ1434" s="40"/>
      <c r="JJK1434" s="40"/>
      <c r="JJL1434" s="40"/>
      <c r="JJM1434" s="40"/>
      <c r="JJN1434" s="40"/>
      <c r="JJO1434" s="40"/>
      <c r="JJP1434" s="40"/>
      <c r="JJQ1434" s="40"/>
      <c r="JJR1434" s="40"/>
      <c r="JJS1434" s="40"/>
      <c r="JJT1434" s="40"/>
      <c r="JJU1434" s="40"/>
      <c r="JJV1434" s="40"/>
      <c r="JJW1434" s="40"/>
      <c r="JJX1434" s="40"/>
      <c r="JJY1434" s="40"/>
      <c r="JJZ1434" s="40"/>
      <c r="JKA1434" s="40"/>
      <c r="JKB1434" s="40"/>
      <c r="JKC1434" s="40"/>
      <c r="JKD1434" s="40"/>
      <c r="JKE1434" s="40"/>
      <c r="JKF1434" s="40"/>
      <c r="JKG1434" s="40"/>
      <c r="JKH1434" s="40"/>
      <c r="JKI1434" s="40"/>
      <c r="JKJ1434" s="40"/>
      <c r="JKK1434" s="40"/>
      <c r="JKL1434" s="40"/>
      <c r="JKM1434" s="40"/>
      <c r="JKN1434" s="40"/>
      <c r="JKO1434" s="40"/>
      <c r="JKP1434" s="40"/>
      <c r="JKQ1434" s="40"/>
      <c r="JKR1434" s="40"/>
      <c r="JKS1434" s="40"/>
      <c r="JKT1434" s="40"/>
      <c r="JKU1434" s="40"/>
      <c r="JKV1434" s="40"/>
      <c r="JKW1434" s="40"/>
      <c r="JKX1434" s="40"/>
      <c r="JKY1434" s="40"/>
      <c r="JKZ1434" s="40"/>
      <c r="JLA1434" s="40"/>
      <c r="JLB1434" s="40"/>
      <c r="JLC1434" s="40"/>
      <c r="JLD1434" s="40"/>
      <c r="JLE1434" s="40"/>
      <c r="JLF1434" s="40"/>
      <c r="JLG1434" s="40"/>
      <c r="JLH1434" s="40"/>
      <c r="JLI1434" s="40"/>
      <c r="JLJ1434" s="40"/>
      <c r="JLK1434" s="40"/>
      <c r="JLL1434" s="40"/>
      <c r="JLM1434" s="40"/>
      <c r="JLN1434" s="40"/>
      <c r="JLO1434" s="40"/>
      <c r="JLP1434" s="40"/>
      <c r="JLQ1434" s="40"/>
      <c r="JLR1434" s="40"/>
      <c r="JLS1434" s="40"/>
      <c r="JLT1434" s="40"/>
      <c r="JLU1434" s="40"/>
      <c r="JLV1434" s="40"/>
      <c r="JLW1434" s="40"/>
      <c r="JLX1434" s="40"/>
      <c r="JLY1434" s="40"/>
      <c r="JLZ1434" s="40"/>
      <c r="JMA1434" s="40"/>
      <c r="JMB1434" s="40"/>
      <c r="JMC1434" s="40"/>
      <c r="JMD1434" s="40"/>
      <c r="JME1434" s="40"/>
      <c r="JMF1434" s="40"/>
      <c r="JMG1434" s="40"/>
      <c r="JMH1434" s="40"/>
      <c r="JMI1434" s="40"/>
      <c r="JMJ1434" s="40"/>
      <c r="JMK1434" s="40"/>
      <c r="JML1434" s="40"/>
      <c r="JMM1434" s="40"/>
      <c r="JMN1434" s="40"/>
      <c r="JMO1434" s="40"/>
      <c r="JMP1434" s="40"/>
      <c r="JMQ1434" s="40"/>
      <c r="JMR1434" s="40"/>
      <c r="JMS1434" s="40"/>
      <c r="JMT1434" s="40"/>
      <c r="JMU1434" s="40"/>
      <c r="JMV1434" s="40"/>
      <c r="JMW1434" s="40"/>
      <c r="JMX1434" s="40"/>
      <c r="JMY1434" s="40"/>
      <c r="JMZ1434" s="40"/>
      <c r="JNA1434" s="40"/>
      <c r="JNB1434" s="40"/>
      <c r="JNC1434" s="40"/>
      <c r="JND1434" s="40"/>
      <c r="JNE1434" s="40"/>
      <c r="JNF1434" s="40"/>
      <c r="JNG1434" s="40"/>
      <c r="JNH1434" s="40"/>
      <c r="JNI1434" s="40"/>
      <c r="JNJ1434" s="40"/>
      <c r="JNK1434" s="40"/>
      <c r="JNL1434" s="40"/>
      <c r="JNM1434" s="40"/>
      <c r="JNN1434" s="40"/>
      <c r="JNO1434" s="40"/>
      <c r="JNP1434" s="40"/>
      <c r="JNQ1434" s="40"/>
      <c r="JNR1434" s="40"/>
      <c r="JNS1434" s="40"/>
      <c r="JNT1434" s="40"/>
      <c r="JNU1434" s="40"/>
      <c r="JNV1434" s="40"/>
      <c r="JNW1434" s="40"/>
      <c r="JNX1434" s="40"/>
      <c r="JNY1434" s="40"/>
      <c r="JNZ1434" s="40"/>
      <c r="JOA1434" s="40"/>
      <c r="JOB1434" s="40"/>
      <c r="JOC1434" s="40"/>
      <c r="JOD1434" s="40"/>
      <c r="JOE1434" s="40"/>
      <c r="JOF1434" s="40"/>
      <c r="JOG1434" s="40"/>
      <c r="JOH1434" s="40"/>
      <c r="JOI1434" s="40"/>
      <c r="JOJ1434" s="40"/>
      <c r="JOK1434" s="40"/>
      <c r="JOL1434" s="40"/>
      <c r="JOM1434" s="40"/>
      <c r="JON1434" s="40"/>
      <c r="JOO1434" s="40"/>
      <c r="JOP1434" s="40"/>
      <c r="JOQ1434" s="40"/>
      <c r="JOR1434" s="40"/>
      <c r="JOS1434" s="40"/>
      <c r="JOT1434" s="40"/>
      <c r="JOU1434" s="40"/>
      <c r="JOV1434" s="40"/>
      <c r="JOW1434" s="40"/>
      <c r="JOX1434" s="40"/>
      <c r="JOY1434" s="40"/>
      <c r="JOZ1434" s="40"/>
      <c r="JPA1434" s="40"/>
      <c r="JPB1434" s="40"/>
      <c r="JPC1434" s="40"/>
      <c r="JPD1434" s="40"/>
      <c r="JPE1434" s="40"/>
      <c r="JPF1434" s="40"/>
      <c r="JPG1434" s="40"/>
      <c r="JPH1434" s="40"/>
      <c r="JPI1434" s="40"/>
      <c r="JPJ1434" s="40"/>
      <c r="JPK1434" s="40"/>
      <c r="JPL1434" s="40"/>
      <c r="JPM1434" s="40"/>
      <c r="JPN1434" s="40"/>
      <c r="JPO1434" s="40"/>
      <c r="JPP1434" s="40"/>
      <c r="JPQ1434" s="40"/>
      <c r="JPR1434" s="40"/>
      <c r="JPS1434" s="40"/>
      <c r="JPT1434" s="40"/>
      <c r="JPU1434" s="40"/>
      <c r="JPV1434" s="40"/>
      <c r="JPW1434" s="40"/>
      <c r="JPX1434" s="40"/>
      <c r="JPY1434" s="40"/>
      <c r="JPZ1434" s="40"/>
      <c r="JQA1434" s="40"/>
      <c r="JQB1434" s="40"/>
      <c r="JQC1434" s="40"/>
      <c r="JQD1434" s="40"/>
      <c r="JQE1434" s="40"/>
      <c r="JQF1434" s="40"/>
      <c r="JQG1434" s="40"/>
      <c r="JQH1434" s="40"/>
      <c r="JQI1434" s="40"/>
      <c r="JQJ1434" s="40"/>
      <c r="JQK1434" s="40"/>
      <c r="JQL1434" s="40"/>
      <c r="JQM1434" s="40"/>
      <c r="JQN1434" s="40"/>
      <c r="JQO1434" s="40"/>
      <c r="JQP1434" s="40"/>
      <c r="JQQ1434" s="40"/>
      <c r="JQR1434" s="40"/>
      <c r="JQS1434" s="40"/>
      <c r="JQT1434" s="40"/>
      <c r="JQU1434" s="40"/>
      <c r="JQV1434" s="40"/>
      <c r="JQW1434" s="40"/>
      <c r="JQX1434" s="40"/>
      <c r="JQY1434" s="40"/>
      <c r="JQZ1434" s="40"/>
      <c r="JRA1434" s="40"/>
      <c r="JRB1434" s="40"/>
      <c r="JRC1434" s="40"/>
      <c r="JRD1434" s="40"/>
      <c r="JRE1434" s="40"/>
      <c r="JRF1434" s="40"/>
      <c r="JRG1434" s="40"/>
      <c r="JRH1434" s="40"/>
      <c r="JRI1434" s="40"/>
      <c r="JRJ1434" s="40"/>
      <c r="JRK1434" s="40"/>
      <c r="JRL1434" s="40"/>
      <c r="JRM1434" s="40"/>
      <c r="JRN1434" s="40"/>
      <c r="JRO1434" s="40"/>
      <c r="JRP1434" s="40"/>
      <c r="JRQ1434" s="40"/>
      <c r="JRR1434" s="40"/>
      <c r="JRS1434" s="40"/>
      <c r="JRT1434" s="40"/>
      <c r="JRU1434" s="40"/>
      <c r="JRV1434" s="40"/>
      <c r="JRW1434" s="40"/>
      <c r="JRX1434" s="40"/>
      <c r="JRY1434" s="40"/>
      <c r="JRZ1434" s="40"/>
      <c r="JSA1434" s="40"/>
      <c r="JSB1434" s="40"/>
      <c r="JSC1434" s="40"/>
      <c r="JSD1434" s="40"/>
      <c r="JSE1434" s="40"/>
      <c r="JSF1434" s="40"/>
      <c r="JSG1434" s="40"/>
      <c r="JSH1434" s="40"/>
      <c r="JSI1434" s="40"/>
      <c r="JSJ1434" s="40"/>
      <c r="JSK1434" s="40"/>
      <c r="JSL1434" s="40"/>
      <c r="JSM1434" s="40"/>
      <c r="JSN1434" s="40"/>
      <c r="JSO1434" s="40"/>
      <c r="JSP1434" s="40"/>
      <c r="JSQ1434" s="40"/>
      <c r="JSR1434" s="40"/>
      <c r="JSS1434" s="40"/>
      <c r="JST1434" s="40"/>
      <c r="JSU1434" s="40"/>
      <c r="JSV1434" s="40"/>
      <c r="JSW1434" s="40"/>
      <c r="JSX1434" s="40"/>
      <c r="JSY1434" s="40"/>
      <c r="JSZ1434" s="40"/>
      <c r="JTA1434" s="40"/>
      <c r="JTB1434" s="40"/>
      <c r="JTC1434" s="40"/>
      <c r="JTD1434" s="40"/>
      <c r="JTE1434" s="40"/>
      <c r="JTF1434" s="40"/>
      <c r="JTG1434" s="40"/>
      <c r="JTH1434" s="40"/>
      <c r="JTI1434" s="40"/>
      <c r="JTJ1434" s="40"/>
      <c r="JTK1434" s="40"/>
      <c r="JTL1434" s="40"/>
      <c r="JTM1434" s="40"/>
      <c r="JTN1434" s="40"/>
      <c r="JTO1434" s="40"/>
      <c r="JTP1434" s="40"/>
      <c r="JTQ1434" s="40"/>
      <c r="JTR1434" s="40"/>
      <c r="JTS1434" s="40"/>
      <c r="JTT1434" s="40"/>
      <c r="JTU1434" s="40"/>
      <c r="JTV1434" s="40"/>
      <c r="JTW1434" s="40"/>
      <c r="JTX1434" s="40"/>
      <c r="JTY1434" s="40"/>
      <c r="JTZ1434" s="40"/>
      <c r="JUA1434" s="40"/>
      <c r="JUB1434" s="40"/>
      <c r="JUC1434" s="40"/>
      <c r="JUD1434" s="40"/>
      <c r="JUE1434" s="40"/>
      <c r="JUF1434" s="40"/>
      <c r="JUG1434" s="40"/>
      <c r="JUH1434" s="40"/>
      <c r="JUI1434" s="40"/>
      <c r="JUJ1434" s="40"/>
      <c r="JUK1434" s="40"/>
      <c r="JUL1434" s="40"/>
      <c r="JUM1434" s="40"/>
      <c r="JUN1434" s="40"/>
      <c r="JUO1434" s="40"/>
      <c r="JUP1434" s="40"/>
      <c r="JUQ1434" s="40"/>
      <c r="JUR1434" s="40"/>
      <c r="JUS1434" s="40"/>
      <c r="JUT1434" s="40"/>
      <c r="JUU1434" s="40"/>
      <c r="JUV1434" s="40"/>
      <c r="JUW1434" s="40"/>
      <c r="JUX1434" s="40"/>
      <c r="JUY1434" s="40"/>
      <c r="JUZ1434" s="40"/>
      <c r="JVA1434" s="40"/>
      <c r="JVB1434" s="40"/>
      <c r="JVC1434" s="40"/>
      <c r="JVD1434" s="40"/>
      <c r="JVE1434" s="40"/>
      <c r="JVF1434" s="40"/>
      <c r="JVG1434" s="40"/>
      <c r="JVH1434" s="40"/>
      <c r="JVI1434" s="40"/>
      <c r="JVJ1434" s="40"/>
      <c r="JVK1434" s="40"/>
      <c r="JVL1434" s="40"/>
      <c r="JVM1434" s="40"/>
      <c r="JVN1434" s="40"/>
      <c r="JVO1434" s="40"/>
      <c r="JVP1434" s="40"/>
      <c r="JVQ1434" s="40"/>
      <c r="JVR1434" s="40"/>
      <c r="JVS1434" s="40"/>
      <c r="JVT1434" s="40"/>
      <c r="JVU1434" s="40"/>
      <c r="JVV1434" s="40"/>
      <c r="JVW1434" s="40"/>
      <c r="JVX1434" s="40"/>
      <c r="JVY1434" s="40"/>
      <c r="JVZ1434" s="40"/>
      <c r="JWA1434" s="40"/>
      <c r="JWB1434" s="40"/>
      <c r="JWC1434" s="40"/>
      <c r="JWD1434" s="40"/>
      <c r="JWE1434" s="40"/>
      <c r="JWF1434" s="40"/>
      <c r="JWG1434" s="40"/>
      <c r="JWH1434" s="40"/>
      <c r="JWI1434" s="40"/>
      <c r="JWJ1434" s="40"/>
      <c r="JWK1434" s="40"/>
      <c r="JWL1434" s="40"/>
      <c r="JWM1434" s="40"/>
      <c r="JWN1434" s="40"/>
      <c r="JWO1434" s="40"/>
      <c r="JWP1434" s="40"/>
      <c r="JWQ1434" s="40"/>
      <c r="JWR1434" s="40"/>
      <c r="JWS1434" s="40"/>
      <c r="JWT1434" s="40"/>
      <c r="JWU1434" s="40"/>
      <c r="JWV1434" s="40"/>
      <c r="JWW1434" s="40"/>
      <c r="JWX1434" s="40"/>
      <c r="JWY1434" s="40"/>
      <c r="JWZ1434" s="40"/>
      <c r="JXA1434" s="40"/>
      <c r="JXB1434" s="40"/>
      <c r="JXC1434" s="40"/>
      <c r="JXD1434" s="40"/>
      <c r="JXE1434" s="40"/>
      <c r="JXF1434" s="40"/>
      <c r="JXG1434" s="40"/>
      <c r="JXH1434" s="40"/>
      <c r="JXI1434" s="40"/>
      <c r="JXJ1434" s="40"/>
      <c r="JXK1434" s="40"/>
      <c r="JXL1434" s="40"/>
      <c r="JXM1434" s="40"/>
      <c r="JXN1434" s="40"/>
      <c r="JXO1434" s="40"/>
      <c r="JXP1434" s="40"/>
      <c r="JXQ1434" s="40"/>
      <c r="JXR1434" s="40"/>
      <c r="JXS1434" s="40"/>
      <c r="JXT1434" s="40"/>
      <c r="JXU1434" s="40"/>
      <c r="JXV1434" s="40"/>
      <c r="JXW1434" s="40"/>
      <c r="JXX1434" s="40"/>
      <c r="JXY1434" s="40"/>
      <c r="JXZ1434" s="40"/>
      <c r="JYA1434" s="40"/>
      <c r="JYB1434" s="40"/>
      <c r="JYC1434" s="40"/>
      <c r="JYD1434" s="40"/>
      <c r="JYE1434" s="40"/>
      <c r="JYF1434" s="40"/>
      <c r="JYG1434" s="40"/>
      <c r="JYH1434" s="40"/>
      <c r="JYI1434" s="40"/>
      <c r="JYJ1434" s="40"/>
      <c r="JYK1434" s="40"/>
      <c r="JYL1434" s="40"/>
      <c r="JYM1434" s="40"/>
      <c r="JYN1434" s="40"/>
      <c r="JYO1434" s="40"/>
      <c r="JYP1434" s="40"/>
      <c r="JYQ1434" s="40"/>
      <c r="JYR1434" s="40"/>
      <c r="JYS1434" s="40"/>
      <c r="JYT1434" s="40"/>
      <c r="JYU1434" s="40"/>
      <c r="JYV1434" s="40"/>
      <c r="JYW1434" s="40"/>
      <c r="JYX1434" s="40"/>
      <c r="JYY1434" s="40"/>
      <c r="JYZ1434" s="40"/>
      <c r="JZA1434" s="40"/>
      <c r="JZB1434" s="40"/>
      <c r="JZC1434" s="40"/>
      <c r="JZD1434" s="40"/>
      <c r="JZE1434" s="40"/>
      <c r="JZF1434" s="40"/>
      <c r="JZG1434" s="40"/>
      <c r="JZH1434" s="40"/>
      <c r="JZI1434" s="40"/>
      <c r="JZJ1434" s="40"/>
      <c r="JZK1434" s="40"/>
      <c r="JZL1434" s="40"/>
      <c r="JZM1434" s="40"/>
      <c r="JZN1434" s="40"/>
      <c r="JZO1434" s="40"/>
      <c r="JZP1434" s="40"/>
      <c r="JZQ1434" s="40"/>
      <c r="JZR1434" s="40"/>
      <c r="JZS1434" s="40"/>
      <c r="JZT1434" s="40"/>
      <c r="JZU1434" s="40"/>
      <c r="JZV1434" s="40"/>
      <c r="JZW1434" s="40"/>
      <c r="JZX1434" s="40"/>
      <c r="JZY1434" s="40"/>
      <c r="JZZ1434" s="40"/>
      <c r="KAA1434" s="40"/>
      <c r="KAB1434" s="40"/>
      <c r="KAC1434" s="40"/>
      <c r="KAD1434" s="40"/>
      <c r="KAE1434" s="40"/>
      <c r="KAF1434" s="40"/>
      <c r="KAG1434" s="40"/>
      <c r="KAH1434" s="40"/>
      <c r="KAI1434" s="40"/>
      <c r="KAJ1434" s="40"/>
      <c r="KAK1434" s="40"/>
      <c r="KAL1434" s="40"/>
      <c r="KAM1434" s="40"/>
      <c r="KAN1434" s="40"/>
      <c r="KAO1434" s="40"/>
      <c r="KAP1434" s="40"/>
      <c r="KAQ1434" s="40"/>
      <c r="KAR1434" s="40"/>
      <c r="KAS1434" s="40"/>
      <c r="KAT1434" s="40"/>
      <c r="KAU1434" s="40"/>
      <c r="KAV1434" s="40"/>
      <c r="KAW1434" s="40"/>
      <c r="KAX1434" s="40"/>
      <c r="KAY1434" s="40"/>
      <c r="KAZ1434" s="40"/>
      <c r="KBA1434" s="40"/>
      <c r="KBB1434" s="40"/>
      <c r="KBC1434" s="40"/>
      <c r="KBD1434" s="40"/>
      <c r="KBE1434" s="40"/>
      <c r="KBF1434" s="40"/>
      <c r="KBG1434" s="40"/>
      <c r="KBH1434" s="40"/>
      <c r="KBI1434" s="40"/>
      <c r="KBJ1434" s="40"/>
      <c r="KBK1434" s="40"/>
      <c r="KBL1434" s="40"/>
      <c r="KBM1434" s="40"/>
      <c r="KBN1434" s="40"/>
      <c r="KBO1434" s="40"/>
      <c r="KBP1434" s="40"/>
      <c r="KBQ1434" s="40"/>
      <c r="KBR1434" s="40"/>
      <c r="KBS1434" s="40"/>
      <c r="KBT1434" s="40"/>
      <c r="KBU1434" s="40"/>
      <c r="KBV1434" s="40"/>
      <c r="KBW1434" s="40"/>
      <c r="KBX1434" s="40"/>
      <c r="KBY1434" s="40"/>
      <c r="KBZ1434" s="40"/>
      <c r="KCA1434" s="40"/>
      <c r="KCB1434" s="40"/>
      <c r="KCC1434" s="40"/>
      <c r="KCD1434" s="40"/>
      <c r="KCE1434" s="40"/>
      <c r="KCF1434" s="40"/>
      <c r="KCG1434" s="40"/>
      <c r="KCH1434" s="40"/>
      <c r="KCI1434" s="40"/>
      <c r="KCJ1434" s="40"/>
      <c r="KCK1434" s="40"/>
      <c r="KCL1434" s="40"/>
      <c r="KCM1434" s="40"/>
      <c r="KCN1434" s="40"/>
      <c r="KCO1434" s="40"/>
      <c r="KCP1434" s="40"/>
      <c r="KCQ1434" s="40"/>
      <c r="KCR1434" s="40"/>
      <c r="KCS1434" s="40"/>
      <c r="KCT1434" s="40"/>
      <c r="KCU1434" s="40"/>
      <c r="KCV1434" s="40"/>
      <c r="KCW1434" s="40"/>
      <c r="KCX1434" s="40"/>
      <c r="KCY1434" s="40"/>
      <c r="KCZ1434" s="40"/>
      <c r="KDA1434" s="40"/>
      <c r="KDB1434" s="40"/>
      <c r="KDC1434" s="40"/>
      <c r="KDD1434" s="40"/>
      <c r="KDE1434" s="40"/>
      <c r="KDF1434" s="40"/>
      <c r="KDG1434" s="40"/>
      <c r="KDH1434" s="40"/>
      <c r="KDI1434" s="40"/>
      <c r="KDJ1434" s="40"/>
      <c r="KDK1434" s="40"/>
      <c r="KDL1434" s="40"/>
      <c r="KDM1434" s="40"/>
      <c r="KDN1434" s="40"/>
      <c r="KDO1434" s="40"/>
      <c r="KDP1434" s="40"/>
      <c r="KDQ1434" s="40"/>
      <c r="KDR1434" s="40"/>
      <c r="KDS1434" s="40"/>
      <c r="KDT1434" s="40"/>
      <c r="KDU1434" s="40"/>
      <c r="KDV1434" s="40"/>
      <c r="KDW1434" s="40"/>
      <c r="KDX1434" s="40"/>
      <c r="KDY1434" s="40"/>
      <c r="KDZ1434" s="40"/>
      <c r="KEA1434" s="40"/>
      <c r="KEB1434" s="40"/>
      <c r="KEC1434" s="40"/>
      <c r="KED1434" s="40"/>
      <c r="KEE1434" s="40"/>
      <c r="KEF1434" s="40"/>
      <c r="KEG1434" s="40"/>
      <c r="KEH1434" s="40"/>
      <c r="KEI1434" s="40"/>
      <c r="KEJ1434" s="40"/>
      <c r="KEK1434" s="40"/>
      <c r="KEL1434" s="40"/>
      <c r="KEM1434" s="40"/>
      <c r="KEN1434" s="40"/>
      <c r="KEO1434" s="40"/>
      <c r="KEP1434" s="40"/>
      <c r="KEQ1434" s="40"/>
      <c r="KER1434" s="40"/>
      <c r="KES1434" s="40"/>
      <c r="KET1434" s="40"/>
      <c r="KEU1434" s="40"/>
      <c r="KEV1434" s="40"/>
      <c r="KEW1434" s="40"/>
      <c r="KEX1434" s="40"/>
      <c r="KEY1434" s="40"/>
      <c r="KEZ1434" s="40"/>
      <c r="KFA1434" s="40"/>
      <c r="KFB1434" s="40"/>
      <c r="KFC1434" s="40"/>
      <c r="KFD1434" s="40"/>
      <c r="KFE1434" s="40"/>
      <c r="KFF1434" s="40"/>
      <c r="KFG1434" s="40"/>
      <c r="KFH1434" s="40"/>
      <c r="KFI1434" s="40"/>
      <c r="KFJ1434" s="40"/>
      <c r="KFK1434" s="40"/>
      <c r="KFL1434" s="40"/>
      <c r="KFM1434" s="40"/>
      <c r="KFN1434" s="40"/>
      <c r="KFO1434" s="40"/>
      <c r="KFP1434" s="40"/>
      <c r="KFQ1434" s="40"/>
      <c r="KFR1434" s="40"/>
      <c r="KFS1434" s="40"/>
      <c r="KFT1434" s="40"/>
      <c r="KFU1434" s="40"/>
      <c r="KFV1434" s="40"/>
      <c r="KFW1434" s="40"/>
      <c r="KFX1434" s="40"/>
      <c r="KFY1434" s="40"/>
      <c r="KFZ1434" s="40"/>
      <c r="KGA1434" s="40"/>
      <c r="KGB1434" s="40"/>
      <c r="KGC1434" s="40"/>
      <c r="KGD1434" s="40"/>
      <c r="KGE1434" s="40"/>
      <c r="KGF1434" s="40"/>
      <c r="KGG1434" s="40"/>
      <c r="KGH1434" s="40"/>
      <c r="KGI1434" s="40"/>
      <c r="KGJ1434" s="40"/>
      <c r="KGK1434" s="40"/>
      <c r="KGL1434" s="40"/>
      <c r="KGM1434" s="40"/>
      <c r="KGN1434" s="40"/>
      <c r="KGO1434" s="40"/>
      <c r="KGP1434" s="40"/>
      <c r="KGQ1434" s="40"/>
      <c r="KGR1434" s="40"/>
      <c r="KGS1434" s="40"/>
      <c r="KGT1434" s="40"/>
      <c r="KGU1434" s="40"/>
      <c r="KGV1434" s="40"/>
      <c r="KGW1434" s="40"/>
      <c r="KGX1434" s="40"/>
      <c r="KGY1434" s="40"/>
      <c r="KGZ1434" s="40"/>
      <c r="KHA1434" s="40"/>
      <c r="KHB1434" s="40"/>
      <c r="KHC1434" s="40"/>
      <c r="KHD1434" s="40"/>
      <c r="KHE1434" s="40"/>
      <c r="KHF1434" s="40"/>
      <c r="KHG1434" s="40"/>
      <c r="KHH1434" s="40"/>
      <c r="KHI1434" s="40"/>
      <c r="KHJ1434" s="40"/>
      <c r="KHK1434" s="40"/>
      <c r="KHL1434" s="40"/>
      <c r="KHM1434" s="40"/>
      <c r="KHN1434" s="40"/>
      <c r="KHO1434" s="40"/>
      <c r="KHP1434" s="40"/>
      <c r="KHQ1434" s="40"/>
      <c r="KHR1434" s="40"/>
      <c r="KHS1434" s="40"/>
      <c r="KHT1434" s="40"/>
      <c r="KHU1434" s="40"/>
      <c r="KHV1434" s="40"/>
      <c r="KHW1434" s="40"/>
      <c r="KHX1434" s="40"/>
      <c r="KHY1434" s="40"/>
      <c r="KHZ1434" s="40"/>
      <c r="KIA1434" s="40"/>
      <c r="KIB1434" s="40"/>
      <c r="KIC1434" s="40"/>
      <c r="KID1434" s="40"/>
      <c r="KIE1434" s="40"/>
      <c r="KIF1434" s="40"/>
      <c r="KIG1434" s="40"/>
      <c r="KIH1434" s="40"/>
      <c r="KII1434" s="40"/>
      <c r="KIJ1434" s="40"/>
      <c r="KIK1434" s="40"/>
      <c r="KIL1434" s="40"/>
      <c r="KIM1434" s="40"/>
      <c r="KIN1434" s="40"/>
      <c r="KIO1434" s="40"/>
      <c r="KIP1434" s="40"/>
      <c r="KIQ1434" s="40"/>
      <c r="KIR1434" s="40"/>
      <c r="KIS1434" s="40"/>
      <c r="KIT1434" s="40"/>
      <c r="KIU1434" s="40"/>
      <c r="KIV1434" s="40"/>
      <c r="KIW1434" s="40"/>
      <c r="KIX1434" s="40"/>
      <c r="KIY1434" s="40"/>
      <c r="KIZ1434" s="40"/>
      <c r="KJA1434" s="40"/>
      <c r="KJB1434" s="40"/>
      <c r="KJC1434" s="40"/>
      <c r="KJD1434" s="40"/>
      <c r="KJE1434" s="40"/>
      <c r="KJF1434" s="40"/>
      <c r="KJG1434" s="40"/>
      <c r="KJH1434" s="40"/>
      <c r="KJI1434" s="40"/>
      <c r="KJJ1434" s="40"/>
      <c r="KJK1434" s="40"/>
      <c r="KJL1434" s="40"/>
      <c r="KJM1434" s="40"/>
      <c r="KJN1434" s="40"/>
      <c r="KJO1434" s="40"/>
      <c r="KJP1434" s="40"/>
      <c r="KJQ1434" s="40"/>
      <c r="KJR1434" s="40"/>
      <c r="KJS1434" s="40"/>
      <c r="KJT1434" s="40"/>
      <c r="KJU1434" s="40"/>
      <c r="KJV1434" s="40"/>
      <c r="KJW1434" s="40"/>
      <c r="KJX1434" s="40"/>
      <c r="KJY1434" s="40"/>
      <c r="KJZ1434" s="40"/>
      <c r="KKA1434" s="40"/>
      <c r="KKB1434" s="40"/>
      <c r="KKC1434" s="40"/>
      <c r="KKD1434" s="40"/>
      <c r="KKE1434" s="40"/>
      <c r="KKF1434" s="40"/>
      <c r="KKG1434" s="40"/>
      <c r="KKH1434" s="40"/>
      <c r="KKI1434" s="40"/>
      <c r="KKJ1434" s="40"/>
      <c r="KKK1434" s="40"/>
      <c r="KKL1434" s="40"/>
      <c r="KKM1434" s="40"/>
      <c r="KKN1434" s="40"/>
      <c r="KKO1434" s="40"/>
      <c r="KKP1434" s="40"/>
      <c r="KKQ1434" s="40"/>
      <c r="KKR1434" s="40"/>
      <c r="KKS1434" s="40"/>
      <c r="KKT1434" s="40"/>
      <c r="KKU1434" s="40"/>
      <c r="KKV1434" s="40"/>
      <c r="KKW1434" s="40"/>
      <c r="KKX1434" s="40"/>
      <c r="KKY1434" s="40"/>
      <c r="KKZ1434" s="40"/>
      <c r="KLA1434" s="40"/>
      <c r="KLB1434" s="40"/>
      <c r="KLC1434" s="40"/>
      <c r="KLD1434" s="40"/>
      <c r="KLE1434" s="40"/>
      <c r="KLF1434" s="40"/>
      <c r="KLG1434" s="40"/>
      <c r="KLH1434" s="40"/>
      <c r="KLI1434" s="40"/>
      <c r="KLJ1434" s="40"/>
      <c r="KLK1434" s="40"/>
      <c r="KLL1434" s="40"/>
      <c r="KLM1434" s="40"/>
      <c r="KLN1434" s="40"/>
      <c r="KLO1434" s="40"/>
      <c r="KLP1434" s="40"/>
      <c r="KLQ1434" s="40"/>
      <c r="KLR1434" s="40"/>
      <c r="KLS1434" s="40"/>
      <c r="KLT1434" s="40"/>
      <c r="KLU1434" s="40"/>
      <c r="KLV1434" s="40"/>
      <c r="KLW1434" s="40"/>
      <c r="KLX1434" s="40"/>
      <c r="KLY1434" s="40"/>
      <c r="KLZ1434" s="40"/>
      <c r="KMA1434" s="40"/>
      <c r="KMB1434" s="40"/>
      <c r="KMC1434" s="40"/>
      <c r="KMD1434" s="40"/>
      <c r="KME1434" s="40"/>
      <c r="KMF1434" s="40"/>
      <c r="KMG1434" s="40"/>
      <c r="KMH1434" s="40"/>
      <c r="KMI1434" s="40"/>
      <c r="KMJ1434" s="40"/>
      <c r="KMK1434" s="40"/>
      <c r="KML1434" s="40"/>
      <c r="KMM1434" s="40"/>
      <c r="KMN1434" s="40"/>
      <c r="KMO1434" s="40"/>
      <c r="KMP1434" s="40"/>
      <c r="KMQ1434" s="40"/>
      <c r="KMR1434" s="40"/>
      <c r="KMS1434" s="40"/>
      <c r="KMT1434" s="40"/>
      <c r="KMU1434" s="40"/>
      <c r="KMV1434" s="40"/>
      <c r="KMW1434" s="40"/>
      <c r="KMX1434" s="40"/>
      <c r="KMY1434" s="40"/>
      <c r="KMZ1434" s="40"/>
      <c r="KNA1434" s="40"/>
      <c r="KNB1434" s="40"/>
      <c r="KNC1434" s="40"/>
      <c r="KND1434" s="40"/>
      <c r="KNE1434" s="40"/>
      <c r="KNF1434" s="40"/>
      <c r="KNG1434" s="40"/>
      <c r="KNH1434" s="40"/>
      <c r="KNI1434" s="40"/>
      <c r="KNJ1434" s="40"/>
      <c r="KNK1434" s="40"/>
      <c r="KNL1434" s="40"/>
      <c r="KNM1434" s="40"/>
      <c r="KNN1434" s="40"/>
      <c r="KNO1434" s="40"/>
      <c r="KNP1434" s="40"/>
      <c r="KNQ1434" s="40"/>
      <c r="KNR1434" s="40"/>
      <c r="KNS1434" s="40"/>
      <c r="KNT1434" s="40"/>
      <c r="KNU1434" s="40"/>
      <c r="KNV1434" s="40"/>
      <c r="KNW1434" s="40"/>
      <c r="KNX1434" s="40"/>
      <c r="KNY1434" s="40"/>
      <c r="KNZ1434" s="40"/>
      <c r="KOA1434" s="40"/>
      <c r="KOB1434" s="40"/>
      <c r="KOC1434" s="40"/>
      <c r="KOD1434" s="40"/>
      <c r="KOE1434" s="40"/>
      <c r="KOF1434" s="40"/>
      <c r="KOG1434" s="40"/>
      <c r="KOH1434" s="40"/>
      <c r="KOI1434" s="40"/>
      <c r="KOJ1434" s="40"/>
      <c r="KOK1434" s="40"/>
      <c r="KOL1434" s="40"/>
      <c r="KOM1434" s="40"/>
      <c r="KON1434" s="40"/>
      <c r="KOO1434" s="40"/>
      <c r="KOP1434" s="40"/>
      <c r="KOQ1434" s="40"/>
      <c r="KOR1434" s="40"/>
      <c r="KOS1434" s="40"/>
      <c r="KOT1434" s="40"/>
      <c r="KOU1434" s="40"/>
      <c r="KOV1434" s="40"/>
      <c r="KOW1434" s="40"/>
      <c r="KOX1434" s="40"/>
      <c r="KOY1434" s="40"/>
      <c r="KOZ1434" s="40"/>
      <c r="KPA1434" s="40"/>
      <c r="KPB1434" s="40"/>
      <c r="KPC1434" s="40"/>
      <c r="KPD1434" s="40"/>
      <c r="KPE1434" s="40"/>
      <c r="KPF1434" s="40"/>
      <c r="KPG1434" s="40"/>
      <c r="KPH1434" s="40"/>
      <c r="KPI1434" s="40"/>
      <c r="KPJ1434" s="40"/>
      <c r="KPK1434" s="40"/>
      <c r="KPL1434" s="40"/>
      <c r="KPM1434" s="40"/>
      <c r="KPN1434" s="40"/>
      <c r="KPO1434" s="40"/>
      <c r="KPP1434" s="40"/>
      <c r="KPQ1434" s="40"/>
      <c r="KPR1434" s="40"/>
      <c r="KPS1434" s="40"/>
      <c r="KPT1434" s="40"/>
      <c r="KPU1434" s="40"/>
      <c r="KPV1434" s="40"/>
      <c r="KPW1434" s="40"/>
      <c r="KPX1434" s="40"/>
      <c r="KPY1434" s="40"/>
      <c r="KPZ1434" s="40"/>
      <c r="KQA1434" s="40"/>
      <c r="KQB1434" s="40"/>
      <c r="KQC1434" s="40"/>
      <c r="KQD1434" s="40"/>
      <c r="KQE1434" s="40"/>
      <c r="KQF1434" s="40"/>
      <c r="KQG1434" s="40"/>
      <c r="KQH1434" s="40"/>
      <c r="KQI1434" s="40"/>
      <c r="KQJ1434" s="40"/>
      <c r="KQK1434" s="40"/>
      <c r="KQL1434" s="40"/>
      <c r="KQM1434" s="40"/>
      <c r="KQN1434" s="40"/>
      <c r="KQO1434" s="40"/>
      <c r="KQP1434" s="40"/>
      <c r="KQQ1434" s="40"/>
      <c r="KQR1434" s="40"/>
      <c r="KQS1434" s="40"/>
      <c r="KQT1434" s="40"/>
      <c r="KQU1434" s="40"/>
      <c r="KQV1434" s="40"/>
      <c r="KQW1434" s="40"/>
      <c r="KQX1434" s="40"/>
      <c r="KQY1434" s="40"/>
      <c r="KQZ1434" s="40"/>
      <c r="KRA1434" s="40"/>
      <c r="KRB1434" s="40"/>
      <c r="KRC1434" s="40"/>
      <c r="KRD1434" s="40"/>
      <c r="KRE1434" s="40"/>
      <c r="KRF1434" s="40"/>
      <c r="KRG1434" s="40"/>
      <c r="KRH1434" s="40"/>
      <c r="KRI1434" s="40"/>
      <c r="KRJ1434" s="40"/>
      <c r="KRK1434" s="40"/>
      <c r="KRL1434" s="40"/>
      <c r="KRM1434" s="40"/>
      <c r="KRN1434" s="40"/>
      <c r="KRO1434" s="40"/>
      <c r="KRP1434" s="40"/>
      <c r="KRQ1434" s="40"/>
      <c r="KRR1434" s="40"/>
      <c r="KRS1434" s="40"/>
      <c r="KRT1434" s="40"/>
      <c r="KRU1434" s="40"/>
      <c r="KRV1434" s="40"/>
      <c r="KRW1434" s="40"/>
      <c r="KRX1434" s="40"/>
      <c r="KRY1434" s="40"/>
      <c r="KRZ1434" s="40"/>
      <c r="KSA1434" s="40"/>
      <c r="KSB1434" s="40"/>
      <c r="KSC1434" s="40"/>
      <c r="KSD1434" s="40"/>
      <c r="KSE1434" s="40"/>
      <c r="KSF1434" s="40"/>
      <c r="KSG1434" s="40"/>
      <c r="KSH1434" s="40"/>
      <c r="KSI1434" s="40"/>
      <c r="KSJ1434" s="40"/>
      <c r="KSK1434" s="40"/>
      <c r="KSL1434" s="40"/>
      <c r="KSM1434" s="40"/>
      <c r="KSN1434" s="40"/>
      <c r="KSO1434" s="40"/>
      <c r="KSP1434" s="40"/>
      <c r="KSQ1434" s="40"/>
      <c r="KSR1434" s="40"/>
      <c r="KSS1434" s="40"/>
      <c r="KST1434" s="40"/>
      <c r="KSU1434" s="40"/>
      <c r="KSV1434" s="40"/>
      <c r="KSW1434" s="40"/>
      <c r="KSX1434" s="40"/>
      <c r="KSY1434" s="40"/>
      <c r="KSZ1434" s="40"/>
      <c r="KTA1434" s="40"/>
      <c r="KTB1434" s="40"/>
      <c r="KTC1434" s="40"/>
      <c r="KTD1434" s="40"/>
      <c r="KTE1434" s="40"/>
      <c r="KTF1434" s="40"/>
      <c r="KTG1434" s="40"/>
      <c r="KTH1434" s="40"/>
      <c r="KTI1434" s="40"/>
      <c r="KTJ1434" s="40"/>
      <c r="KTK1434" s="40"/>
      <c r="KTL1434" s="40"/>
      <c r="KTM1434" s="40"/>
      <c r="KTN1434" s="40"/>
      <c r="KTO1434" s="40"/>
      <c r="KTP1434" s="40"/>
      <c r="KTQ1434" s="40"/>
      <c r="KTR1434" s="40"/>
      <c r="KTS1434" s="40"/>
      <c r="KTT1434" s="40"/>
      <c r="KTU1434" s="40"/>
      <c r="KTV1434" s="40"/>
      <c r="KTW1434" s="40"/>
      <c r="KTX1434" s="40"/>
      <c r="KTY1434" s="40"/>
      <c r="KTZ1434" s="40"/>
      <c r="KUA1434" s="40"/>
      <c r="KUB1434" s="40"/>
      <c r="KUC1434" s="40"/>
      <c r="KUD1434" s="40"/>
      <c r="KUE1434" s="40"/>
      <c r="KUF1434" s="40"/>
      <c r="KUG1434" s="40"/>
      <c r="KUH1434" s="40"/>
      <c r="KUI1434" s="40"/>
      <c r="KUJ1434" s="40"/>
      <c r="KUK1434" s="40"/>
      <c r="KUL1434" s="40"/>
      <c r="KUM1434" s="40"/>
      <c r="KUN1434" s="40"/>
      <c r="KUO1434" s="40"/>
      <c r="KUP1434" s="40"/>
      <c r="KUQ1434" s="40"/>
      <c r="KUR1434" s="40"/>
      <c r="KUS1434" s="40"/>
      <c r="KUT1434" s="40"/>
      <c r="KUU1434" s="40"/>
      <c r="KUV1434" s="40"/>
      <c r="KUW1434" s="40"/>
      <c r="KUX1434" s="40"/>
      <c r="KUY1434" s="40"/>
      <c r="KUZ1434" s="40"/>
      <c r="KVA1434" s="40"/>
      <c r="KVB1434" s="40"/>
      <c r="KVC1434" s="40"/>
      <c r="KVD1434" s="40"/>
      <c r="KVE1434" s="40"/>
      <c r="KVF1434" s="40"/>
      <c r="KVG1434" s="40"/>
      <c r="KVH1434" s="40"/>
      <c r="KVI1434" s="40"/>
      <c r="KVJ1434" s="40"/>
      <c r="KVK1434" s="40"/>
      <c r="KVL1434" s="40"/>
      <c r="KVM1434" s="40"/>
      <c r="KVN1434" s="40"/>
      <c r="KVO1434" s="40"/>
      <c r="KVP1434" s="40"/>
      <c r="KVQ1434" s="40"/>
      <c r="KVR1434" s="40"/>
      <c r="KVS1434" s="40"/>
      <c r="KVT1434" s="40"/>
      <c r="KVU1434" s="40"/>
      <c r="KVV1434" s="40"/>
      <c r="KVW1434" s="40"/>
      <c r="KVX1434" s="40"/>
      <c r="KVY1434" s="40"/>
      <c r="KVZ1434" s="40"/>
      <c r="KWA1434" s="40"/>
      <c r="KWB1434" s="40"/>
      <c r="KWC1434" s="40"/>
      <c r="KWD1434" s="40"/>
      <c r="KWE1434" s="40"/>
      <c r="KWF1434" s="40"/>
      <c r="KWG1434" s="40"/>
      <c r="KWH1434" s="40"/>
      <c r="KWI1434" s="40"/>
      <c r="KWJ1434" s="40"/>
      <c r="KWK1434" s="40"/>
      <c r="KWL1434" s="40"/>
      <c r="KWM1434" s="40"/>
      <c r="KWN1434" s="40"/>
      <c r="KWO1434" s="40"/>
      <c r="KWP1434" s="40"/>
      <c r="KWQ1434" s="40"/>
      <c r="KWR1434" s="40"/>
      <c r="KWS1434" s="40"/>
      <c r="KWT1434" s="40"/>
      <c r="KWU1434" s="40"/>
      <c r="KWV1434" s="40"/>
      <c r="KWW1434" s="40"/>
      <c r="KWX1434" s="40"/>
      <c r="KWY1434" s="40"/>
      <c r="KWZ1434" s="40"/>
      <c r="KXA1434" s="40"/>
      <c r="KXB1434" s="40"/>
      <c r="KXC1434" s="40"/>
      <c r="KXD1434" s="40"/>
      <c r="KXE1434" s="40"/>
      <c r="KXF1434" s="40"/>
      <c r="KXG1434" s="40"/>
      <c r="KXH1434" s="40"/>
      <c r="KXI1434" s="40"/>
      <c r="KXJ1434" s="40"/>
      <c r="KXK1434" s="40"/>
      <c r="KXL1434" s="40"/>
      <c r="KXM1434" s="40"/>
      <c r="KXN1434" s="40"/>
      <c r="KXO1434" s="40"/>
      <c r="KXP1434" s="40"/>
      <c r="KXQ1434" s="40"/>
      <c r="KXR1434" s="40"/>
      <c r="KXS1434" s="40"/>
      <c r="KXT1434" s="40"/>
      <c r="KXU1434" s="40"/>
      <c r="KXV1434" s="40"/>
      <c r="KXW1434" s="40"/>
      <c r="KXX1434" s="40"/>
      <c r="KXY1434" s="40"/>
      <c r="KXZ1434" s="40"/>
      <c r="KYA1434" s="40"/>
      <c r="KYB1434" s="40"/>
      <c r="KYC1434" s="40"/>
      <c r="KYD1434" s="40"/>
      <c r="KYE1434" s="40"/>
      <c r="KYF1434" s="40"/>
      <c r="KYG1434" s="40"/>
      <c r="KYH1434" s="40"/>
      <c r="KYI1434" s="40"/>
      <c r="KYJ1434" s="40"/>
      <c r="KYK1434" s="40"/>
      <c r="KYL1434" s="40"/>
      <c r="KYM1434" s="40"/>
      <c r="KYN1434" s="40"/>
      <c r="KYO1434" s="40"/>
      <c r="KYP1434" s="40"/>
      <c r="KYQ1434" s="40"/>
      <c r="KYR1434" s="40"/>
      <c r="KYS1434" s="40"/>
      <c r="KYT1434" s="40"/>
      <c r="KYU1434" s="40"/>
      <c r="KYV1434" s="40"/>
      <c r="KYW1434" s="40"/>
      <c r="KYX1434" s="40"/>
      <c r="KYY1434" s="40"/>
      <c r="KYZ1434" s="40"/>
      <c r="KZA1434" s="40"/>
      <c r="KZB1434" s="40"/>
      <c r="KZC1434" s="40"/>
      <c r="KZD1434" s="40"/>
      <c r="KZE1434" s="40"/>
      <c r="KZF1434" s="40"/>
      <c r="KZG1434" s="40"/>
      <c r="KZH1434" s="40"/>
      <c r="KZI1434" s="40"/>
      <c r="KZJ1434" s="40"/>
      <c r="KZK1434" s="40"/>
      <c r="KZL1434" s="40"/>
      <c r="KZM1434" s="40"/>
      <c r="KZN1434" s="40"/>
      <c r="KZO1434" s="40"/>
      <c r="KZP1434" s="40"/>
      <c r="KZQ1434" s="40"/>
      <c r="KZR1434" s="40"/>
      <c r="KZS1434" s="40"/>
      <c r="KZT1434" s="40"/>
      <c r="KZU1434" s="40"/>
      <c r="KZV1434" s="40"/>
      <c r="KZW1434" s="40"/>
      <c r="KZX1434" s="40"/>
      <c r="KZY1434" s="40"/>
      <c r="KZZ1434" s="40"/>
      <c r="LAA1434" s="40"/>
      <c r="LAB1434" s="40"/>
      <c r="LAC1434" s="40"/>
      <c r="LAD1434" s="40"/>
      <c r="LAE1434" s="40"/>
      <c r="LAF1434" s="40"/>
      <c r="LAG1434" s="40"/>
      <c r="LAH1434" s="40"/>
      <c r="LAI1434" s="40"/>
      <c r="LAJ1434" s="40"/>
      <c r="LAK1434" s="40"/>
      <c r="LAL1434" s="40"/>
      <c r="LAM1434" s="40"/>
      <c r="LAN1434" s="40"/>
      <c r="LAO1434" s="40"/>
      <c r="LAP1434" s="40"/>
      <c r="LAQ1434" s="40"/>
      <c r="LAR1434" s="40"/>
      <c r="LAS1434" s="40"/>
      <c r="LAT1434" s="40"/>
      <c r="LAU1434" s="40"/>
      <c r="LAV1434" s="40"/>
      <c r="LAW1434" s="40"/>
      <c r="LAX1434" s="40"/>
      <c r="LAY1434" s="40"/>
      <c r="LAZ1434" s="40"/>
      <c r="LBA1434" s="40"/>
      <c r="LBB1434" s="40"/>
      <c r="LBC1434" s="40"/>
      <c r="LBD1434" s="40"/>
      <c r="LBE1434" s="40"/>
      <c r="LBF1434" s="40"/>
      <c r="LBG1434" s="40"/>
      <c r="LBH1434" s="40"/>
      <c r="LBI1434" s="40"/>
      <c r="LBJ1434" s="40"/>
      <c r="LBK1434" s="40"/>
      <c r="LBL1434" s="40"/>
      <c r="LBM1434" s="40"/>
      <c r="LBN1434" s="40"/>
      <c r="LBO1434" s="40"/>
      <c r="LBP1434" s="40"/>
      <c r="LBQ1434" s="40"/>
      <c r="LBR1434" s="40"/>
      <c r="LBS1434" s="40"/>
      <c r="LBT1434" s="40"/>
      <c r="LBU1434" s="40"/>
      <c r="LBV1434" s="40"/>
      <c r="LBW1434" s="40"/>
      <c r="LBX1434" s="40"/>
      <c r="LBY1434" s="40"/>
      <c r="LBZ1434" s="40"/>
      <c r="LCA1434" s="40"/>
      <c r="LCB1434" s="40"/>
      <c r="LCC1434" s="40"/>
      <c r="LCD1434" s="40"/>
      <c r="LCE1434" s="40"/>
      <c r="LCF1434" s="40"/>
      <c r="LCG1434" s="40"/>
      <c r="LCH1434" s="40"/>
      <c r="LCI1434" s="40"/>
      <c r="LCJ1434" s="40"/>
      <c r="LCK1434" s="40"/>
      <c r="LCL1434" s="40"/>
      <c r="LCM1434" s="40"/>
      <c r="LCN1434" s="40"/>
      <c r="LCO1434" s="40"/>
      <c r="LCP1434" s="40"/>
      <c r="LCQ1434" s="40"/>
      <c r="LCR1434" s="40"/>
      <c r="LCS1434" s="40"/>
      <c r="LCT1434" s="40"/>
      <c r="LCU1434" s="40"/>
      <c r="LCV1434" s="40"/>
      <c r="LCW1434" s="40"/>
      <c r="LCX1434" s="40"/>
      <c r="LCY1434" s="40"/>
      <c r="LCZ1434" s="40"/>
      <c r="LDA1434" s="40"/>
      <c r="LDB1434" s="40"/>
      <c r="LDC1434" s="40"/>
      <c r="LDD1434" s="40"/>
      <c r="LDE1434" s="40"/>
      <c r="LDF1434" s="40"/>
      <c r="LDG1434" s="40"/>
      <c r="LDH1434" s="40"/>
      <c r="LDI1434" s="40"/>
      <c r="LDJ1434" s="40"/>
      <c r="LDK1434" s="40"/>
      <c r="LDL1434" s="40"/>
      <c r="LDM1434" s="40"/>
      <c r="LDN1434" s="40"/>
      <c r="LDO1434" s="40"/>
      <c r="LDP1434" s="40"/>
      <c r="LDQ1434" s="40"/>
      <c r="LDR1434" s="40"/>
      <c r="LDS1434" s="40"/>
      <c r="LDT1434" s="40"/>
      <c r="LDU1434" s="40"/>
      <c r="LDV1434" s="40"/>
      <c r="LDW1434" s="40"/>
      <c r="LDX1434" s="40"/>
      <c r="LDY1434" s="40"/>
      <c r="LDZ1434" s="40"/>
      <c r="LEA1434" s="40"/>
      <c r="LEB1434" s="40"/>
      <c r="LEC1434" s="40"/>
      <c r="LED1434" s="40"/>
      <c r="LEE1434" s="40"/>
      <c r="LEF1434" s="40"/>
      <c r="LEG1434" s="40"/>
      <c r="LEH1434" s="40"/>
      <c r="LEI1434" s="40"/>
      <c r="LEJ1434" s="40"/>
      <c r="LEK1434" s="40"/>
      <c r="LEL1434" s="40"/>
      <c r="LEM1434" s="40"/>
      <c r="LEN1434" s="40"/>
      <c r="LEO1434" s="40"/>
      <c r="LEP1434" s="40"/>
      <c r="LEQ1434" s="40"/>
      <c r="LER1434" s="40"/>
      <c r="LES1434" s="40"/>
      <c r="LET1434" s="40"/>
      <c r="LEU1434" s="40"/>
      <c r="LEV1434" s="40"/>
      <c r="LEW1434" s="40"/>
      <c r="LEX1434" s="40"/>
      <c r="LEY1434" s="40"/>
      <c r="LEZ1434" s="40"/>
      <c r="LFA1434" s="40"/>
      <c r="LFB1434" s="40"/>
      <c r="LFC1434" s="40"/>
      <c r="LFD1434" s="40"/>
      <c r="LFE1434" s="40"/>
      <c r="LFF1434" s="40"/>
      <c r="LFG1434" s="40"/>
      <c r="LFH1434" s="40"/>
      <c r="LFI1434" s="40"/>
      <c r="LFJ1434" s="40"/>
      <c r="LFK1434" s="40"/>
      <c r="LFL1434" s="40"/>
      <c r="LFM1434" s="40"/>
      <c r="LFN1434" s="40"/>
      <c r="LFO1434" s="40"/>
      <c r="LFP1434" s="40"/>
      <c r="LFQ1434" s="40"/>
      <c r="LFR1434" s="40"/>
      <c r="LFS1434" s="40"/>
      <c r="LFT1434" s="40"/>
      <c r="LFU1434" s="40"/>
      <c r="LFV1434" s="40"/>
      <c r="LFW1434" s="40"/>
      <c r="LFX1434" s="40"/>
      <c r="LFY1434" s="40"/>
      <c r="LFZ1434" s="40"/>
      <c r="LGA1434" s="40"/>
      <c r="LGB1434" s="40"/>
      <c r="LGC1434" s="40"/>
      <c r="LGD1434" s="40"/>
      <c r="LGE1434" s="40"/>
      <c r="LGF1434" s="40"/>
      <c r="LGG1434" s="40"/>
      <c r="LGH1434" s="40"/>
      <c r="LGI1434" s="40"/>
      <c r="LGJ1434" s="40"/>
      <c r="LGK1434" s="40"/>
      <c r="LGL1434" s="40"/>
      <c r="LGM1434" s="40"/>
      <c r="LGN1434" s="40"/>
      <c r="LGO1434" s="40"/>
      <c r="LGP1434" s="40"/>
      <c r="LGQ1434" s="40"/>
      <c r="LGR1434" s="40"/>
      <c r="LGS1434" s="40"/>
      <c r="LGT1434" s="40"/>
      <c r="LGU1434" s="40"/>
      <c r="LGV1434" s="40"/>
      <c r="LGW1434" s="40"/>
      <c r="LGX1434" s="40"/>
      <c r="LGY1434" s="40"/>
      <c r="LGZ1434" s="40"/>
      <c r="LHA1434" s="40"/>
      <c r="LHB1434" s="40"/>
      <c r="LHC1434" s="40"/>
      <c r="LHD1434" s="40"/>
      <c r="LHE1434" s="40"/>
      <c r="LHF1434" s="40"/>
      <c r="LHG1434" s="40"/>
      <c r="LHH1434" s="40"/>
      <c r="LHI1434" s="40"/>
      <c r="LHJ1434" s="40"/>
      <c r="LHK1434" s="40"/>
      <c r="LHL1434" s="40"/>
      <c r="LHM1434" s="40"/>
      <c r="LHN1434" s="40"/>
      <c r="LHO1434" s="40"/>
      <c r="LHP1434" s="40"/>
      <c r="LHQ1434" s="40"/>
      <c r="LHR1434" s="40"/>
      <c r="LHS1434" s="40"/>
      <c r="LHT1434" s="40"/>
      <c r="LHU1434" s="40"/>
      <c r="LHV1434" s="40"/>
      <c r="LHW1434" s="40"/>
      <c r="LHX1434" s="40"/>
      <c r="LHY1434" s="40"/>
      <c r="LHZ1434" s="40"/>
      <c r="LIA1434" s="40"/>
      <c r="LIB1434" s="40"/>
      <c r="LIC1434" s="40"/>
      <c r="LID1434" s="40"/>
      <c r="LIE1434" s="40"/>
      <c r="LIF1434" s="40"/>
      <c r="LIG1434" s="40"/>
      <c r="LIH1434" s="40"/>
      <c r="LII1434" s="40"/>
      <c r="LIJ1434" s="40"/>
      <c r="LIK1434" s="40"/>
      <c r="LIL1434" s="40"/>
      <c r="LIM1434" s="40"/>
      <c r="LIN1434" s="40"/>
      <c r="LIO1434" s="40"/>
      <c r="LIP1434" s="40"/>
      <c r="LIQ1434" s="40"/>
      <c r="LIR1434" s="40"/>
      <c r="LIS1434" s="40"/>
      <c r="LIT1434" s="40"/>
      <c r="LIU1434" s="40"/>
      <c r="LIV1434" s="40"/>
      <c r="LIW1434" s="40"/>
      <c r="LIX1434" s="40"/>
      <c r="LIY1434" s="40"/>
      <c r="LIZ1434" s="40"/>
      <c r="LJA1434" s="40"/>
      <c r="LJB1434" s="40"/>
      <c r="LJC1434" s="40"/>
      <c r="LJD1434" s="40"/>
      <c r="LJE1434" s="40"/>
      <c r="LJF1434" s="40"/>
      <c r="LJG1434" s="40"/>
      <c r="LJH1434" s="40"/>
      <c r="LJI1434" s="40"/>
      <c r="LJJ1434" s="40"/>
      <c r="LJK1434" s="40"/>
      <c r="LJL1434" s="40"/>
      <c r="LJM1434" s="40"/>
      <c r="LJN1434" s="40"/>
      <c r="LJO1434" s="40"/>
      <c r="LJP1434" s="40"/>
      <c r="LJQ1434" s="40"/>
      <c r="LJR1434" s="40"/>
      <c r="LJS1434" s="40"/>
      <c r="LJT1434" s="40"/>
      <c r="LJU1434" s="40"/>
      <c r="LJV1434" s="40"/>
      <c r="LJW1434" s="40"/>
      <c r="LJX1434" s="40"/>
      <c r="LJY1434" s="40"/>
      <c r="LJZ1434" s="40"/>
      <c r="LKA1434" s="40"/>
      <c r="LKB1434" s="40"/>
      <c r="LKC1434" s="40"/>
      <c r="LKD1434" s="40"/>
      <c r="LKE1434" s="40"/>
      <c r="LKF1434" s="40"/>
      <c r="LKG1434" s="40"/>
      <c r="LKH1434" s="40"/>
      <c r="LKI1434" s="40"/>
      <c r="LKJ1434" s="40"/>
      <c r="LKK1434" s="40"/>
      <c r="LKL1434" s="40"/>
      <c r="LKM1434" s="40"/>
      <c r="LKN1434" s="40"/>
      <c r="LKO1434" s="40"/>
      <c r="LKP1434" s="40"/>
      <c r="LKQ1434" s="40"/>
      <c r="LKR1434" s="40"/>
      <c r="LKS1434" s="40"/>
      <c r="LKT1434" s="40"/>
      <c r="LKU1434" s="40"/>
      <c r="LKV1434" s="40"/>
      <c r="LKW1434" s="40"/>
      <c r="LKX1434" s="40"/>
      <c r="LKY1434" s="40"/>
      <c r="LKZ1434" s="40"/>
      <c r="LLA1434" s="40"/>
      <c r="LLB1434" s="40"/>
      <c r="LLC1434" s="40"/>
      <c r="LLD1434" s="40"/>
      <c r="LLE1434" s="40"/>
      <c r="LLF1434" s="40"/>
      <c r="LLG1434" s="40"/>
      <c r="LLH1434" s="40"/>
      <c r="LLI1434" s="40"/>
      <c r="LLJ1434" s="40"/>
      <c r="LLK1434" s="40"/>
      <c r="LLL1434" s="40"/>
      <c r="LLM1434" s="40"/>
      <c r="LLN1434" s="40"/>
      <c r="LLO1434" s="40"/>
      <c r="LLP1434" s="40"/>
      <c r="LLQ1434" s="40"/>
      <c r="LLR1434" s="40"/>
      <c r="LLS1434" s="40"/>
      <c r="LLT1434" s="40"/>
      <c r="LLU1434" s="40"/>
      <c r="LLV1434" s="40"/>
      <c r="LLW1434" s="40"/>
      <c r="LLX1434" s="40"/>
      <c r="LLY1434" s="40"/>
      <c r="LLZ1434" s="40"/>
      <c r="LMA1434" s="40"/>
      <c r="LMB1434" s="40"/>
      <c r="LMC1434" s="40"/>
      <c r="LMD1434" s="40"/>
      <c r="LME1434" s="40"/>
      <c r="LMF1434" s="40"/>
      <c r="LMG1434" s="40"/>
      <c r="LMH1434" s="40"/>
      <c r="LMI1434" s="40"/>
      <c r="LMJ1434" s="40"/>
      <c r="LMK1434" s="40"/>
      <c r="LML1434" s="40"/>
      <c r="LMM1434" s="40"/>
      <c r="LMN1434" s="40"/>
      <c r="LMO1434" s="40"/>
      <c r="LMP1434" s="40"/>
      <c r="LMQ1434" s="40"/>
      <c r="LMR1434" s="40"/>
      <c r="LMS1434" s="40"/>
      <c r="LMT1434" s="40"/>
      <c r="LMU1434" s="40"/>
      <c r="LMV1434" s="40"/>
      <c r="LMW1434" s="40"/>
      <c r="LMX1434" s="40"/>
      <c r="LMY1434" s="40"/>
      <c r="LMZ1434" s="40"/>
      <c r="LNA1434" s="40"/>
      <c r="LNB1434" s="40"/>
      <c r="LNC1434" s="40"/>
      <c r="LND1434" s="40"/>
      <c r="LNE1434" s="40"/>
      <c r="LNF1434" s="40"/>
      <c r="LNG1434" s="40"/>
      <c r="LNH1434" s="40"/>
      <c r="LNI1434" s="40"/>
      <c r="LNJ1434" s="40"/>
      <c r="LNK1434" s="40"/>
      <c r="LNL1434" s="40"/>
      <c r="LNM1434" s="40"/>
      <c r="LNN1434" s="40"/>
      <c r="LNO1434" s="40"/>
      <c r="LNP1434" s="40"/>
      <c r="LNQ1434" s="40"/>
      <c r="LNR1434" s="40"/>
      <c r="LNS1434" s="40"/>
      <c r="LNT1434" s="40"/>
      <c r="LNU1434" s="40"/>
      <c r="LNV1434" s="40"/>
      <c r="LNW1434" s="40"/>
      <c r="LNX1434" s="40"/>
      <c r="LNY1434" s="40"/>
      <c r="LNZ1434" s="40"/>
      <c r="LOA1434" s="40"/>
      <c r="LOB1434" s="40"/>
      <c r="LOC1434" s="40"/>
      <c r="LOD1434" s="40"/>
      <c r="LOE1434" s="40"/>
      <c r="LOF1434" s="40"/>
      <c r="LOG1434" s="40"/>
      <c r="LOH1434" s="40"/>
      <c r="LOI1434" s="40"/>
      <c r="LOJ1434" s="40"/>
      <c r="LOK1434" s="40"/>
      <c r="LOL1434" s="40"/>
      <c r="LOM1434" s="40"/>
      <c r="LON1434" s="40"/>
      <c r="LOO1434" s="40"/>
      <c r="LOP1434" s="40"/>
      <c r="LOQ1434" s="40"/>
      <c r="LOR1434" s="40"/>
      <c r="LOS1434" s="40"/>
      <c r="LOT1434" s="40"/>
      <c r="LOU1434" s="40"/>
      <c r="LOV1434" s="40"/>
      <c r="LOW1434" s="40"/>
      <c r="LOX1434" s="40"/>
      <c r="LOY1434" s="40"/>
      <c r="LOZ1434" s="40"/>
      <c r="LPA1434" s="40"/>
      <c r="LPB1434" s="40"/>
      <c r="LPC1434" s="40"/>
      <c r="LPD1434" s="40"/>
      <c r="LPE1434" s="40"/>
      <c r="LPF1434" s="40"/>
      <c r="LPG1434" s="40"/>
      <c r="LPH1434" s="40"/>
      <c r="LPI1434" s="40"/>
      <c r="LPJ1434" s="40"/>
      <c r="LPK1434" s="40"/>
      <c r="LPL1434" s="40"/>
      <c r="LPM1434" s="40"/>
      <c r="LPN1434" s="40"/>
      <c r="LPO1434" s="40"/>
      <c r="LPP1434" s="40"/>
      <c r="LPQ1434" s="40"/>
      <c r="LPR1434" s="40"/>
      <c r="LPS1434" s="40"/>
      <c r="LPT1434" s="40"/>
      <c r="LPU1434" s="40"/>
      <c r="LPV1434" s="40"/>
      <c r="LPW1434" s="40"/>
      <c r="LPX1434" s="40"/>
      <c r="LPY1434" s="40"/>
      <c r="LPZ1434" s="40"/>
      <c r="LQA1434" s="40"/>
      <c r="LQB1434" s="40"/>
      <c r="LQC1434" s="40"/>
      <c r="LQD1434" s="40"/>
      <c r="LQE1434" s="40"/>
      <c r="LQF1434" s="40"/>
      <c r="LQG1434" s="40"/>
      <c r="LQH1434" s="40"/>
      <c r="LQI1434" s="40"/>
      <c r="LQJ1434" s="40"/>
      <c r="LQK1434" s="40"/>
      <c r="LQL1434" s="40"/>
      <c r="LQM1434" s="40"/>
      <c r="LQN1434" s="40"/>
      <c r="LQO1434" s="40"/>
      <c r="LQP1434" s="40"/>
      <c r="LQQ1434" s="40"/>
      <c r="LQR1434" s="40"/>
      <c r="LQS1434" s="40"/>
      <c r="LQT1434" s="40"/>
      <c r="LQU1434" s="40"/>
      <c r="LQV1434" s="40"/>
      <c r="LQW1434" s="40"/>
      <c r="LQX1434" s="40"/>
      <c r="LQY1434" s="40"/>
      <c r="LQZ1434" s="40"/>
      <c r="LRA1434" s="40"/>
      <c r="LRB1434" s="40"/>
      <c r="LRC1434" s="40"/>
      <c r="LRD1434" s="40"/>
      <c r="LRE1434" s="40"/>
      <c r="LRF1434" s="40"/>
      <c r="LRG1434" s="40"/>
      <c r="LRH1434" s="40"/>
      <c r="LRI1434" s="40"/>
      <c r="LRJ1434" s="40"/>
      <c r="LRK1434" s="40"/>
      <c r="LRL1434" s="40"/>
      <c r="LRM1434" s="40"/>
      <c r="LRN1434" s="40"/>
      <c r="LRO1434" s="40"/>
      <c r="LRP1434" s="40"/>
      <c r="LRQ1434" s="40"/>
      <c r="LRR1434" s="40"/>
      <c r="LRS1434" s="40"/>
      <c r="LRT1434" s="40"/>
      <c r="LRU1434" s="40"/>
      <c r="LRV1434" s="40"/>
      <c r="LRW1434" s="40"/>
      <c r="LRX1434" s="40"/>
      <c r="LRY1434" s="40"/>
      <c r="LRZ1434" s="40"/>
      <c r="LSA1434" s="40"/>
      <c r="LSB1434" s="40"/>
      <c r="LSC1434" s="40"/>
      <c r="LSD1434" s="40"/>
      <c r="LSE1434" s="40"/>
      <c r="LSF1434" s="40"/>
      <c r="LSG1434" s="40"/>
      <c r="LSH1434" s="40"/>
      <c r="LSI1434" s="40"/>
      <c r="LSJ1434" s="40"/>
      <c r="LSK1434" s="40"/>
      <c r="LSL1434" s="40"/>
      <c r="LSM1434" s="40"/>
      <c r="LSN1434" s="40"/>
      <c r="LSO1434" s="40"/>
      <c r="LSP1434" s="40"/>
      <c r="LSQ1434" s="40"/>
      <c r="LSR1434" s="40"/>
      <c r="LSS1434" s="40"/>
      <c r="LST1434" s="40"/>
      <c r="LSU1434" s="40"/>
      <c r="LSV1434" s="40"/>
      <c r="LSW1434" s="40"/>
      <c r="LSX1434" s="40"/>
      <c r="LSY1434" s="40"/>
      <c r="LSZ1434" s="40"/>
      <c r="LTA1434" s="40"/>
      <c r="LTB1434" s="40"/>
      <c r="LTC1434" s="40"/>
      <c r="LTD1434" s="40"/>
      <c r="LTE1434" s="40"/>
      <c r="LTF1434" s="40"/>
      <c r="LTG1434" s="40"/>
      <c r="LTH1434" s="40"/>
      <c r="LTI1434" s="40"/>
      <c r="LTJ1434" s="40"/>
      <c r="LTK1434" s="40"/>
      <c r="LTL1434" s="40"/>
      <c r="LTM1434" s="40"/>
      <c r="LTN1434" s="40"/>
      <c r="LTO1434" s="40"/>
      <c r="LTP1434" s="40"/>
      <c r="LTQ1434" s="40"/>
      <c r="LTR1434" s="40"/>
      <c r="LTS1434" s="40"/>
      <c r="LTT1434" s="40"/>
      <c r="LTU1434" s="40"/>
      <c r="LTV1434" s="40"/>
      <c r="LTW1434" s="40"/>
      <c r="LTX1434" s="40"/>
      <c r="LTY1434" s="40"/>
      <c r="LTZ1434" s="40"/>
      <c r="LUA1434" s="40"/>
      <c r="LUB1434" s="40"/>
      <c r="LUC1434" s="40"/>
      <c r="LUD1434" s="40"/>
      <c r="LUE1434" s="40"/>
      <c r="LUF1434" s="40"/>
      <c r="LUG1434" s="40"/>
      <c r="LUH1434" s="40"/>
      <c r="LUI1434" s="40"/>
      <c r="LUJ1434" s="40"/>
      <c r="LUK1434" s="40"/>
      <c r="LUL1434" s="40"/>
      <c r="LUM1434" s="40"/>
      <c r="LUN1434" s="40"/>
      <c r="LUO1434" s="40"/>
      <c r="LUP1434" s="40"/>
      <c r="LUQ1434" s="40"/>
      <c r="LUR1434" s="40"/>
      <c r="LUS1434" s="40"/>
      <c r="LUT1434" s="40"/>
      <c r="LUU1434" s="40"/>
      <c r="LUV1434" s="40"/>
      <c r="LUW1434" s="40"/>
      <c r="LUX1434" s="40"/>
      <c r="LUY1434" s="40"/>
      <c r="LUZ1434" s="40"/>
      <c r="LVA1434" s="40"/>
      <c r="LVB1434" s="40"/>
      <c r="LVC1434" s="40"/>
      <c r="LVD1434" s="40"/>
      <c r="LVE1434" s="40"/>
      <c r="LVF1434" s="40"/>
      <c r="LVG1434" s="40"/>
      <c r="LVH1434" s="40"/>
      <c r="LVI1434" s="40"/>
      <c r="LVJ1434" s="40"/>
      <c r="LVK1434" s="40"/>
      <c r="LVL1434" s="40"/>
      <c r="LVM1434" s="40"/>
      <c r="LVN1434" s="40"/>
      <c r="LVO1434" s="40"/>
      <c r="LVP1434" s="40"/>
      <c r="LVQ1434" s="40"/>
      <c r="LVR1434" s="40"/>
      <c r="LVS1434" s="40"/>
      <c r="LVT1434" s="40"/>
      <c r="LVU1434" s="40"/>
      <c r="LVV1434" s="40"/>
      <c r="LVW1434" s="40"/>
      <c r="LVX1434" s="40"/>
      <c r="LVY1434" s="40"/>
      <c r="LVZ1434" s="40"/>
      <c r="LWA1434" s="40"/>
      <c r="LWB1434" s="40"/>
      <c r="LWC1434" s="40"/>
      <c r="LWD1434" s="40"/>
      <c r="LWE1434" s="40"/>
      <c r="LWF1434" s="40"/>
      <c r="LWG1434" s="40"/>
      <c r="LWH1434" s="40"/>
      <c r="LWI1434" s="40"/>
      <c r="LWJ1434" s="40"/>
      <c r="LWK1434" s="40"/>
      <c r="LWL1434" s="40"/>
      <c r="LWM1434" s="40"/>
      <c r="LWN1434" s="40"/>
      <c r="LWO1434" s="40"/>
      <c r="LWP1434" s="40"/>
      <c r="LWQ1434" s="40"/>
      <c r="LWR1434" s="40"/>
      <c r="LWS1434" s="40"/>
      <c r="LWT1434" s="40"/>
      <c r="LWU1434" s="40"/>
      <c r="LWV1434" s="40"/>
      <c r="LWW1434" s="40"/>
      <c r="LWX1434" s="40"/>
      <c r="LWY1434" s="40"/>
      <c r="LWZ1434" s="40"/>
      <c r="LXA1434" s="40"/>
      <c r="LXB1434" s="40"/>
      <c r="LXC1434" s="40"/>
      <c r="LXD1434" s="40"/>
      <c r="LXE1434" s="40"/>
      <c r="LXF1434" s="40"/>
      <c r="LXG1434" s="40"/>
      <c r="LXH1434" s="40"/>
      <c r="LXI1434" s="40"/>
      <c r="LXJ1434" s="40"/>
      <c r="LXK1434" s="40"/>
      <c r="LXL1434" s="40"/>
      <c r="LXM1434" s="40"/>
      <c r="LXN1434" s="40"/>
      <c r="LXO1434" s="40"/>
      <c r="LXP1434" s="40"/>
      <c r="LXQ1434" s="40"/>
      <c r="LXR1434" s="40"/>
      <c r="LXS1434" s="40"/>
      <c r="LXT1434" s="40"/>
      <c r="LXU1434" s="40"/>
      <c r="LXV1434" s="40"/>
      <c r="LXW1434" s="40"/>
      <c r="LXX1434" s="40"/>
      <c r="LXY1434" s="40"/>
      <c r="LXZ1434" s="40"/>
      <c r="LYA1434" s="40"/>
      <c r="LYB1434" s="40"/>
      <c r="LYC1434" s="40"/>
      <c r="LYD1434" s="40"/>
      <c r="LYE1434" s="40"/>
      <c r="LYF1434" s="40"/>
      <c r="LYG1434" s="40"/>
      <c r="LYH1434" s="40"/>
      <c r="LYI1434" s="40"/>
      <c r="LYJ1434" s="40"/>
      <c r="LYK1434" s="40"/>
      <c r="LYL1434" s="40"/>
      <c r="LYM1434" s="40"/>
      <c r="LYN1434" s="40"/>
      <c r="LYO1434" s="40"/>
      <c r="LYP1434" s="40"/>
      <c r="LYQ1434" s="40"/>
      <c r="LYR1434" s="40"/>
      <c r="LYS1434" s="40"/>
      <c r="LYT1434" s="40"/>
      <c r="LYU1434" s="40"/>
      <c r="LYV1434" s="40"/>
      <c r="LYW1434" s="40"/>
      <c r="LYX1434" s="40"/>
      <c r="LYY1434" s="40"/>
      <c r="LYZ1434" s="40"/>
      <c r="LZA1434" s="40"/>
      <c r="LZB1434" s="40"/>
      <c r="LZC1434" s="40"/>
      <c r="LZD1434" s="40"/>
      <c r="LZE1434" s="40"/>
      <c r="LZF1434" s="40"/>
      <c r="LZG1434" s="40"/>
      <c r="LZH1434" s="40"/>
      <c r="LZI1434" s="40"/>
      <c r="LZJ1434" s="40"/>
      <c r="LZK1434" s="40"/>
      <c r="LZL1434" s="40"/>
      <c r="LZM1434" s="40"/>
      <c r="LZN1434" s="40"/>
      <c r="LZO1434" s="40"/>
      <c r="LZP1434" s="40"/>
      <c r="LZQ1434" s="40"/>
      <c r="LZR1434" s="40"/>
      <c r="LZS1434" s="40"/>
      <c r="LZT1434" s="40"/>
      <c r="LZU1434" s="40"/>
      <c r="LZV1434" s="40"/>
      <c r="LZW1434" s="40"/>
      <c r="LZX1434" s="40"/>
      <c r="LZY1434" s="40"/>
      <c r="LZZ1434" s="40"/>
      <c r="MAA1434" s="40"/>
      <c r="MAB1434" s="40"/>
      <c r="MAC1434" s="40"/>
      <c r="MAD1434" s="40"/>
      <c r="MAE1434" s="40"/>
      <c r="MAF1434" s="40"/>
      <c r="MAG1434" s="40"/>
      <c r="MAH1434" s="40"/>
      <c r="MAI1434" s="40"/>
      <c r="MAJ1434" s="40"/>
      <c r="MAK1434" s="40"/>
      <c r="MAL1434" s="40"/>
      <c r="MAM1434" s="40"/>
      <c r="MAN1434" s="40"/>
      <c r="MAO1434" s="40"/>
      <c r="MAP1434" s="40"/>
      <c r="MAQ1434" s="40"/>
      <c r="MAR1434" s="40"/>
      <c r="MAS1434" s="40"/>
      <c r="MAT1434" s="40"/>
      <c r="MAU1434" s="40"/>
      <c r="MAV1434" s="40"/>
      <c r="MAW1434" s="40"/>
      <c r="MAX1434" s="40"/>
      <c r="MAY1434" s="40"/>
      <c r="MAZ1434" s="40"/>
      <c r="MBA1434" s="40"/>
      <c r="MBB1434" s="40"/>
      <c r="MBC1434" s="40"/>
      <c r="MBD1434" s="40"/>
      <c r="MBE1434" s="40"/>
      <c r="MBF1434" s="40"/>
      <c r="MBG1434" s="40"/>
      <c r="MBH1434" s="40"/>
      <c r="MBI1434" s="40"/>
      <c r="MBJ1434" s="40"/>
      <c r="MBK1434" s="40"/>
      <c r="MBL1434" s="40"/>
      <c r="MBM1434" s="40"/>
      <c r="MBN1434" s="40"/>
      <c r="MBO1434" s="40"/>
      <c r="MBP1434" s="40"/>
      <c r="MBQ1434" s="40"/>
      <c r="MBR1434" s="40"/>
      <c r="MBS1434" s="40"/>
      <c r="MBT1434" s="40"/>
      <c r="MBU1434" s="40"/>
      <c r="MBV1434" s="40"/>
      <c r="MBW1434" s="40"/>
      <c r="MBX1434" s="40"/>
      <c r="MBY1434" s="40"/>
      <c r="MBZ1434" s="40"/>
      <c r="MCA1434" s="40"/>
      <c r="MCB1434" s="40"/>
      <c r="MCC1434" s="40"/>
      <c r="MCD1434" s="40"/>
      <c r="MCE1434" s="40"/>
      <c r="MCF1434" s="40"/>
      <c r="MCG1434" s="40"/>
      <c r="MCH1434" s="40"/>
      <c r="MCI1434" s="40"/>
      <c r="MCJ1434" s="40"/>
      <c r="MCK1434" s="40"/>
      <c r="MCL1434" s="40"/>
      <c r="MCM1434" s="40"/>
      <c r="MCN1434" s="40"/>
      <c r="MCO1434" s="40"/>
      <c r="MCP1434" s="40"/>
      <c r="MCQ1434" s="40"/>
      <c r="MCR1434" s="40"/>
      <c r="MCS1434" s="40"/>
      <c r="MCT1434" s="40"/>
      <c r="MCU1434" s="40"/>
      <c r="MCV1434" s="40"/>
      <c r="MCW1434" s="40"/>
      <c r="MCX1434" s="40"/>
      <c r="MCY1434" s="40"/>
      <c r="MCZ1434" s="40"/>
      <c r="MDA1434" s="40"/>
      <c r="MDB1434" s="40"/>
      <c r="MDC1434" s="40"/>
      <c r="MDD1434" s="40"/>
      <c r="MDE1434" s="40"/>
      <c r="MDF1434" s="40"/>
      <c r="MDG1434" s="40"/>
      <c r="MDH1434" s="40"/>
      <c r="MDI1434" s="40"/>
      <c r="MDJ1434" s="40"/>
      <c r="MDK1434" s="40"/>
      <c r="MDL1434" s="40"/>
      <c r="MDM1434" s="40"/>
      <c r="MDN1434" s="40"/>
      <c r="MDO1434" s="40"/>
      <c r="MDP1434" s="40"/>
      <c r="MDQ1434" s="40"/>
      <c r="MDR1434" s="40"/>
      <c r="MDS1434" s="40"/>
      <c r="MDT1434" s="40"/>
      <c r="MDU1434" s="40"/>
      <c r="MDV1434" s="40"/>
      <c r="MDW1434" s="40"/>
      <c r="MDX1434" s="40"/>
      <c r="MDY1434" s="40"/>
      <c r="MDZ1434" s="40"/>
      <c r="MEA1434" s="40"/>
      <c r="MEB1434" s="40"/>
      <c r="MEC1434" s="40"/>
      <c r="MED1434" s="40"/>
      <c r="MEE1434" s="40"/>
      <c r="MEF1434" s="40"/>
      <c r="MEG1434" s="40"/>
      <c r="MEH1434" s="40"/>
      <c r="MEI1434" s="40"/>
      <c r="MEJ1434" s="40"/>
      <c r="MEK1434" s="40"/>
      <c r="MEL1434" s="40"/>
      <c r="MEM1434" s="40"/>
      <c r="MEN1434" s="40"/>
      <c r="MEO1434" s="40"/>
      <c r="MEP1434" s="40"/>
      <c r="MEQ1434" s="40"/>
      <c r="MER1434" s="40"/>
      <c r="MES1434" s="40"/>
      <c r="MET1434" s="40"/>
      <c r="MEU1434" s="40"/>
      <c r="MEV1434" s="40"/>
      <c r="MEW1434" s="40"/>
      <c r="MEX1434" s="40"/>
      <c r="MEY1434" s="40"/>
      <c r="MEZ1434" s="40"/>
      <c r="MFA1434" s="40"/>
      <c r="MFB1434" s="40"/>
      <c r="MFC1434" s="40"/>
      <c r="MFD1434" s="40"/>
      <c r="MFE1434" s="40"/>
      <c r="MFF1434" s="40"/>
      <c r="MFG1434" s="40"/>
      <c r="MFH1434" s="40"/>
      <c r="MFI1434" s="40"/>
      <c r="MFJ1434" s="40"/>
      <c r="MFK1434" s="40"/>
      <c r="MFL1434" s="40"/>
      <c r="MFM1434" s="40"/>
      <c r="MFN1434" s="40"/>
      <c r="MFO1434" s="40"/>
      <c r="MFP1434" s="40"/>
      <c r="MFQ1434" s="40"/>
      <c r="MFR1434" s="40"/>
      <c r="MFS1434" s="40"/>
      <c r="MFT1434" s="40"/>
      <c r="MFU1434" s="40"/>
      <c r="MFV1434" s="40"/>
      <c r="MFW1434" s="40"/>
      <c r="MFX1434" s="40"/>
      <c r="MFY1434" s="40"/>
      <c r="MFZ1434" s="40"/>
      <c r="MGA1434" s="40"/>
      <c r="MGB1434" s="40"/>
      <c r="MGC1434" s="40"/>
      <c r="MGD1434" s="40"/>
      <c r="MGE1434" s="40"/>
      <c r="MGF1434" s="40"/>
      <c r="MGG1434" s="40"/>
      <c r="MGH1434" s="40"/>
      <c r="MGI1434" s="40"/>
      <c r="MGJ1434" s="40"/>
      <c r="MGK1434" s="40"/>
      <c r="MGL1434" s="40"/>
      <c r="MGM1434" s="40"/>
      <c r="MGN1434" s="40"/>
      <c r="MGO1434" s="40"/>
      <c r="MGP1434" s="40"/>
      <c r="MGQ1434" s="40"/>
      <c r="MGR1434" s="40"/>
      <c r="MGS1434" s="40"/>
      <c r="MGT1434" s="40"/>
      <c r="MGU1434" s="40"/>
      <c r="MGV1434" s="40"/>
      <c r="MGW1434" s="40"/>
      <c r="MGX1434" s="40"/>
      <c r="MGY1434" s="40"/>
      <c r="MGZ1434" s="40"/>
      <c r="MHA1434" s="40"/>
      <c r="MHB1434" s="40"/>
      <c r="MHC1434" s="40"/>
      <c r="MHD1434" s="40"/>
      <c r="MHE1434" s="40"/>
      <c r="MHF1434" s="40"/>
      <c r="MHG1434" s="40"/>
      <c r="MHH1434" s="40"/>
      <c r="MHI1434" s="40"/>
      <c r="MHJ1434" s="40"/>
      <c r="MHK1434" s="40"/>
      <c r="MHL1434" s="40"/>
      <c r="MHM1434" s="40"/>
      <c r="MHN1434" s="40"/>
      <c r="MHO1434" s="40"/>
      <c r="MHP1434" s="40"/>
      <c r="MHQ1434" s="40"/>
      <c r="MHR1434" s="40"/>
      <c r="MHS1434" s="40"/>
      <c r="MHT1434" s="40"/>
      <c r="MHU1434" s="40"/>
      <c r="MHV1434" s="40"/>
      <c r="MHW1434" s="40"/>
      <c r="MHX1434" s="40"/>
      <c r="MHY1434" s="40"/>
      <c r="MHZ1434" s="40"/>
      <c r="MIA1434" s="40"/>
      <c r="MIB1434" s="40"/>
      <c r="MIC1434" s="40"/>
      <c r="MID1434" s="40"/>
      <c r="MIE1434" s="40"/>
      <c r="MIF1434" s="40"/>
      <c r="MIG1434" s="40"/>
      <c r="MIH1434" s="40"/>
      <c r="MII1434" s="40"/>
      <c r="MIJ1434" s="40"/>
      <c r="MIK1434" s="40"/>
      <c r="MIL1434" s="40"/>
      <c r="MIM1434" s="40"/>
      <c r="MIN1434" s="40"/>
      <c r="MIO1434" s="40"/>
      <c r="MIP1434" s="40"/>
      <c r="MIQ1434" s="40"/>
      <c r="MIR1434" s="40"/>
      <c r="MIS1434" s="40"/>
      <c r="MIT1434" s="40"/>
      <c r="MIU1434" s="40"/>
      <c r="MIV1434" s="40"/>
      <c r="MIW1434" s="40"/>
      <c r="MIX1434" s="40"/>
      <c r="MIY1434" s="40"/>
      <c r="MIZ1434" s="40"/>
      <c r="MJA1434" s="40"/>
      <c r="MJB1434" s="40"/>
      <c r="MJC1434" s="40"/>
      <c r="MJD1434" s="40"/>
      <c r="MJE1434" s="40"/>
      <c r="MJF1434" s="40"/>
      <c r="MJG1434" s="40"/>
      <c r="MJH1434" s="40"/>
      <c r="MJI1434" s="40"/>
      <c r="MJJ1434" s="40"/>
      <c r="MJK1434" s="40"/>
      <c r="MJL1434" s="40"/>
      <c r="MJM1434" s="40"/>
      <c r="MJN1434" s="40"/>
      <c r="MJO1434" s="40"/>
      <c r="MJP1434" s="40"/>
      <c r="MJQ1434" s="40"/>
      <c r="MJR1434" s="40"/>
      <c r="MJS1434" s="40"/>
      <c r="MJT1434" s="40"/>
      <c r="MJU1434" s="40"/>
      <c r="MJV1434" s="40"/>
      <c r="MJW1434" s="40"/>
      <c r="MJX1434" s="40"/>
      <c r="MJY1434" s="40"/>
      <c r="MJZ1434" s="40"/>
      <c r="MKA1434" s="40"/>
      <c r="MKB1434" s="40"/>
      <c r="MKC1434" s="40"/>
      <c r="MKD1434" s="40"/>
      <c r="MKE1434" s="40"/>
      <c r="MKF1434" s="40"/>
      <c r="MKG1434" s="40"/>
      <c r="MKH1434" s="40"/>
      <c r="MKI1434" s="40"/>
      <c r="MKJ1434" s="40"/>
      <c r="MKK1434" s="40"/>
      <c r="MKL1434" s="40"/>
      <c r="MKM1434" s="40"/>
      <c r="MKN1434" s="40"/>
      <c r="MKO1434" s="40"/>
      <c r="MKP1434" s="40"/>
      <c r="MKQ1434" s="40"/>
      <c r="MKR1434" s="40"/>
      <c r="MKS1434" s="40"/>
      <c r="MKT1434" s="40"/>
      <c r="MKU1434" s="40"/>
      <c r="MKV1434" s="40"/>
      <c r="MKW1434" s="40"/>
      <c r="MKX1434" s="40"/>
      <c r="MKY1434" s="40"/>
      <c r="MKZ1434" s="40"/>
      <c r="MLA1434" s="40"/>
      <c r="MLB1434" s="40"/>
      <c r="MLC1434" s="40"/>
      <c r="MLD1434" s="40"/>
      <c r="MLE1434" s="40"/>
      <c r="MLF1434" s="40"/>
      <c r="MLG1434" s="40"/>
      <c r="MLH1434" s="40"/>
      <c r="MLI1434" s="40"/>
      <c r="MLJ1434" s="40"/>
      <c r="MLK1434" s="40"/>
      <c r="MLL1434" s="40"/>
      <c r="MLM1434" s="40"/>
      <c r="MLN1434" s="40"/>
      <c r="MLO1434" s="40"/>
      <c r="MLP1434" s="40"/>
      <c r="MLQ1434" s="40"/>
      <c r="MLR1434" s="40"/>
      <c r="MLS1434" s="40"/>
      <c r="MLT1434" s="40"/>
      <c r="MLU1434" s="40"/>
      <c r="MLV1434" s="40"/>
      <c r="MLW1434" s="40"/>
      <c r="MLX1434" s="40"/>
      <c r="MLY1434" s="40"/>
      <c r="MLZ1434" s="40"/>
      <c r="MMA1434" s="40"/>
      <c r="MMB1434" s="40"/>
      <c r="MMC1434" s="40"/>
      <c r="MMD1434" s="40"/>
      <c r="MME1434" s="40"/>
      <c r="MMF1434" s="40"/>
      <c r="MMG1434" s="40"/>
      <c r="MMH1434" s="40"/>
      <c r="MMI1434" s="40"/>
      <c r="MMJ1434" s="40"/>
      <c r="MMK1434" s="40"/>
      <c r="MML1434" s="40"/>
      <c r="MMM1434" s="40"/>
      <c r="MMN1434" s="40"/>
      <c r="MMO1434" s="40"/>
      <c r="MMP1434" s="40"/>
      <c r="MMQ1434" s="40"/>
      <c r="MMR1434" s="40"/>
      <c r="MMS1434" s="40"/>
      <c r="MMT1434" s="40"/>
      <c r="MMU1434" s="40"/>
      <c r="MMV1434" s="40"/>
      <c r="MMW1434" s="40"/>
      <c r="MMX1434" s="40"/>
      <c r="MMY1434" s="40"/>
      <c r="MMZ1434" s="40"/>
      <c r="MNA1434" s="40"/>
      <c r="MNB1434" s="40"/>
      <c r="MNC1434" s="40"/>
      <c r="MND1434" s="40"/>
      <c r="MNE1434" s="40"/>
      <c r="MNF1434" s="40"/>
      <c r="MNG1434" s="40"/>
      <c r="MNH1434" s="40"/>
      <c r="MNI1434" s="40"/>
      <c r="MNJ1434" s="40"/>
      <c r="MNK1434" s="40"/>
      <c r="MNL1434" s="40"/>
      <c r="MNM1434" s="40"/>
      <c r="MNN1434" s="40"/>
      <c r="MNO1434" s="40"/>
      <c r="MNP1434" s="40"/>
      <c r="MNQ1434" s="40"/>
      <c r="MNR1434" s="40"/>
      <c r="MNS1434" s="40"/>
      <c r="MNT1434" s="40"/>
      <c r="MNU1434" s="40"/>
      <c r="MNV1434" s="40"/>
      <c r="MNW1434" s="40"/>
      <c r="MNX1434" s="40"/>
      <c r="MNY1434" s="40"/>
      <c r="MNZ1434" s="40"/>
      <c r="MOA1434" s="40"/>
      <c r="MOB1434" s="40"/>
      <c r="MOC1434" s="40"/>
      <c r="MOD1434" s="40"/>
      <c r="MOE1434" s="40"/>
      <c r="MOF1434" s="40"/>
      <c r="MOG1434" s="40"/>
      <c r="MOH1434" s="40"/>
      <c r="MOI1434" s="40"/>
      <c r="MOJ1434" s="40"/>
      <c r="MOK1434" s="40"/>
      <c r="MOL1434" s="40"/>
      <c r="MOM1434" s="40"/>
      <c r="MON1434" s="40"/>
      <c r="MOO1434" s="40"/>
      <c r="MOP1434" s="40"/>
      <c r="MOQ1434" s="40"/>
      <c r="MOR1434" s="40"/>
      <c r="MOS1434" s="40"/>
      <c r="MOT1434" s="40"/>
      <c r="MOU1434" s="40"/>
      <c r="MOV1434" s="40"/>
      <c r="MOW1434" s="40"/>
      <c r="MOX1434" s="40"/>
      <c r="MOY1434" s="40"/>
      <c r="MOZ1434" s="40"/>
      <c r="MPA1434" s="40"/>
      <c r="MPB1434" s="40"/>
      <c r="MPC1434" s="40"/>
      <c r="MPD1434" s="40"/>
      <c r="MPE1434" s="40"/>
      <c r="MPF1434" s="40"/>
      <c r="MPG1434" s="40"/>
      <c r="MPH1434" s="40"/>
      <c r="MPI1434" s="40"/>
      <c r="MPJ1434" s="40"/>
      <c r="MPK1434" s="40"/>
      <c r="MPL1434" s="40"/>
      <c r="MPM1434" s="40"/>
      <c r="MPN1434" s="40"/>
      <c r="MPO1434" s="40"/>
      <c r="MPP1434" s="40"/>
      <c r="MPQ1434" s="40"/>
      <c r="MPR1434" s="40"/>
      <c r="MPS1434" s="40"/>
      <c r="MPT1434" s="40"/>
      <c r="MPU1434" s="40"/>
      <c r="MPV1434" s="40"/>
      <c r="MPW1434" s="40"/>
      <c r="MPX1434" s="40"/>
      <c r="MPY1434" s="40"/>
      <c r="MPZ1434" s="40"/>
      <c r="MQA1434" s="40"/>
      <c r="MQB1434" s="40"/>
      <c r="MQC1434" s="40"/>
      <c r="MQD1434" s="40"/>
      <c r="MQE1434" s="40"/>
      <c r="MQF1434" s="40"/>
      <c r="MQG1434" s="40"/>
      <c r="MQH1434" s="40"/>
      <c r="MQI1434" s="40"/>
      <c r="MQJ1434" s="40"/>
      <c r="MQK1434" s="40"/>
      <c r="MQL1434" s="40"/>
      <c r="MQM1434" s="40"/>
      <c r="MQN1434" s="40"/>
      <c r="MQO1434" s="40"/>
      <c r="MQP1434" s="40"/>
      <c r="MQQ1434" s="40"/>
      <c r="MQR1434" s="40"/>
      <c r="MQS1434" s="40"/>
      <c r="MQT1434" s="40"/>
      <c r="MQU1434" s="40"/>
      <c r="MQV1434" s="40"/>
      <c r="MQW1434" s="40"/>
      <c r="MQX1434" s="40"/>
      <c r="MQY1434" s="40"/>
      <c r="MQZ1434" s="40"/>
      <c r="MRA1434" s="40"/>
      <c r="MRB1434" s="40"/>
      <c r="MRC1434" s="40"/>
      <c r="MRD1434" s="40"/>
      <c r="MRE1434" s="40"/>
      <c r="MRF1434" s="40"/>
      <c r="MRG1434" s="40"/>
      <c r="MRH1434" s="40"/>
      <c r="MRI1434" s="40"/>
      <c r="MRJ1434" s="40"/>
      <c r="MRK1434" s="40"/>
      <c r="MRL1434" s="40"/>
      <c r="MRM1434" s="40"/>
      <c r="MRN1434" s="40"/>
      <c r="MRO1434" s="40"/>
      <c r="MRP1434" s="40"/>
      <c r="MRQ1434" s="40"/>
      <c r="MRR1434" s="40"/>
      <c r="MRS1434" s="40"/>
      <c r="MRT1434" s="40"/>
      <c r="MRU1434" s="40"/>
      <c r="MRV1434" s="40"/>
      <c r="MRW1434" s="40"/>
      <c r="MRX1434" s="40"/>
      <c r="MRY1434" s="40"/>
      <c r="MRZ1434" s="40"/>
      <c r="MSA1434" s="40"/>
      <c r="MSB1434" s="40"/>
      <c r="MSC1434" s="40"/>
      <c r="MSD1434" s="40"/>
      <c r="MSE1434" s="40"/>
      <c r="MSF1434" s="40"/>
      <c r="MSG1434" s="40"/>
      <c r="MSH1434" s="40"/>
      <c r="MSI1434" s="40"/>
      <c r="MSJ1434" s="40"/>
      <c r="MSK1434" s="40"/>
      <c r="MSL1434" s="40"/>
      <c r="MSM1434" s="40"/>
      <c r="MSN1434" s="40"/>
      <c r="MSO1434" s="40"/>
      <c r="MSP1434" s="40"/>
      <c r="MSQ1434" s="40"/>
      <c r="MSR1434" s="40"/>
      <c r="MSS1434" s="40"/>
      <c r="MST1434" s="40"/>
      <c r="MSU1434" s="40"/>
      <c r="MSV1434" s="40"/>
      <c r="MSW1434" s="40"/>
      <c r="MSX1434" s="40"/>
      <c r="MSY1434" s="40"/>
      <c r="MSZ1434" s="40"/>
      <c r="MTA1434" s="40"/>
      <c r="MTB1434" s="40"/>
      <c r="MTC1434" s="40"/>
      <c r="MTD1434" s="40"/>
      <c r="MTE1434" s="40"/>
      <c r="MTF1434" s="40"/>
      <c r="MTG1434" s="40"/>
      <c r="MTH1434" s="40"/>
      <c r="MTI1434" s="40"/>
      <c r="MTJ1434" s="40"/>
      <c r="MTK1434" s="40"/>
      <c r="MTL1434" s="40"/>
      <c r="MTM1434" s="40"/>
      <c r="MTN1434" s="40"/>
      <c r="MTO1434" s="40"/>
      <c r="MTP1434" s="40"/>
      <c r="MTQ1434" s="40"/>
      <c r="MTR1434" s="40"/>
      <c r="MTS1434" s="40"/>
      <c r="MTT1434" s="40"/>
      <c r="MTU1434" s="40"/>
      <c r="MTV1434" s="40"/>
      <c r="MTW1434" s="40"/>
      <c r="MTX1434" s="40"/>
      <c r="MTY1434" s="40"/>
      <c r="MTZ1434" s="40"/>
      <c r="MUA1434" s="40"/>
      <c r="MUB1434" s="40"/>
      <c r="MUC1434" s="40"/>
      <c r="MUD1434" s="40"/>
      <c r="MUE1434" s="40"/>
      <c r="MUF1434" s="40"/>
      <c r="MUG1434" s="40"/>
      <c r="MUH1434" s="40"/>
      <c r="MUI1434" s="40"/>
      <c r="MUJ1434" s="40"/>
      <c r="MUK1434" s="40"/>
      <c r="MUL1434" s="40"/>
      <c r="MUM1434" s="40"/>
      <c r="MUN1434" s="40"/>
      <c r="MUO1434" s="40"/>
      <c r="MUP1434" s="40"/>
      <c r="MUQ1434" s="40"/>
      <c r="MUR1434" s="40"/>
      <c r="MUS1434" s="40"/>
      <c r="MUT1434" s="40"/>
      <c r="MUU1434" s="40"/>
      <c r="MUV1434" s="40"/>
      <c r="MUW1434" s="40"/>
      <c r="MUX1434" s="40"/>
      <c r="MUY1434" s="40"/>
      <c r="MUZ1434" s="40"/>
      <c r="MVA1434" s="40"/>
      <c r="MVB1434" s="40"/>
      <c r="MVC1434" s="40"/>
      <c r="MVD1434" s="40"/>
      <c r="MVE1434" s="40"/>
      <c r="MVF1434" s="40"/>
      <c r="MVG1434" s="40"/>
      <c r="MVH1434" s="40"/>
      <c r="MVI1434" s="40"/>
      <c r="MVJ1434" s="40"/>
      <c r="MVK1434" s="40"/>
      <c r="MVL1434" s="40"/>
      <c r="MVM1434" s="40"/>
      <c r="MVN1434" s="40"/>
      <c r="MVO1434" s="40"/>
      <c r="MVP1434" s="40"/>
      <c r="MVQ1434" s="40"/>
      <c r="MVR1434" s="40"/>
      <c r="MVS1434" s="40"/>
      <c r="MVT1434" s="40"/>
      <c r="MVU1434" s="40"/>
      <c r="MVV1434" s="40"/>
      <c r="MVW1434" s="40"/>
      <c r="MVX1434" s="40"/>
      <c r="MVY1434" s="40"/>
      <c r="MVZ1434" s="40"/>
      <c r="MWA1434" s="40"/>
      <c r="MWB1434" s="40"/>
      <c r="MWC1434" s="40"/>
      <c r="MWD1434" s="40"/>
      <c r="MWE1434" s="40"/>
      <c r="MWF1434" s="40"/>
      <c r="MWG1434" s="40"/>
      <c r="MWH1434" s="40"/>
      <c r="MWI1434" s="40"/>
      <c r="MWJ1434" s="40"/>
      <c r="MWK1434" s="40"/>
      <c r="MWL1434" s="40"/>
      <c r="MWM1434" s="40"/>
      <c r="MWN1434" s="40"/>
      <c r="MWO1434" s="40"/>
      <c r="MWP1434" s="40"/>
      <c r="MWQ1434" s="40"/>
      <c r="MWR1434" s="40"/>
      <c r="MWS1434" s="40"/>
      <c r="MWT1434" s="40"/>
      <c r="MWU1434" s="40"/>
      <c r="MWV1434" s="40"/>
      <c r="MWW1434" s="40"/>
      <c r="MWX1434" s="40"/>
      <c r="MWY1434" s="40"/>
      <c r="MWZ1434" s="40"/>
      <c r="MXA1434" s="40"/>
      <c r="MXB1434" s="40"/>
      <c r="MXC1434" s="40"/>
      <c r="MXD1434" s="40"/>
      <c r="MXE1434" s="40"/>
      <c r="MXF1434" s="40"/>
      <c r="MXG1434" s="40"/>
      <c r="MXH1434" s="40"/>
      <c r="MXI1434" s="40"/>
      <c r="MXJ1434" s="40"/>
      <c r="MXK1434" s="40"/>
      <c r="MXL1434" s="40"/>
      <c r="MXM1434" s="40"/>
      <c r="MXN1434" s="40"/>
      <c r="MXO1434" s="40"/>
      <c r="MXP1434" s="40"/>
      <c r="MXQ1434" s="40"/>
      <c r="MXR1434" s="40"/>
      <c r="MXS1434" s="40"/>
      <c r="MXT1434" s="40"/>
      <c r="MXU1434" s="40"/>
      <c r="MXV1434" s="40"/>
      <c r="MXW1434" s="40"/>
      <c r="MXX1434" s="40"/>
      <c r="MXY1434" s="40"/>
      <c r="MXZ1434" s="40"/>
      <c r="MYA1434" s="40"/>
      <c r="MYB1434" s="40"/>
      <c r="MYC1434" s="40"/>
      <c r="MYD1434" s="40"/>
      <c r="MYE1434" s="40"/>
      <c r="MYF1434" s="40"/>
      <c r="MYG1434" s="40"/>
      <c r="MYH1434" s="40"/>
      <c r="MYI1434" s="40"/>
      <c r="MYJ1434" s="40"/>
      <c r="MYK1434" s="40"/>
      <c r="MYL1434" s="40"/>
      <c r="MYM1434" s="40"/>
      <c r="MYN1434" s="40"/>
      <c r="MYO1434" s="40"/>
      <c r="MYP1434" s="40"/>
      <c r="MYQ1434" s="40"/>
      <c r="MYR1434" s="40"/>
      <c r="MYS1434" s="40"/>
      <c r="MYT1434" s="40"/>
      <c r="MYU1434" s="40"/>
      <c r="MYV1434" s="40"/>
      <c r="MYW1434" s="40"/>
      <c r="MYX1434" s="40"/>
      <c r="MYY1434" s="40"/>
      <c r="MYZ1434" s="40"/>
      <c r="MZA1434" s="40"/>
      <c r="MZB1434" s="40"/>
      <c r="MZC1434" s="40"/>
      <c r="MZD1434" s="40"/>
      <c r="MZE1434" s="40"/>
      <c r="MZF1434" s="40"/>
      <c r="MZG1434" s="40"/>
      <c r="MZH1434" s="40"/>
      <c r="MZI1434" s="40"/>
      <c r="MZJ1434" s="40"/>
      <c r="MZK1434" s="40"/>
      <c r="MZL1434" s="40"/>
      <c r="MZM1434" s="40"/>
      <c r="MZN1434" s="40"/>
      <c r="MZO1434" s="40"/>
      <c r="MZP1434" s="40"/>
      <c r="MZQ1434" s="40"/>
      <c r="MZR1434" s="40"/>
      <c r="MZS1434" s="40"/>
      <c r="MZT1434" s="40"/>
      <c r="MZU1434" s="40"/>
      <c r="MZV1434" s="40"/>
      <c r="MZW1434" s="40"/>
      <c r="MZX1434" s="40"/>
      <c r="MZY1434" s="40"/>
      <c r="MZZ1434" s="40"/>
      <c r="NAA1434" s="40"/>
      <c r="NAB1434" s="40"/>
      <c r="NAC1434" s="40"/>
      <c r="NAD1434" s="40"/>
      <c r="NAE1434" s="40"/>
      <c r="NAF1434" s="40"/>
      <c r="NAG1434" s="40"/>
      <c r="NAH1434" s="40"/>
      <c r="NAI1434" s="40"/>
      <c r="NAJ1434" s="40"/>
      <c r="NAK1434" s="40"/>
      <c r="NAL1434" s="40"/>
      <c r="NAM1434" s="40"/>
      <c r="NAN1434" s="40"/>
      <c r="NAO1434" s="40"/>
      <c r="NAP1434" s="40"/>
      <c r="NAQ1434" s="40"/>
      <c r="NAR1434" s="40"/>
      <c r="NAS1434" s="40"/>
      <c r="NAT1434" s="40"/>
      <c r="NAU1434" s="40"/>
      <c r="NAV1434" s="40"/>
      <c r="NAW1434" s="40"/>
      <c r="NAX1434" s="40"/>
      <c r="NAY1434" s="40"/>
      <c r="NAZ1434" s="40"/>
      <c r="NBA1434" s="40"/>
      <c r="NBB1434" s="40"/>
      <c r="NBC1434" s="40"/>
      <c r="NBD1434" s="40"/>
      <c r="NBE1434" s="40"/>
      <c r="NBF1434" s="40"/>
      <c r="NBG1434" s="40"/>
      <c r="NBH1434" s="40"/>
      <c r="NBI1434" s="40"/>
      <c r="NBJ1434" s="40"/>
      <c r="NBK1434" s="40"/>
      <c r="NBL1434" s="40"/>
      <c r="NBM1434" s="40"/>
      <c r="NBN1434" s="40"/>
      <c r="NBO1434" s="40"/>
      <c r="NBP1434" s="40"/>
      <c r="NBQ1434" s="40"/>
      <c r="NBR1434" s="40"/>
      <c r="NBS1434" s="40"/>
      <c r="NBT1434" s="40"/>
      <c r="NBU1434" s="40"/>
      <c r="NBV1434" s="40"/>
      <c r="NBW1434" s="40"/>
      <c r="NBX1434" s="40"/>
      <c r="NBY1434" s="40"/>
      <c r="NBZ1434" s="40"/>
      <c r="NCA1434" s="40"/>
      <c r="NCB1434" s="40"/>
      <c r="NCC1434" s="40"/>
      <c r="NCD1434" s="40"/>
      <c r="NCE1434" s="40"/>
      <c r="NCF1434" s="40"/>
      <c r="NCG1434" s="40"/>
      <c r="NCH1434" s="40"/>
      <c r="NCI1434" s="40"/>
      <c r="NCJ1434" s="40"/>
      <c r="NCK1434" s="40"/>
      <c r="NCL1434" s="40"/>
      <c r="NCM1434" s="40"/>
      <c r="NCN1434" s="40"/>
      <c r="NCO1434" s="40"/>
      <c r="NCP1434" s="40"/>
      <c r="NCQ1434" s="40"/>
      <c r="NCR1434" s="40"/>
      <c r="NCS1434" s="40"/>
      <c r="NCT1434" s="40"/>
      <c r="NCU1434" s="40"/>
      <c r="NCV1434" s="40"/>
      <c r="NCW1434" s="40"/>
      <c r="NCX1434" s="40"/>
      <c r="NCY1434" s="40"/>
      <c r="NCZ1434" s="40"/>
      <c r="NDA1434" s="40"/>
      <c r="NDB1434" s="40"/>
      <c r="NDC1434" s="40"/>
      <c r="NDD1434" s="40"/>
      <c r="NDE1434" s="40"/>
      <c r="NDF1434" s="40"/>
      <c r="NDG1434" s="40"/>
      <c r="NDH1434" s="40"/>
      <c r="NDI1434" s="40"/>
      <c r="NDJ1434" s="40"/>
      <c r="NDK1434" s="40"/>
      <c r="NDL1434" s="40"/>
      <c r="NDM1434" s="40"/>
      <c r="NDN1434" s="40"/>
      <c r="NDO1434" s="40"/>
      <c r="NDP1434" s="40"/>
      <c r="NDQ1434" s="40"/>
      <c r="NDR1434" s="40"/>
      <c r="NDS1434" s="40"/>
      <c r="NDT1434" s="40"/>
      <c r="NDU1434" s="40"/>
      <c r="NDV1434" s="40"/>
      <c r="NDW1434" s="40"/>
      <c r="NDX1434" s="40"/>
      <c r="NDY1434" s="40"/>
      <c r="NDZ1434" s="40"/>
      <c r="NEA1434" s="40"/>
      <c r="NEB1434" s="40"/>
      <c r="NEC1434" s="40"/>
      <c r="NED1434" s="40"/>
      <c r="NEE1434" s="40"/>
      <c r="NEF1434" s="40"/>
      <c r="NEG1434" s="40"/>
      <c r="NEH1434" s="40"/>
      <c r="NEI1434" s="40"/>
      <c r="NEJ1434" s="40"/>
      <c r="NEK1434" s="40"/>
      <c r="NEL1434" s="40"/>
      <c r="NEM1434" s="40"/>
      <c r="NEN1434" s="40"/>
      <c r="NEO1434" s="40"/>
      <c r="NEP1434" s="40"/>
      <c r="NEQ1434" s="40"/>
      <c r="NER1434" s="40"/>
      <c r="NES1434" s="40"/>
      <c r="NET1434" s="40"/>
      <c r="NEU1434" s="40"/>
      <c r="NEV1434" s="40"/>
      <c r="NEW1434" s="40"/>
      <c r="NEX1434" s="40"/>
      <c r="NEY1434" s="40"/>
      <c r="NEZ1434" s="40"/>
      <c r="NFA1434" s="40"/>
      <c r="NFB1434" s="40"/>
      <c r="NFC1434" s="40"/>
      <c r="NFD1434" s="40"/>
      <c r="NFE1434" s="40"/>
      <c r="NFF1434" s="40"/>
      <c r="NFG1434" s="40"/>
      <c r="NFH1434" s="40"/>
      <c r="NFI1434" s="40"/>
      <c r="NFJ1434" s="40"/>
      <c r="NFK1434" s="40"/>
      <c r="NFL1434" s="40"/>
      <c r="NFM1434" s="40"/>
      <c r="NFN1434" s="40"/>
      <c r="NFO1434" s="40"/>
      <c r="NFP1434" s="40"/>
      <c r="NFQ1434" s="40"/>
      <c r="NFR1434" s="40"/>
      <c r="NFS1434" s="40"/>
      <c r="NFT1434" s="40"/>
      <c r="NFU1434" s="40"/>
      <c r="NFV1434" s="40"/>
      <c r="NFW1434" s="40"/>
      <c r="NFX1434" s="40"/>
      <c r="NFY1434" s="40"/>
      <c r="NFZ1434" s="40"/>
      <c r="NGA1434" s="40"/>
      <c r="NGB1434" s="40"/>
      <c r="NGC1434" s="40"/>
      <c r="NGD1434" s="40"/>
      <c r="NGE1434" s="40"/>
      <c r="NGF1434" s="40"/>
      <c r="NGG1434" s="40"/>
      <c r="NGH1434" s="40"/>
      <c r="NGI1434" s="40"/>
      <c r="NGJ1434" s="40"/>
      <c r="NGK1434" s="40"/>
      <c r="NGL1434" s="40"/>
      <c r="NGM1434" s="40"/>
      <c r="NGN1434" s="40"/>
      <c r="NGO1434" s="40"/>
      <c r="NGP1434" s="40"/>
      <c r="NGQ1434" s="40"/>
      <c r="NGR1434" s="40"/>
      <c r="NGS1434" s="40"/>
      <c r="NGT1434" s="40"/>
      <c r="NGU1434" s="40"/>
      <c r="NGV1434" s="40"/>
      <c r="NGW1434" s="40"/>
      <c r="NGX1434" s="40"/>
      <c r="NGY1434" s="40"/>
      <c r="NGZ1434" s="40"/>
      <c r="NHA1434" s="40"/>
      <c r="NHB1434" s="40"/>
      <c r="NHC1434" s="40"/>
      <c r="NHD1434" s="40"/>
      <c r="NHE1434" s="40"/>
      <c r="NHF1434" s="40"/>
      <c r="NHG1434" s="40"/>
      <c r="NHH1434" s="40"/>
      <c r="NHI1434" s="40"/>
      <c r="NHJ1434" s="40"/>
      <c r="NHK1434" s="40"/>
      <c r="NHL1434" s="40"/>
      <c r="NHM1434" s="40"/>
      <c r="NHN1434" s="40"/>
      <c r="NHO1434" s="40"/>
      <c r="NHP1434" s="40"/>
      <c r="NHQ1434" s="40"/>
      <c r="NHR1434" s="40"/>
      <c r="NHS1434" s="40"/>
      <c r="NHT1434" s="40"/>
      <c r="NHU1434" s="40"/>
      <c r="NHV1434" s="40"/>
      <c r="NHW1434" s="40"/>
      <c r="NHX1434" s="40"/>
      <c r="NHY1434" s="40"/>
      <c r="NHZ1434" s="40"/>
      <c r="NIA1434" s="40"/>
      <c r="NIB1434" s="40"/>
      <c r="NIC1434" s="40"/>
      <c r="NID1434" s="40"/>
      <c r="NIE1434" s="40"/>
      <c r="NIF1434" s="40"/>
      <c r="NIG1434" s="40"/>
      <c r="NIH1434" s="40"/>
      <c r="NII1434" s="40"/>
      <c r="NIJ1434" s="40"/>
      <c r="NIK1434" s="40"/>
      <c r="NIL1434" s="40"/>
      <c r="NIM1434" s="40"/>
      <c r="NIN1434" s="40"/>
      <c r="NIO1434" s="40"/>
      <c r="NIP1434" s="40"/>
      <c r="NIQ1434" s="40"/>
      <c r="NIR1434" s="40"/>
      <c r="NIS1434" s="40"/>
      <c r="NIT1434" s="40"/>
      <c r="NIU1434" s="40"/>
      <c r="NIV1434" s="40"/>
      <c r="NIW1434" s="40"/>
      <c r="NIX1434" s="40"/>
      <c r="NIY1434" s="40"/>
      <c r="NIZ1434" s="40"/>
      <c r="NJA1434" s="40"/>
      <c r="NJB1434" s="40"/>
      <c r="NJC1434" s="40"/>
      <c r="NJD1434" s="40"/>
      <c r="NJE1434" s="40"/>
      <c r="NJF1434" s="40"/>
      <c r="NJG1434" s="40"/>
      <c r="NJH1434" s="40"/>
      <c r="NJI1434" s="40"/>
      <c r="NJJ1434" s="40"/>
      <c r="NJK1434" s="40"/>
      <c r="NJL1434" s="40"/>
      <c r="NJM1434" s="40"/>
      <c r="NJN1434" s="40"/>
      <c r="NJO1434" s="40"/>
      <c r="NJP1434" s="40"/>
      <c r="NJQ1434" s="40"/>
      <c r="NJR1434" s="40"/>
      <c r="NJS1434" s="40"/>
      <c r="NJT1434" s="40"/>
      <c r="NJU1434" s="40"/>
      <c r="NJV1434" s="40"/>
      <c r="NJW1434" s="40"/>
      <c r="NJX1434" s="40"/>
      <c r="NJY1434" s="40"/>
      <c r="NJZ1434" s="40"/>
      <c r="NKA1434" s="40"/>
      <c r="NKB1434" s="40"/>
      <c r="NKC1434" s="40"/>
      <c r="NKD1434" s="40"/>
      <c r="NKE1434" s="40"/>
      <c r="NKF1434" s="40"/>
      <c r="NKG1434" s="40"/>
      <c r="NKH1434" s="40"/>
      <c r="NKI1434" s="40"/>
      <c r="NKJ1434" s="40"/>
      <c r="NKK1434" s="40"/>
      <c r="NKL1434" s="40"/>
      <c r="NKM1434" s="40"/>
      <c r="NKN1434" s="40"/>
      <c r="NKO1434" s="40"/>
      <c r="NKP1434" s="40"/>
      <c r="NKQ1434" s="40"/>
      <c r="NKR1434" s="40"/>
      <c r="NKS1434" s="40"/>
      <c r="NKT1434" s="40"/>
      <c r="NKU1434" s="40"/>
      <c r="NKV1434" s="40"/>
      <c r="NKW1434" s="40"/>
      <c r="NKX1434" s="40"/>
      <c r="NKY1434" s="40"/>
      <c r="NKZ1434" s="40"/>
      <c r="NLA1434" s="40"/>
      <c r="NLB1434" s="40"/>
      <c r="NLC1434" s="40"/>
      <c r="NLD1434" s="40"/>
      <c r="NLE1434" s="40"/>
      <c r="NLF1434" s="40"/>
      <c r="NLG1434" s="40"/>
      <c r="NLH1434" s="40"/>
      <c r="NLI1434" s="40"/>
      <c r="NLJ1434" s="40"/>
      <c r="NLK1434" s="40"/>
      <c r="NLL1434" s="40"/>
      <c r="NLM1434" s="40"/>
      <c r="NLN1434" s="40"/>
      <c r="NLO1434" s="40"/>
      <c r="NLP1434" s="40"/>
      <c r="NLQ1434" s="40"/>
      <c r="NLR1434" s="40"/>
      <c r="NLS1434" s="40"/>
      <c r="NLT1434" s="40"/>
      <c r="NLU1434" s="40"/>
      <c r="NLV1434" s="40"/>
      <c r="NLW1434" s="40"/>
      <c r="NLX1434" s="40"/>
      <c r="NLY1434" s="40"/>
      <c r="NLZ1434" s="40"/>
      <c r="NMA1434" s="40"/>
      <c r="NMB1434" s="40"/>
      <c r="NMC1434" s="40"/>
      <c r="NMD1434" s="40"/>
      <c r="NME1434" s="40"/>
      <c r="NMF1434" s="40"/>
      <c r="NMG1434" s="40"/>
      <c r="NMH1434" s="40"/>
      <c r="NMI1434" s="40"/>
      <c r="NMJ1434" s="40"/>
      <c r="NMK1434" s="40"/>
      <c r="NML1434" s="40"/>
      <c r="NMM1434" s="40"/>
      <c r="NMN1434" s="40"/>
      <c r="NMO1434" s="40"/>
      <c r="NMP1434" s="40"/>
      <c r="NMQ1434" s="40"/>
      <c r="NMR1434" s="40"/>
      <c r="NMS1434" s="40"/>
      <c r="NMT1434" s="40"/>
      <c r="NMU1434" s="40"/>
      <c r="NMV1434" s="40"/>
      <c r="NMW1434" s="40"/>
      <c r="NMX1434" s="40"/>
      <c r="NMY1434" s="40"/>
      <c r="NMZ1434" s="40"/>
      <c r="NNA1434" s="40"/>
      <c r="NNB1434" s="40"/>
      <c r="NNC1434" s="40"/>
      <c r="NND1434" s="40"/>
      <c r="NNE1434" s="40"/>
      <c r="NNF1434" s="40"/>
      <c r="NNG1434" s="40"/>
      <c r="NNH1434" s="40"/>
      <c r="NNI1434" s="40"/>
      <c r="NNJ1434" s="40"/>
      <c r="NNK1434" s="40"/>
      <c r="NNL1434" s="40"/>
      <c r="NNM1434" s="40"/>
      <c r="NNN1434" s="40"/>
      <c r="NNO1434" s="40"/>
      <c r="NNP1434" s="40"/>
      <c r="NNQ1434" s="40"/>
      <c r="NNR1434" s="40"/>
      <c r="NNS1434" s="40"/>
      <c r="NNT1434" s="40"/>
      <c r="NNU1434" s="40"/>
      <c r="NNV1434" s="40"/>
      <c r="NNW1434" s="40"/>
      <c r="NNX1434" s="40"/>
      <c r="NNY1434" s="40"/>
      <c r="NNZ1434" s="40"/>
      <c r="NOA1434" s="40"/>
      <c r="NOB1434" s="40"/>
      <c r="NOC1434" s="40"/>
      <c r="NOD1434" s="40"/>
      <c r="NOE1434" s="40"/>
      <c r="NOF1434" s="40"/>
      <c r="NOG1434" s="40"/>
      <c r="NOH1434" s="40"/>
      <c r="NOI1434" s="40"/>
      <c r="NOJ1434" s="40"/>
      <c r="NOK1434" s="40"/>
      <c r="NOL1434" s="40"/>
      <c r="NOM1434" s="40"/>
      <c r="NON1434" s="40"/>
      <c r="NOO1434" s="40"/>
      <c r="NOP1434" s="40"/>
      <c r="NOQ1434" s="40"/>
      <c r="NOR1434" s="40"/>
      <c r="NOS1434" s="40"/>
      <c r="NOT1434" s="40"/>
      <c r="NOU1434" s="40"/>
      <c r="NOV1434" s="40"/>
      <c r="NOW1434" s="40"/>
      <c r="NOX1434" s="40"/>
      <c r="NOY1434" s="40"/>
      <c r="NOZ1434" s="40"/>
      <c r="NPA1434" s="40"/>
      <c r="NPB1434" s="40"/>
      <c r="NPC1434" s="40"/>
      <c r="NPD1434" s="40"/>
      <c r="NPE1434" s="40"/>
      <c r="NPF1434" s="40"/>
      <c r="NPG1434" s="40"/>
      <c r="NPH1434" s="40"/>
      <c r="NPI1434" s="40"/>
      <c r="NPJ1434" s="40"/>
      <c r="NPK1434" s="40"/>
      <c r="NPL1434" s="40"/>
      <c r="NPM1434" s="40"/>
      <c r="NPN1434" s="40"/>
      <c r="NPO1434" s="40"/>
      <c r="NPP1434" s="40"/>
      <c r="NPQ1434" s="40"/>
      <c r="NPR1434" s="40"/>
      <c r="NPS1434" s="40"/>
      <c r="NPT1434" s="40"/>
      <c r="NPU1434" s="40"/>
      <c r="NPV1434" s="40"/>
      <c r="NPW1434" s="40"/>
      <c r="NPX1434" s="40"/>
      <c r="NPY1434" s="40"/>
      <c r="NPZ1434" s="40"/>
      <c r="NQA1434" s="40"/>
      <c r="NQB1434" s="40"/>
      <c r="NQC1434" s="40"/>
      <c r="NQD1434" s="40"/>
      <c r="NQE1434" s="40"/>
      <c r="NQF1434" s="40"/>
      <c r="NQG1434" s="40"/>
      <c r="NQH1434" s="40"/>
      <c r="NQI1434" s="40"/>
      <c r="NQJ1434" s="40"/>
      <c r="NQK1434" s="40"/>
      <c r="NQL1434" s="40"/>
      <c r="NQM1434" s="40"/>
      <c r="NQN1434" s="40"/>
      <c r="NQO1434" s="40"/>
      <c r="NQP1434" s="40"/>
      <c r="NQQ1434" s="40"/>
      <c r="NQR1434" s="40"/>
      <c r="NQS1434" s="40"/>
      <c r="NQT1434" s="40"/>
      <c r="NQU1434" s="40"/>
      <c r="NQV1434" s="40"/>
      <c r="NQW1434" s="40"/>
      <c r="NQX1434" s="40"/>
      <c r="NQY1434" s="40"/>
      <c r="NQZ1434" s="40"/>
      <c r="NRA1434" s="40"/>
      <c r="NRB1434" s="40"/>
      <c r="NRC1434" s="40"/>
      <c r="NRD1434" s="40"/>
      <c r="NRE1434" s="40"/>
      <c r="NRF1434" s="40"/>
      <c r="NRG1434" s="40"/>
      <c r="NRH1434" s="40"/>
      <c r="NRI1434" s="40"/>
      <c r="NRJ1434" s="40"/>
      <c r="NRK1434" s="40"/>
      <c r="NRL1434" s="40"/>
      <c r="NRM1434" s="40"/>
      <c r="NRN1434" s="40"/>
      <c r="NRO1434" s="40"/>
      <c r="NRP1434" s="40"/>
      <c r="NRQ1434" s="40"/>
      <c r="NRR1434" s="40"/>
      <c r="NRS1434" s="40"/>
      <c r="NRT1434" s="40"/>
      <c r="NRU1434" s="40"/>
      <c r="NRV1434" s="40"/>
      <c r="NRW1434" s="40"/>
      <c r="NRX1434" s="40"/>
      <c r="NRY1434" s="40"/>
      <c r="NRZ1434" s="40"/>
      <c r="NSA1434" s="40"/>
      <c r="NSB1434" s="40"/>
      <c r="NSC1434" s="40"/>
      <c r="NSD1434" s="40"/>
      <c r="NSE1434" s="40"/>
      <c r="NSF1434" s="40"/>
      <c r="NSG1434" s="40"/>
      <c r="NSH1434" s="40"/>
      <c r="NSI1434" s="40"/>
      <c r="NSJ1434" s="40"/>
      <c r="NSK1434" s="40"/>
      <c r="NSL1434" s="40"/>
      <c r="NSM1434" s="40"/>
      <c r="NSN1434" s="40"/>
      <c r="NSO1434" s="40"/>
      <c r="NSP1434" s="40"/>
      <c r="NSQ1434" s="40"/>
      <c r="NSR1434" s="40"/>
      <c r="NSS1434" s="40"/>
      <c r="NST1434" s="40"/>
      <c r="NSU1434" s="40"/>
      <c r="NSV1434" s="40"/>
      <c r="NSW1434" s="40"/>
      <c r="NSX1434" s="40"/>
      <c r="NSY1434" s="40"/>
      <c r="NSZ1434" s="40"/>
      <c r="NTA1434" s="40"/>
      <c r="NTB1434" s="40"/>
      <c r="NTC1434" s="40"/>
      <c r="NTD1434" s="40"/>
      <c r="NTE1434" s="40"/>
      <c r="NTF1434" s="40"/>
      <c r="NTG1434" s="40"/>
      <c r="NTH1434" s="40"/>
      <c r="NTI1434" s="40"/>
      <c r="NTJ1434" s="40"/>
      <c r="NTK1434" s="40"/>
      <c r="NTL1434" s="40"/>
      <c r="NTM1434" s="40"/>
      <c r="NTN1434" s="40"/>
      <c r="NTO1434" s="40"/>
      <c r="NTP1434" s="40"/>
      <c r="NTQ1434" s="40"/>
      <c r="NTR1434" s="40"/>
      <c r="NTS1434" s="40"/>
      <c r="NTT1434" s="40"/>
      <c r="NTU1434" s="40"/>
      <c r="NTV1434" s="40"/>
      <c r="NTW1434" s="40"/>
      <c r="NTX1434" s="40"/>
      <c r="NTY1434" s="40"/>
      <c r="NTZ1434" s="40"/>
      <c r="NUA1434" s="40"/>
      <c r="NUB1434" s="40"/>
      <c r="NUC1434" s="40"/>
      <c r="NUD1434" s="40"/>
      <c r="NUE1434" s="40"/>
      <c r="NUF1434" s="40"/>
      <c r="NUG1434" s="40"/>
      <c r="NUH1434" s="40"/>
      <c r="NUI1434" s="40"/>
      <c r="NUJ1434" s="40"/>
      <c r="NUK1434" s="40"/>
      <c r="NUL1434" s="40"/>
      <c r="NUM1434" s="40"/>
      <c r="NUN1434" s="40"/>
      <c r="NUO1434" s="40"/>
      <c r="NUP1434" s="40"/>
      <c r="NUQ1434" s="40"/>
      <c r="NUR1434" s="40"/>
      <c r="NUS1434" s="40"/>
      <c r="NUT1434" s="40"/>
      <c r="NUU1434" s="40"/>
      <c r="NUV1434" s="40"/>
      <c r="NUW1434" s="40"/>
      <c r="NUX1434" s="40"/>
      <c r="NUY1434" s="40"/>
      <c r="NUZ1434" s="40"/>
      <c r="NVA1434" s="40"/>
      <c r="NVB1434" s="40"/>
      <c r="NVC1434" s="40"/>
      <c r="NVD1434" s="40"/>
      <c r="NVE1434" s="40"/>
      <c r="NVF1434" s="40"/>
      <c r="NVG1434" s="40"/>
      <c r="NVH1434" s="40"/>
      <c r="NVI1434" s="40"/>
      <c r="NVJ1434" s="40"/>
      <c r="NVK1434" s="40"/>
      <c r="NVL1434" s="40"/>
      <c r="NVM1434" s="40"/>
      <c r="NVN1434" s="40"/>
      <c r="NVO1434" s="40"/>
      <c r="NVP1434" s="40"/>
      <c r="NVQ1434" s="40"/>
      <c r="NVR1434" s="40"/>
      <c r="NVS1434" s="40"/>
      <c r="NVT1434" s="40"/>
      <c r="NVU1434" s="40"/>
      <c r="NVV1434" s="40"/>
      <c r="NVW1434" s="40"/>
      <c r="NVX1434" s="40"/>
      <c r="NVY1434" s="40"/>
      <c r="NVZ1434" s="40"/>
      <c r="NWA1434" s="40"/>
      <c r="NWB1434" s="40"/>
      <c r="NWC1434" s="40"/>
      <c r="NWD1434" s="40"/>
      <c r="NWE1434" s="40"/>
      <c r="NWF1434" s="40"/>
      <c r="NWG1434" s="40"/>
      <c r="NWH1434" s="40"/>
      <c r="NWI1434" s="40"/>
      <c r="NWJ1434" s="40"/>
      <c r="NWK1434" s="40"/>
      <c r="NWL1434" s="40"/>
      <c r="NWM1434" s="40"/>
      <c r="NWN1434" s="40"/>
      <c r="NWO1434" s="40"/>
      <c r="NWP1434" s="40"/>
      <c r="NWQ1434" s="40"/>
      <c r="NWR1434" s="40"/>
      <c r="NWS1434" s="40"/>
      <c r="NWT1434" s="40"/>
      <c r="NWU1434" s="40"/>
      <c r="NWV1434" s="40"/>
      <c r="NWW1434" s="40"/>
      <c r="NWX1434" s="40"/>
      <c r="NWY1434" s="40"/>
      <c r="NWZ1434" s="40"/>
      <c r="NXA1434" s="40"/>
      <c r="NXB1434" s="40"/>
      <c r="NXC1434" s="40"/>
      <c r="NXD1434" s="40"/>
      <c r="NXE1434" s="40"/>
      <c r="NXF1434" s="40"/>
      <c r="NXG1434" s="40"/>
      <c r="NXH1434" s="40"/>
      <c r="NXI1434" s="40"/>
      <c r="NXJ1434" s="40"/>
      <c r="NXK1434" s="40"/>
      <c r="NXL1434" s="40"/>
      <c r="NXM1434" s="40"/>
      <c r="NXN1434" s="40"/>
      <c r="NXO1434" s="40"/>
      <c r="NXP1434" s="40"/>
      <c r="NXQ1434" s="40"/>
      <c r="NXR1434" s="40"/>
      <c r="NXS1434" s="40"/>
      <c r="NXT1434" s="40"/>
      <c r="NXU1434" s="40"/>
      <c r="NXV1434" s="40"/>
      <c r="NXW1434" s="40"/>
      <c r="NXX1434" s="40"/>
      <c r="NXY1434" s="40"/>
      <c r="NXZ1434" s="40"/>
      <c r="NYA1434" s="40"/>
      <c r="NYB1434" s="40"/>
      <c r="NYC1434" s="40"/>
      <c r="NYD1434" s="40"/>
      <c r="NYE1434" s="40"/>
      <c r="NYF1434" s="40"/>
      <c r="NYG1434" s="40"/>
      <c r="NYH1434" s="40"/>
      <c r="NYI1434" s="40"/>
      <c r="NYJ1434" s="40"/>
      <c r="NYK1434" s="40"/>
      <c r="NYL1434" s="40"/>
      <c r="NYM1434" s="40"/>
      <c r="NYN1434" s="40"/>
      <c r="NYO1434" s="40"/>
      <c r="NYP1434" s="40"/>
      <c r="NYQ1434" s="40"/>
      <c r="NYR1434" s="40"/>
      <c r="NYS1434" s="40"/>
      <c r="NYT1434" s="40"/>
      <c r="NYU1434" s="40"/>
      <c r="NYV1434" s="40"/>
      <c r="NYW1434" s="40"/>
      <c r="NYX1434" s="40"/>
      <c r="NYY1434" s="40"/>
      <c r="NYZ1434" s="40"/>
      <c r="NZA1434" s="40"/>
      <c r="NZB1434" s="40"/>
      <c r="NZC1434" s="40"/>
      <c r="NZD1434" s="40"/>
      <c r="NZE1434" s="40"/>
      <c r="NZF1434" s="40"/>
      <c r="NZG1434" s="40"/>
      <c r="NZH1434" s="40"/>
      <c r="NZI1434" s="40"/>
      <c r="NZJ1434" s="40"/>
      <c r="NZK1434" s="40"/>
      <c r="NZL1434" s="40"/>
      <c r="NZM1434" s="40"/>
      <c r="NZN1434" s="40"/>
      <c r="NZO1434" s="40"/>
      <c r="NZP1434" s="40"/>
      <c r="NZQ1434" s="40"/>
      <c r="NZR1434" s="40"/>
      <c r="NZS1434" s="40"/>
      <c r="NZT1434" s="40"/>
      <c r="NZU1434" s="40"/>
      <c r="NZV1434" s="40"/>
      <c r="NZW1434" s="40"/>
      <c r="NZX1434" s="40"/>
      <c r="NZY1434" s="40"/>
      <c r="NZZ1434" s="40"/>
      <c r="OAA1434" s="40"/>
      <c r="OAB1434" s="40"/>
      <c r="OAC1434" s="40"/>
      <c r="OAD1434" s="40"/>
      <c r="OAE1434" s="40"/>
      <c r="OAF1434" s="40"/>
      <c r="OAG1434" s="40"/>
      <c r="OAH1434" s="40"/>
      <c r="OAI1434" s="40"/>
      <c r="OAJ1434" s="40"/>
      <c r="OAK1434" s="40"/>
      <c r="OAL1434" s="40"/>
      <c r="OAM1434" s="40"/>
      <c r="OAN1434" s="40"/>
      <c r="OAO1434" s="40"/>
      <c r="OAP1434" s="40"/>
      <c r="OAQ1434" s="40"/>
      <c r="OAR1434" s="40"/>
      <c r="OAS1434" s="40"/>
      <c r="OAT1434" s="40"/>
      <c r="OAU1434" s="40"/>
      <c r="OAV1434" s="40"/>
      <c r="OAW1434" s="40"/>
      <c r="OAX1434" s="40"/>
      <c r="OAY1434" s="40"/>
      <c r="OAZ1434" s="40"/>
      <c r="OBA1434" s="40"/>
      <c r="OBB1434" s="40"/>
      <c r="OBC1434" s="40"/>
      <c r="OBD1434" s="40"/>
      <c r="OBE1434" s="40"/>
      <c r="OBF1434" s="40"/>
      <c r="OBG1434" s="40"/>
      <c r="OBH1434" s="40"/>
      <c r="OBI1434" s="40"/>
      <c r="OBJ1434" s="40"/>
      <c r="OBK1434" s="40"/>
      <c r="OBL1434" s="40"/>
      <c r="OBM1434" s="40"/>
      <c r="OBN1434" s="40"/>
      <c r="OBO1434" s="40"/>
      <c r="OBP1434" s="40"/>
      <c r="OBQ1434" s="40"/>
      <c r="OBR1434" s="40"/>
      <c r="OBS1434" s="40"/>
      <c r="OBT1434" s="40"/>
      <c r="OBU1434" s="40"/>
      <c r="OBV1434" s="40"/>
      <c r="OBW1434" s="40"/>
      <c r="OBX1434" s="40"/>
      <c r="OBY1434" s="40"/>
      <c r="OBZ1434" s="40"/>
      <c r="OCA1434" s="40"/>
      <c r="OCB1434" s="40"/>
      <c r="OCC1434" s="40"/>
      <c r="OCD1434" s="40"/>
      <c r="OCE1434" s="40"/>
      <c r="OCF1434" s="40"/>
      <c r="OCG1434" s="40"/>
      <c r="OCH1434" s="40"/>
      <c r="OCI1434" s="40"/>
      <c r="OCJ1434" s="40"/>
      <c r="OCK1434" s="40"/>
      <c r="OCL1434" s="40"/>
      <c r="OCM1434" s="40"/>
      <c r="OCN1434" s="40"/>
      <c r="OCO1434" s="40"/>
      <c r="OCP1434" s="40"/>
      <c r="OCQ1434" s="40"/>
      <c r="OCR1434" s="40"/>
      <c r="OCS1434" s="40"/>
      <c r="OCT1434" s="40"/>
      <c r="OCU1434" s="40"/>
      <c r="OCV1434" s="40"/>
      <c r="OCW1434" s="40"/>
      <c r="OCX1434" s="40"/>
      <c r="OCY1434" s="40"/>
      <c r="OCZ1434" s="40"/>
      <c r="ODA1434" s="40"/>
      <c r="ODB1434" s="40"/>
      <c r="ODC1434" s="40"/>
      <c r="ODD1434" s="40"/>
      <c r="ODE1434" s="40"/>
      <c r="ODF1434" s="40"/>
      <c r="ODG1434" s="40"/>
      <c r="ODH1434" s="40"/>
      <c r="ODI1434" s="40"/>
      <c r="ODJ1434" s="40"/>
      <c r="ODK1434" s="40"/>
      <c r="ODL1434" s="40"/>
      <c r="ODM1434" s="40"/>
      <c r="ODN1434" s="40"/>
      <c r="ODO1434" s="40"/>
      <c r="ODP1434" s="40"/>
      <c r="ODQ1434" s="40"/>
      <c r="ODR1434" s="40"/>
      <c r="ODS1434" s="40"/>
      <c r="ODT1434" s="40"/>
      <c r="ODU1434" s="40"/>
      <c r="ODV1434" s="40"/>
      <c r="ODW1434" s="40"/>
      <c r="ODX1434" s="40"/>
      <c r="ODY1434" s="40"/>
      <c r="ODZ1434" s="40"/>
      <c r="OEA1434" s="40"/>
      <c r="OEB1434" s="40"/>
      <c r="OEC1434" s="40"/>
      <c r="OED1434" s="40"/>
      <c r="OEE1434" s="40"/>
      <c r="OEF1434" s="40"/>
      <c r="OEG1434" s="40"/>
      <c r="OEH1434" s="40"/>
      <c r="OEI1434" s="40"/>
      <c r="OEJ1434" s="40"/>
      <c r="OEK1434" s="40"/>
      <c r="OEL1434" s="40"/>
      <c r="OEM1434" s="40"/>
      <c r="OEN1434" s="40"/>
      <c r="OEO1434" s="40"/>
      <c r="OEP1434" s="40"/>
      <c r="OEQ1434" s="40"/>
      <c r="OER1434" s="40"/>
      <c r="OES1434" s="40"/>
      <c r="OET1434" s="40"/>
      <c r="OEU1434" s="40"/>
      <c r="OEV1434" s="40"/>
      <c r="OEW1434" s="40"/>
      <c r="OEX1434" s="40"/>
      <c r="OEY1434" s="40"/>
      <c r="OEZ1434" s="40"/>
      <c r="OFA1434" s="40"/>
      <c r="OFB1434" s="40"/>
      <c r="OFC1434" s="40"/>
      <c r="OFD1434" s="40"/>
      <c r="OFE1434" s="40"/>
      <c r="OFF1434" s="40"/>
      <c r="OFG1434" s="40"/>
      <c r="OFH1434" s="40"/>
      <c r="OFI1434" s="40"/>
      <c r="OFJ1434" s="40"/>
      <c r="OFK1434" s="40"/>
      <c r="OFL1434" s="40"/>
      <c r="OFM1434" s="40"/>
      <c r="OFN1434" s="40"/>
      <c r="OFO1434" s="40"/>
      <c r="OFP1434" s="40"/>
      <c r="OFQ1434" s="40"/>
      <c r="OFR1434" s="40"/>
      <c r="OFS1434" s="40"/>
      <c r="OFT1434" s="40"/>
      <c r="OFU1434" s="40"/>
      <c r="OFV1434" s="40"/>
      <c r="OFW1434" s="40"/>
      <c r="OFX1434" s="40"/>
      <c r="OFY1434" s="40"/>
      <c r="OFZ1434" s="40"/>
      <c r="OGA1434" s="40"/>
      <c r="OGB1434" s="40"/>
      <c r="OGC1434" s="40"/>
      <c r="OGD1434" s="40"/>
      <c r="OGE1434" s="40"/>
      <c r="OGF1434" s="40"/>
      <c r="OGG1434" s="40"/>
      <c r="OGH1434" s="40"/>
      <c r="OGI1434" s="40"/>
      <c r="OGJ1434" s="40"/>
      <c r="OGK1434" s="40"/>
      <c r="OGL1434" s="40"/>
      <c r="OGM1434" s="40"/>
      <c r="OGN1434" s="40"/>
      <c r="OGO1434" s="40"/>
      <c r="OGP1434" s="40"/>
      <c r="OGQ1434" s="40"/>
      <c r="OGR1434" s="40"/>
      <c r="OGS1434" s="40"/>
      <c r="OGT1434" s="40"/>
      <c r="OGU1434" s="40"/>
      <c r="OGV1434" s="40"/>
      <c r="OGW1434" s="40"/>
      <c r="OGX1434" s="40"/>
      <c r="OGY1434" s="40"/>
      <c r="OGZ1434" s="40"/>
      <c r="OHA1434" s="40"/>
      <c r="OHB1434" s="40"/>
      <c r="OHC1434" s="40"/>
      <c r="OHD1434" s="40"/>
      <c r="OHE1434" s="40"/>
      <c r="OHF1434" s="40"/>
      <c r="OHG1434" s="40"/>
      <c r="OHH1434" s="40"/>
      <c r="OHI1434" s="40"/>
      <c r="OHJ1434" s="40"/>
      <c r="OHK1434" s="40"/>
      <c r="OHL1434" s="40"/>
      <c r="OHM1434" s="40"/>
      <c r="OHN1434" s="40"/>
      <c r="OHO1434" s="40"/>
      <c r="OHP1434" s="40"/>
      <c r="OHQ1434" s="40"/>
      <c r="OHR1434" s="40"/>
      <c r="OHS1434" s="40"/>
      <c r="OHT1434" s="40"/>
      <c r="OHU1434" s="40"/>
      <c r="OHV1434" s="40"/>
      <c r="OHW1434" s="40"/>
      <c r="OHX1434" s="40"/>
      <c r="OHY1434" s="40"/>
      <c r="OHZ1434" s="40"/>
      <c r="OIA1434" s="40"/>
      <c r="OIB1434" s="40"/>
      <c r="OIC1434" s="40"/>
      <c r="OID1434" s="40"/>
      <c r="OIE1434" s="40"/>
      <c r="OIF1434" s="40"/>
      <c r="OIG1434" s="40"/>
      <c r="OIH1434" s="40"/>
      <c r="OII1434" s="40"/>
      <c r="OIJ1434" s="40"/>
      <c r="OIK1434" s="40"/>
      <c r="OIL1434" s="40"/>
      <c r="OIM1434" s="40"/>
      <c r="OIN1434" s="40"/>
      <c r="OIO1434" s="40"/>
      <c r="OIP1434" s="40"/>
      <c r="OIQ1434" s="40"/>
      <c r="OIR1434" s="40"/>
      <c r="OIS1434" s="40"/>
      <c r="OIT1434" s="40"/>
      <c r="OIU1434" s="40"/>
      <c r="OIV1434" s="40"/>
      <c r="OIW1434" s="40"/>
      <c r="OIX1434" s="40"/>
      <c r="OIY1434" s="40"/>
      <c r="OIZ1434" s="40"/>
      <c r="OJA1434" s="40"/>
      <c r="OJB1434" s="40"/>
      <c r="OJC1434" s="40"/>
      <c r="OJD1434" s="40"/>
      <c r="OJE1434" s="40"/>
      <c r="OJF1434" s="40"/>
      <c r="OJG1434" s="40"/>
      <c r="OJH1434" s="40"/>
      <c r="OJI1434" s="40"/>
      <c r="OJJ1434" s="40"/>
      <c r="OJK1434" s="40"/>
      <c r="OJL1434" s="40"/>
      <c r="OJM1434" s="40"/>
      <c r="OJN1434" s="40"/>
      <c r="OJO1434" s="40"/>
      <c r="OJP1434" s="40"/>
      <c r="OJQ1434" s="40"/>
      <c r="OJR1434" s="40"/>
      <c r="OJS1434" s="40"/>
      <c r="OJT1434" s="40"/>
      <c r="OJU1434" s="40"/>
      <c r="OJV1434" s="40"/>
      <c r="OJW1434" s="40"/>
      <c r="OJX1434" s="40"/>
      <c r="OJY1434" s="40"/>
      <c r="OJZ1434" s="40"/>
      <c r="OKA1434" s="40"/>
      <c r="OKB1434" s="40"/>
      <c r="OKC1434" s="40"/>
      <c r="OKD1434" s="40"/>
      <c r="OKE1434" s="40"/>
      <c r="OKF1434" s="40"/>
      <c r="OKG1434" s="40"/>
      <c r="OKH1434" s="40"/>
      <c r="OKI1434" s="40"/>
      <c r="OKJ1434" s="40"/>
      <c r="OKK1434" s="40"/>
      <c r="OKL1434" s="40"/>
      <c r="OKM1434" s="40"/>
      <c r="OKN1434" s="40"/>
      <c r="OKO1434" s="40"/>
      <c r="OKP1434" s="40"/>
      <c r="OKQ1434" s="40"/>
      <c r="OKR1434" s="40"/>
      <c r="OKS1434" s="40"/>
      <c r="OKT1434" s="40"/>
      <c r="OKU1434" s="40"/>
      <c r="OKV1434" s="40"/>
      <c r="OKW1434" s="40"/>
      <c r="OKX1434" s="40"/>
      <c r="OKY1434" s="40"/>
      <c r="OKZ1434" s="40"/>
      <c r="OLA1434" s="40"/>
      <c r="OLB1434" s="40"/>
      <c r="OLC1434" s="40"/>
      <c r="OLD1434" s="40"/>
      <c r="OLE1434" s="40"/>
      <c r="OLF1434" s="40"/>
      <c r="OLG1434" s="40"/>
      <c r="OLH1434" s="40"/>
      <c r="OLI1434" s="40"/>
      <c r="OLJ1434" s="40"/>
      <c r="OLK1434" s="40"/>
      <c r="OLL1434" s="40"/>
      <c r="OLM1434" s="40"/>
      <c r="OLN1434" s="40"/>
      <c r="OLO1434" s="40"/>
      <c r="OLP1434" s="40"/>
      <c r="OLQ1434" s="40"/>
      <c r="OLR1434" s="40"/>
      <c r="OLS1434" s="40"/>
      <c r="OLT1434" s="40"/>
      <c r="OLU1434" s="40"/>
      <c r="OLV1434" s="40"/>
      <c r="OLW1434" s="40"/>
      <c r="OLX1434" s="40"/>
      <c r="OLY1434" s="40"/>
      <c r="OLZ1434" s="40"/>
      <c r="OMA1434" s="40"/>
      <c r="OMB1434" s="40"/>
      <c r="OMC1434" s="40"/>
      <c r="OMD1434" s="40"/>
      <c r="OME1434" s="40"/>
      <c r="OMF1434" s="40"/>
      <c r="OMG1434" s="40"/>
      <c r="OMH1434" s="40"/>
      <c r="OMI1434" s="40"/>
      <c r="OMJ1434" s="40"/>
      <c r="OMK1434" s="40"/>
      <c r="OML1434" s="40"/>
      <c r="OMM1434" s="40"/>
      <c r="OMN1434" s="40"/>
      <c r="OMO1434" s="40"/>
      <c r="OMP1434" s="40"/>
      <c r="OMQ1434" s="40"/>
      <c r="OMR1434" s="40"/>
      <c r="OMS1434" s="40"/>
      <c r="OMT1434" s="40"/>
      <c r="OMU1434" s="40"/>
      <c r="OMV1434" s="40"/>
      <c r="OMW1434" s="40"/>
      <c r="OMX1434" s="40"/>
      <c r="OMY1434" s="40"/>
      <c r="OMZ1434" s="40"/>
      <c r="ONA1434" s="40"/>
      <c r="ONB1434" s="40"/>
      <c r="ONC1434" s="40"/>
      <c r="OND1434" s="40"/>
      <c r="ONE1434" s="40"/>
      <c r="ONF1434" s="40"/>
      <c r="ONG1434" s="40"/>
      <c r="ONH1434" s="40"/>
      <c r="ONI1434" s="40"/>
      <c r="ONJ1434" s="40"/>
      <c r="ONK1434" s="40"/>
      <c r="ONL1434" s="40"/>
      <c r="ONM1434" s="40"/>
      <c r="ONN1434" s="40"/>
      <c r="ONO1434" s="40"/>
      <c r="ONP1434" s="40"/>
      <c r="ONQ1434" s="40"/>
      <c r="ONR1434" s="40"/>
      <c r="ONS1434" s="40"/>
      <c r="ONT1434" s="40"/>
      <c r="ONU1434" s="40"/>
      <c r="ONV1434" s="40"/>
      <c r="ONW1434" s="40"/>
      <c r="ONX1434" s="40"/>
      <c r="ONY1434" s="40"/>
      <c r="ONZ1434" s="40"/>
      <c r="OOA1434" s="40"/>
      <c r="OOB1434" s="40"/>
      <c r="OOC1434" s="40"/>
      <c r="OOD1434" s="40"/>
      <c r="OOE1434" s="40"/>
      <c r="OOF1434" s="40"/>
      <c r="OOG1434" s="40"/>
      <c r="OOH1434" s="40"/>
      <c r="OOI1434" s="40"/>
      <c r="OOJ1434" s="40"/>
      <c r="OOK1434" s="40"/>
      <c r="OOL1434" s="40"/>
      <c r="OOM1434" s="40"/>
      <c r="OON1434" s="40"/>
      <c r="OOO1434" s="40"/>
      <c r="OOP1434" s="40"/>
      <c r="OOQ1434" s="40"/>
      <c r="OOR1434" s="40"/>
      <c r="OOS1434" s="40"/>
      <c r="OOT1434" s="40"/>
      <c r="OOU1434" s="40"/>
      <c r="OOV1434" s="40"/>
      <c r="OOW1434" s="40"/>
      <c r="OOX1434" s="40"/>
      <c r="OOY1434" s="40"/>
      <c r="OOZ1434" s="40"/>
      <c r="OPA1434" s="40"/>
      <c r="OPB1434" s="40"/>
      <c r="OPC1434" s="40"/>
      <c r="OPD1434" s="40"/>
      <c r="OPE1434" s="40"/>
      <c r="OPF1434" s="40"/>
      <c r="OPG1434" s="40"/>
      <c r="OPH1434" s="40"/>
      <c r="OPI1434" s="40"/>
      <c r="OPJ1434" s="40"/>
      <c r="OPK1434" s="40"/>
      <c r="OPL1434" s="40"/>
      <c r="OPM1434" s="40"/>
      <c r="OPN1434" s="40"/>
      <c r="OPO1434" s="40"/>
      <c r="OPP1434" s="40"/>
      <c r="OPQ1434" s="40"/>
      <c r="OPR1434" s="40"/>
      <c r="OPS1434" s="40"/>
      <c r="OPT1434" s="40"/>
      <c r="OPU1434" s="40"/>
      <c r="OPV1434" s="40"/>
      <c r="OPW1434" s="40"/>
      <c r="OPX1434" s="40"/>
      <c r="OPY1434" s="40"/>
      <c r="OPZ1434" s="40"/>
      <c r="OQA1434" s="40"/>
      <c r="OQB1434" s="40"/>
      <c r="OQC1434" s="40"/>
      <c r="OQD1434" s="40"/>
      <c r="OQE1434" s="40"/>
      <c r="OQF1434" s="40"/>
      <c r="OQG1434" s="40"/>
      <c r="OQH1434" s="40"/>
      <c r="OQI1434" s="40"/>
      <c r="OQJ1434" s="40"/>
      <c r="OQK1434" s="40"/>
      <c r="OQL1434" s="40"/>
      <c r="OQM1434" s="40"/>
      <c r="OQN1434" s="40"/>
      <c r="OQO1434" s="40"/>
      <c r="OQP1434" s="40"/>
      <c r="OQQ1434" s="40"/>
      <c r="OQR1434" s="40"/>
      <c r="OQS1434" s="40"/>
      <c r="OQT1434" s="40"/>
      <c r="OQU1434" s="40"/>
      <c r="OQV1434" s="40"/>
      <c r="OQW1434" s="40"/>
      <c r="OQX1434" s="40"/>
      <c r="OQY1434" s="40"/>
      <c r="OQZ1434" s="40"/>
      <c r="ORA1434" s="40"/>
      <c r="ORB1434" s="40"/>
      <c r="ORC1434" s="40"/>
      <c r="ORD1434" s="40"/>
      <c r="ORE1434" s="40"/>
      <c r="ORF1434" s="40"/>
      <c r="ORG1434" s="40"/>
      <c r="ORH1434" s="40"/>
      <c r="ORI1434" s="40"/>
      <c r="ORJ1434" s="40"/>
      <c r="ORK1434" s="40"/>
      <c r="ORL1434" s="40"/>
      <c r="ORM1434" s="40"/>
      <c r="ORN1434" s="40"/>
      <c r="ORO1434" s="40"/>
      <c r="ORP1434" s="40"/>
      <c r="ORQ1434" s="40"/>
      <c r="ORR1434" s="40"/>
      <c r="ORS1434" s="40"/>
      <c r="ORT1434" s="40"/>
      <c r="ORU1434" s="40"/>
      <c r="ORV1434" s="40"/>
      <c r="ORW1434" s="40"/>
      <c r="ORX1434" s="40"/>
      <c r="ORY1434" s="40"/>
      <c r="ORZ1434" s="40"/>
      <c r="OSA1434" s="40"/>
      <c r="OSB1434" s="40"/>
      <c r="OSC1434" s="40"/>
      <c r="OSD1434" s="40"/>
      <c r="OSE1434" s="40"/>
      <c r="OSF1434" s="40"/>
      <c r="OSG1434" s="40"/>
      <c r="OSH1434" s="40"/>
      <c r="OSI1434" s="40"/>
      <c r="OSJ1434" s="40"/>
      <c r="OSK1434" s="40"/>
      <c r="OSL1434" s="40"/>
      <c r="OSM1434" s="40"/>
      <c r="OSN1434" s="40"/>
      <c r="OSO1434" s="40"/>
      <c r="OSP1434" s="40"/>
      <c r="OSQ1434" s="40"/>
      <c r="OSR1434" s="40"/>
      <c r="OSS1434" s="40"/>
      <c r="OST1434" s="40"/>
      <c r="OSU1434" s="40"/>
      <c r="OSV1434" s="40"/>
      <c r="OSW1434" s="40"/>
      <c r="OSX1434" s="40"/>
      <c r="OSY1434" s="40"/>
      <c r="OSZ1434" s="40"/>
      <c r="OTA1434" s="40"/>
      <c r="OTB1434" s="40"/>
      <c r="OTC1434" s="40"/>
      <c r="OTD1434" s="40"/>
      <c r="OTE1434" s="40"/>
      <c r="OTF1434" s="40"/>
      <c r="OTG1434" s="40"/>
      <c r="OTH1434" s="40"/>
      <c r="OTI1434" s="40"/>
      <c r="OTJ1434" s="40"/>
      <c r="OTK1434" s="40"/>
      <c r="OTL1434" s="40"/>
      <c r="OTM1434" s="40"/>
      <c r="OTN1434" s="40"/>
      <c r="OTO1434" s="40"/>
      <c r="OTP1434" s="40"/>
      <c r="OTQ1434" s="40"/>
      <c r="OTR1434" s="40"/>
      <c r="OTS1434" s="40"/>
      <c r="OTT1434" s="40"/>
      <c r="OTU1434" s="40"/>
      <c r="OTV1434" s="40"/>
      <c r="OTW1434" s="40"/>
      <c r="OTX1434" s="40"/>
      <c r="OTY1434" s="40"/>
      <c r="OTZ1434" s="40"/>
      <c r="OUA1434" s="40"/>
      <c r="OUB1434" s="40"/>
      <c r="OUC1434" s="40"/>
      <c r="OUD1434" s="40"/>
      <c r="OUE1434" s="40"/>
      <c r="OUF1434" s="40"/>
      <c r="OUG1434" s="40"/>
      <c r="OUH1434" s="40"/>
      <c r="OUI1434" s="40"/>
      <c r="OUJ1434" s="40"/>
      <c r="OUK1434" s="40"/>
      <c r="OUL1434" s="40"/>
      <c r="OUM1434" s="40"/>
      <c r="OUN1434" s="40"/>
      <c r="OUO1434" s="40"/>
      <c r="OUP1434" s="40"/>
      <c r="OUQ1434" s="40"/>
      <c r="OUR1434" s="40"/>
      <c r="OUS1434" s="40"/>
      <c r="OUT1434" s="40"/>
      <c r="OUU1434" s="40"/>
      <c r="OUV1434" s="40"/>
      <c r="OUW1434" s="40"/>
      <c r="OUX1434" s="40"/>
      <c r="OUY1434" s="40"/>
      <c r="OUZ1434" s="40"/>
      <c r="OVA1434" s="40"/>
      <c r="OVB1434" s="40"/>
      <c r="OVC1434" s="40"/>
      <c r="OVD1434" s="40"/>
      <c r="OVE1434" s="40"/>
      <c r="OVF1434" s="40"/>
      <c r="OVG1434" s="40"/>
      <c r="OVH1434" s="40"/>
      <c r="OVI1434" s="40"/>
      <c r="OVJ1434" s="40"/>
      <c r="OVK1434" s="40"/>
      <c r="OVL1434" s="40"/>
      <c r="OVM1434" s="40"/>
      <c r="OVN1434" s="40"/>
      <c r="OVO1434" s="40"/>
      <c r="OVP1434" s="40"/>
      <c r="OVQ1434" s="40"/>
      <c r="OVR1434" s="40"/>
      <c r="OVS1434" s="40"/>
      <c r="OVT1434" s="40"/>
      <c r="OVU1434" s="40"/>
      <c r="OVV1434" s="40"/>
      <c r="OVW1434" s="40"/>
      <c r="OVX1434" s="40"/>
      <c r="OVY1434" s="40"/>
      <c r="OVZ1434" s="40"/>
      <c r="OWA1434" s="40"/>
      <c r="OWB1434" s="40"/>
      <c r="OWC1434" s="40"/>
      <c r="OWD1434" s="40"/>
      <c r="OWE1434" s="40"/>
      <c r="OWF1434" s="40"/>
      <c r="OWG1434" s="40"/>
      <c r="OWH1434" s="40"/>
      <c r="OWI1434" s="40"/>
      <c r="OWJ1434" s="40"/>
      <c r="OWK1434" s="40"/>
      <c r="OWL1434" s="40"/>
      <c r="OWM1434" s="40"/>
      <c r="OWN1434" s="40"/>
      <c r="OWO1434" s="40"/>
      <c r="OWP1434" s="40"/>
      <c r="OWQ1434" s="40"/>
      <c r="OWR1434" s="40"/>
      <c r="OWS1434" s="40"/>
      <c r="OWT1434" s="40"/>
      <c r="OWU1434" s="40"/>
      <c r="OWV1434" s="40"/>
      <c r="OWW1434" s="40"/>
      <c r="OWX1434" s="40"/>
      <c r="OWY1434" s="40"/>
      <c r="OWZ1434" s="40"/>
      <c r="OXA1434" s="40"/>
      <c r="OXB1434" s="40"/>
      <c r="OXC1434" s="40"/>
      <c r="OXD1434" s="40"/>
      <c r="OXE1434" s="40"/>
      <c r="OXF1434" s="40"/>
      <c r="OXG1434" s="40"/>
      <c r="OXH1434" s="40"/>
      <c r="OXI1434" s="40"/>
      <c r="OXJ1434" s="40"/>
      <c r="OXK1434" s="40"/>
      <c r="OXL1434" s="40"/>
      <c r="OXM1434" s="40"/>
      <c r="OXN1434" s="40"/>
      <c r="OXO1434" s="40"/>
      <c r="OXP1434" s="40"/>
      <c r="OXQ1434" s="40"/>
      <c r="OXR1434" s="40"/>
      <c r="OXS1434" s="40"/>
      <c r="OXT1434" s="40"/>
      <c r="OXU1434" s="40"/>
      <c r="OXV1434" s="40"/>
      <c r="OXW1434" s="40"/>
      <c r="OXX1434" s="40"/>
      <c r="OXY1434" s="40"/>
      <c r="OXZ1434" s="40"/>
      <c r="OYA1434" s="40"/>
      <c r="OYB1434" s="40"/>
      <c r="OYC1434" s="40"/>
      <c r="OYD1434" s="40"/>
      <c r="OYE1434" s="40"/>
      <c r="OYF1434" s="40"/>
      <c r="OYG1434" s="40"/>
      <c r="OYH1434" s="40"/>
      <c r="OYI1434" s="40"/>
      <c r="OYJ1434" s="40"/>
      <c r="OYK1434" s="40"/>
      <c r="OYL1434" s="40"/>
      <c r="OYM1434" s="40"/>
      <c r="OYN1434" s="40"/>
      <c r="OYO1434" s="40"/>
      <c r="OYP1434" s="40"/>
      <c r="OYQ1434" s="40"/>
      <c r="OYR1434" s="40"/>
      <c r="OYS1434" s="40"/>
      <c r="OYT1434" s="40"/>
      <c r="OYU1434" s="40"/>
      <c r="OYV1434" s="40"/>
      <c r="OYW1434" s="40"/>
      <c r="OYX1434" s="40"/>
      <c r="OYY1434" s="40"/>
      <c r="OYZ1434" s="40"/>
      <c r="OZA1434" s="40"/>
      <c r="OZB1434" s="40"/>
      <c r="OZC1434" s="40"/>
      <c r="OZD1434" s="40"/>
      <c r="OZE1434" s="40"/>
      <c r="OZF1434" s="40"/>
      <c r="OZG1434" s="40"/>
      <c r="OZH1434" s="40"/>
      <c r="OZI1434" s="40"/>
      <c r="OZJ1434" s="40"/>
      <c r="OZK1434" s="40"/>
      <c r="OZL1434" s="40"/>
      <c r="OZM1434" s="40"/>
      <c r="OZN1434" s="40"/>
      <c r="OZO1434" s="40"/>
      <c r="OZP1434" s="40"/>
      <c r="OZQ1434" s="40"/>
      <c r="OZR1434" s="40"/>
      <c r="OZS1434" s="40"/>
      <c r="OZT1434" s="40"/>
      <c r="OZU1434" s="40"/>
      <c r="OZV1434" s="40"/>
      <c r="OZW1434" s="40"/>
      <c r="OZX1434" s="40"/>
      <c r="OZY1434" s="40"/>
      <c r="OZZ1434" s="40"/>
      <c r="PAA1434" s="40"/>
      <c r="PAB1434" s="40"/>
      <c r="PAC1434" s="40"/>
      <c r="PAD1434" s="40"/>
      <c r="PAE1434" s="40"/>
      <c r="PAF1434" s="40"/>
      <c r="PAG1434" s="40"/>
      <c r="PAH1434" s="40"/>
      <c r="PAI1434" s="40"/>
      <c r="PAJ1434" s="40"/>
      <c r="PAK1434" s="40"/>
      <c r="PAL1434" s="40"/>
      <c r="PAM1434" s="40"/>
      <c r="PAN1434" s="40"/>
      <c r="PAO1434" s="40"/>
      <c r="PAP1434" s="40"/>
      <c r="PAQ1434" s="40"/>
      <c r="PAR1434" s="40"/>
      <c r="PAS1434" s="40"/>
      <c r="PAT1434" s="40"/>
      <c r="PAU1434" s="40"/>
      <c r="PAV1434" s="40"/>
      <c r="PAW1434" s="40"/>
      <c r="PAX1434" s="40"/>
      <c r="PAY1434" s="40"/>
      <c r="PAZ1434" s="40"/>
      <c r="PBA1434" s="40"/>
      <c r="PBB1434" s="40"/>
      <c r="PBC1434" s="40"/>
      <c r="PBD1434" s="40"/>
      <c r="PBE1434" s="40"/>
      <c r="PBF1434" s="40"/>
      <c r="PBG1434" s="40"/>
      <c r="PBH1434" s="40"/>
      <c r="PBI1434" s="40"/>
      <c r="PBJ1434" s="40"/>
      <c r="PBK1434" s="40"/>
      <c r="PBL1434" s="40"/>
      <c r="PBM1434" s="40"/>
      <c r="PBN1434" s="40"/>
      <c r="PBO1434" s="40"/>
      <c r="PBP1434" s="40"/>
      <c r="PBQ1434" s="40"/>
      <c r="PBR1434" s="40"/>
      <c r="PBS1434" s="40"/>
      <c r="PBT1434" s="40"/>
      <c r="PBU1434" s="40"/>
      <c r="PBV1434" s="40"/>
      <c r="PBW1434" s="40"/>
      <c r="PBX1434" s="40"/>
      <c r="PBY1434" s="40"/>
      <c r="PBZ1434" s="40"/>
      <c r="PCA1434" s="40"/>
      <c r="PCB1434" s="40"/>
      <c r="PCC1434" s="40"/>
      <c r="PCD1434" s="40"/>
      <c r="PCE1434" s="40"/>
      <c r="PCF1434" s="40"/>
      <c r="PCG1434" s="40"/>
      <c r="PCH1434" s="40"/>
      <c r="PCI1434" s="40"/>
      <c r="PCJ1434" s="40"/>
      <c r="PCK1434" s="40"/>
      <c r="PCL1434" s="40"/>
      <c r="PCM1434" s="40"/>
      <c r="PCN1434" s="40"/>
      <c r="PCO1434" s="40"/>
      <c r="PCP1434" s="40"/>
      <c r="PCQ1434" s="40"/>
      <c r="PCR1434" s="40"/>
      <c r="PCS1434" s="40"/>
      <c r="PCT1434" s="40"/>
      <c r="PCU1434" s="40"/>
      <c r="PCV1434" s="40"/>
      <c r="PCW1434" s="40"/>
      <c r="PCX1434" s="40"/>
      <c r="PCY1434" s="40"/>
      <c r="PCZ1434" s="40"/>
      <c r="PDA1434" s="40"/>
      <c r="PDB1434" s="40"/>
      <c r="PDC1434" s="40"/>
      <c r="PDD1434" s="40"/>
      <c r="PDE1434" s="40"/>
      <c r="PDF1434" s="40"/>
      <c r="PDG1434" s="40"/>
      <c r="PDH1434" s="40"/>
      <c r="PDI1434" s="40"/>
      <c r="PDJ1434" s="40"/>
      <c r="PDK1434" s="40"/>
      <c r="PDL1434" s="40"/>
      <c r="PDM1434" s="40"/>
      <c r="PDN1434" s="40"/>
      <c r="PDO1434" s="40"/>
      <c r="PDP1434" s="40"/>
      <c r="PDQ1434" s="40"/>
      <c r="PDR1434" s="40"/>
      <c r="PDS1434" s="40"/>
      <c r="PDT1434" s="40"/>
      <c r="PDU1434" s="40"/>
      <c r="PDV1434" s="40"/>
      <c r="PDW1434" s="40"/>
      <c r="PDX1434" s="40"/>
      <c r="PDY1434" s="40"/>
      <c r="PDZ1434" s="40"/>
      <c r="PEA1434" s="40"/>
      <c r="PEB1434" s="40"/>
      <c r="PEC1434" s="40"/>
      <c r="PED1434" s="40"/>
      <c r="PEE1434" s="40"/>
      <c r="PEF1434" s="40"/>
      <c r="PEG1434" s="40"/>
      <c r="PEH1434" s="40"/>
      <c r="PEI1434" s="40"/>
      <c r="PEJ1434" s="40"/>
      <c r="PEK1434" s="40"/>
      <c r="PEL1434" s="40"/>
      <c r="PEM1434" s="40"/>
      <c r="PEN1434" s="40"/>
      <c r="PEO1434" s="40"/>
      <c r="PEP1434" s="40"/>
      <c r="PEQ1434" s="40"/>
      <c r="PER1434" s="40"/>
      <c r="PES1434" s="40"/>
      <c r="PET1434" s="40"/>
      <c r="PEU1434" s="40"/>
      <c r="PEV1434" s="40"/>
      <c r="PEW1434" s="40"/>
      <c r="PEX1434" s="40"/>
      <c r="PEY1434" s="40"/>
      <c r="PEZ1434" s="40"/>
      <c r="PFA1434" s="40"/>
      <c r="PFB1434" s="40"/>
      <c r="PFC1434" s="40"/>
      <c r="PFD1434" s="40"/>
      <c r="PFE1434" s="40"/>
      <c r="PFF1434" s="40"/>
      <c r="PFG1434" s="40"/>
      <c r="PFH1434" s="40"/>
      <c r="PFI1434" s="40"/>
      <c r="PFJ1434" s="40"/>
      <c r="PFK1434" s="40"/>
      <c r="PFL1434" s="40"/>
      <c r="PFM1434" s="40"/>
      <c r="PFN1434" s="40"/>
      <c r="PFO1434" s="40"/>
      <c r="PFP1434" s="40"/>
      <c r="PFQ1434" s="40"/>
      <c r="PFR1434" s="40"/>
      <c r="PFS1434" s="40"/>
      <c r="PFT1434" s="40"/>
      <c r="PFU1434" s="40"/>
      <c r="PFV1434" s="40"/>
      <c r="PFW1434" s="40"/>
      <c r="PFX1434" s="40"/>
      <c r="PFY1434" s="40"/>
      <c r="PFZ1434" s="40"/>
      <c r="PGA1434" s="40"/>
      <c r="PGB1434" s="40"/>
      <c r="PGC1434" s="40"/>
      <c r="PGD1434" s="40"/>
      <c r="PGE1434" s="40"/>
      <c r="PGF1434" s="40"/>
      <c r="PGG1434" s="40"/>
      <c r="PGH1434" s="40"/>
      <c r="PGI1434" s="40"/>
      <c r="PGJ1434" s="40"/>
      <c r="PGK1434" s="40"/>
      <c r="PGL1434" s="40"/>
      <c r="PGM1434" s="40"/>
      <c r="PGN1434" s="40"/>
      <c r="PGO1434" s="40"/>
      <c r="PGP1434" s="40"/>
      <c r="PGQ1434" s="40"/>
      <c r="PGR1434" s="40"/>
      <c r="PGS1434" s="40"/>
      <c r="PGT1434" s="40"/>
      <c r="PGU1434" s="40"/>
      <c r="PGV1434" s="40"/>
      <c r="PGW1434" s="40"/>
      <c r="PGX1434" s="40"/>
      <c r="PGY1434" s="40"/>
      <c r="PGZ1434" s="40"/>
      <c r="PHA1434" s="40"/>
      <c r="PHB1434" s="40"/>
      <c r="PHC1434" s="40"/>
      <c r="PHD1434" s="40"/>
      <c r="PHE1434" s="40"/>
      <c r="PHF1434" s="40"/>
      <c r="PHG1434" s="40"/>
      <c r="PHH1434" s="40"/>
      <c r="PHI1434" s="40"/>
      <c r="PHJ1434" s="40"/>
      <c r="PHK1434" s="40"/>
      <c r="PHL1434" s="40"/>
      <c r="PHM1434" s="40"/>
      <c r="PHN1434" s="40"/>
      <c r="PHO1434" s="40"/>
      <c r="PHP1434" s="40"/>
      <c r="PHQ1434" s="40"/>
      <c r="PHR1434" s="40"/>
      <c r="PHS1434" s="40"/>
      <c r="PHT1434" s="40"/>
      <c r="PHU1434" s="40"/>
      <c r="PHV1434" s="40"/>
      <c r="PHW1434" s="40"/>
      <c r="PHX1434" s="40"/>
      <c r="PHY1434" s="40"/>
      <c r="PHZ1434" s="40"/>
      <c r="PIA1434" s="40"/>
      <c r="PIB1434" s="40"/>
      <c r="PIC1434" s="40"/>
      <c r="PID1434" s="40"/>
      <c r="PIE1434" s="40"/>
      <c r="PIF1434" s="40"/>
      <c r="PIG1434" s="40"/>
      <c r="PIH1434" s="40"/>
      <c r="PII1434" s="40"/>
      <c r="PIJ1434" s="40"/>
      <c r="PIK1434" s="40"/>
      <c r="PIL1434" s="40"/>
      <c r="PIM1434" s="40"/>
      <c r="PIN1434" s="40"/>
      <c r="PIO1434" s="40"/>
      <c r="PIP1434" s="40"/>
      <c r="PIQ1434" s="40"/>
      <c r="PIR1434" s="40"/>
      <c r="PIS1434" s="40"/>
      <c r="PIT1434" s="40"/>
      <c r="PIU1434" s="40"/>
      <c r="PIV1434" s="40"/>
      <c r="PIW1434" s="40"/>
      <c r="PIX1434" s="40"/>
      <c r="PIY1434" s="40"/>
      <c r="PIZ1434" s="40"/>
      <c r="PJA1434" s="40"/>
      <c r="PJB1434" s="40"/>
      <c r="PJC1434" s="40"/>
      <c r="PJD1434" s="40"/>
      <c r="PJE1434" s="40"/>
      <c r="PJF1434" s="40"/>
      <c r="PJG1434" s="40"/>
      <c r="PJH1434" s="40"/>
      <c r="PJI1434" s="40"/>
      <c r="PJJ1434" s="40"/>
      <c r="PJK1434" s="40"/>
      <c r="PJL1434" s="40"/>
      <c r="PJM1434" s="40"/>
      <c r="PJN1434" s="40"/>
      <c r="PJO1434" s="40"/>
      <c r="PJP1434" s="40"/>
      <c r="PJQ1434" s="40"/>
      <c r="PJR1434" s="40"/>
      <c r="PJS1434" s="40"/>
      <c r="PJT1434" s="40"/>
      <c r="PJU1434" s="40"/>
      <c r="PJV1434" s="40"/>
      <c r="PJW1434" s="40"/>
      <c r="PJX1434" s="40"/>
      <c r="PJY1434" s="40"/>
      <c r="PJZ1434" s="40"/>
      <c r="PKA1434" s="40"/>
      <c r="PKB1434" s="40"/>
      <c r="PKC1434" s="40"/>
      <c r="PKD1434" s="40"/>
      <c r="PKE1434" s="40"/>
      <c r="PKF1434" s="40"/>
      <c r="PKG1434" s="40"/>
      <c r="PKH1434" s="40"/>
      <c r="PKI1434" s="40"/>
      <c r="PKJ1434" s="40"/>
      <c r="PKK1434" s="40"/>
      <c r="PKL1434" s="40"/>
      <c r="PKM1434" s="40"/>
      <c r="PKN1434" s="40"/>
      <c r="PKO1434" s="40"/>
      <c r="PKP1434" s="40"/>
      <c r="PKQ1434" s="40"/>
      <c r="PKR1434" s="40"/>
      <c r="PKS1434" s="40"/>
      <c r="PKT1434" s="40"/>
      <c r="PKU1434" s="40"/>
      <c r="PKV1434" s="40"/>
      <c r="PKW1434" s="40"/>
      <c r="PKX1434" s="40"/>
      <c r="PKY1434" s="40"/>
      <c r="PKZ1434" s="40"/>
      <c r="PLA1434" s="40"/>
      <c r="PLB1434" s="40"/>
      <c r="PLC1434" s="40"/>
      <c r="PLD1434" s="40"/>
      <c r="PLE1434" s="40"/>
      <c r="PLF1434" s="40"/>
      <c r="PLG1434" s="40"/>
      <c r="PLH1434" s="40"/>
      <c r="PLI1434" s="40"/>
      <c r="PLJ1434" s="40"/>
      <c r="PLK1434" s="40"/>
      <c r="PLL1434" s="40"/>
      <c r="PLM1434" s="40"/>
      <c r="PLN1434" s="40"/>
      <c r="PLO1434" s="40"/>
      <c r="PLP1434" s="40"/>
      <c r="PLQ1434" s="40"/>
      <c r="PLR1434" s="40"/>
      <c r="PLS1434" s="40"/>
      <c r="PLT1434" s="40"/>
      <c r="PLU1434" s="40"/>
      <c r="PLV1434" s="40"/>
      <c r="PLW1434" s="40"/>
      <c r="PLX1434" s="40"/>
      <c r="PLY1434" s="40"/>
      <c r="PLZ1434" s="40"/>
      <c r="PMA1434" s="40"/>
      <c r="PMB1434" s="40"/>
      <c r="PMC1434" s="40"/>
      <c r="PMD1434" s="40"/>
      <c r="PME1434" s="40"/>
      <c r="PMF1434" s="40"/>
      <c r="PMG1434" s="40"/>
      <c r="PMH1434" s="40"/>
      <c r="PMI1434" s="40"/>
      <c r="PMJ1434" s="40"/>
      <c r="PMK1434" s="40"/>
      <c r="PML1434" s="40"/>
      <c r="PMM1434" s="40"/>
      <c r="PMN1434" s="40"/>
      <c r="PMO1434" s="40"/>
      <c r="PMP1434" s="40"/>
      <c r="PMQ1434" s="40"/>
      <c r="PMR1434" s="40"/>
      <c r="PMS1434" s="40"/>
      <c r="PMT1434" s="40"/>
      <c r="PMU1434" s="40"/>
      <c r="PMV1434" s="40"/>
      <c r="PMW1434" s="40"/>
      <c r="PMX1434" s="40"/>
      <c r="PMY1434" s="40"/>
      <c r="PMZ1434" s="40"/>
      <c r="PNA1434" s="40"/>
      <c r="PNB1434" s="40"/>
      <c r="PNC1434" s="40"/>
      <c r="PND1434" s="40"/>
      <c r="PNE1434" s="40"/>
      <c r="PNF1434" s="40"/>
      <c r="PNG1434" s="40"/>
      <c r="PNH1434" s="40"/>
      <c r="PNI1434" s="40"/>
      <c r="PNJ1434" s="40"/>
      <c r="PNK1434" s="40"/>
      <c r="PNL1434" s="40"/>
      <c r="PNM1434" s="40"/>
      <c r="PNN1434" s="40"/>
      <c r="PNO1434" s="40"/>
      <c r="PNP1434" s="40"/>
      <c r="PNQ1434" s="40"/>
      <c r="PNR1434" s="40"/>
      <c r="PNS1434" s="40"/>
      <c r="PNT1434" s="40"/>
      <c r="PNU1434" s="40"/>
      <c r="PNV1434" s="40"/>
      <c r="PNW1434" s="40"/>
      <c r="PNX1434" s="40"/>
      <c r="PNY1434" s="40"/>
      <c r="PNZ1434" s="40"/>
      <c r="POA1434" s="40"/>
      <c r="POB1434" s="40"/>
      <c r="POC1434" s="40"/>
      <c r="POD1434" s="40"/>
      <c r="POE1434" s="40"/>
      <c r="POF1434" s="40"/>
      <c r="POG1434" s="40"/>
      <c r="POH1434" s="40"/>
      <c r="POI1434" s="40"/>
      <c r="POJ1434" s="40"/>
      <c r="POK1434" s="40"/>
      <c r="POL1434" s="40"/>
      <c r="POM1434" s="40"/>
      <c r="PON1434" s="40"/>
      <c r="POO1434" s="40"/>
      <c r="POP1434" s="40"/>
      <c r="POQ1434" s="40"/>
      <c r="POR1434" s="40"/>
      <c r="POS1434" s="40"/>
      <c r="POT1434" s="40"/>
      <c r="POU1434" s="40"/>
      <c r="POV1434" s="40"/>
      <c r="POW1434" s="40"/>
      <c r="POX1434" s="40"/>
      <c r="POY1434" s="40"/>
      <c r="POZ1434" s="40"/>
      <c r="PPA1434" s="40"/>
      <c r="PPB1434" s="40"/>
      <c r="PPC1434" s="40"/>
      <c r="PPD1434" s="40"/>
      <c r="PPE1434" s="40"/>
      <c r="PPF1434" s="40"/>
      <c r="PPG1434" s="40"/>
      <c r="PPH1434" s="40"/>
      <c r="PPI1434" s="40"/>
      <c r="PPJ1434" s="40"/>
      <c r="PPK1434" s="40"/>
      <c r="PPL1434" s="40"/>
      <c r="PPM1434" s="40"/>
      <c r="PPN1434" s="40"/>
      <c r="PPO1434" s="40"/>
      <c r="PPP1434" s="40"/>
      <c r="PPQ1434" s="40"/>
      <c r="PPR1434" s="40"/>
      <c r="PPS1434" s="40"/>
      <c r="PPT1434" s="40"/>
      <c r="PPU1434" s="40"/>
      <c r="PPV1434" s="40"/>
      <c r="PPW1434" s="40"/>
      <c r="PPX1434" s="40"/>
      <c r="PPY1434" s="40"/>
      <c r="PPZ1434" s="40"/>
      <c r="PQA1434" s="40"/>
      <c r="PQB1434" s="40"/>
      <c r="PQC1434" s="40"/>
      <c r="PQD1434" s="40"/>
      <c r="PQE1434" s="40"/>
      <c r="PQF1434" s="40"/>
      <c r="PQG1434" s="40"/>
      <c r="PQH1434" s="40"/>
      <c r="PQI1434" s="40"/>
      <c r="PQJ1434" s="40"/>
      <c r="PQK1434" s="40"/>
      <c r="PQL1434" s="40"/>
      <c r="PQM1434" s="40"/>
      <c r="PQN1434" s="40"/>
      <c r="PQO1434" s="40"/>
      <c r="PQP1434" s="40"/>
      <c r="PQQ1434" s="40"/>
      <c r="PQR1434" s="40"/>
      <c r="PQS1434" s="40"/>
      <c r="PQT1434" s="40"/>
      <c r="PQU1434" s="40"/>
      <c r="PQV1434" s="40"/>
      <c r="PQW1434" s="40"/>
      <c r="PQX1434" s="40"/>
      <c r="PQY1434" s="40"/>
      <c r="PQZ1434" s="40"/>
      <c r="PRA1434" s="40"/>
      <c r="PRB1434" s="40"/>
      <c r="PRC1434" s="40"/>
      <c r="PRD1434" s="40"/>
      <c r="PRE1434" s="40"/>
      <c r="PRF1434" s="40"/>
      <c r="PRG1434" s="40"/>
      <c r="PRH1434" s="40"/>
      <c r="PRI1434" s="40"/>
      <c r="PRJ1434" s="40"/>
      <c r="PRK1434" s="40"/>
      <c r="PRL1434" s="40"/>
      <c r="PRM1434" s="40"/>
      <c r="PRN1434" s="40"/>
      <c r="PRO1434" s="40"/>
      <c r="PRP1434" s="40"/>
      <c r="PRQ1434" s="40"/>
      <c r="PRR1434" s="40"/>
      <c r="PRS1434" s="40"/>
      <c r="PRT1434" s="40"/>
      <c r="PRU1434" s="40"/>
      <c r="PRV1434" s="40"/>
      <c r="PRW1434" s="40"/>
      <c r="PRX1434" s="40"/>
      <c r="PRY1434" s="40"/>
      <c r="PRZ1434" s="40"/>
      <c r="PSA1434" s="40"/>
      <c r="PSB1434" s="40"/>
      <c r="PSC1434" s="40"/>
      <c r="PSD1434" s="40"/>
      <c r="PSE1434" s="40"/>
      <c r="PSF1434" s="40"/>
      <c r="PSG1434" s="40"/>
      <c r="PSH1434" s="40"/>
      <c r="PSI1434" s="40"/>
      <c r="PSJ1434" s="40"/>
      <c r="PSK1434" s="40"/>
      <c r="PSL1434" s="40"/>
      <c r="PSM1434" s="40"/>
      <c r="PSN1434" s="40"/>
      <c r="PSO1434" s="40"/>
      <c r="PSP1434" s="40"/>
      <c r="PSQ1434" s="40"/>
      <c r="PSR1434" s="40"/>
      <c r="PSS1434" s="40"/>
      <c r="PST1434" s="40"/>
      <c r="PSU1434" s="40"/>
      <c r="PSV1434" s="40"/>
      <c r="PSW1434" s="40"/>
      <c r="PSX1434" s="40"/>
      <c r="PSY1434" s="40"/>
      <c r="PSZ1434" s="40"/>
      <c r="PTA1434" s="40"/>
      <c r="PTB1434" s="40"/>
      <c r="PTC1434" s="40"/>
      <c r="PTD1434" s="40"/>
      <c r="PTE1434" s="40"/>
      <c r="PTF1434" s="40"/>
      <c r="PTG1434" s="40"/>
      <c r="PTH1434" s="40"/>
      <c r="PTI1434" s="40"/>
      <c r="PTJ1434" s="40"/>
      <c r="PTK1434" s="40"/>
      <c r="PTL1434" s="40"/>
      <c r="PTM1434" s="40"/>
      <c r="PTN1434" s="40"/>
      <c r="PTO1434" s="40"/>
      <c r="PTP1434" s="40"/>
      <c r="PTQ1434" s="40"/>
      <c r="PTR1434" s="40"/>
      <c r="PTS1434" s="40"/>
      <c r="PTT1434" s="40"/>
      <c r="PTU1434" s="40"/>
      <c r="PTV1434" s="40"/>
      <c r="PTW1434" s="40"/>
      <c r="PTX1434" s="40"/>
      <c r="PTY1434" s="40"/>
      <c r="PTZ1434" s="40"/>
      <c r="PUA1434" s="40"/>
      <c r="PUB1434" s="40"/>
      <c r="PUC1434" s="40"/>
      <c r="PUD1434" s="40"/>
      <c r="PUE1434" s="40"/>
      <c r="PUF1434" s="40"/>
      <c r="PUG1434" s="40"/>
      <c r="PUH1434" s="40"/>
      <c r="PUI1434" s="40"/>
      <c r="PUJ1434" s="40"/>
      <c r="PUK1434" s="40"/>
      <c r="PUL1434" s="40"/>
      <c r="PUM1434" s="40"/>
      <c r="PUN1434" s="40"/>
      <c r="PUO1434" s="40"/>
      <c r="PUP1434" s="40"/>
      <c r="PUQ1434" s="40"/>
      <c r="PUR1434" s="40"/>
      <c r="PUS1434" s="40"/>
      <c r="PUT1434" s="40"/>
      <c r="PUU1434" s="40"/>
      <c r="PUV1434" s="40"/>
      <c r="PUW1434" s="40"/>
      <c r="PUX1434" s="40"/>
      <c r="PUY1434" s="40"/>
      <c r="PUZ1434" s="40"/>
      <c r="PVA1434" s="40"/>
      <c r="PVB1434" s="40"/>
      <c r="PVC1434" s="40"/>
      <c r="PVD1434" s="40"/>
      <c r="PVE1434" s="40"/>
      <c r="PVF1434" s="40"/>
      <c r="PVG1434" s="40"/>
      <c r="PVH1434" s="40"/>
      <c r="PVI1434" s="40"/>
      <c r="PVJ1434" s="40"/>
      <c r="PVK1434" s="40"/>
      <c r="PVL1434" s="40"/>
      <c r="PVM1434" s="40"/>
      <c r="PVN1434" s="40"/>
      <c r="PVO1434" s="40"/>
      <c r="PVP1434" s="40"/>
      <c r="PVQ1434" s="40"/>
      <c r="PVR1434" s="40"/>
      <c r="PVS1434" s="40"/>
      <c r="PVT1434" s="40"/>
      <c r="PVU1434" s="40"/>
      <c r="PVV1434" s="40"/>
      <c r="PVW1434" s="40"/>
      <c r="PVX1434" s="40"/>
      <c r="PVY1434" s="40"/>
      <c r="PVZ1434" s="40"/>
      <c r="PWA1434" s="40"/>
      <c r="PWB1434" s="40"/>
      <c r="PWC1434" s="40"/>
      <c r="PWD1434" s="40"/>
      <c r="PWE1434" s="40"/>
      <c r="PWF1434" s="40"/>
      <c r="PWG1434" s="40"/>
      <c r="PWH1434" s="40"/>
      <c r="PWI1434" s="40"/>
      <c r="PWJ1434" s="40"/>
      <c r="PWK1434" s="40"/>
      <c r="PWL1434" s="40"/>
      <c r="PWM1434" s="40"/>
      <c r="PWN1434" s="40"/>
      <c r="PWO1434" s="40"/>
      <c r="PWP1434" s="40"/>
      <c r="PWQ1434" s="40"/>
      <c r="PWR1434" s="40"/>
      <c r="PWS1434" s="40"/>
      <c r="PWT1434" s="40"/>
      <c r="PWU1434" s="40"/>
      <c r="PWV1434" s="40"/>
      <c r="PWW1434" s="40"/>
      <c r="PWX1434" s="40"/>
      <c r="PWY1434" s="40"/>
      <c r="PWZ1434" s="40"/>
      <c r="PXA1434" s="40"/>
      <c r="PXB1434" s="40"/>
      <c r="PXC1434" s="40"/>
      <c r="PXD1434" s="40"/>
      <c r="PXE1434" s="40"/>
      <c r="PXF1434" s="40"/>
      <c r="PXG1434" s="40"/>
      <c r="PXH1434" s="40"/>
      <c r="PXI1434" s="40"/>
      <c r="PXJ1434" s="40"/>
      <c r="PXK1434" s="40"/>
      <c r="PXL1434" s="40"/>
      <c r="PXM1434" s="40"/>
      <c r="PXN1434" s="40"/>
      <c r="PXO1434" s="40"/>
      <c r="PXP1434" s="40"/>
      <c r="PXQ1434" s="40"/>
      <c r="PXR1434" s="40"/>
      <c r="PXS1434" s="40"/>
      <c r="PXT1434" s="40"/>
      <c r="PXU1434" s="40"/>
      <c r="PXV1434" s="40"/>
      <c r="PXW1434" s="40"/>
      <c r="PXX1434" s="40"/>
      <c r="PXY1434" s="40"/>
      <c r="PXZ1434" s="40"/>
      <c r="PYA1434" s="40"/>
      <c r="PYB1434" s="40"/>
      <c r="PYC1434" s="40"/>
      <c r="PYD1434" s="40"/>
      <c r="PYE1434" s="40"/>
      <c r="PYF1434" s="40"/>
      <c r="PYG1434" s="40"/>
      <c r="PYH1434" s="40"/>
      <c r="PYI1434" s="40"/>
      <c r="PYJ1434" s="40"/>
      <c r="PYK1434" s="40"/>
      <c r="PYL1434" s="40"/>
      <c r="PYM1434" s="40"/>
      <c r="PYN1434" s="40"/>
      <c r="PYO1434" s="40"/>
      <c r="PYP1434" s="40"/>
      <c r="PYQ1434" s="40"/>
      <c r="PYR1434" s="40"/>
      <c r="PYS1434" s="40"/>
      <c r="PYT1434" s="40"/>
      <c r="PYU1434" s="40"/>
      <c r="PYV1434" s="40"/>
      <c r="PYW1434" s="40"/>
      <c r="PYX1434" s="40"/>
      <c r="PYY1434" s="40"/>
      <c r="PYZ1434" s="40"/>
      <c r="PZA1434" s="40"/>
      <c r="PZB1434" s="40"/>
      <c r="PZC1434" s="40"/>
      <c r="PZD1434" s="40"/>
      <c r="PZE1434" s="40"/>
      <c r="PZF1434" s="40"/>
      <c r="PZG1434" s="40"/>
      <c r="PZH1434" s="40"/>
      <c r="PZI1434" s="40"/>
      <c r="PZJ1434" s="40"/>
      <c r="PZK1434" s="40"/>
      <c r="PZL1434" s="40"/>
      <c r="PZM1434" s="40"/>
      <c r="PZN1434" s="40"/>
      <c r="PZO1434" s="40"/>
      <c r="PZP1434" s="40"/>
      <c r="PZQ1434" s="40"/>
      <c r="PZR1434" s="40"/>
      <c r="PZS1434" s="40"/>
      <c r="PZT1434" s="40"/>
      <c r="PZU1434" s="40"/>
      <c r="PZV1434" s="40"/>
      <c r="PZW1434" s="40"/>
      <c r="PZX1434" s="40"/>
      <c r="PZY1434" s="40"/>
      <c r="PZZ1434" s="40"/>
      <c r="QAA1434" s="40"/>
      <c r="QAB1434" s="40"/>
      <c r="QAC1434" s="40"/>
      <c r="QAD1434" s="40"/>
      <c r="QAE1434" s="40"/>
      <c r="QAF1434" s="40"/>
      <c r="QAG1434" s="40"/>
      <c r="QAH1434" s="40"/>
      <c r="QAI1434" s="40"/>
      <c r="QAJ1434" s="40"/>
      <c r="QAK1434" s="40"/>
      <c r="QAL1434" s="40"/>
      <c r="QAM1434" s="40"/>
      <c r="QAN1434" s="40"/>
      <c r="QAO1434" s="40"/>
      <c r="QAP1434" s="40"/>
      <c r="QAQ1434" s="40"/>
      <c r="QAR1434" s="40"/>
      <c r="QAS1434" s="40"/>
      <c r="QAT1434" s="40"/>
      <c r="QAU1434" s="40"/>
      <c r="QAV1434" s="40"/>
      <c r="QAW1434" s="40"/>
      <c r="QAX1434" s="40"/>
      <c r="QAY1434" s="40"/>
      <c r="QAZ1434" s="40"/>
      <c r="QBA1434" s="40"/>
      <c r="QBB1434" s="40"/>
      <c r="QBC1434" s="40"/>
      <c r="QBD1434" s="40"/>
      <c r="QBE1434" s="40"/>
      <c r="QBF1434" s="40"/>
      <c r="QBG1434" s="40"/>
      <c r="QBH1434" s="40"/>
      <c r="QBI1434" s="40"/>
      <c r="QBJ1434" s="40"/>
      <c r="QBK1434" s="40"/>
      <c r="QBL1434" s="40"/>
      <c r="QBM1434" s="40"/>
      <c r="QBN1434" s="40"/>
      <c r="QBO1434" s="40"/>
      <c r="QBP1434" s="40"/>
      <c r="QBQ1434" s="40"/>
      <c r="QBR1434" s="40"/>
      <c r="QBS1434" s="40"/>
      <c r="QBT1434" s="40"/>
      <c r="QBU1434" s="40"/>
      <c r="QBV1434" s="40"/>
      <c r="QBW1434" s="40"/>
      <c r="QBX1434" s="40"/>
      <c r="QBY1434" s="40"/>
      <c r="QBZ1434" s="40"/>
      <c r="QCA1434" s="40"/>
      <c r="QCB1434" s="40"/>
      <c r="QCC1434" s="40"/>
      <c r="QCD1434" s="40"/>
      <c r="QCE1434" s="40"/>
      <c r="QCF1434" s="40"/>
      <c r="QCG1434" s="40"/>
      <c r="QCH1434" s="40"/>
      <c r="QCI1434" s="40"/>
      <c r="QCJ1434" s="40"/>
      <c r="QCK1434" s="40"/>
      <c r="QCL1434" s="40"/>
      <c r="QCM1434" s="40"/>
      <c r="QCN1434" s="40"/>
      <c r="QCO1434" s="40"/>
      <c r="QCP1434" s="40"/>
      <c r="QCQ1434" s="40"/>
      <c r="QCR1434" s="40"/>
      <c r="QCS1434" s="40"/>
      <c r="QCT1434" s="40"/>
      <c r="QCU1434" s="40"/>
      <c r="QCV1434" s="40"/>
      <c r="QCW1434" s="40"/>
      <c r="QCX1434" s="40"/>
      <c r="QCY1434" s="40"/>
      <c r="QCZ1434" s="40"/>
      <c r="QDA1434" s="40"/>
      <c r="QDB1434" s="40"/>
      <c r="QDC1434" s="40"/>
      <c r="QDD1434" s="40"/>
      <c r="QDE1434" s="40"/>
      <c r="QDF1434" s="40"/>
      <c r="QDG1434" s="40"/>
      <c r="QDH1434" s="40"/>
      <c r="QDI1434" s="40"/>
      <c r="QDJ1434" s="40"/>
      <c r="QDK1434" s="40"/>
      <c r="QDL1434" s="40"/>
      <c r="QDM1434" s="40"/>
      <c r="QDN1434" s="40"/>
      <c r="QDO1434" s="40"/>
      <c r="QDP1434" s="40"/>
      <c r="QDQ1434" s="40"/>
      <c r="QDR1434" s="40"/>
      <c r="QDS1434" s="40"/>
      <c r="QDT1434" s="40"/>
      <c r="QDU1434" s="40"/>
      <c r="QDV1434" s="40"/>
      <c r="QDW1434" s="40"/>
      <c r="QDX1434" s="40"/>
      <c r="QDY1434" s="40"/>
      <c r="QDZ1434" s="40"/>
      <c r="QEA1434" s="40"/>
      <c r="QEB1434" s="40"/>
      <c r="QEC1434" s="40"/>
      <c r="QED1434" s="40"/>
      <c r="QEE1434" s="40"/>
      <c r="QEF1434" s="40"/>
      <c r="QEG1434" s="40"/>
      <c r="QEH1434" s="40"/>
      <c r="QEI1434" s="40"/>
      <c r="QEJ1434" s="40"/>
      <c r="QEK1434" s="40"/>
      <c r="QEL1434" s="40"/>
      <c r="QEM1434" s="40"/>
      <c r="QEN1434" s="40"/>
      <c r="QEO1434" s="40"/>
      <c r="QEP1434" s="40"/>
      <c r="QEQ1434" s="40"/>
      <c r="QER1434" s="40"/>
      <c r="QES1434" s="40"/>
      <c r="QET1434" s="40"/>
      <c r="QEU1434" s="40"/>
      <c r="QEV1434" s="40"/>
      <c r="QEW1434" s="40"/>
      <c r="QEX1434" s="40"/>
      <c r="QEY1434" s="40"/>
      <c r="QEZ1434" s="40"/>
      <c r="QFA1434" s="40"/>
      <c r="QFB1434" s="40"/>
      <c r="QFC1434" s="40"/>
      <c r="QFD1434" s="40"/>
      <c r="QFE1434" s="40"/>
      <c r="QFF1434" s="40"/>
      <c r="QFG1434" s="40"/>
      <c r="QFH1434" s="40"/>
      <c r="QFI1434" s="40"/>
      <c r="QFJ1434" s="40"/>
      <c r="QFK1434" s="40"/>
      <c r="QFL1434" s="40"/>
      <c r="QFM1434" s="40"/>
      <c r="QFN1434" s="40"/>
      <c r="QFO1434" s="40"/>
      <c r="QFP1434" s="40"/>
      <c r="QFQ1434" s="40"/>
      <c r="QFR1434" s="40"/>
      <c r="QFS1434" s="40"/>
      <c r="QFT1434" s="40"/>
      <c r="QFU1434" s="40"/>
      <c r="QFV1434" s="40"/>
      <c r="QFW1434" s="40"/>
      <c r="QFX1434" s="40"/>
      <c r="QFY1434" s="40"/>
      <c r="QFZ1434" s="40"/>
      <c r="QGA1434" s="40"/>
      <c r="QGB1434" s="40"/>
      <c r="QGC1434" s="40"/>
      <c r="QGD1434" s="40"/>
      <c r="QGE1434" s="40"/>
      <c r="QGF1434" s="40"/>
      <c r="QGG1434" s="40"/>
      <c r="QGH1434" s="40"/>
      <c r="QGI1434" s="40"/>
      <c r="QGJ1434" s="40"/>
      <c r="QGK1434" s="40"/>
      <c r="QGL1434" s="40"/>
      <c r="QGM1434" s="40"/>
      <c r="QGN1434" s="40"/>
      <c r="QGO1434" s="40"/>
      <c r="QGP1434" s="40"/>
      <c r="QGQ1434" s="40"/>
      <c r="QGR1434" s="40"/>
      <c r="QGS1434" s="40"/>
      <c r="QGT1434" s="40"/>
      <c r="QGU1434" s="40"/>
      <c r="QGV1434" s="40"/>
      <c r="QGW1434" s="40"/>
      <c r="QGX1434" s="40"/>
      <c r="QGY1434" s="40"/>
      <c r="QGZ1434" s="40"/>
      <c r="QHA1434" s="40"/>
      <c r="QHB1434" s="40"/>
      <c r="QHC1434" s="40"/>
      <c r="QHD1434" s="40"/>
      <c r="QHE1434" s="40"/>
      <c r="QHF1434" s="40"/>
      <c r="QHG1434" s="40"/>
      <c r="QHH1434" s="40"/>
      <c r="QHI1434" s="40"/>
      <c r="QHJ1434" s="40"/>
      <c r="QHK1434" s="40"/>
      <c r="QHL1434" s="40"/>
      <c r="QHM1434" s="40"/>
      <c r="QHN1434" s="40"/>
      <c r="QHO1434" s="40"/>
      <c r="QHP1434" s="40"/>
      <c r="QHQ1434" s="40"/>
      <c r="QHR1434" s="40"/>
      <c r="QHS1434" s="40"/>
      <c r="QHT1434" s="40"/>
      <c r="QHU1434" s="40"/>
      <c r="QHV1434" s="40"/>
      <c r="QHW1434" s="40"/>
      <c r="QHX1434" s="40"/>
      <c r="QHY1434" s="40"/>
      <c r="QHZ1434" s="40"/>
      <c r="QIA1434" s="40"/>
      <c r="QIB1434" s="40"/>
      <c r="QIC1434" s="40"/>
      <c r="QID1434" s="40"/>
      <c r="QIE1434" s="40"/>
      <c r="QIF1434" s="40"/>
      <c r="QIG1434" s="40"/>
      <c r="QIH1434" s="40"/>
      <c r="QII1434" s="40"/>
      <c r="QIJ1434" s="40"/>
      <c r="QIK1434" s="40"/>
      <c r="QIL1434" s="40"/>
      <c r="QIM1434" s="40"/>
      <c r="QIN1434" s="40"/>
      <c r="QIO1434" s="40"/>
      <c r="QIP1434" s="40"/>
      <c r="QIQ1434" s="40"/>
      <c r="QIR1434" s="40"/>
      <c r="QIS1434" s="40"/>
      <c r="QIT1434" s="40"/>
      <c r="QIU1434" s="40"/>
      <c r="QIV1434" s="40"/>
      <c r="QIW1434" s="40"/>
      <c r="QIX1434" s="40"/>
      <c r="QIY1434" s="40"/>
      <c r="QIZ1434" s="40"/>
      <c r="QJA1434" s="40"/>
      <c r="QJB1434" s="40"/>
      <c r="QJC1434" s="40"/>
      <c r="QJD1434" s="40"/>
      <c r="QJE1434" s="40"/>
      <c r="QJF1434" s="40"/>
      <c r="QJG1434" s="40"/>
      <c r="QJH1434" s="40"/>
      <c r="QJI1434" s="40"/>
      <c r="QJJ1434" s="40"/>
      <c r="QJK1434" s="40"/>
      <c r="QJL1434" s="40"/>
      <c r="QJM1434" s="40"/>
      <c r="QJN1434" s="40"/>
      <c r="QJO1434" s="40"/>
      <c r="QJP1434" s="40"/>
      <c r="QJQ1434" s="40"/>
      <c r="QJR1434" s="40"/>
      <c r="QJS1434" s="40"/>
      <c r="QJT1434" s="40"/>
      <c r="QJU1434" s="40"/>
      <c r="QJV1434" s="40"/>
      <c r="QJW1434" s="40"/>
      <c r="QJX1434" s="40"/>
      <c r="QJY1434" s="40"/>
      <c r="QJZ1434" s="40"/>
      <c r="QKA1434" s="40"/>
      <c r="QKB1434" s="40"/>
      <c r="QKC1434" s="40"/>
      <c r="QKD1434" s="40"/>
      <c r="QKE1434" s="40"/>
      <c r="QKF1434" s="40"/>
      <c r="QKG1434" s="40"/>
      <c r="QKH1434" s="40"/>
      <c r="QKI1434" s="40"/>
      <c r="QKJ1434" s="40"/>
      <c r="QKK1434" s="40"/>
      <c r="QKL1434" s="40"/>
      <c r="QKM1434" s="40"/>
      <c r="QKN1434" s="40"/>
      <c r="QKO1434" s="40"/>
      <c r="QKP1434" s="40"/>
      <c r="QKQ1434" s="40"/>
      <c r="QKR1434" s="40"/>
      <c r="QKS1434" s="40"/>
      <c r="QKT1434" s="40"/>
      <c r="QKU1434" s="40"/>
      <c r="QKV1434" s="40"/>
      <c r="QKW1434" s="40"/>
      <c r="QKX1434" s="40"/>
      <c r="QKY1434" s="40"/>
      <c r="QKZ1434" s="40"/>
      <c r="QLA1434" s="40"/>
      <c r="QLB1434" s="40"/>
      <c r="QLC1434" s="40"/>
      <c r="QLD1434" s="40"/>
      <c r="QLE1434" s="40"/>
      <c r="QLF1434" s="40"/>
      <c r="QLG1434" s="40"/>
      <c r="QLH1434" s="40"/>
      <c r="QLI1434" s="40"/>
      <c r="QLJ1434" s="40"/>
      <c r="QLK1434" s="40"/>
      <c r="QLL1434" s="40"/>
      <c r="QLM1434" s="40"/>
      <c r="QLN1434" s="40"/>
      <c r="QLO1434" s="40"/>
      <c r="QLP1434" s="40"/>
      <c r="QLQ1434" s="40"/>
      <c r="QLR1434" s="40"/>
      <c r="QLS1434" s="40"/>
      <c r="QLT1434" s="40"/>
      <c r="QLU1434" s="40"/>
      <c r="QLV1434" s="40"/>
      <c r="QLW1434" s="40"/>
      <c r="QLX1434" s="40"/>
      <c r="QLY1434" s="40"/>
      <c r="QLZ1434" s="40"/>
      <c r="QMA1434" s="40"/>
      <c r="QMB1434" s="40"/>
      <c r="QMC1434" s="40"/>
      <c r="QMD1434" s="40"/>
      <c r="QME1434" s="40"/>
      <c r="QMF1434" s="40"/>
      <c r="QMG1434" s="40"/>
      <c r="QMH1434" s="40"/>
      <c r="QMI1434" s="40"/>
      <c r="QMJ1434" s="40"/>
      <c r="QMK1434" s="40"/>
      <c r="QML1434" s="40"/>
      <c r="QMM1434" s="40"/>
      <c r="QMN1434" s="40"/>
      <c r="QMO1434" s="40"/>
      <c r="QMP1434" s="40"/>
      <c r="QMQ1434" s="40"/>
      <c r="QMR1434" s="40"/>
      <c r="QMS1434" s="40"/>
      <c r="QMT1434" s="40"/>
      <c r="QMU1434" s="40"/>
      <c r="QMV1434" s="40"/>
      <c r="QMW1434" s="40"/>
      <c r="QMX1434" s="40"/>
      <c r="QMY1434" s="40"/>
      <c r="QMZ1434" s="40"/>
      <c r="QNA1434" s="40"/>
      <c r="QNB1434" s="40"/>
      <c r="QNC1434" s="40"/>
      <c r="QND1434" s="40"/>
      <c r="QNE1434" s="40"/>
      <c r="QNF1434" s="40"/>
      <c r="QNG1434" s="40"/>
      <c r="QNH1434" s="40"/>
      <c r="QNI1434" s="40"/>
      <c r="QNJ1434" s="40"/>
      <c r="QNK1434" s="40"/>
      <c r="QNL1434" s="40"/>
      <c r="QNM1434" s="40"/>
      <c r="QNN1434" s="40"/>
      <c r="QNO1434" s="40"/>
      <c r="QNP1434" s="40"/>
      <c r="QNQ1434" s="40"/>
      <c r="QNR1434" s="40"/>
      <c r="QNS1434" s="40"/>
      <c r="QNT1434" s="40"/>
      <c r="QNU1434" s="40"/>
      <c r="QNV1434" s="40"/>
      <c r="QNW1434" s="40"/>
      <c r="QNX1434" s="40"/>
      <c r="QNY1434" s="40"/>
      <c r="QNZ1434" s="40"/>
      <c r="QOA1434" s="40"/>
      <c r="QOB1434" s="40"/>
      <c r="QOC1434" s="40"/>
      <c r="QOD1434" s="40"/>
      <c r="QOE1434" s="40"/>
      <c r="QOF1434" s="40"/>
      <c r="QOG1434" s="40"/>
      <c r="QOH1434" s="40"/>
      <c r="QOI1434" s="40"/>
      <c r="QOJ1434" s="40"/>
      <c r="QOK1434" s="40"/>
      <c r="QOL1434" s="40"/>
      <c r="QOM1434" s="40"/>
      <c r="QON1434" s="40"/>
      <c r="QOO1434" s="40"/>
      <c r="QOP1434" s="40"/>
      <c r="QOQ1434" s="40"/>
      <c r="QOR1434" s="40"/>
      <c r="QOS1434" s="40"/>
      <c r="QOT1434" s="40"/>
      <c r="QOU1434" s="40"/>
      <c r="QOV1434" s="40"/>
      <c r="QOW1434" s="40"/>
      <c r="QOX1434" s="40"/>
      <c r="QOY1434" s="40"/>
      <c r="QOZ1434" s="40"/>
      <c r="QPA1434" s="40"/>
      <c r="QPB1434" s="40"/>
      <c r="QPC1434" s="40"/>
      <c r="QPD1434" s="40"/>
      <c r="QPE1434" s="40"/>
      <c r="QPF1434" s="40"/>
      <c r="QPG1434" s="40"/>
      <c r="QPH1434" s="40"/>
      <c r="QPI1434" s="40"/>
      <c r="QPJ1434" s="40"/>
      <c r="QPK1434" s="40"/>
      <c r="QPL1434" s="40"/>
      <c r="QPM1434" s="40"/>
      <c r="QPN1434" s="40"/>
      <c r="QPO1434" s="40"/>
      <c r="QPP1434" s="40"/>
      <c r="QPQ1434" s="40"/>
      <c r="QPR1434" s="40"/>
      <c r="QPS1434" s="40"/>
      <c r="QPT1434" s="40"/>
      <c r="QPU1434" s="40"/>
      <c r="QPV1434" s="40"/>
      <c r="QPW1434" s="40"/>
      <c r="QPX1434" s="40"/>
      <c r="QPY1434" s="40"/>
      <c r="QPZ1434" s="40"/>
      <c r="QQA1434" s="40"/>
      <c r="QQB1434" s="40"/>
      <c r="QQC1434" s="40"/>
      <c r="QQD1434" s="40"/>
      <c r="QQE1434" s="40"/>
      <c r="QQF1434" s="40"/>
      <c r="QQG1434" s="40"/>
      <c r="QQH1434" s="40"/>
      <c r="QQI1434" s="40"/>
      <c r="QQJ1434" s="40"/>
      <c r="QQK1434" s="40"/>
      <c r="QQL1434" s="40"/>
      <c r="QQM1434" s="40"/>
      <c r="QQN1434" s="40"/>
      <c r="QQO1434" s="40"/>
      <c r="QQP1434" s="40"/>
      <c r="QQQ1434" s="40"/>
      <c r="QQR1434" s="40"/>
      <c r="QQS1434" s="40"/>
      <c r="QQT1434" s="40"/>
      <c r="QQU1434" s="40"/>
      <c r="QQV1434" s="40"/>
      <c r="QQW1434" s="40"/>
      <c r="QQX1434" s="40"/>
      <c r="QQY1434" s="40"/>
      <c r="QQZ1434" s="40"/>
      <c r="QRA1434" s="40"/>
      <c r="QRB1434" s="40"/>
      <c r="QRC1434" s="40"/>
      <c r="QRD1434" s="40"/>
      <c r="QRE1434" s="40"/>
      <c r="QRF1434" s="40"/>
      <c r="QRG1434" s="40"/>
      <c r="QRH1434" s="40"/>
      <c r="QRI1434" s="40"/>
      <c r="QRJ1434" s="40"/>
      <c r="QRK1434" s="40"/>
      <c r="QRL1434" s="40"/>
      <c r="QRM1434" s="40"/>
      <c r="QRN1434" s="40"/>
      <c r="QRO1434" s="40"/>
      <c r="QRP1434" s="40"/>
      <c r="QRQ1434" s="40"/>
      <c r="QRR1434" s="40"/>
      <c r="QRS1434" s="40"/>
      <c r="QRT1434" s="40"/>
      <c r="QRU1434" s="40"/>
      <c r="QRV1434" s="40"/>
      <c r="QRW1434" s="40"/>
      <c r="QRX1434" s="40"/>
      <c r="QRY1434" s="40"/>
      <c r="QRZ1434" s="40"/>
      <c r="QSA1434" s="40"/>
      <c r="QSB1434" s="40"/>
      <c r="QSC1434" s="40"/>
      <c r="QSD1434" s="40"/>
      <c r="QSE1434" s="40"/>
      <c r="QSF1434" s="40"/>
      <c r="QSG1434" s="40"/>
      <c r="QSH1434" s="40"/>
      <c r="QSI1434" s="40"/>
      <c r="QSJ1434" s="40"/>
      <c r="QSK1434" s="40"/>
      <c r="QSL1434" s="40"/>
      <c r="QSM1434" s="40"/>
      <c r="QSN1434" s="40"/>
      <c r="QSO1434" s="40"/>
      <c r="QSP1434" s="40"/>
      <c r="QSQ1434" s="40"/>
      <c r="QSR1434" s="40"/>
      <c r="QSS1434" s="40"/>
      <c r="QST1434" s="40"/>
      <c r="QSU1434" s="40"/>
      <c r="QSV1434" s="40"/>
      <c r="QSW1434" s="40"/>
      <c r="QSX1434" s="40"/>
      <c r="QSY1434" s="40"/>
      <c r="QSZ1434" s="40"/>
      <c r="QTA1434" s="40"/>
      <c r="QTB1434" s="40"/>
      <c r="QTC1434" s="40"/>
      <c r="QTD1434" s="40"/>
      <c r="QTE1434" s="40"/>
      <c r="QTF1434" s="40"/>
      <c r="QTG1434" s="40"/>
      <c r="QTH1434" s="40"/>
      <c r="QTI1434" s="40"/>
      <c r="QTJ1434" s="40"/>
      <c r="QTK1434" s="40"/>
      <c r="QTL1434" s="40"/>
      <c r="QTM1434" s="40"/>
      <c r="QTN1434" s="40"/>
      <c r="QTO1434" s="40"/>
      <c r="QTP1434" s="40"/>
      <c r="QTQ1434" s="40"/>
      <c r="QTR1434" s="40"/>
      <c r="QTS1434" s="40"/>
      <c r="QTT1434" s="40"/>
      <c r="QTU1434" s="40"/>
      <c r="QTV1434" s="40"/>
      <c r="QTW1434" s="40"/>
      <c r="QTX1434" s="40"/>
      <c r="QTY1434" s="40"/>
      <c r="QTZ1434" s="40"/>
      <c r="QUA1434" s="40"/>
      <c r="QUB1434" s="40"/>
      <c r="QUC1434" s="40"/>
      <c r="QUD1434" s="40"/>
      <c r="QUE1434" s="40"/>
      <c r="QUF1434" s="40"/>
      <c r="QUG1434" s="40"/>
      <c r="QUH1434" s="40"/>
      <c r="QUI1434" s="40"/>
      <c r="QUJ1434" s="40"/>
      <c r="QUK1434" s="40"/>
      <c r="QUL1434" s="40"/>
      <c r="QUM1434" s="40"/>
      <c r="QUN1434" s="40"/>
      <c r="QUO1434" s="40"/>
      <c r="QUP1434" s="40"/>
      <c r="QUQ1434" s="40"/>
      <c r="QUR1434" s="40"/>
      <c r="QUS1434" s="40"/>
      <c r="QUT1434" s="40"/>
      <c r="QUU1434" s="40"/>
      <c r="QUV1434" s="40"/>
      <c r="QUW1434" s="40"/>
      <c r="QUX1434" s="40"/>
      <c r="QUY1434" s="40"/>
      <c r="QUZ1434" s="40"/>
      <c r="QVA1434" s="40"/>
      <c r="QVB1434" s="40"/>
      <c r="QVC1434" s="40"/>
      <c r="QVD1434" s="40"/>
      <c r="QVE1434" s="40"/>
      <c r="QVF1434" s="40"/>
      <c r="QVG1434" s="40"/>
      <c r="QVH1434" s="40"/>
      <c r="QVI1434" s="40"/>
      <c r="QVJ1434" s="40"/>
      <c r="QVK1434" s="40"/>
      <c r="QVL1434" s="40"/>
      <c r="QVM1434" s="40"/>
      <c r="QVN1434" s="40"/>
      <c r="QVO1434" s="40"/>
      <c r="QVP1434" s="40"/>
      <c r="QVQ1434" s="40"/>
      <c r="QVR1434" s="40"/>
      <c r="QVS1434" s="40"/>
      <c r="QVT1434" s="40"/>
      <c r="QVU1434" s="40"/>
      <c r="QVV1434" s="40"/>
      <c r="QVW1434" s="40"/>
      <c r="QVX1434" s="40"/>
      <c r="QVY1434" s="40"/>
      <c r="QVZ1434" s="40"/>
      <c r="QWA1434" s="40"/>
      <c r="QWB1434" s="40"/>
      <c r="QWC1434" s="40"/>
      <c r="QWD1434" s="40"/>
      <c r="QWE1434" s="40"/>
      <c r="QWF1434" s="40"/>
      <c r="QWG1434" s="40"/>
      <c r="QWH1434" s="40"/>
      <c r="QWI1434" s="40"/>
      <c r="QWJ1434" s="40"/>
      <c r="QWK1434" s="40"/>
      <c r="QWL1434" s="40"/>
      <c r="QWM1434" s="40"/>
      <c r="QWN1434" s="40"/>
      <c r="QWO1434" s="40"/>
      <c r="QWP1434" s="40"/>
      <c r="QWQ1434" s="40"/>
      <c r="QWR1434" s="40"/>
      <c r="QWS1434" s="40"/>
      <c r="QWT1434" s="40"/>
      <c r="QWU1434" s="40"/>
      <c r="QWV1434" s="40"/>
      <c r="QWW1434" s="40"/>
      <c r="QWX1434" s="40"/>
      <c r="QWY1434" s="40"/>
      <c r="QWZ1434" s="40"/>
      <c r="QXA1434" s="40"/>
      <c r="QXB1434" s="40"/>
      <c r="QXC1434" s="40"/>
      <c r="QXD1434" s="40"/>
      <c r="QXE1434" s="40"/>
      <c r="QXF1434" s="40"/>
      <c r="QXG1434" s="40"/>
      <c r="QXH1434" s="40"/>
      <c r="QXI1434" s="40"/>
      <c r="QXJ1434" s="40"/>
      <c r="QXK1434" s="40"/>
      <c r="QXL1434" s="40"/>
      <c r="QXM1434" s="40"/>
      <c r="QXN1434" s="40"/>
      <c r="QXO1434" s="40"/>
      <c r="QXP1434" s="40"/>
      <c r="QXQ1434" s="40"/>
      <c r="QXR1434" s="40"/>
      <c r="QXS1434" s="40"/>
      <c r="QXT1434" s="40"/>
      <c r="QXU1434" s="40"/>
      <c r="QXV1434" s="40"/>
      <c r="QXW1434" s="40"/>
      <c r="QXX1434" s="40"/>
      <c r="QXY1434" s="40"/>
      <c r="QXZ1434" s="40"/>
      <c r="QYA1434" s="40"/>
      <c r="QYB1434" s="40"/>
      <c r="QYC1434" s="40"/>
      <c r="QYD1434" s="40"/>
      <c r="QYE1434" s="40"/>
      <c r="QYF1434" s="40"/>
      <c r="QYG1434" s="40"/>
      <c r="QYH1434" s="40"/>
      <c r="QYI1434" s="40"/>
      <c r="QYJ1434" s="40"/>
      <c r="QYK1434" s="40"/>
      <c r="QYL1434" s="40"/>
      <c r="QYM1434" s="40"/>
      <c r="QYN1434" s="40"/>
      <c r="QYO1434" s="40"/>
      <c r="QYP1434" s="40"/>
      <c r="QYQ1434" s="40"/>
      <c r="QYR1434" s="40"/>
      <c r="QYS1434" s="40"/>
      <c r="QYT1434" s="40"/>
      <c r="QYU1434" s="40"/>
      <c r="QYV1434" s="40"/>
      <c r="QYW1434" s="40"/>
      <c r="QYX1434" s="40"/>
      <c r="QYY1434" s="40"/>
      <c r="QYZ1434" s="40"/>
      <c r="QZA1434" s="40"/>
      <c r="QZB1434" s="40"/>
      <c r="QZC1434" s="40"/>
      <c r="QZD1434" s="40"/>
      <c r="QZE1434" s="40"/>
      <c r="QZF1434" s="40"/>
      <c r="QZG1434" s="40"/>
      <c r="QZH1434" s="40"/>
      <c r="QZI1434" s="40"/>
      <c r="QZJ1434" s="40"/>
      <c r="QZK1434" s="40"/>
      <c r="QZL1434" s="40"/>
      <c r="QZM1434" s="40"/>
      <c r="QZN1434" s="40"/>
      <c r="QZO1434" s="40"/>
      <c r="QZP1434" s="40"/>
      <c r="QZQ1434" s="40"/>
      <c r="QZR1434" s="40"/>
      <c r="QZS1434" s="40"/>
      <c r="QZT1434" s="40"/>
      <c r="QZU1434" s="40"/>
      <c r="QZV1434" s="40"/>
      <c r="QZW1434" s="40"/>
      <c r="QZX1434" s="40"/>
      <c r="QZY1434" s="40"/>
      <c r="QZZ1434" s="40"/>
      <c r="RAA1434" s="40"/>
      <c r="RAB1434" s="40"/>
      <c r="RAC1434" s="40"/>
      <c r="RAD1434" s="40"/>
      <c r="RAE1434" s="40"/>
      <c r="RAF1434" s="40"/>
      <c r="RAG1434" s="40"/>
      <c r="RAH1434" s="40"/>
      <c r="RAI1434" s="40"/>
      <c r="RAJ1434" s="40"/>
      <c r="RAK1434" s="40"/>
      <c r="RAL1434" s="40"/>
      <c r="RAM1434" s="40"/>
      <c r="RAN1434" s="40"/>
      <c r="RAO1434" s="40"/>
      <c r="RAP1434" s="40"/>
      <c r="RAQ1434" s="40"/>
      <c r="RAR1434" s="40"/>
      <c r="RAS1434" s="40"/>
      <c r="RAT1434" s="40"/>
      <c r="RAU1434" s="40"/>
      <c r="RAV1434" s="40"/>
      <c r="RAW1434" s="40"/>
      <c r="RAX1434" s="40"/>
      <c r="RAY1434" s="40"/>
      <c r="RAZ1434" s="40"/>
      <c r="RBA1434" s="40"/>
      <c r="RBB1434" s="40"/>
      <c r="RBC1434" s="40"/>
      <c r="RBD1434" s="40"/>
      <c r="RBE1434" s="40"/>
      <c r="RBF1434" s="40"/>
      <c r="RBG1434" s="40"/>
      <c r="RBH1434" s="40"/>
      <c r="RBI1434" s="40"/>
      <c r="RBJ1434" s="40"/>
      <c r="RBK1434" s="40"/>
      <c r="RBL1434" s="40"/>
      <c r="RBM1434" s="40"/>
      <c r="RBN1434" s="40"/>
      <c r="RBO1434" s="40"/>
      <c r="RBP1434" s="40"/>
      <c r="RBQ1434" s="40"/>
      <c r="RBR1434" s="40"/>
      <c r="RBS1434" s="40"/>
      <c r="RBT1434" s="40"/>
      <c r="RBU1434" s="40"/>
      <c r="RBV1434" s="40"/>
      <c r="RBW1434" s="40"/>
      <c r="RBX1434" s="40"/>
      <c r="RBY1434" s="40"/>
      <c r="RBZ1434" s="40"/>
      <c r="RCA1434" s="40"/>
      <c r="RCB1434" s="40"/>
      <c r="RCC1434" s="40"/>
      <c r="RCD1434" s="40"/>
      <c r="RCE1434" s="40"/>
      <c r="RCF1434" s="40"/>
      <c r="RCG1434" s="40"/>
      <c r="RCH1434" s="40"/>
      <c r="RCI1434" s="40"/>
      <c r="RCJ1434" s="40"/>
      <c r="RCK1434" s="40"/>
      <c r="RCL1434" s="40"/>
      <c r="RCM1434" s="40"/>
      <c r="RCN1434" s="40"/>
      <c r="RCO1434" s="40"/>
      <c r="RCP1434" s="40"/>
      <c r="RCQ1434" s="40"/>
      <c r="RCR1434" s="40"/>
      <c r="RCS1434" s="40"/>
      <c r="RCT1434" s="40"/>
      <c r="RCU1434" s="40"/>
      <c r="RCV1434" s="40"/>
      <c r="RCW1434" s="40"/>
      <c r="RCX1434" s="40"/>
      <c r="RCY1434" s="40"/>
      <c r="RCZ1434" s="40"/>
      <c r="RDA1434" s="40"/>
      <c r="RDB1434" s="40"/>
      <c r="RDC1434" s="40"/>
      <c r="RDD1434" s="40"/>
      <c r="RDE1434" s="40"/>
      <c r="RDF1434" s="40"/>
      <c r="RDG1434" s="40"/>
      <c r="RDH1434" s="40"/>
      <c r="RDI1434" s="40"/>
      <c r="RDJ1434" s="40"/>
      <c r="RDK1434" s="40"/>
      <c r="RDL1434" s="40"/>
      <c r="RDM1434" s="40"/>
      <c r="RDN1434" s="40"/>
      <c r="RDO1434" s="40"/>
      <c r="RDP1434" s="40"/>
      <c r="RDQ1434" s="40"/>
      <c r="RDR1434" s="40"/>
      <c r="RDS1434" s="40"/>
      <c r="RDT1434" s="40"/>
      <c r="RDU1434" s="40"/>
      <c r="RDV1434" s="40"/>
      <c r="RDW1434" s="40"/>
      <c r="RDX1434" s="40"/>
      <c r="RDY1434" s="40"/>
      <c r="RDZ1434" s="40"/>
      <c r="REA1434" s="40"/>
      <c r="REB1434" s="40"/>
      <c r="REC1434" s="40"/>
      <c r="RED1434" s="40"/>
      <c r="REE1434" s="40"/>
      <c r="REF1434" s="40"/>
      <c r="REG1434" s="40"/>
      <c r="REH1434" s="40"/>
      <c r="REI1434" s="40"/>
      <c r="REJ1434" s="40"/>
      <c r="REK1434" s="40"/>
      <c r="REL1434" s="40"/>
      <c r="REM1434" s="40"/>
      <c r="REN1434" s="40"/>
      <c r="REO1434" s="40"/>
      <c r="REP1434" s="40"/>
      <c r="REQ1434" s="40"/>
      <c r="RER1434" s="40"/>
      <c r="RES1434" s="40"/>
      <c r="RET1434" s="40"/>
      <c r="REU1434" s="40"/>
      <c r="REV1434" s="40"/>
      <c r="REW1434" s="40"/>
      <c r="REX1434" s="40"/>
      <c r="REY1434" s="40"/>
      <c r="REZ1434" s="40"/>
      <c r="RFA1434" s="40"/>
      <c r="RFB1434" s="40"/>
      <c r="RFC1434" s="40"/>
      <c r="RFD1434" s="40"/>
      <c r="RFE1434" s="40"/>
      <c r="RFF1434" s="40"/>
      <c r="RFG1434" s="40"/>
      <c r="RFH1434" s="40"/>
      <c r="RFI1434" s="40"/>
      <c r="RFJ1434" s="40"/>
      <c r="RFK1434" s="40"/>
      <c r="RFL1434" s="40"/>
      <c r="RFM1434" s="40"/>
      <c r="RFN1434" s="40"/>
      <c r="RFO1434" s="40"/>
      <c r="RFP1434" s="40"/>
      <c r="RFQ1434" s="40"/>
      <c r="RFR1434" s="40"/>
      <c r="RFS1434" s="40"/>
      <c r="RFT1434" s="40"/>
      <c r="RFU1434" s="40"/>
      <c r="RFV1434" s="40"/>
      <c r="RFW1434" s="40"/>
      <c r="RFX1434" s="40"/>
      <c r="RFY1434" s="40"/>
      <c r="RFZ1434" s="40"/>
      <c r="RGA1434" s="40"/>
      <c r="RGB1434" s="40"/>
      <c r="RGC1434" s="40"/>
      <c r="RGD1434" s="40"/>
      <c r="RGE1434" s="40"/>
      <c r="RGF1434" s="40"/>
      <c r="RGG1434" s="40"/>
      <c r="RGH1434" s="40"/>
      <c r="RGI1434" s="40"/>
      <c r="RGJ1434" s="40"/>
      <c r="RGK1434" s="40"/>
      <c r="RGL1434" s="40"/>
      <c r="RGM1434" s="40"/>
      <c r="RGN1434" s="40"/>
      <c r="RGO1434" s="40"/>
      <c r="RGP1434" s="40"/>
      <c r="RGQ1434" s="40"/>
      <c r="RGR1434" s="40"/>
      <c r="RGS1434" s="40"/>
      <c r="RGT1434" s="40"/>
      <c r="RGU1434" s="40"/>
      <c r="RGV1434" s="40"/>
      <c r="RGW1434" s="40"/>
      <c r="RGX1434" s="40"/>
      <c r="RGY1434" s="40"/>
      <c r="RGZ1434" s="40"/>
      <c r="RHA1434" s="40"/>
      <c r="RHB1434" s="40"/>
      <c r="RHC1434" s="40"/>
      <c r="RHD1434" s="40"/>
      <c r="RHE1434" s="40"/>
      <c r="RHF1434" s="40"/>
      <c r="RHG1434" s="40"/>
      <c r="RHH1434" s="40"/>
      <c r="RHI1434" s="40"/>
      <c r="RHJ1434" s="40"/>
      <c r="RHK1434" s="40"/>
      <c r="RHL1434" s="40"/>
      <c r="RHM1434" s="40"/>
      <c r="RHN1434" s="40"/>
      <c r="RHO1434" s="40"/>
      <c r="RHP1434" s="40"/>
      <c r="RHQ1434" s="40"/>
      <c r="RHR1434" s="40"/>
      <c r="RHS1434" s="40"/>
      <c r="RHT1434" s="40"/>
      <c r="RHU1434" s="40"/>
      <c r="RHV1434" s="40"/>
      <c r="RHW1434" s="40"/>
      <c r="RHX1434" s="40"/>
      <c r="RHY1434" s="40"/>
      <c r="RHZ1434" s="40"/>
      <c r="RIA1434" s="40"/>
      <c r="RIB1434" s="40"/>
      <c r="RIC1434" s="40"/>
      <c r="RID1434" s="40"/>
      <c r="RIE1434" s="40"/>
      <c r="RIF1434" s="40"/>
      <c r="RIG1434" s="40"/>
      <c r="RIH1434" s="40"/>
      <c r="RII1434" s="40"/>
      <c r="RIJ1434" s="40"/>
      <c r="RIK1434" s="40"/>
      <c r="RIL1434" s="40"/>
      <c r="RIM1434" s="40"/>
      <c r="RIN1434" s="40"/>
      <c r="RIO1434" s="40"/>
      <c r="RIP1434" s="40"/>
      <c r="RIQ1434" s="40"/>
      <c r="RIR1434" s="40"/>
      <c r="RIS1434" s="40"/>
      <c r="RIT1434" s="40"/>
      <c r="RIU1434" s="40"/>
      <c r="RIV1434" s="40"/>
      <c r="RIW1434" s="40"/>
      <c r="RIX1434" s="40"/>
      <c r="RIY1434" s="40"/>
      <c r="RIZ1434" s="40"/>
      <c r="RJA1434" s="40"/>
      <c r="RJB1434" s="40"/>
      <c r="RJC1434" s="40"/>
      <c r="RJD1434" s="40"/>
      <c r="RJE1434" s="40"/>
      <c r="RJF1434" s="40"/>
      <c r="RJG1434" s="40"/>
      <c r="RJH1434" s="40"/>
      <c r="RJI1434" s="40"/>
      <c r="RJJ1434" s="40"/>
      <c r="RJK1434" s="40"/>
      <c r="RJL1434" s="40"/>
      <c r="RJM1434" s="40"/>
      <c r="RJN1434" s="40"/>
      <c r="RJO1434" s="40"/>
      <c r="RJP1434" s="40"/>
      <c r="RJQ1434" s="40"/>
      <c r="RJR1434" s="40"/>
      <c r="RJS1434" s="40"/>
      <c r="RJT1434" s="40"/>
      <c r="RJU1434" s="40"/>
      <c r="RJV1434" s="40"/>
      <c r="RJW1434" s="40"/>
      <c r="RJX1434" s="40"/>
      <c r="RJY1434" s="40"/>
      <c r="RJZ1434" s="40"/>
      <c r="RKA1434" s="40"/>
      <c r="RKB1434" s="40"/>
      <c r="RKC1434" s="40"/>
      <c r="RKD1434" s="40"/>
      <c r="RKE1434" s="40"/>
      <c r="RKF1434" s="40"/>
      <c r="RKG1434" s="40"/>
      <c r="RKH1434" s="40"/>
      <c r="RKI1434" s="40"/>
      <c r="RKJ1434" s="40"/>
      <c r="RKK1434" s="40"/>
      <c r="RKL1434" s="40"/>
      <c r="RKM1434" s="40"/>
      <c r="RKN1434" s="40"/>
      <c r="RKO1434" s="40"/>
      <c r="RKP1434" s="40"/>
      <c r="RKQ1434" s="40"/>
      <c r="RKR1434" s="40"/>
      <c r="RKS1434" s="40"/>
      <c r="RKT1434" s="40"/>
      <c r="RKU1434" s="40"/>
      <c r="RKV1434" s="40"/>
      <c r="RKW1434" s="40"/>
      <c r="RKX1434" s="40"/>
      <c r="RKY1434" s="40"/>
      <c r="RKZ1434" s="40"/>
      <c r="RLA1434" s="40"/>
      <c r="RLB1434" s="40"/>
      <c r="RLC1434" s="40"/>
      <c r="RLD1434" s="40"/>
      <c r="RLE1434" s="40"/>
      <c r="RLF1434" s="40"/>
      <c r="RLG1434" s="40"/>
      <c r="RLH1434" s="40"/>
      <c r="RLI1434" s="40"/>
      <c r="RLJ1434" s="40"/>
      <c r="RLK1434" s="40"/>
      <c r="RLL1434" s="40"/>
      <c r="RLM1434" s="40"/>
      <c r="RLN1434" s="40"/>
      <c r="RLO1434" s="40"/>
      <c r="RLP1434" s="40"/>
      <c r="RLQ1434" s="40"/>
      <c r="RLR1434" s="40"/>
      <c r="RLS1434" s="40"/>
      <c r="RLT1434" s="40"/>
      <c r="RLU1434" s="40"/>
      <c r="RLV1434" s="40"/>
      <c r="RLW1434" s="40"/>
      <c r="RLX1434" s="40"/>
      <c r="RLY1434" s="40"/>
      <c r="RLZ1434" s="40"/>
      <c r="RMA1434" s="40"/>
      <c r="RMB1434" s="40"/>
      <c r="RMC1434" s="40"/>
      <c r="RMD1434" s="40"/>
      <c r="RME1434" s="40"/>
      <c r="RMF1434" s="40"/>
      <c r="RMG1434" s="40"/>
      <c r="RMH1434" s="40"/>
      <c r="RMI1434" s="40"/>
      <c r="RMJ1434" s="40"/>
      <c r="RMK1434" s="40"/>
      <c r="RML1434" s="40"/>
      <c r="RMM1434" s="40"/>
      <c r="RMN1434" s="40"/>
      <c r="RMO1434" s="40"/>
      <c r="RMP1434" s="40"/>
      <c r="RMQ1434" s="40"/>
      <c r="RMR1434" s="40"/>
      <c r="RMS1434" s="40"/>
      <c r="RMT1434" s="40"/>
      <c r="RMU1434" s="40"/>
      <c r="RMV1434" s="40"/>
      <c r="RMW1434" s="40"/>
      <c r="RMX1434" s="40"/>
      <c r="RMY1434" s="40"/>
      <c r="RMZ1434" s="40"/>
      <c r="RNA1434" s="40"/>
      <c r="RNB1434" s="40"/>
      <c r="RNC1434" s="40"/>
      <c r="RND1434" s="40"/>
      <c r="RNE1434" s="40"/>
      <c r="RNF1434" s="40"/>
      <c r="RNG1434" s="40"/>
      <c r="RNH1434" s="40"/>
      <c r="RNI1434" s="40"/>
      <c r="RNJ1434" s="40"/>
      <c r="RNK1434" s="40"/>
      <c r="RNL1434" s="40"/>
      <c r="RNM1434" s="40"/>
      <c r="RNN1434" s="40"/>
      <c r="RNO1434" s="40"/>
      <c r="RNP1434" s="40"/>
      <c r="RNQ1434" s="40"/>
      <c r="RNR1434" s="40"/>
      <c r="RNS1434" s="40"/>
      <c r="RNT1434" s="40"/>
      <c r="RNU1434" s="40"/>
      <c r="RNV1434" s="40"/>
      <c r="RNW1434" s="40"/>
      <c r="RNX1434" s="40"/>
      <c r="RNY1434" s="40"/>
      <c r="RNZ1434" s="40"/>
      <c r="ROA1434" s="40"/>
      <c r="ROB1434" s="40"/>
      <c r="ROC1434" s="40"/>
      <c r="ROD1434" s="40"/>
      <c r="ROE1434" s="40"/>
      <c r="ROF1434" s="40"/>
      <c r="ROG1434" s="40"/>
      <c r="ROH1434" s="40"/>
      <c r="ROI1434" s="40"/>
      <c r="ROJ1434" s="40"/>
      <c r="ROK1434" s="40"/>
      <c r="ROL1434" s="40"/>
      <c r="ROM1434" s="40"/>
      <c r="RON1434" s="40"/>
      <c r="ROO1434" s="40"/>
      <c r="ROP1434" s="40"/>
      <c r="ROQ1434" s="40"/>
      <c r="ROR1434" s="40"/>
      <c r="ROS1434" s="40"/>
      <c r="ROT1434" s="40"/>
      <c r="ROU1434" s="40"/>
      <c r="ROV1434" s="40"/>
      <c r="ROW1434" s="40"/>
      <c r="ROX1434" s="40"/>
      <c r="ROY1434" s="40"/>
      <c r="ROZ1434" s="40"/>
      <c r="RPA1434" s="40"/>
      <c r="RPB1434" s="40"/>
      <c r="RPC1434" s="40"/>
      <c r="RPD1434" s="40"/>
      <c r="RPE1434" s="40"/>
      <c r="RPF1434" s="40"/>
      <c r="RPG1434" s="40"/>
      <c r="RPH1434" s="40"/>
      <c r="RPI1434" s="40"/>
      <c r="RPJ1434" s="40"/>
      <c r="RPK1434" s="40"/>
      <c r="RPL1434" s="40"/>
      <c r="RPM1434" s="40"/>
      <c r="RPN1434" s="40"/>
      <c r="RPO1434" s="40"/>
      <c r="RPP1434" s="40"/>
      <c r="RPQ1434" s="40"/>
      <c r="RPR1434" s="40"/>
      <c r="RPS1434" s="40"/>
      <c r="RPT1434" s="40"/>
      <c r="RPU1434" s="40"/>
      <c r="RPV1434" s="40"/>
      <c r="RPW1434" s="40"/>
      <c r="RPX1434" s="40"/>
      <c r="RPY1434" s="40"/>
      <c r="RPZ1434" s="40"/>
      <c r="RQA1434" s="40"/>
      <c r="RQB1434" s="40"/>
      <c r="RQC1434" s="40"/>
      <c r="RQD1434" s="40"/>
      <c r="RQE1434" s="40"/>
      <c r="RQF1434" s="40"/>
      <c r="RQG1434" s="40"/>
      <c r="RQH1434" s="40"/>
      <c r="RQI1434" s="40"/>
      <c r="RQJ1434" s="40"/>
      <c r="RQK1434" s="40"/>
      <c r="RQL1434" s="40"/>
      <c r="RQM1434" s="40"/>
      <c r="RQN1434" s="40"/>
      <c r="RQO1434" s="40"/>
      <c r="RQP1434" s="40"/>
      <c r="RQQ1434" s="40"/>
      <c r="RQR1434" s="40"/>
      <c r="RQS1434" s="40"/>
      <c r="RQT1434" s="40"/>
      <c r="RQU1434" s="40"/>
      <c r="RQV1434" s="40"/>
      <c r="RQW1434" s="40"/>
      <c r="RQX1434" s="40"/>
      <c r="RQY1434" s="40"/>
      <c r="RQZ1434" s="40"/>
      <c r="RRA1434" s="40"/>
      <c r="RRB1434" s="40"/>
      <c r="RRC1434" s="40"/>
      <c r="RRD1434" s="40"/>
      <c r="RRE1434" s="40"/>
      <c r="RRF1434" s="40"/>
      <c r="RRG1434" s="40"/>
      <c r="RRH1434" s="40"/>
      <c r="RRI1434" s="40"/>
      <c r="RRJ1434" s="40"/>
      <c r="RRK1434" s="40"/>
      <c r="RRL1434" s="40"/>
      <c r="RRM1434" s="40"/>
      <c r="RRN1434" s="40"/>
      <c r="RRO1434" s="40"/>
      <c r="RRP1434" s="40"/>
      <c r="RRQ1434" s="40"/>
      <c r="RRR1434" s="40"/>
      <c r="RRS1434" s="40"/>
      <c r="RRT1434" s="40"/>
      <c r="RRU1434" s="40"/>
      <c r="RRV1434" s="40"/>
      <c r="RRW1434" s="40"/>
      <c r="RRX1434" s="40"/>
      <c r="RRY1434" s="40"/>
      <c r="RRZ1434" s="40"/>
      <c r="RSA1434" s="40"/>
      <c r="RSB1434" s="40"/>
      <c r="RSC1434" s="40"/>
      <c r="RSD1434" s="40"/>
      <c r="RSE1434" s="40"/>
      <c r="RSF1434" s="40"/>
      <c r="RSG1434" s="40"/>
      <c r="RSH1434" s="40"/>
      <c r="RSI1434" s="40"/>
      <c r="RSJ1434" s="40"/>
      <c r="RSK1434" s="40"/>
      <c r="RSL1434" s="40"/>
      <c r="RSM1434" s="40"/>
      <c r="RSN1434" s="40"/>
      <c r="RSO1434" s="40"/>
      <c r="RSP1434" s="40"/>
      <c r="RSQ1434" s="40"/>
      <c r="RSR1434" s="40"/>
      <c r="RSS1434" s="40"/>
      <c r="RST1434" s="40"/>
      <c r="RSU1434" s="40"/>
      <c r="RSV1434" s="40"/>
      <c r="RSW1434" s="40"/>
      <c r="RSX1434" s="40"/>
      <c r="RSY1434" s="40"/>
      <c r="RSZ1434" s="40"/>
      <c r="RTA1434" s="40"/>
      <c r="RTB1434" s="40"/>
      <c r="RTC1434" s="40"/>
      <c r="RTD1434" s="40"/>
      <c r="RTE1434" s="40"/>
      <c r="RTF1434" s="40"/>
      <c r="RTG1434" s="40"/>
      <c r="RTH1434" s="40"/>
      <c r="RTI1434" s="40"/>
      <c r="RTJ1434" s="40"/>
      <c r="RTK1434" s="40"/>
      <c r="RTL1434" s="40"/>
      <c r="RTM1434" s="40"/>
      <c r="RTN1434" s="40"/>
      <c r="RTO1434" s="40"/>
      <c r="RTP1434" s="40"/>
      <c r="RTQ1434" s="40"/>
      <c r="RTR1434" s="40"/>
      <c r="RTS1434" s="40"/>
      <c r="RTT1434" s="40"/>
      <c r="RTU1434" s="40"/>
      <c r="RTV1434" s="40"/>
      <c r="RTW1434" s="40"/>
      <c r="RTX1434" s="40"/>
      <c r="RTY1434" s="40"/>
      <c r="RTZ1434" s="40"/>
      <c r="RUA1434" s="40"/>
      <c r="RUB1434" s="40"/>
      <c r="RUC1434" s="40"/>
      <c r="RUD1434" s="40"/>
      <c r="RUE1434" s="40"/>
      <c r="RUF1434" s="40"/>
      <c r="RUG1434" s="40"/>
      <c r="RUH1434" s="40"/>
      <c r="RUI1434" s="40"/>
      <c r="RUJ1434" s="40"/>
      <c r="RUK1434" s="40"/>
      <c r="RUL1434" s="40"/>
      <c r="RUM1434" s="40"/>
      <c r="RUN1434" s="40"/>
      <c r="RUO1434" s="40"/>
      <c r="RUP1434" s="40"/>
      <c r="RUQ1434" s="40"/>
      <c r="RUR1434" s="40"/>
      <c r="RUS1434" s="40"/>
      <c r="RUT1434" s="40"/>
      <c r="RUU1434" s="40"/>
      <c r="RUV1434" s="40"/>
      <c r="RUW1434" s="40"/>
      <c r="RUX1434" s="40"/>
      <c r="RUY1434" s="40"/>
      <c r="RUZ1434" s="40"/>
      <c r="RVA1434" s="40"/>
      <c r="RVB1434" s="40"/>
      <c r="RVC1434" s="40"/>
      <c r="RVD1434" s="40"/>
      <c r="RVE1434" s="40"/>
      <c r="RVF1434" s="40"/>
      <c r="RVG1434" s="40"/>
      <c r="RVH1434" s="40"/>
      <c r="RVI1434" s="40"/>
      <c r="RVJ1434" s="40"/>
      <c r="RVK1434" s="40"/>
      <c r="RVL1434" s="40"/>
      <c r="RVM1434" s="40"/>
      <c r="RVN1434" s="40"/>
      <c r="RVO1434" s="40"/>
      <c r="RVP1434" s="40"/>
      <c r="RVQ1434" s="40"/>
      <c r="RVR1434" s="40"/>
      <c r="RVS1434" s="40"/>
      <c r="RVT1434" s="40"/>
      <c r="RVU1434" s="40"/>
      <c r="RVV1434" s="40"/>
      <c r="RVW1434" s="40"/>
      <c r="RVX1434" s="40"/>
      <c r="RVY1434" s="40"/>
      <c r="RVZ1434" s="40"/>
      <c r="RWA1434" s="40"/>
      <c r="RWB1434" s="40"/>
      <c r="RWC1434" s="40"/>
      <c r="RWD1434" s="40"/>
      <c r="RWE1434" s="40"/>
      <c r="RWF1434" s="40"/>
      <c r="RWG1434" s="40"/>
      <c r="RWH1434" s="40"/>
      <c r="RWI1434" s="40"/>
      <c r="RWJ1434" s="40"/>
      <c r="RWK1434" s="40"/>
      <c r="RWL1434" s="40"/>
      <c r="RWM1434" s="40"/>
      <c r="RWN1434" s="40"/>
      <c r="RWO1434" s="40"/>
      <c r="RWP1434" s="40"/>
      <c r="RWQ1434" s="40"/>
      <c r="RWR1434" s="40"/>
      <c r="RWS1434" s="40"/>
      <c r="RWT1434" s="40"/>
      <c r="RWU1434" s="40"/>
      <c r="RWV1434" s="40"/>
      <c r="RWW1434" s="40"/>
      <c r="RWX1434" s="40"/>
      <c r="RWY1434" s="40"/>
      <c r="RWZ1434" s="40"/>
      <c r="RXA1434" s="40"/>
      <c r="RXB1434" s="40"/>
      <c r="RXC1434" s="40"/>
      <c r="RXD1434" s="40"/>
      <c r="RXE1434" s="40"/>
      <c r="RXF1434" s="40"/>
      <c r="RXG1434" s="40"/>
      <c r="RXH1434" s="40"/>
      <c r="RXI1434" s="40"/>
      <c r="RXJ1434" s="40"/>
      <c r="RXK1434" s="40"/>
      <c r="RXL1434" s="40"/>
      <c r="RXM1434" s="40"/>
      <c r="RXN1434" s="40"/>
      <c r="RXO1434" s="40"/>
      <c r="RXP1434" s="40"/>
      <c r="RXQ1434" s="40"/>
      <c r="RXR1434" s="40"/>
      <c r="RXS1434" s="40"/>
      <c r="RXT1434" s="40"/>
      <c r="RXU1434" s="40"/>
      <c r="RXV1434" s="40"/>
      <c r="RXW1434" s="40"/>
      <c r="RXX1434" s="40"/>
      <c r="RXY1434" s="40"/>
      <c r="RXZ1434" s="40"/>
      <c r="RYA1434" s="40"/>
      <c r="RYB1434" s="40"/>
      <c r="RYC1434" s="40"/>
      <c r="RYD1434" s="40"/>
      <c r="RYE1434" s="40"/>
      <c r="RYF1434" s="40"/>
      <c r="RYG1434" s="40"/>
      <c r="RYH1434" s="40"/>
      <c r="RYI1434" s="40"/>
      <c r="RYJ1434" s="40"/>
      <c r="RYK1434" s="40"/>
      <c r="RYL1434" s="40"/>
      <c r="RYM1434" s="40"/>
      <c r="RYN1434" s="40"/>
      <c r="RYO1434" s="40"/>
      <c r="RYP1434" s="40"/>
      <c r="RYQ1434" s="40"/>
      <c r="RYR1434" s="40"/>
      <c r="RYS1434" s="40"/>
      <c r="RYT1434" s="40"/>
      <c r="RYU1434" s="40"/>
      <c r="RYV1434" s="40"/>
      <c r="RYW1434" s="40"/>
      <c r="RYX1434" s="40"/>
      <c r="RYY1434" s="40"/>
      <c r="RYZ1434" s="40"/>
      <c r="RZA1434" s="40"/>
      <c r="RZB1434" s="40"/>
      <c r="RZC1434" s="40"/>
      <c r="RZD1434" s="40"/>
      <c r="RZE1434" s="40"/>
      <c r="RZF1434" s="40"/>
      <c r="RZG1434" s="40"/>
      <c r="RZH1434" s="40"/>
      <c r="RZI1434" s="40"/>
      <c r="RZJ1434" s="40"/>
      <c r="RZK1434" s="40"/>
      <c r="RZL1434" s="40"/>
      <c r="RZM1434" s="40"/>
      <c r="RZN1434" s="40"/>
      <c r="RZO1434" s="40"/>
      <c r="RZP1434" s="40"/>
      <c r="RZQ1434" s="40"/>
      <c r="RZR1434" s="40"/>
      <c r="RZS1434" s="40"/>
      <c r="RZT1434" s="40"/>
      <c r="RZU1434" s="40"/>
      <c r="RZV1434" s="40"/>
      <c r="RZW1434" s="40"/>
      <c r="RZX1434" s="40"/>
      <c r="RZY1434" s="40"/>
      <c r="RZZ1434" s="40"/>
      <c r="SAA1434" s="40"/>
      <c r="SAB1434" s="40"/>
      <c r="SAC1434" s="40"/>
      <c r="SAD1434" s="40"/>
      <c r="SAE1434" s="40"/>
      <c r="SAF1434" s="40"/>
      <c r="SAG1434" s="40"/>
      <c r="SAH1434" s="40"/>
      <c r="SAI1434" s="40"/>
      <c r="SAJ1434" s="40"/>
      <c r="SAK1434" s="40"/>
      <c r="SAL1434" s="40"/>
      <c r="SAM1434" s="40"/>
      <c r="SAN1434" s="40"/>
      <c r="SAO1434" s="40"/>
      <c r="SAP1434" s="40"/>
      <c r="SAQ1434" s="40"/>
      <c r="SAR1434" s="40"/>
      <c r="SAS1434" s="40"/>
      <c r="SAT1434" s="40"/>
      <c r="SAU1434" s="40"/>
      <c r="SAV1434" s="40"/>
      <c r="SAW1434" s="40"/>
      <c r="SAX1434" s="40"/>
      <c r="SAY1434" s="40"/>
      <c r="SAZ1434" s="40"/>
      <c r="SBA1434" s="40"/>
      <c r="SBB1434" s="40"/>
      <c r="SBC1434" s="40"/>
      <c r="SBD1434" s="40"/>
      <c r="SBE1434" s="40"/>
      <c r="SBF1434" s="40"/>
      <c r="SBG1434" s="40"/>
      <c r="SBH1434" s="40"/>
      <c r="SBI1434" s="40"/>
      <c r="SBJ1434" s="40"/>
      <c r="SBK1434" s="40"/>
      <c r="SBL1434" s="40"/>
      <c r="SBM1434" s="40"/>
      <c r="SBN1434" s="40"/>
      <c r="SBO1434" s="40"/>
      <c r="SBP1434" s="40"/>
      <c r="SBQ1434" s="40"/>
      <c r="SBR1434" s="40"/>
      <c r="SBS1434" s="40"/>
      <c r="SBT1434" s="40"/>
      <c r="SBU1434" s="40"/>
      <c r="SBV1434" s="40"/>
      <c r="SBW1434" s="40"/>
      <c r="SBX1434" s="40"/>
      <c r="SBY1434" s="40"/>
      <c r="SBZ1434" s="40"/>
      <c r="SCA1434" s="40"/>
      <c r="SCB1434" s="40"/>
      <c r="SCC1434" s="40"/>
      <c r="SCD1434" s="40"/>
      <c r="SCE1434" s="40"/>
      <c r="SCF1434" s="40"/>
      <c r="SCG1434" s="40"/>
      <c r="SCH1434" s="40"/>
      <c r="SCI1434" s="40"/>
      <c r="SCJ1434" s="40"/>
      <c r="SCK1434" s="40"/>
      <c r="SCL1434" s="40"/>
      <c r="SCM1434" s="40"/>
      <c r="SCN1434" s="40"/>
      <c r="SCO1434" s="40"/>
      <c r="SCP1434" s="40"/>
      <c r="SCQ1434" s="40"/>
      <c r="SCR1434" s="40"/>
      <c r="SCS1434" s="40"/>
      <c r="SCT1434" s="40"/>
      <c r="SCU1434" s="40"/>
      <c r="SCV1434" s="40"/>
      <c r="SCW1434" s="40"/>
      <c r="SCX1434" s="40"/>
      <c r="SCY1434" s="40"/>
      <c r="SCZ1434" s="40"/>
      <c r="SDA1434" s="40"/>
      <c r="SDB1434" s="40"/>
      <c r="SDC1434" s="40"/>
      <c r="SDD1434" s="40"/>
      <c r="SDE1434" s="40"/>
      <c r="SDF1434" s="40"/>
      <c r="SDG1434" s="40"/>
      <c r="SDH1434" s="40"/>
      <c r="SDI1434" s="40"/>
      <c r="SDJ1434" s="40"/>
      <c r="SDK1434" s="40"/>
      <c r="SDL1434" s="40"/>
      <c r="SDM1434" s="40"/>
      <c r="SDN1434" s="40"/>
      <c r="SDO1434" s="40"/>
      <c r="SDP1434" s="40"/>
      <c r="SDQ1434" s="40"/>
      <c r="SDR1434" s="40"/>
      <c r="SDS1434" s="40"/>
      <c r="SDT1434" s="40"/>
      <c r="SDU1434" s="40"/>
      <c r="SDV1434" s="40"/>
      <c r="SDW1434" s="40"/>
      <c r="SDX1434" s="40"/>
      <c r="SDY1434" s="40"/>
      <c r="SDZ1434" s="40"/>
      <c r="SEA1434" s="40"/>
      <c r="SEB1434" s="40"/>
      <c r="SEC1434" s="40"/>
      <c r="SED1434" s="40"/>
      <c r="SEE1434" s="40"/>
      <c r="SEF1434" s="40"/>
      <c r="SEG1434" s="40"/>
      <c r="SEH1434" s="40"/>
      <c r="SEI1434" s="40"/>
      <c r="SEJ1434" s="40"/>
      <c r="SEK1434" s="40"/>
      <c r="SEL1434" s="40"/>
      <c r="SEM1434" s="40"/>
      <c r="SEN1434" s="40"/>
      <c r="SEO1434" s="40"/>
      <c r="SEP1434" s="40"/>
      <c r="SEQ1434" s="40"/>
      <c r="SER1434" s="40"/>
      <c r="SES1434" s="40"/>
      <c r="SET1434" s="40"/>
      <c r="SEU1434" s="40"/>
      <c r="SEV1434" s="40"/>
      <c r="SEW1434" s="40"/>
      <c r="SEX1434" s="40"/>
      <c r="SEY1434" s="40"/>
      <c r="SEZ1434" s="40"/>
      <c r="SFA1434" s="40"/>
      <c r="SFB1434" s="40"/>
      <c r="SFC1434" s="40"/>
      <c r="SFD1434" s="40"/>
      <c r="SFE1434" s="40"/>
      <c r="SFF1434" s="40"/>
      <c r="SFG1434" s="40"/>
      <c r="SFH1434" s="40"/>
      <c r="SFI1434" s="40"/>
      <c r="SFJ1434" s="40"/>
      <c r="SFK1434" s="40"/>
      <c r="SFL1434" s="40"/>
      <c r="SFM1434" s="40"/>
      <c r="SFN1434" s="40"/>
      <c r="SFO1434" s="40"/>
      <c r="SFP1434" s="40"/>
      <c r="SFQ1434" s="40"/>
      <c r="SFR1434" s="40"/>
      <c r="SFS1434" s="40"/>
      <c r="SFT1434" s="40"/>
      <c r="SFU1434" s="40"/>
      <c r="SFV1434" s="40"/>
      <c r="SFW1434" s="40"/>
      <c r="SFX1434" s="40"/>
      <c r="SFY1434" s="40"/>
      <c r="SFZ1434" s="40"/>
      <c r="SGA1434" s="40"/>
      <c r="SGB1434" s="40"/>
      <c r="SGC1434" s="40"/>
      <c r="SGD1434" s="40"/>
      <c r="SGE1434" s="40"/>
      <c r="SGF1434" s="40"/>
      <c r="SGG1434" s="40"/>
      <c r="SGH1434" s="40"/>
      <c r="SGI1434" s="40"/>
      <c r="SGJ1434" s="40"/>
      <c r="SGK1434" s="40"/>
      <c r="SGL1434" s="40"/>
      <c r="SGM1434" s="40"/>
      <c r="SGN1434" s="40"/>
      <c r="SGO1434" s="40"/>
      <c r="SGP1434" s="40"/>
      <c r="SGQ1434" s="40"/>
      <c r="SGR1434" s="40"/>
      <c r="SGS1434" s="40"/>
      <c r="SGT1434" s="40"/>
      <c r="SGU1434" s="40"/>
      <c r="SGV1434" s="40"/>
      <c r="SGW1434" s="40"/>
      <c r="SGX1434" s="40"/>
      <c r="SGY1434" s="40"/>
      <c r="SGZ1434" s="40"/>
      <c r="SHA1434" s="40"/>
      <c r="SHB1434" s="40"/>
      <c r="SHC1434" s="40"/>
      <c r="SHD1434" s="40"/>
      <c r="SHE1434" s="40"/>
      <c r="SHF1434" s="40"/>
      <c r="SHG1434" s="40"/>
      <c r="SHH1434" s="40"/>
      <c r="SHI1434" s="40"/>
      <c r="SHJ1434" s="40"/>
      <c r="SHK1434" s="40"/>
      <c r="SHL1434" s="40"/>
      <c r="SHM1434" s="40"/>
      <c r="SHN1434" s="40"/>
      <c r="SHO1434" s="40"/>
      <c r="SHP1434" s="40"/>
      <c r="SHQ1434" s="40"/>
      <c r="SHR1434" s="40"/>
      <c r="SHS1434" s="40"/>
      <c r="SHT1434" s="40"/>
      <c r="SHU1434" s="40"/>
      <c r="SHV1434" s="40"/>
      <c r="SHW1434" s="40"/>
      <c r="SHX1434" s="40"/>
      <c r="SHY1434" s="40"/>
      <c r="SHZ1434" s="40"/>
      <c r="SIA1434" s="40"/>
      <c r="SIB1434" s="40"/>
      <c r="SIC1434" s="40"/>
      <c r="SID1434" s="40"/>
      <c r="SIE1434" s="40"/>
      <c r="SIF1434" s="40"/>
      <c r="SIG1434" s="40"/>
      <c r="SIH1434" s="40"/>
      <c r="SII1434" s="40"/>
      <c r="SIJ1434" s="40"/>
      <c r="SIK1434" s="40"/>
      <c r="SIL1434" s="40"/>
      <c r="SIM1434" s="40"/>
      <c r="SIN1434" s="40"/>
      <c r="SIO1434" s="40"/>
      <c r="SIP1434" s="40"/>
      <c r="SIQ1434" s="40"/>
      <c r="SIR1434" s="40"/>
      <c r="SIS1434" s="40"/>
      <c r="SIT1434" s="40"/>
      <c r="SIU1434" s="40"/>
      <c r="SIV1434" s="40"/>
      <c r="SIW1434" s="40"/>
      <c r="SIX1434" s="40"/>
      <c r="SIY1434" s="40"/>
      <c r="SIZ1434" s="40"/>
      <c r="SJA1434" s="40"/>
      <c r="SJB1434" s="40"/>
      <c r="SJC1434" s="40"/>
      <c r="SJD1434" s="40"/>
      <c r="SJE1434" s="40"/>
      <c r="SJF1434" s="40"/>
      <c r="SJG1434" s="40"/>
      <c r="SJH1434" s="40"/>
      <c r="SJI1434" s="40"/>
      <c r="SJJ1434" s="40"/>
      <c r="SJK1434" s="40"/>
      <c r="SJL1434" s="40"/>
      <c r="SJM1434" s="40"/>
      <c r="SJN1434" s="40"/>
      <c r="SJO1434" s="40"/>
      <c r="SJP1434" s="40"/>
      <c r="SJQ1434" s="40"/>
      <c r="SJR1434" s="40"/>
      <c r="SJS1434" s="40"/>
      <c r="SJT1434" s="40"/>
      <c r="SJU1434" s="40"/>
      <c r="SJV1434" s="40"/>
      <c r="SJW1434" s="40"/>
      <c r="SJX1434" s="40"/>
      <c r="SJY1434" s="40"/>
      <c r="SJZ1434" s="40"/>
      <c r="SKA1434" s="40"/>
      <c r="SKB1434" s="40"/>
      <c r="SKC1434" s="40"/>
      <c r="SKD1434" s="40"/>
      <c r="SKE1434" s="40"/>
      <c r="SKF1434" s="40"/>
      <c r="SKG1434" s="40"/>
      <c r="SKH1434" s="40"/>
      <c r="SKI1434" s="40"/>
      <c r="SKJ1434" s="40"/>
      <c r="SKK1434" s="40"/>
      <c r="SKL1434" s="40"/>
      <c r="SKM1434" s="40"/>
      <c r="SKN1434" s="40"/>
      <c r="SKO1434" s="40"/>
      <c r="SKP1434" s="40"/>
      <c r="SKQ1434" s="40"/>
      <c r="SKR1434" s="40"/>
      <c r="SKS1434" s="40"/>
      <c r="SKT1434" s="40"/>
      <c r="SKU1434" s="40"/>
      <c r="SKV1434" s="40"/>
      <c r="SKW1434" s="40"/>
      <c r="SKX1434" s="40"/>
      <c r="SKY1434" s="40"/>
      <c r="SKZ1434" s="40"/>
      <c r="SLA1434" s="40"/>
      <c r="SLB1434" s="40"/>
      <c r="SLC1434" s="40"/>
      <c r="SLD1434" s="40"/>
      <c r="SLE1434" s="40"/>
      <c r="SLF1434" s="40"/>
      <c r="SLG1434" s="40"/>
      <c r="SLH1434" s="40"/>
      <c r="SLI1434" s="40"/>
      <c r="SLJ1434" s="40"/>
      <c r="SLK1434" s="40"/>
      <c r="SLL1434" s="40"/>
      <c r="SLM1434" s="40"/>
      <c r="SLN1434" s="40"/>
      <c r="SLO1434" s="40"/>
      <c r="SLP1434" s="40"/>
      <c r="SLQ1434" s="40"/>
      <c r="SLR1434" s="40"/>
      <c r="SLS1434" s="40"/>
      <c r="SLT1434" s="40"/>
      <c r="SLU1434" s="40"/>
      <c r="SLV1434" s="40"/>
      <c r="SLW1434" s="40"/>
      <c r="SLX1434" s="40"/>
      <c r="SLY1434" s="40"/>
      <c r="SLZ1434" s="40"/>
      <c r="SMA1434" s="40"/>
      <c r="SMB1434" s="40"/>
      <c r="SMC1434" s="40"/>
      <c r="SMD1434" s="40"/>
      <c r="SME1434" s="40"/>
      <c r="SMF1434" s="40"/>
      <c r="SMG1434" s="40"/>
      <c r="SMH1434" s="40"/>
      <c r="SMI1434" s="40"/>
      <c r="SMJ1434" s="40"/>
      <c r="SMK1434" s="40"/>
      <c r="SML1434" s="40"/>
      <c r="SMM1434" s="40"/>
      <c r="SMN1434" s="40"/>
      <c r="SMO1434" s="40"/>
      <c r="SMP1434" s="40"/>
      <c r="SMQ1434" s="40"/>
      <c r="SMR1434" s="40"/>
      <c r="SMS1434" s="40"/>
      <c r="SMT1434" s="40"/>
      <c r="SMU1434" s="40"/>
      <c r="SMV1434" s="40"/>
      <c r="SMW1434" s="40"/>
      <c r="SMX1434" s="40"/>
      <c r="SMY1434" s="40"/>
      <c r="SMZ1434" s="40"/>
      <c r="SNA1434" s="40"/>
      <c r="SNB1434" s="40"/>
      <c r="SNC1434" s="40"/>
      <c r="SND1434" s="40"/>
      <c r="SNE1434" s="40"/>
      <c r="SNF1434" s="40"/>
      <c r="SNG1434" s="40"/>
      <c r="SNH1434" s="40"/>
      <c r="SNI1434" s="40"/>
      <c r="SNJ1434" s="40"/>
      <c r="SNK1434" s="40"/>
      <c r="SNL1434" s="40"/>
      <c r="SNM1434" s="40"/>
      <c r="SNN1434" s="40"/>
      <c r="SNO1434" s="40"/>
      <c r="SNP1434" s="40"/>
      <c r="SNQ1434" s="40"/>
      <c r="SNR1434" s="40"/>
      <c r="SNS1434" s="40"/>
      <c r="SNT1434" s="40"/>
      <c r="SNU1434" s="40"/>
      <c r="SNV1434" s="40"/>
      <c r="SNW1434" s="40"/>
      <c r="SNX1434" s="40"/>
      <c r="SNY1434" s="40"/>
      <c r="SNZ1434" s="40"/>
      <c r="SOA1434" s="40"/>
      <c r="SOB1434" s="40"/>
      <c r="SOC1434" s="40"/>
      <c r="SOD1434" s="40"/>
      <c r="SOE1434" s="40"/>
      <c r="SOF1434" s="40"/>
      <c r="SOG1434" s="40"/>
      <c r="SOH1434" s="40"/>
      <c r="SOI1434" s="40"/>
      <c r="SOJ1434" s="40"/>
      <c r="SOK1434" s="40"/>
      <c r="SOL1434" s="40"/>
      <c r="SOM1434" s="40"/>
      <c r="SON1434" s="40"/>
      <c r="SOO1434" s="40"/>
      <c r="SOP1434" s="40"/>
      <c r="SOQ1434" s="40"/>
      <c r="SOR1434" s="40"/>
      <c r="SOS1434" s="40"/>
      <c r="SOT1434" s="40"/>
      <c r="SOU1434" s="40"/>
      <c r="SOV1434" s="40"/>
      <c r="SOW1434" s="40"/>
      <c r="SOX1434" s="40"/>
      <c r="SOY1434" s="40"/>
      <c r="SOZ1434" s="40"/>
      <c r="SPA1434" s="40"/>
      <c r="SPB1434" s="40"/>
      <c r="SPC1434" s="40"/>
      <c r="SPD1434" s="40"/>
      <c r="SPE1434" s="40"/>
      <c r="SPF1434" s="40"/>
      <c r="SPG1434" s="40"/>
      <c r="SPH1434" s="40"/>
      <c r="SPI1434" s="40"/>
      <c r="SPJ1434" s="40"/>
      <c r="SPK1434" s="40"/>
      <c r="SPL1434" s="40"/>
      <c r="SPM1434" s="40"/>
      <c r="SPN1434" s="40"/>
      <c r="SPO1434" s="40"/>
      <c r="SPP1434" s="40"/>
      <c r="SPQ1434" s="40"/>
      <c r="SPR1434" s="40"/>
      <c r="SPS1434" s="40"/>
      <c r="SPT1434" s="40"/>
      <c r="SPU1434" s="40"/>
      <c r="SPV1434" s="40"/>
      <c r="SPW1434" s="40"/>
      <c r="SPX1434" s="40"/>
      <c r="SPY1434" s="40"/>
      <c r="SPZ1434" s="40"/>
      <c r="SQA1434" s="40"/>
      <c r="SQB1434" s="40"/>
      <c r="SQC1434" s="40"/>
      <c r="SQD1434" s="40"/>
      <c r="SQE1434" s="40"/>
      <c r="SQF1434" s="40"/>
      <c r="SQG1434" s="40"/>
      <c r="SQH1434" s="40"/>
      <c r="SQI1434" s="40"/>
      <c r="SQJ1434" s="40"/>
      <c r="SQK1434" s="40"/>
      <c r="SQL1434" s="40"/>
      <c r="SQM1434" s="40"/>
      <c r="SQN1434" s="40"/>
      <c r="SQO1434" s="40"/>
      <c r="SQP1434" s="40"/>
      <c r="SQQ1434" s="40"/>
      <c r="SQR1434" s="40"/>
      <c r="SQS1434" s="40"/>
      <c r="SQT1434" s="40"/>
      <c r="SQU1434" s="40"/>
      <c r="SQV1434" s="40"/>
      <c r="SQW1434" s="40"/>
      <c r="SQX1434" s="40"/>
      <c r="SQY1434" s="40"/>
      <c r="SQZ1434" s="40"/>
      <c r="SRA1434" s="40"/>
      <c r="SRB1434" s="40"/>
      <c r="SRC1434" s="40"/>
      <c r="SRD1434" s="40"/>
      <c r="SRE1434" s="40"/>
      <c r="SRF1434" s="40"/>
      <c r="SRG1434" s="40"/>
      <c r="SRH1434" s="40"/>
      <c r="SRI1434" s="40"/>
      <c r="SRJ1434" s="40"/>
      <c r="SRK1434" s="40"/>
      <c r="SRL1434" s="40"/>
      <c r="SRM1434" s="40"/>
      <c r="SRN1434" s="40"/>
      <c r="SRO1434" s="40"/>
      <c r="SRP1434" s="40"/>
      <c r="SRQ1434" s="40"/>
      <c r="SRR1434" s="40"/>
      <c r="SRS1434" s="40"/>
      <c r="SRT1434" s="40"/>
      <c r="SRU1434" s="40"/>
      <c r="SRV1434" s="40"/>
      <c r="SRW1434" s="40"/>
      <c r="SRX1434" s="40"/>
      <c r="SRY1434" s="40"/>
      <c r="SRZ1434" s="40"/>
      <c r="SSA1434" s="40"/>
      <c r="SSB1434" s="40"/>
      <c r="SSC1434" s="40"/>
      <c r="SSD1434" s="40"/>
      <c r="SSE1434" s="40"/>
      <c r="SSF1434" s="40"/>
      <c r="SSG1434" s="40"/>
      <c r="SSH1434" s="40"/>
      <c r="SSI1434" s="40"/>
      <c r="SSJ1434" s="40"/>
      <c r="SSK1434" s="40"/>
      <c r="SSL1434" s="40"/>
      <c r="SSM1434" s="40"/>
      <c r="SSN1434" s="40"/>
      <c r="SSO1434" s="40"/>
      <c r="SSP1434" s="40"/>
      <c r="SSQ1434" s="40"/>
      <c r="SSR1434" s="40"/>
      <c r="SSS1434" s="40"/>
      <c r="SST1434" s="40"/>
      <c r="SSU1434" s="40"/>
      <c r="SSV1434" s="40"/>
      <c r="SSW1434" s="40"/>
      <c r="SSX1434" s="40"/>
      <c r="SSY1434" s="40"/>
      <c r="SSZ1434" s="40"/>
      <c r="STA1434" s="40"/>
      <c r="STB1434" s="40"/>
      <c r="STC1434" s="40"/>
      <c r="STD1434" s="40"/>
      <c r="STE1434" s="40"/>
      <c r="STF1434" s="40"/>
      <c r="STG1434" s="40"/>
      <c r="STH1434" s="40"/>
      <c r="STI1434" s="40"/>
      <c r="STJ1434" s="40"/>
      <c r="STK1434" s="40"/>
      <c r="STL1434" s="40"/>
      <c r="STM1434" s="40"/>
      <c r="STN1434" s="40"/>
      <c r="STO1434" s="40"/>
      <c r="STP1434" s="40"/>
      <c r="STQ1434" s="40"/>
      <c r="STR1434" s="40"/>
      <c r="STS1434" s="40"/>
      <c r="STT1434" s="40"/>
      <c r="STU1434" s="40"/>
      <c r="STV1434" s="40"/>
      <c r="STW1434" s="40"/>
      <c r="STX1434" s="40"/>
      <c r="STY1434" s="40"/>
      <c r="STZ1434" s="40"/>
      <c r="SUA1434" s="40"/>
      <c r="SUB1434" s="40"/>
      <c r="SUC1434" s="40"/>
      <c r="SUD1434" s="40"/>
      <c r="SUE1434" s="40"/>
      <c r="SUF1434" s="40"/>
      <c r="SUG1434" s="40"/>
      <c r="SUH1434" s="40"/>
      <c r="SUI1434" s="40"/>
      <c r="SUJ1434" s="40"/>
      <c r="SUK1434" s="40"/>
      <c r="SUL1434" s="40"/>
      <c r="SUM1434" s="40"/>
      <c r="SUN1434" s="40"/>
      <c r="SUO1434" s="40"/>
      <c r="SUP1434" s="40"/>
      <c r="SUQ1434" s="40"/>
      <c r="SUR1434" s="40"/>
      <c r="SUS1434" s="40"/>
      <c r="SUT1434" s="40"/>
      <c r="SUU1434" s="40"/>
      <c r="SUV1434" s="40"/>
      <c r="SUW1434" s="40"/>
      <c r="SUX1434" s="40"/>
      <c r="SUY1434" s="40"/>
      <c r="SUZ1434" s="40"/>
      <c r="SVA1434" s="40"/>
      <c r="SVB1434" s="40"/>
      <c r="SVC1434" s="40"/>
      <c r="SVD1434" s="40"/>
      <c r="SVE1434" s="40"/>
      <c r="SVF1434" s="40"/>
      <c r="SVG1434" s="40"/>
      <c r="SVH1434" s="40"/>
      <c r="SVI1434" s="40"/>
      <c r="SVJ1434" s="40"/>
      <c r="SVK1434" s="40"/>
      <c r="SVL1434" s="40"/>
      <c r="SVM1434" s="40"/>
      <c r="SVN1434" s="40"/>
      <c r="SVO1434" s="40"/>
      <c r="SVP1434" s="40"/>
      <c r="SVQ1434" s="40"/>
      <c r="SVR1434" s="40"/>
      <c r="SVS1434" s="40"/>
      <c r="SVT1434" s="40"/>
      <c r="SVU1434" s="40"/>
      <c r="SVV1434" s="40"/>
      <c r="SVW1434" s="40"/>
      <c r="SVX1434" s="40"/>
      <c r="SVY1434" s="40"/>
      <c r="SVZ1434" s="40"/>
      <c r="SWA1434" s="40"/>
      <c r="SWB1434" s="40"/>
      <c r="SWC1434" s="40"/>
      <c r="SWD1434" s="40"/>
      <c r="SWE1434" s="40"/>
      <c r="SWF1434" s="40"/>
      <c r="SWG1434" s="40"/>
      <c r="SWH1434" s="40"/>
      <c r="SWI1434" s="40"/>
      <c r="SWJ1434" s="40"/>
      <c r="SWK1434" s="40"/>
      <c r="SWL1434" s="40"/>
      <c r="SWM1434" s="40"/>
      <c r="SWN1434" s="40"/>
      <c r="SWO1434" s="40"/>
      <c r="SWP1434" s="40"/>
      <c r="SWQ1434" s="40"/>
      <c r="SWR1434" s="40"/>
      <c r="SWS1434" s="40"/>
      <c r="SWT1434" s="40"/>
      <c r="SWU1434" s="40"/>
      <c r="SWV1434" s="40"/>
      <c r="SWW1434" s="40"/>
      <c r="SWX1434" s="40"/>
      <c r="SWY1434" s="40"/>
      <c r="SWZ1434" s="40"/>
      <c r="SXA1434" s="40"/>
      <c r="SXB1434" s="40"/>
      <c r="SXC1434" s="40"/>
      <c r="SXD1434" s="40"/>
      <c r="SXE1434" s="40"/>
      <c r="SXF1434" s="40"/>
      <c r="SXG1434" s="40"/>
      <c r="SXH1434" s="40"/>
      <c r="SXI1434" s="40"/>
      <c r="SXJ1434" s="40"/>
      <c r="SXK1434" s="40"/>
      <c r="SXL1434" s="40"/>
      <c r="SXM1434" s="40"/>
      <c r="SXN1434" s="40"/>
      <c r="SXO1434" s="40"/>
      <c r="SXP1434" s="40"/>
      <c r="SXQ1434" s="40"/>
      <c r="SXR1434" s="40"/>
      <c r="SXS1434" s="40"/>
      <c r="SXT1434" s="40"/>
      <c r="SXU1434" s="40"/>
      <c r="SXV1434" s="40"/>
      <c r="SXW1434" s="40"/>
      <c r="SXX1434" s="40"/>
      <c r="SXY1434" s="40"/>
      <c r="SXZ1434" s="40"/>
      <c r="SYA1434" s="40"/>
      <c r="SYB1434" s="40"/>
      <c r="SYC1434" s="40"/>
      <c r="SYD1434" s="40"/>
      <c r="SYE1434" s="40"/>
      <c r="SYF1434" s="40"/>
      <c r="SYG1434" s="40"/>
      <c r="SYH1434" s="40"/>
      <c r="SYI1434" s="40"/>
      <c r="SYJ1434" s="40"/>
      <c r="SYK1434" s="40"/>
      <c r="SYL1434" s="40"/>
      <c r="SYM1434" s="40"/>
      <c r="SYN1434" s="40"/>
      <c r="SYO1434" s="40"/>
      <c r="SYP1434" s="40"/>
      <c r="SYQ1434" s="40"/>
      <c r="SYR1434" s="40"/>
      <c r="SYS1434" s="40"/>
      <c r="SYT1434" s="40"/>
      <c r="SYU1434" s="40"/>
      <c r="SYV1434" s="40"/>
      <c r="SYW1434" s="40"/>
      <c r="SYX1434" s="40"/>
      <c r="SYY1434" s="40"/>
      <c r="SYZ1434" s="40"/>
      <c r="SZA1434" s="40"/>
      <c r="SZB1434" s="40"/>
      <c r="SZC1434" s="40"/>
      <c r="SZD1434" s="40"/>
      <c r="SZE1434" s="40"/>
      <c r="SZF1434" s="40"/>
      <c r="SZG1434" s="40"/>
      <c r="SZH1434" s="40"/>
      <c r="SZI1434" s="40"/>
      <c r="SZJ1434" s="40"/>
      <c r="SZK1434" s="40"/>
      <c r="SZL1434" s="40"/>
      <c r="SZM1434" s="40"/>
      <c r="SZN1434" s="40"/>
      <c r="SZO1434" s="40"/>
      <c r="SZP1434" s="40"/>
      <c r="SZQ1434" s="40"/>
      <c r="SZR1434" s="40"/>
      <c r="SZS1434" s="40"/>
      <c r="SZT1434" s="40"/>
      <c r="SZU1434" s="40"/>
      <c r="SZV1434" s="40"/>
      <c r="SZW1434" s="40"/>
      <c r="SZX1434" s="40"/>
      <c r="SZY1434" s="40"/>
      <c r="SZZ1434" s="40"/>
      <c r="TAA1434" s="40"/>
      <c r="TAB1434" s="40"/>
      <c r="TAC1434" s="40"/>
      <c r="TAD1434" s="40"/>
      <c r="TAE1434" s="40"/>
      <c r="TAF1434" s="40"/>
      <c r="TAG1434" s="40"/>
      <c r="TAH1434" s="40"/>
      <c r="TAI1434" s="40"/>
      <c r="TAJ1434" s="40"/>
      <c r="TAK1434" s="40"/>
      <c r="TAL1434" s="40"/>
      <c r="TAM1434" s="40"/>
      <c r="TAN1434" s="40"/>
      <c r="TAO1434" s="40"/>
      <c r="TAP1434" s="40"/>
      <c r="TAQ1434" s="40"/>
      <c r="TAR1434" s="40"/>
      <c r="TAS1434" s="40"/>
      <c r="TAT1434" s="40"/>
      <c r="TAU1434" s="40"/>
      <c r="TAV1434" s="40"/>
      <c r="TAW1434" s="40"/>
      <c r="TAX1434" s="40"/>
      <c r="TAY1434" s="40"/>
      <c r="TAZ1434" s="40"/>
      <c r="TBA1434" s="40"/>
      <c r="TBB1434" s="40"/>
      <c r="TBC1434" s="40"/>
      <c r="TBD1434" s="40"/>
      <c r="TBE1434" s="40"/>
      <c r="TBF1434" s="40"/>
      <c r="TBG1434" s="40"/>
      <c r="TBH1434" s="40"/>
      <c r="TBI1434" s="40"/>
      <c r="TBJ1434" s="40"/>
      <c r="TBK1434" s="40"/>
      <c r="TBL1434" s="40"/>
      <c r="TBM1434" s="40"/>
      <c r="TBN1434" s="40"/>
      <c r="TBO1434" s="40"/>
      <c r="TBP1434" s="40"/>
      <c r="TBQ1434" s="40"/>
      <c r="TBR1434" s="40"/>
      <c r="TBS1434" s="40"/>
      <c r="TBT1434" s="40"/>
      <c r="TBU1434" s="40"/>
      <c r="TBV1434" s="40"/>
      <c r="TBW1434" s="40"/>
      <c r="TBX1434" s="40"/>
      <c r="TBY1434" s="40"/>
      <c r="TBZ1434" s="40"/>
      <c r="TCA1434" s="40"/>
      <c r="TCB1434" s="40"/>
      <c r="TCC1434" s="40"/>
      <c r="TCD1434" s="40"/>
      <c r="TCE1434" s="40"/>
      <c r="TCF1434" s="40"/>
      <c r="TCG1434" s="40"/>
      <c r="TCH1434" s="40"/>
      <c r="TCI1434" s="40"/>
      <c r="TCJ1434" s="40"/>
      <c r="TCK1434" s="40"/>
      <c r="TCL1434" s="40"/>
      <c r="TCM1434" s="40"/>
      <c r="TCN1434" s="40"/>
      <c r="TCO1434" s="40"/>
      <c r="TCP1434" s="40"/>
      <c r="TCQ1434" s="40"/>
      <c r="TCR1434" s="40"/>
      <c r="TCS1434" s="40"/>
      <c r="TCT1434" s="40"/>
      <c r="TCU1434" s="40"/>
      <c r="TCV1434" s="40"/>
      <c r="TCW1434" s="40"/>
      <c r="TCX1434" s="40"/>
      <c r="TCY1434" s="40"/>
      <c r="TCZ1434" s="40"/>
      <c r="TDA1434" s="40"/>
      <c r="TDB1434" s="40"/>
      <c r="TDC1434" s="40"/>
      <c r="TDD1434" s="40"/>
      <c r="TDE1434" s="40"/>
      <c r="TDF1434" s="40"/>
      <c r="TDG1434" s="40"/>
      <c r="TDH1434" s="40"/>
      <c r="TDI1434" s="40"/>
      <c r="TDJ1434" s="40"/>
      <c r="TDK1434" s="40"/>
      <c r="TDL1434" s="40"/>
      <c r="TDM1434" s="40"/>
      <c r="TDN1434" s="40"/>
      <c r="TDO1434" s="40"/>
      <c r="TDP1434" s="40"/>
      <c r="TDQ1434" s="40"/>
      <c r="TDR1434" s="40"/>
      <c r="TDS1434" s="40"/>
      <c r="TDT1434" s="40"/>
      <c r="TDU1434" s="40"/>
      <c r="TDV1434" s="40"/>
      <c r="TDW1434" s="40"/>
      <c r="TDX1434" s="40"/>
      <c r="TDY1434" s="40"/>
      <c r="TDZ1434" s="40"/>
      <c r="TEA1434" s="40"/>
      <c r="TEB1434" s="40"/>
      <c r="TEC1434" s="40"/>
      <c r="TED1434" s="40"/>
      <c r="TEE1434" s="40"/>
      <c r="TEF1434" s="40"/>
      <c r="TEG1434" s="40"/>
      <c r="TEH1434" s="40"/>
      <c r="TEI1434" s="40"/>
      <c r="TEJ1434" s="40"/>
      <c r="TEK1434" s="40"/>
      <c r="TEL1434" s="40"/>
      <c r="TEM1434" s="40"/>
      <c r="TEN1434" s="40"/>
      <c r="TEO1434" s="40"/>
      <c r="TEP1434" s="40"/>
      <c r="TEQ1434" s="40"/>
      <c r="TER1434" s="40"/>
      <c r="TES1434" s="40"/>
      <c r="TET1434" s="40"/>
      <c r="TEU1434" s="40"/>
      <c r="TEV1434" s="40"/>
      <c r="TEW1434" s="40"/>
      <c r="TEX1434" s="40"/>
      <c r="TEY1434" s="40"/>
      <c r="TEZ1434" s="40"/>
      <c r="TFA1434" s="40"/>
      <c r="TFB1434" s="40"/>
      <c r="TFC1434" s="40"/>
      <c r="TFD1434" s="40"/>
      <c r="TFE1434" s="40"/>
      <c r="TFF1434" s="40"/>
      <c r="TFG1434" s="40"/>
      <c r="TFH1434" s="40"/>
      <c r="TFI1434" s="40"/>
      <c r="TFJ1434" s="40"/>
      <c r="TFK1434" s="40"/>
      <c r="TFL1434" s="40"/>
      <c r="TFM1434" s="40"/>
      <c r="TFN1434" s="40"/>
      <c r="TFO1434" s="40"/>
      <c r="TFP1434" s="40"/>
      <c r="TFQ1434" s="40"/>
      <c r="TFR1434" s="40"/>
      <c r="TFS1434" s="40"/>
      <c r="TFT1434" s="40"/>
      <c r="TFU1434" s="40"/>
      <c r="TFV1434" s="40"/>
      <c r="TFW1434" s="40"/>
      <c r="TFX1434" s="40"/>
      <c r="TFY1434" s="40"/>
      <c r="TFZ1434" s="40"/>
      <c r="TGA1434" s="40"/>
      <c r="TGB1434" s="40"/>
      <c r="TGC1434" s="40"/>
      <c r="TGD1434" s="40"/>
      <c r="TGE1434" s="40"/>
      <c r="TGF1434" s="40"/>
      <c r="TGG1434" s="40"/>
      <c r="TGH1434" s="40"/>
      <c r="TGI1434" s="40"/>
      <c r="TGJ1434" s="40"/>
      <c r="TGK1434" s="40"/>
      <c r="TGL1434" s="40"/>
      <c r="TGM1434" s="40"/>
      <c r="TGN1434" s="40"/>
      <c r="TGO1434" s="40"/>
      <c r="TGP1434" s="40"/>
      <c r="TGQ1434" s="40"/>
      <c r="TGR1434" s="40"/>
      <c r="TGS1434" s="40"/>
      <c r="TGT1434" s="40"/>
      <c r="TGU1434" s="40"/>
      <c r="TGV1434" s="40"/>
      <c r="TGW1434" s="40"/>
      <c r="TGX1434" s="40"/>
      <c r="TGY1434" s="40"/>
      <c r="TGZ1434" s="40"/>
      <c r="THA1434" s="40"/>
      <c r="THB1434" s="40"/>
      <c r="THC1434" s="40"/>
      <c r="THD1434" s="40"/>
      <c r="THE1434" s="40"/>
      <c r="THF1434" s="40"/>
      <c r="THG1434" s="40"/>
      <c r="THH1434" s="40"/>
      <c r="THI1434" s="40"/>
      <c r="THJ1434" s="40"/>
      <c r="THK1434" s="40"/>
      <c r="THL1434" s="40"/>
      <c r="THM1434" s="40"/>
      <c r="THN1434" s="40"/>
      <c r="THO1434" s="40"/>
      <c r="THP1434" s="40"/>
      <c r="THQ1434" s="40"/>
      <c r="THR1434" s="40"/>
      <c r="THS1434" s="40"/>
      <c r="THT1434" s="40"/>
      <c r="THU1434" s="40"/>
      <c r="THV1434" s="40"/>
      <c r="THW1434" s="40"/>
      <c r="THX1434" s="40"/>
      <c r="THY1434" s="40"/>
      <c r="THZ1434" s="40"/>
      <c r="TIA1434" s="40"/>
      <c r="TIB1434" s="40"/>
      <c r="TIC1434" s="40"/>
      <c r="TID1434" s="40"/>
      <c r="TIE1434" s="40"/>
      <c r="TIF1434" s="40"/>
      <c r="TIG1434" s="40"/>
      <c r="TIH1434" s="40"/>
      <c r="TII1434" s="40"/>
      <c r="TIJ1434" s="40"/>
      <c r="TIK1434" s="40"/>
      <c r="TIL1434" s="40"/>
      <c r="TIM1434" s="40"/>
      <c r="TIN1434" s="40"/>
      <c r="TIO1434" s="40"/>
      <c r="TIP1434" s="40"/>
      <c r="TIQ1434" s="40"/>
      <c r="TIR1434" s="40"/>
      <c r="TIS1434" s="40"/>
      <c r="TIT1434" s="40"/>
      <c r="TIU1434" s="40"/>
      <c r="TIV1434" s="40"/>
      <c r="TIW1434" s="40"/>
      <c r="TIX1434" s="40"/>
      <c r="TIY1434" s="40"/>
      <c r="TIZ1434" s="40"/>
      <c r="TJA1434" s="40"/>
      <c r="TJB1434" s="40"/>
      <c r="TJC1434" s="40"/>
      <c r="TJD1434" s="40"/>
      <c r="TJE1434" s="40"/>
      <c r="TJF1434" s="40"/>
      <c r="TJG1434" s="40"/>
      <c r="TJH1434" s="40"/>
      <c r="TJI1434" s="40"/>
      <c r="TJJ1434" s="40"/>
      <c r="TJK1434" s="40"/>
      <c r="TJL1434" s="40"/>
      <c r="TJM1434" s="40"/>
      <c r="TJN1434" s="40"/>
      <c r="TJO1434" s="40"/>
      <c r="TJP1434" s="40"/>
      <c r="TJQ1434" s="40"/>
      <c r="TJR1434" s="40"/>
      <c r="TJS1434" s="40"/>
      <c r="TJT1434" s="40"/>
      <c r="TJU1434" s="40"/>
      <c r="TJV1434" s="40"/>
      <c r="TJW1434" s="40"/>
      <c r="TJX1434" s="40"/>
      <c r="TJY1434" s="40"/>
      <c r="TJZ1434" s="40"/>
      <c r="TKA1434" s="40"/>
      <c r="TKB1434" s="40"/>
      <c r="TKC1434" s="40"/>
      <c r="TKD1434" s="40"/>
      <c r="TKE1434" s="40"/>
      <c r="TKF1434" s="40"/>
      <c r="TKG1434" s="40"/>
      <c r="TKH1434" s="40"/>
      <c r="TKI1434" s="40"/>
      <c r="TKJ1434" s="40"/>
      <c r="TKK1434" s="40"/>
      <c r="TKL1434" s="40"/>
      <c r="TKM1434" s="40"/>
      <c r="TKN1434" s="40"/>
      <c r="TKO1434" s="40"/>
      <c r="TKP1434" s="40"/>
      <c r="TKQ1434" s="40"/>
      <c r="TKR1434" s="40"/>
      <c r="TKS1434" s="40"/>
      <c r="TKT1434" s="40"/>
      <c r="TKU1434" s="40"/>
      <c r="TKV1434" s="40"/>
      <c r="TKW1434" s="40"/>
      <c r="TKX1434" s="40"/>
      <c r="TKY1434" s="40"/>
      <c r="TKZ1434" s="40"/>
      <c r="TLA1434" s="40"/>
      <c r="TLB1434" s="40"/>
      <c r="TLC1434" s="40"/>
      <c r="TLD1434" s="40"/>
      <c r="TLE1434" s="40"/>
      <c r="TLF1434" s="40"/>
      <c r="TLG1434" s="40"/>
      <c r="TLH1434" s="40"/>
      <c r="TLI1434" s="40"/>
      <c r="TLJ1434" s="40"/>
      <c r="TLK1434" s="40"/>
      <c r="TLL1434" s="40"/>
      <c r="TLM1434" s="40"/>
      <c r="TLN1434" s="40"/>
      <c r="TLO1434" s="40"/>
      <c r="TLP1434" s="40"/>
      <c r="TLQ1434" s="40"/>
      <c r="TLR1434" s="40"/>
      <c r="TLS1434" s="40"/>
      <c r="TLT1434" s="40"/>
      <c r="TLU1434" s="40"/>
      <c r="TLV1434" s="40"/>
      <c r="TLW1434" s="40"/>
      <c r="TLX1434" s="40"/>
      <c r="TLY1434" s="40"/>
      <c r="TLZ1434" s="40"/>
      <c r="TMA1434" s="40"/>
      <c r="TMB1434" s="40"/>
      <c r="TMC1434" s="40"/>
      <c r="TMD1434" s="40"/>
      <c r="TME1434" s="40"/>
      <c r="TMF1434" s="40"/>
      <c r="TMG1434" s="40"/>
      <c r="TMH1434" s="40"/>
      <c r="TMI1434" s="40"/>
      <c r="TMJ1434" s="40"/>
      <c r="TMK1434" s="40"/>
      <c r="TML1434" s="40"/>
      <c r="TMM1434" s="40"/>
      <c r="TMN1434" s="40"/>
      <c r="TMO1434" s="40"/>
      <c r="TMP1434" s="40"/>
      <c r="TMQ1434" s="40"/>
      <c r="TMR1434" s="40"/>
      <c r="TMS1434" s="40"/>
      <c r="TMT1434" s="40"/>
      <c r="TMU1434" s="40"/>
      <c r="TMV1434" s="40"/>
      <c r="TMW1434" s="40"/>
      <c r="TMX1434" s="40"/>
      <c r="TMY1434" s="40"/>
      <c r="TMZ1434" s="40"/>
      <c r="TNA1434" s="40"/>
      <c r="TNB1434" s="40"/>
      <c r="TNC1434" s="40"/>
      <c r="TND1434" s="40"/>
      <c r="TNE1434" s="40"/>
      <c r="TNF1434" s="40"/>
      <c r="TNG1434" s="40"/>
      <c r="TNH1434" s="40"/>
      <c r="TNI1434" s="40"/>
      <c r="TNJ1434" s="40"/>
      <c r="TNK1434" s="40"/>
      <c r="TNL1434" s="40"/>
      <c r="TNM1434" s="40"/>
      <c r="TNN1434" s="40"/>
      <c r="TNO1434" s="40"/>
      <c r="TNP1434" s="40"/>
      <c r="TNQ1434" s="40"/>
      <c r="TNR1434" s="40"/>
      <c r="TNS1434" s="40"/>
      <c r="TNT1434" s="40"/>
      <c r="TNU1434" s="40"/>
      <c r="TNV1434" s="40"/>
      <c r="TNW1434" s="40"/>
      <c r="TNX1434" s="40"/>
      <c r="TNY1434" s="40"/>
      <c r="TNZ1434" s="40"/>
      <c r="TOA1434" s="40"/>
      <c r="TOB1434" s="40"/>
      <c r="TOC1434" s="40"/>
      <c r="TOD1434" s="40"/>
      <c r="TOE1434" s="40"/>
      <c r="TOF1434" s="40"/>
      <c r="TOG1434" s="40"/>
      <c r="TOH1434" s="40"/>
      <c r="TOI1434" s="40"/>
      <c r="TOJ1434" s="40"/>
      <c r="TOK1434" s="40"/>
      <c r="TOL1434" s="40"/>
      <c r="TOM1434" s="40"/>
      <c r="TON1434" s="40"/>
      <c r="TOO1434" s="40"/>
      <c r="TOP1434" s="40"/>
      <c r="TOQ1434" s="40"/>
      <c r="TOR1434" s="40"/>
      <c r="TOS1434" s="40"/>
      <c r="TOT1434" s="40"/>
      <c r="TOU1434" s="40"/>
      <c r="TOV1434" s="40"/>
      <c r="TOW1434" s="40"/>
      <c r="TOX1434" s="40"/>
      <c r="TOY1434" s="40"/>
      <c r="TOZ1434" s="40"/>
      <c r="TPA1434" s="40"/>
      <c r="TPB1434" s="40"/>
      <c r="TPC1434" s="40"/>
      <c r="TPD1434" s="40"/>
      <c r="TPE1434" s="40"/>
      <c r="TPF1434" s="40"/>
      <c r="TPG1434" s="40"/>
      <c r="TPH1434" s="40"/>
      <c r="TPI1434" s="40"/>
      <c r="TPJ1434" s="40"/>
      <c r="TPK1434" s="40"/>
      <c r="TPL1434" s="40"/>
      <c r="TPM1434" s="40"/>
      <c r="TPN1434" s="40"/>
      <c r="TPO1434" s="40"/>
      <c r="TPP1434" s="40"/>
      <c r="TPQ1434" s="40"/>
      <c r="TPR1434" s="40"/>
      <c r="TPS1434" s="40"/>
      <c r="TPT1434" s="40"/>
      <c r="TPU1434" s="40"/>
      <c r="TPV1434" s="40"/>
      <c r="TPW1434" s="40"/>
      <c r="TPX1434" s="40"/>
      <c r="TPY1434" s="40"/>
      <c r="TPZ1434" s="40"/>
      <c r="TQA1434" s="40"/>
      <c r="TQB1434" s="40"/>
      <c r="TQC1434" s="40"/>
      <c r="TQD1434" s="40"/>
      <c r="TQE1434" s="40"/>
      <c r="TQF1434" s="40"/>
      <c r="TQG1434" s="40"/>
      <c r="TQH1434" s="40"/>
      <c r="TQI1434" s="40"/>
      <c r="TQJ1434" s="40"/>
      <c r="TQK1434" s="40"/>
      <c r="TQL1434" s="40"/>
      <c r="TQM1434" s="40"/>
      <c r="TQN1434" s="40"/>
      <c r="TQO1434" s="40"/>
      <c r="TQP1434" s="40"/>
      <c r="TQQ1434" s="40"/>
      <c r="TQR1434" s="40"/>
      <c r="TQS1434" s="40"/>
      <c r="TQT1434" s="40"/>
      <c r="TQU1434" s="40"/>
      <c r="TQV1434" s="40"/>
      <c r="TQW1434" s="40"/>
      <c r="TQX1434" s="40"/>
      <c r="TQY1434" s="40"/>
      <c r="TQZ1434" s="40"/>
      <c r="TRA1434" s="40"/>
      <c r="TRB1434" s="40"/>
      <c r="TRC1434" s="40"/>
      <c r="TRD1434" s="40"/>
      <c r="TRE1434" s="40"/>
      <c r="TRF1434" s="40"/>
      <c r="TRG1434" s="40"/>
      <c r="TRH1434" s="40"/>
      <c r="TRI1434" s="40"/>
      <c r="TRJ1434" s="40"/>
      <c r="TRK1434" s="40"/>
      <c r="TRL1434" s="40"/>
      <c r="TRM1434" s="40"/>
      <c r="TRN1434" s="40"/>
      <c r="TRO1434" s="40"/>
      <c r="TRP1434" s="40"/>
      <c r="TRQ1434" s="40"/>
      <c r="TRR1434" s="40"/>
      <c r="TRS1434" s="40"/>
      <c r="TRT1434" s="40"/>
      <c r="TRU1434" s="40"/>
      <c r="TRV1434" s="40"/>
      <c r="TRW1434" s="40"/>
      <c r="TRX1434" s="40"/>
      <c r="TRY1434" s="40"/>
      <c r="TRZ1434" s="40"/>
      <c r="TSA1434" s="40"/>
      <c r="TSB1434" s="40"/>
      <c r="TSC1434" s="40"/>
      <c r="TSD1434" s="40"/>
      <c r="TSE1434" s="40"/>
      <c r="TSF1434" s="40"/>
      <c r="TSG1434" s="40"/>
      <c r="TSH1434" s="40"/>
      <c r="TSI1434" s="40"/>
      <c r="TSJ1434" s="40"/>
      <c r="TSK1434" s="40"/>
      <c r="TSL1434" s="40"/>
      <c r="TSM1434" s="40"/>
      <c r="TSN1434" s="40"/>
      <c r="TSO1434" s="40"/>
      <c r="TSP1434" s="40"/>
      <c r="TSQ1434" s="40"/>
      <c r="TSR1434" s="40"/>
      <c r="TSS1434" s="40"/>
      <c r="TST1434" s="40"/>
      <c r="TSU1434" s="40"/>
      <c r="TSV1434" s="40"/>
      <c r="TSW1434" s="40"/>
      <c r="TSX1434" s="40"/>
      <c r="TSY1434" s="40"/>
      <c r="TSZ1434" s="40"/>
      <c r="TTA1434" s="40"/>
      <c r="TTB1434" s="40"/>
      <c r="TTC1434" s="40"/>
      <c r="TTD1434" s="40"/>
      <c r="TTE1434" s="40"/>
      <c r="TTF1434" s="40"/>
      <c r="TTG1434" s="40"/>
      <c r="TTH1434" s="40"/>
      <c r="TTI1434" s="40"/>
      <c r="TTJ1434" s="40"/>
      <c r="TTK1434" s="40"/>
      <c r="TTL1434" s="40"/>
      <c r="TTM1434" s="40"/>
      <c r="TTN1434" s="40"/>
      <c r="TTO1434" s="40"/>
      <c r="TTP1434" s="40"/>
      <c r="TTQ1434" s="40"/>
      <c r="TTR1434" s="40"/>
      <c r="TTS1434" s="40"/>
      <c r="TTT1434" s="40"/>
      <c r="TTU1434" s="40"/>
      <c r="TTV1434" s="40"/>
      <c r="TTW1434" s="40"/>
      <c r="TTX1434" s="40"/>
      <c r="TTY1434" s="40"/>
      <c r="TTZ1434" s="40"/>
      <c r="TUA1434" s="40"/>
      <c r="TUB1434" s="40"/>
      <c r="TUC1434" s="40"/>
      <c r="TUD1434" s="40"/>
      <c r="TUE1434" s="40"/>
      <c r="TUF1434" s="40"/>
      <c r="TUG1434" s="40"/>
      <c r="TUH1434" s="40"/>
      <c r="TUI1434" s="40"/>
      <c r="TUJ1434" s="40"/>
      <c r="TUK1434" s="40"/>
      <c r="TUL1434" s="40"/>
      <c r="TUM1434" s="40"/>
      <c r="TUN1434" s="40"/>
      <c r="TUO1434" s="40"/>
      <c r="TUP1434" s="40"/>
      <c r="TUQ1434" s="40"/>
      <c r="TUR1434" s="40"/>
      <c r="TUS1434" s="40"/>
      <c r="TUT1434" s="40"/>
      <c r="TUU1434" s="40"/>
      <c r="TUV1434" s="40"/>
      <c r="TUW1434" s="40"/>
      <c r="TUX1434" s="40"/>
      <c r="TUY1434" s="40"/>
      <c r="TUZ1434" s="40"/>
      <c r="TVA1434" s="40"/>
      <c r="TVB1434" s="40"/>
      <c r="TVC1434" s="40"/>
      <c r="TVD1434" s="40"/>
      <c r="TVE1434" s="40"/>
      <c r="TVF1434" s="40"/>
      <c r="TVG1434" s="40"/>
      <c r="TVH1434" s="40"/>
      <c r="TVI1434" s="40"/>
      <c r="TVJ1434" s="40"/>
      <c r="TVK1434" s="40"/>
      <c r="TVL1434" s="40"/>
      <c r="TVM1434" s="40"/>
      <c r="TVN1434" s="40"/>
      <c r="TVO1434" s="40"/>
      <c r="TVP1434" s="40"/>
      <c r="TVQ1434" s="40"/>
      <c r="TVR1434" s="40"/>
      <c r="TVS1434" s="40"/>
      <c r="TVT1434" s="40"/>
      <c r="TVU1434" s="40"/>
      <c r="TVV1434" s="40"/>
      <c r="TVW1434" s="40"/>
      <c r="TVX1434" s="40"/>
      <c r="TVY1434" s="40"/>
      <c r="TVZ1434" s="40"/>
      <c r="TWA1434" s="40"/>
      <c r="TWB1434" s="40"/>
      <c r="TWC1434" s="40"/>
      <c r="TWD1434" s="40"/>
      <c r="TWE1434" s="40"/>
      <c r="TWF1434" s="40"/>
      <c r="TWG1434" s="40"/>
      <c r="TWH1434" s="40"/>
      <c r="TWI1434" s="40"/>
      <c r="TWJ1434" s="40"/>
      <c r="TWK1434" s="40"/>
      <c r="TWL1434" s="40"/>
      <c r="TWM1434" s="40"/>
      <c r="TWN1434" s="40"/>
      <c r="TWO1434" s="40"/>
      <c r="TWP1434" s="40"/>
      <c r="TWQ1434" s="40"/>
      <c r="TWR1434" s="40"/>
      <c r="TWS1434" s="40"/>
      <c r="TWT1434" s="40"/>
      <c r="TWU1434" s="40"/>
      <c r="TWV1434" s="40"/>
      <c r="TWW1434" s="40"/>
      <c r="TWX1434" s="40"/>
      <c r="TWY1434" s="40"/>
      <c r="TWZ1434" s="40"/>
      <c r="TXA1434" s="40"/>
      <c r="TXB1434" s="40"/>
      <c r="TXC1434" s="40"/>
      <c r="TXD1434" s="40"/>
      <c r="TXE1434" s="40"/>
      <c r="TXF1434" s="40"/>
      <c r="TXG1434" s="40"/>
      <c r="TXH1434" s="40"/>
      <c r="TXI1434" s="40"/>
      <c r="TXJ1434" s="40"/>
      <c r="TXK1434" s="40"/>
      <c r="TXL1434" s="40"/>
      <c r="TXM1434" s="40"/>
      <c r="TXN1434" s="40"/>
      <c r="TXO1434" s="40"/>
      <c r="TXP1434" s="40"/>
      <c r="TXQ1434" s="40"/>
      <c r="TXR1434" s="40"/>
      <c r="TXS1434" s="40"/>
      <c r="TXT1434" s="40"/>
      <c r="TXU1434" s="40"/>
      <c r="TXV1434" s="40"/>
      <c r="TXW1434" s="40"/>
      <c r="TXX1434" s="40"/>
      <c r="TXY1434" s="40"/>
      <c r="TXZ1434" s="40"/>
      <c r="TYA1434" s="40"/>
      <c r="TYB1434" s="40"/>
      <c r="TYC1434" s="40"/>
      <c r="TYD1434" s="40"/>
      <c r="TYE1434" s="40"/>
      <c r="TYF1434" s="40"/>
      <c r="TYG1434" s="40"/>
      <c r="TYH1434" s="40"/>
      <c r="TYI1434" s="40"/>
      <c r="TYJ1434" s="40"/>
      <c r="TYK1434" s="40"/>
      <c r="TYL1434" s="40"/>
      <c r="TYM1434" s="40"/>
      <c r="TYN1434" s="40"/>
      <c r="TYO1434" s="40"/>
      <c r="TYP1434" s="40"/>
      <c r="TYQ1434" s="40"/>
      <c r="TYR1434" s="40"/>
      <c r="TYS1434" s="40"/>
      <c r="TYT1434" s="40"/>
      <c r="TYU1434" s="40"/>
      <c r="TYV1434" s="40"/>
      <c r="TYW1434" s="40"/>
      <c r="TYX1434" s="40"/>
      <c r="TYY1434" s="40"/>
      <c r="TYZ1434" s="40"/>
      <c r="TZA1434" s="40"/>
      <c r="TZB1434" s="40"/>
      <c r="TZC1434" s="40"/>
      <c r="TZD1434" s="40"/>
      <c r="TZE1434" s="40"/>
      <c r="TZF1434" s="40"/>
      <c r="TZG1434" s="40"/>
      <c r="TZH1434" s="40"/>
      <c r="TZI1434" s="40"/>
      <c r="TZJ1434" s="40"/>
      <c r="TZK1434" s="40"/>
      <c r="TZL1434" s="40"/>
      <c r="TZM1434" s="40"/>
      <c r="TZN1434" s="40"/>
      <c r="TZO1434" s="40"/>
      <c r="TZP1434" s="40"/>
      <c r="TZQ1434" s="40"/>
      <c r="TZR1434" s="40"/>
      <c r="TZS1434" s="40"/>
      <c r="TZT1434" s="40"/>
      <c r="TZU1434" s="40"/>
      <c r="TZV1434" s="40"/>
      <c r="TZW1434" s="40"/>
      <c r="TZX1434" s="40"/>
      <c r="TZY1434" s="40"/>
      <c r="TZZ1434" s="40"/>
      <c r="UAA1434" s="40"/>
      <c r="UAB1434" s="40"/>
      <c r="UAC1434" s="40"/>
      <c r="UAD1434" s="40"/>
      <c r="UAE1434" s="40"/>
      <c r="UAF1434" s="40"/>
      <c r="UAG1434" s="40"/>
      <c r="UAH1434" s="40"/>
      <c r="UAI1434" s="40"/>
      <c r="UAJ1434" s="40"/>
      <c r="UAK1434" s="40"/>
      <c r="UAL1434" s="40"/>
      <c r="UAM1434" s="40"/>
      <c r="UAN1434" s="40"/>
      <c r="UAO1434" s="40"/>
      <c r="UAP1434" s="40"/>
      <c r="UAQ1434" s="40"/>
      <c r="UAR1434" s="40"/>
      <c r="UAS1434" s="40"/>
      <c r="UAT1434" s="40"/>
      <c r="UAU1434" s="40"/>
      <c r="UAV1434" s="40"/>
      <c r="UAW1434" s="40"/>
      <c r="UAX1434" s="40"/>
      <c r="UAY1434" s="40"/>
      <c r="UAZ1434" s="40"/>
      <c r="UBA1434" s="40"/>
      <c r="UBB1434" s="40"/>
      <c r="UBC1434" s="40"/>
      <c r="UBD1434" s="40"/>
      <c r="UBE1434" s="40"/>
      <c r="UBF1434" s="40"/>
      <c r="UBG1434" s="40"/>
      <c r="UBH1434" s="40"/>
      <c r="UBI1434" s="40"/>
      <c r="UBJ1434" s="40"/>
      <c r="UBK1434" s="40"/>
      <c r="UBL1434" s="40"/>
      <c r="UBM1434" s="40"/>
      <c r="UBN1434" s="40"/>
      <c r="UBO1434" s="40"/>
      <c r="UBP1434" s="40"/>
      <c r="UBQ1434" s="40"/>
      <c r="UBR1434" s="40"/>
      <c r="UBS1434" s="40"/>
      <c r="UBT1434" s="40"/>
      <c r="UBU1434" s="40"/>
      <c r="UBV1434" s="40"/>
      <c r="UBW1434" s="40"/>
      <c r="UBX1434" s="40"/>
      <c r="UBY1434" s="40"/>
      <c r="UBZ1434" s="40"/>
      <c r="UCA1434" s="40"/>
      <c r="UCB1434" s="40"/>
      <c r="UCC1434" s="40"/>
      <c r="UCD1434" s="40"/>
      <c r="UCE1434" s="40"/>
      <c r="UCF1434" s="40"/>
      <c r="UCG1434" s="40"/>
      <c r="UCH1434" s="40"/>
      <c r="UCI1434" s="40"/>
      <c r="UCJ1434" s="40"/>
      <c r="UCK1434" s="40"/>
      <c r="UCL1434" s="40"/>
      <c r="UCM1434" s="40"/>
      <c r="UCN1434" s="40"/>
      <c r="UCO1434" s="40"/>
      <c r="UCP1434" s="40"/>
      <c r="UCQ1434" s="40"/>
      <c r="UCR1434" s="40"/>
      <c r="UCS1434" s="40"/>
      <c r="UCT1434" s="40"/>
      <c r="UCU1434" s="40"/>
      <c r="UCV1434" s="40"/>
      <c r="UCW1434" s="40"/>
      <c r="UCX1434" s="40"/>
      <c r="UCY1434" s="40"/>
      <c r="UCZ1434" s="40"/>
      <c r="UDA1434" s="40"/>
      <c r="UDB1434" s="40"/>
      <c r="UDC1434" s="40"/>
      <c r="UDD1434" s="40"/>
      <c r="UDE1434" s="40"/>
      <c r="UDF1434" s="40"/>
      <c r="UDG1434" s="40"/>
      <c r="UDH1434" s="40"/>
      <c r="UDI1434" s="40"/>
      <c r="UDJ1434" s="40"/>
      <c r="UDK1434" s="40"/>
      <c r="UDL1434" s="40"/>
      <c r="UDM1434" s="40"/>
      <c r="UDN1434" s="40"/>
      <c r="UDO1434" s="40"/>
      <c r="UDP1434" s="40"/>
      <c r="UDQ1434" s="40"/>
      <c r="UDR1434" s="40"/>
      <c r="UDS1434" s="40"/>
      <c r="UDT1434" s="40"/>
      <c r="UDU1434" s="40"/>
      <c r="UDV1434" s="40"/>
      <c r="UDW1434" s="40"/>
      <c r="UDX1434" s="40"/>
      <c r="UDY1434" s="40"/>
      <c r="UDZ1434" s="40"/>
      <c r="UEA1434" s="40"/>
      <c r="UEB1434" s="40"/>
      <c r="UEC1434" s="40"/>
      <c r="UED1434" s="40"/>
      <c r="UEE1434" s="40"/>
      <c r="UEF1434" s="40"/>
      <c r="UEG1434" s="40"/>
      <c r="UEH1434" s="40"/>
      <c r="UEI1434" s="40"/>
      <c r="UEJ1434" s="40"/>
      <c r="UEK1434" s="40"/>
      <c r="UEL1434" s="40"/>
      <c r="UEM1434" s="40"/>
      <c r="UEN1434" s="40"/>
      <c r="UEO1434" s="40"/>
      <c r="UEP1434" s="40"/>
      <c r="UEQ1434" s="40"/>
      <c r="UER1434" s="40"/>
      <c r="UES1434" s="40"/>
      <c r="UET1434" s="40"/>
      <c r="UEU1434" s="40"/>
      <c r="UEV1434" s="40"/>
      <c r="UEW1434" s="40"/>
      <c r="UEX1434" s="40"/>
      <c r="UEY1434" s="40"/>
      <c r="UEZ1434" s="40"/>
      <c r="UFA1434" s="40"/>
      <c r="UFB1434" s="40"/>
      <c r="UFC1434" s="40"/>
      <c r="UFD1434" s="40"/>
      <c r="UFE1434" s="40"/>
      <c r="UFF1434" s="40"/>
      <c r="UFG1434" s="40"/>
      <c r="UFH1434" s="40"/>
      <c r="UFI1434" s="40"/>
      <c r="UFJ1434" s="40"/>
      <c r="UFK1434" s="40"/>
      <c r="UFL1434" s="40"/>
      <c r="UFM1434" s="40"/>
      <c r="UFN1434" s="40"/>
      <c r="UFO1434" s="40"/>
      <c r="UFP1434" s="40"/>
      <c r="UFQ1434" s="40"/>
      <c r="UFR1434" s="40"/>
      <c r="UFS1434" s="40"/>
      <c r="UFT1434" s="40"/>
      <c r="UFU1434" s="40"/>
      <c r="UFV1434" s="40"/>
      <c r="UFW1434" s="40"/>
      <c r="UFX1434" s="40"/>
      <c r="UFY1434" s="40"/>
      <c r="UFZ1434" s="40"/>
      <c r="UGA1434" s="40"/>
      <c r="UGB1434" s="40"/>
      <c r="UGC1434" s="40"/>
      <c r="UGD1434" s="40"/>
      <c r="UGE1434" s="40"/>
      <c r="UGF1434" s="40"/>
      <c r="UGG1434" s="40"/>
      <c r="UGH1434" s="40"/>
      <c r="UGI1434" s="40"/>
      <c r="UGJ1434" s="40"/>
      <c r="UGK1434" s="40"/>
      <c r="UGL1434" s="40"/>
      <c r="UGM1434" s="40"/>
      <c r="UGN1434" s="40"/>
      <c r="UGO1434" s="40"/>
      <c r="UGP1434" s="40"/>
      <c r="UGQ1434" s="40"/>
      <c r="UGR1434" s="40"/>
      <c r="UGS1434" s="40"/>
      <c r="UGT1434" s="40"/>
      <c r="UGU1434" s="40"/>
      <c r="UGV1434" s="40"/>
      <c r="UGW1434" s="40"/>
      <c r="UGX1434" s="40"/>
      <c r="UGY1434" s="40"/>
      <c r="UGZ1434" s="40"/>
      <c r="UHA1434" s="40"/>
      <c r="UHB1434" s="40"/>
      <c r="UHC1434" s="40"/>
      <c r="UHD1434" s="40"/>
      <c r="UHE1434" s="40"/>
      <c r="UHF1434" s="40"/>
      <c r="UHG1434" s="40"/>
      <c r="UHH1434" s="40"/>
      <c r="UHI1434" s="40"/>
      <c r="UHJ1434" s="40"/>
      <c r="UHK1434" s="40"/>
      <c r="UHL1434" s="40"/>
      <c r="UHM1434" s="40"/>
      <c r="UHN1434" s="40"/>
      <c r="UHO1434" s="40"/>
      <c r="UHP1434" s="40"/>
      <c r="UHQ1434" s="40"/>
      <c r="UHR1434" s="40"/>
      <c r="UHS1434" s="40"/>
      <c r="UHT1434" s="40"/>
      <c r="UHU1434" s="40"/>
      <c r="UHV1434" s="40"/>
      <c r="UHW1434" s="40"/>
      <c r="UHX1434" s="40"/>
      <c r="UHY1434" s="40"/>
      <c r="UHZ1434" s="40"/>
      <c r="UIA1434" s="40"/>
      <c r="UIB1434" s="40"/>
      <c r="UIC1434" s="40"/>
      <c r="UID1434" s="40"/>
      <c r="UIE1434" s="40"/>
      <c r="UIF1434" s="40"/>
      <c r="UIG1434" s="40"/>
      <c r="UIH1434" s="40"/>
      <c r="UII1434" s="40"/>
      <c r="UIJ1434" s="40"/>
      <c r="UIK1434" s="40"/>
      <c r="UIL1434" s="40"/>
      <c r="UIM1434" s="40"/>
      <c r="UIN1434" s="40"/>
      <c r="UIO1434" s="40"/>
      <c r="UIP1434" s="40"/>
      <c r="UIQ1434" s="40"/>
      <c r="UIR1434" s="40"/>
      <c r="UIS1434" s="40"/>
      <c r="UIT1434" s="40"/>
      <c r="UIU1434" s="40"/>
      <c r="UIV1434" s="40"/>
      <c r="UIW1434" s="40"/>
      <c r="UIX1434" s="40"/>
      <c r="UIY1434" s="40"/>
      <c r="UIZ1434" s="40"/>
      <c r="UJA1434" s="40"/>
      <c r="UJB1434" s="40"/>
      <c r="UJC1434" s="40"/>
      <c r="UJD1434" s="40"/>
      <c r="UJE1434" s="40"/>
      <c r="UJF1434" s="40"/>
      <c r="UJG1434" s="40"/>
      <c r="UJH1434" s="40"/>
      <c r="UJI1434" s="40"/>
      <c r="UJJ1434" s="40"/>
      <c r="UJK1434" s="40"/>
      <c r="UJL1434" s="40"/>
      <c r="UJM1434" s="40"/>
      <c r="UJN1434" s="40"/>
      <c r="UJO1434" s="40"/>
      <c r="UJP1434" s="40"/>
      <c r="UJQ1434" s="40"/>
      <c r="UJR1434" s="40"/>
      <c r="UJS1434" s="40"/>
      <c r="UJT1434" s="40"/>
      <c r="UJU1434" s="40"/>
      <c r="UJV1434" s="40"/>
      <c r="UJW1434" s="40"/>
      <c r="UJX1434" s="40"/>
      <c r="UJY1434" s="40"/>
      <c r="UJZ1434" s="40"/>
      <c r="UKA1434" s="40"/>
      <c r="UKB1434" s="40"/>
      <c r="UKC1434" s="40"/>
      <c r="UKD1434" s="40"/>
      <c r="UKE1434" s="40"/>
      <c r="UKF1434" s="40"/>
      <c r="UKG1434" s="40"/>
      <c r="UKH1434" s="40"/>
      <c r="UKI1434" s="40"/>
      <c r="UKJ1434" s="40"/>
      <c r="UKK1434" s="40"/>
      <c r="UKL1434" s="40"/>
      <c r="UKM1434" s="40"/>
      <c r="UKN1434" s="40"/>
      <c r="UKO1434" s="40"/>
      <c r="UKP1434" s="40"/>
      <c r="UKQ1434" s="40"/>
      <c r="UKR1434" s="40"/>
      <c r="UKS1434" s="40"/>
      <c r="UKT1434" s="40"/>
      <c r="UKU1434" s="40"/>
      <c r="UKV1434" s="40"/>
      <c r="UKW1434" s="40"/>
      <c r="UKX1434" s="40"/>
      <c r="UKY1434" s="40"/>
      <c r="UKZ1434" s="40"/>
      <c r="ULA1434" s="40"/>
      <c r="ULB1434" s="40"/>
      <c r="ULC1434" s="40"/>
      <c r="ULD1434" s="40"/>
      <c r="ULE1434" s="40"/>
      <c r="ULF1434" s="40"/>
      <c r="ULG1434" s="40"/>
      <c r="ULH1434" s="40"/>
      <c r="ULI1434" s="40"/>
      <c r="ULJ1434" s="40"/>
      <c r="ULK1434" s="40"/>
      <c r="ULL1434" s="40"/>
      <c r="ULM1434" s="40"/>
      <c r="ULN1434" s="40"/>
      <c r="ULO1434" s="40"/>
      <c r="ULP1434" s="40"/>
      <c r="ULQ1434" s="40"/>
      <c r="ULR1434" s="40"/>
      <c r="ULS1434" s="40"/>
      <c r="ULT1434" s="40"/>
      <c r="ULU1434" s="40"/>
      <c r="ULV1434" s="40"/>
      <c r="ULW1434" s="40"/>
      <c r="ULX1434" s="40"/>
      <c r="ULY1434" s="40"/>
      <c r="ULZ1434" s="40"/>
      <c r="UMA1434" s="40"/>
      <c r="UMB1434" s="40"/>
      <c r="UMC1434" s="40"/>
      <c r="UMD1434" s="40"/>
      <c r="UME1434" s="40"/>
      <c r="UMF1434" s="40"/>
      <c r="UMG1434" s="40"/>
      <c r="UMH1434" s="40"/>
      <c r="UMI1434" s="40"/>
      <c r="UMJ1434" s="40"/>
      <c r="UMK1434" s="40"/>
      <c r="UML1434" s="40"/>
      <c r="UMM1434" s="40"/>
      <c r="UMN1434" s="40"/>
      <c r="UMO1434" s="40"/>
      <c r="UMP1434" s="40"/>
      <c r="UMQ1434" s="40"/>
      <c r="UMR1434" s="40"/>
      <c r="UMS1434" s="40"/>
      <c r="UMT1434" s="40"/>
      <c r="UMU1434" s="40"/>
      <c r="UMV1434" s="40"/>
      <c r="UMW1434" s="40"/>
      <c r="UMX1434" s="40"/>
      <c r="UMY1434" s="40"/>
      <c r="UMZ1434" s="40"/>
      <c r="UNA1434" s="40"/>
      <c r="UNB1434" s="40"/>
      <c r="UNC1434" s="40"/>
      <c r="UND1434" s="40"/>
      <c r="UNE1434" s="40"/>
      <c r="UNF1434" s="40"/>
      <c r="UNG1434" s="40"/>
      <c r="UNH1434" s="40"/>
      <c r="UNI1434" s="40"/>
      <c r="UNJ1434" s="40"/>
      <c r="UNK1434" s="40"/>
      <c r="UNL1434" s="40"/>
      <c r="UNM1434" s="40"/>
      <c r="UNN1434" s="40"/>
      <c r="UNO1434" s="40"/>
      <c r="UNP1434" s="40"/>
      <c r="UNQ1434" s="40"/>
      <c r="UNR1434" s="40"/>
      <c r="UNS1434" s="40"/>
      <c r="UNT1434" s="40"/>
      <c r="UNU1434" s="40"/>
      <c r="UNV1434" s="40"/>
      <c r="UNW1434" s="40"/>
      <c r="UNX1434" s="40"/>
      <c r="UNY1434" s="40"/>
      <c r="UNZ1434" s="40"/>
      <c r="UOA1434" s="40"/>
      <c r="UOB1434" s="40"/>
      <c r="UOC1434" s="40"/>
      <c r="UOD1434" s="40"/>
      <c r="UOE1434" s="40"/>
      <c r="UOF1434" s="40"/>
      <c r="UOG1434" s="40"/>
      <c r="UOH1434" s="40"/>
      <c r="UOI1434" s="40"/>
      <c r="UOJ1434" s="40"/>
      <c r="UOK1434" s="40"/>
      <c r="UOL1434" s="40"/>
      <c r="UOM1434" s="40"/>
      <c r="UON1434" s="40"/>
      <c r="UOO1434" s="40"/>
      <c r="UOP1434" s="40"/>
      <c r="UOQ1434" s="40"/>
      <c r="UOR1434" s="40"/>
      <c r="UOS1434" s="40"/>
      <c r="UOT1434" s="40"/>
      <c r="UOU1434" s="40"/>
      <c r="UOV1434" s="40"/>
      <c r="UOW1434" s="40"/>
      <c r="UOX1434" s="40"/>
      <c r="UOY1434" s="40"/>
      <c r="UOZ1434" s="40"/>
      <c r="UPA1434" s="40"/>
      <c r="UPB1434" s="40"/>
      <c r="UPC1434" s="40"/>
      <c r="UPD1434" s="40"/>
      <c r="UPE1434" s="40"/>
      <c r="UPF1434" s="40"/>
      <c r="UPG1434" s="40"/>
      <c r="UPH1434" s="40"/>
      <c r="UPI1434" s="40"/>
      <c r="UPJ1434" s="40"/>
      <c r="UPK1434" s="40"/>
      <c r="UPL1434" s="40"/>
      <c r="UPM1434" s="40"/>
      <c r="UPN1434" s="40"/>
      <c r="UPO1434" s="40"/>
      <c r="UPP1434" s="40"/>
      <c r="UPQ1434" s="40"/>
      <c r="UPR1434" s="40"/>
      <c r="UPS1434" s="40"/>
      <c r="UPT1434" s="40"/>
      <c r="UPU1434" s="40"/>
      <c r="UPV1434" s="40"/>
      <c r="UPW1434" s="40"/>
      <c r="UPX1434" s="40"/>
      <c r="UPY1434" s="40"/>
      <c r="UPZ1434" s="40"/>
      <c r="UQA1434" s="40"/>
      <c r="UQB1434" s="40"/>
      <c r="UQC1434" s="40"/>
      <c r="UQD1434" s="40"/>
      <c r="UQE1434" s="40"/>
      <c r="UQF1434" s="40"/>
      <c r="UQG1434" s="40"/>
      <c r="UQH1434" s="40"/>
      <c r="UQI1434" s="40"/>
      <c r="UQJ1434" s="40"/>
      <c r="UQK1434" s="40"/>
      <c r="UQL1434" s="40"/>
      <c r="UQM1434" s="40"/>
      <c r="UQN1434" s="40"/>
      <c r="UQO1434" s="40"/>
      <c r="UQP1434" s="40"/>
      <c r="UQQ1434" s="40"/>
      <c r="UQR1434" s="40"/>
      <c r="UQS1434" s="40"/>
      <c r="UQT1434" s="40"/>
      <c r="UQU1434" s="40"/>
      <c r="UQV1434" s="40"/>
      <c r="UQW1434" s="40"/>
      <c r="UQX1434" s="40"/>
      <c r="UQY1434" s="40"/>
      <c r="UQZ1434" s="40"/>
      <c r="URA1434" s="40"/>
      <c r="URB1434" s="40"/>
      <c r="URC1434" s="40"/>
      <c r="URD1434" s="40"/>
      <c r="URE1434" s="40"/>
      <c r="URF1434" s="40"/>
      <c r="URG1434" s="40"/>
      <c r="URH1434" s="40"/>
      <c r="URI1434" s="40"/>
      <c r="URJ1434" s="40"/>
      <c r="URK1434" s="40"/>
      <c r="URL1434" s="40"/>
      <c r="URM1434" s="40"/>
      <c r="URN1434" s="40"/>
      <c r="URO1434" s="40"/>
      <c r="URP1434" s="40"/>
      <c r="URQ1434" s="40"/>
      <c r="URR1434" s="40"/>
      <c r="URS1434" s="40"/>
      <c r="URT1434" s="40"/>
      <c r="URU1434" s="40"/>
      <c r="URV1434" s="40"/>
      <c r="URW1434" s="40"/>
      <c r="URX1434" s="40"/>
      <c r="URY1434" s="40"/>
      <c r="URZ1434" s="40"/>
      <c r="USA1434" s="40"/>
      <c r="USB1434" s="40"/>
      <c r="USC1434" s="40"/>
      <c r="USD1434" s="40"/>
      <c r="USE1434" s="40"/>
      <c r="USF1434" s="40"/>
      <c r="USG1434" s="40"/>
      <c r="USH1434" s="40"/>
      <c r="USI1434" s="40"/>
      <c r="USJ1434" s="40"/>
      <c r="USK1434" s="40"/>
      <c r="USL1434" s="40"/>
      <c r="USM1434" s="40"/>
      <c r="USN1434" s="40"/>
      <c r="USO1434" s="40"/>
      <c r="USP1434" s="40"/>
      <c r="USQ1434" s="40"/>
      <c r="USR1434" s="40"/>
      <c r="USS1434" s="40"/>
      <c r="UST1434" s="40"/>
      <c r="USU1434" s="40"/>
      <c r="USV1434" s="40"/>
      <c r="USW1434" s="40"/>
      <c r="USX1434" s="40"/>
      <c r="USY1434" s="40"/>
      <c r="USZ1434" s="40"/>
      <c r="UTA1434" s="40"/>
      <c r="UTB1434" s="40"/>
      <c r="UTC1434" s="40"/>
      <c r="UTD1434" s="40"/>
      <c r="UTE1434" s="40"/>
      <c r="UTF1434" s="40"/>
      <c r="UTG1434" s="40"/>
      <c r="UTH1434" s="40"/>
      <c r="UTI1434" s="40"/>
      <c r="UTJ1434" s="40"/>
      <c r="UTK1434" s="40"/>
      <c r="UTL1434" s="40"/>
      <c r="UTM1434" s="40"/>
      <c r="UTN1434" s="40"/>
      <c r="UTO1434" s="40"/>
      <c r="UTP1434" s="40"/>
      <c r="UTQ1434" s="40"/>
      <c r="UTR1434" s="40"/>
      <c r="UTS1434" s="40"/>
      <c r="UTT1434" s="40"/>
      <c r="UTU1434" s="40"/>
      <c r="UTV1434" s="40"/>
      <c r="UTW1434" s="40"/>
      <c r="UTX1434" s="40"/>
      <c r="UTY1434" s="40"/>
      <c r="UTZ1434" s="40"/>
      <c r="UUA1434" s="40"/>
      <c r="UUB1434" s="40"/>
      <c r="UUC1434" s="40"/>
      <c r="UUD1434" s="40"/>
      <c r="UUE1434" s="40"/>
      <c r="UUF1434" s="40"/>
      <c r="UUG1434" s="40"/>
      <c r="UUH1434" s="40"/>
      <c r="UUI1434" s="40"/>
      <c r="UUJ1434" s="40"/>
      <c r="UUK1434" s="40"/>
      <c r="UUL1434" s="40"/>
      <c r="UUM1434" s="40"/>
      <c r="UUN1434" s="40"/>
      <c r="UUO1434" s="40"/>
      <c r="UUP1434" s="40"/>
      <c r="UUQ1434" s="40"/>
      <c r="UUR1434" s="40"/>
      <c r="UUS1434" s="40"/>
      <c r="UUT1434" s="40"/>
      <c r="UUU1434" s="40"/>
      <c r="UUV1434" s="40"/>
      <c r="UUW1434" s="40"/>
      <c r="UUX1434" s="40"/>
      <c r="UUY1434" s="40"/>
      <c r="UUZ1434" s="40"/>
      <c r="UVA1434" s="40"/>
      <c r="UVB1434" s="40"/>
      <c r="UVC1434" s="40"/>
      <c r="UVD1434" s="40"/>
      <c r="UVE1434" s="40"/>
      <c r="UVF1434" s="40"/>
      <c r="UVG1434" s="40"/>
      <c r="UVH1434" s="40"/>
      <c r="UVI1434" s="40"/>
      <c r="UVJ1434" s="40"/>
      <c r="UVK1434" s="40"/>
      <c r="UVL1434" s="40"/>
      <c r="UVM1434" s="40"/>
      <c r="UVN1434" s="40"/>
      <c r="UVO1434" s="40"/>
      <c r="UVP1434" s="40"/>
      <c r="UVQ1434" s="40"/>
      <c r="UVR1434" s="40"/>
      <c r="UVS1434" s="40"/>
      <c r="UVT1434" s="40"/>
      <c r="UVU1434" s="40"/>
      <c r="UVV1434" s="40"/>
      <c r="UVW1434" s="40"/>
      <c r="UVX1434" s="40"/>
      <c r="UVY1434" s="40"/>
      <c r="UVZ1434" s="40"/>
      <c r="UWA1434" s="40"/>
      <c r="UWB1434" s="40"/>
      <c r="UWC1434" s="40"/>
      <c r="UWD1434" s="40"/>
      <c r="UWE1434" s="40"/>
      <c r="UWF1434" s="40"/>
      <c r="UWG1434" s="40"/>
      <c r="UWH1434" s="40"/>
      <c r="UWI1434" s="40"/>
      <c r="UWJ1434" s="40"/>
      <c r="UWK1434" s="40"/>
      <c r="UWL1434" s="40"/>
      <c r="UWM1434" s="40"/>
      <c r="UWN1434" s="40"/>
      <c r="UWO1434" s="40"/>
      <c r="UWP1434" s="40"/>
      <c r="UWQ1434" s="40"/>
      <c r="UWR1434" s="40"/>
      <c r="UWS1434" s="40"/>
      <c r="UWT1434" s="40"/>
      <c r="UWU1434" s="40"/>
      <c r="UWV1434" s="40"/>
      <c r="UWW1434" s="40"/>
      <c r="UWX1434" s="40"/>
      <c r="UWY1434" s="40"/>
      <c r="UWZ1434" s="40"/>
      <c r="UXA1434" s="40"/>
      <c r="UXB1434" s="40"/>
      <c r="UXC1434" s="40"/>
      <c r="UXD1434" s="40"/>
      <c r="UXE1434" s="40"/>
      <c r="UXF1434" s="40"/>
      <c r="UXG1434" s="40"/>
      <c r="UXH1434" s="40"/>
      <c r="UXI1434" s="40"/>
      <c r="UXJ1434" s="40"/>
      <c r="UXK1434" s="40"/>
      <c r="UXL1434" s="40"/>
      <c r="UXM1434" s="40"/>
      <c r="UXN1434" s="40"/>
      <c r="UXO1434" s="40"/>
      <c r="UXP1434" s="40"/>
      <c r="UXQ1434" s="40"/>
      <c r="UXR1434" s="40"/>
      <c r="UXS1434" s="40"/>
      <c r="UXT1434" s="40"/>
      <c r="UXU1434" s="40"/>
      <c r="UXV1434" s="40"/>
      <c r="UXW1434" s="40"/>
      <c r="UXX1434" s="40"/>
      <c r="UXY1434" s="40"/>
      <c r="UXZ1434" s="40"/>
      <c r="UYA1434" s="40"/>
      <c r="UYB1434" s="40"/>
      <c r="UYC1434" s="40"/>
      <c r="UYD1434" s="40"/>
      <c r="UYE1434" s="40"/>
      <c r="UYF1434" s="40"/>
      <c r="UYG1434" s="40"/>
      <c r="UYH1434" s="40"/>
      <c r="UYI1434" s="40"/>
      <c r="UYJ1434" s="40"/>
      <c r="UYK1434" s="40"/>
      <c r="UYL1434" s="40"/>
      <c r="UYM1434" s="40"/>
      <c r="UYN1434" s="40"/>
      <c r="UYO1434" s="40"/>
      <c r="UYP1434" s="40"/>
      <c r="UYQ1434" s="40"/>
      <c r="UYR1434" s="40"/>
      <c r="UYS1434" s="40"/>
      <c r="UYT1434" s="40"/>
      <c r="UYU1434" s="40"/>
      <c r="UYV1434" s="40"/>
      <c r="UYW1434" s="40"/>
      <c r="UYX1434" s="40"/>
      <c r="UYY1434" s="40"/>
      <c r="UYZ1434" s="40"/>
      <c r="UZA1434" s="40"/>
      <c r="UZB1434" s="40"/>
      <c r="UZC1434" s="40"/>
      <c r="UZD1434" s="40"/>
      <c r="UZE1434" s="40"/>
      <c r="UZF1434" s="40"/>
      <c r="UZG1434" s="40"/>
      <c r="UZH1434" s="40"/>
      <c r="UZI1434" s="40"/>
      <c r="UZJ1434" s="40"/>
      <c r="UZK1434" s="40"/>
      <c r="UZL1434" s="40"/>
      <c r="UZM1434" s="40"/>
      <c r="UZN1434" s="40"/>
      <c r="UZO1434" s="40"/>
      <c r="UZP1434" s="40"/>
      <c r="UZQ1434" s="40"/>
      <c r="UZR1434" s="40"/>
      <c r="UZS1434" s="40"/>
      <c r="UZT1434" s="40"/>
      <c r="UZU1434" s="40"/>
      <c r="UZV1434" s="40"/>
      <c r="UZW1434" s="40"/>
      <c r="UZX1434" s="40"/>
      <c r="UZY1434" s="40"/>
      <c r="UZZ1434" s="40"/>
      <c r="VAA1434" s="40"/>
      <c r="VAB1434" s="40"/>
      <c r="VAC1434" s="40"/>
      <c r="VAD1434" s="40"/>
      <c r="VAE1434" s="40"/>
      <c r="VAF1434" s="40"/>
      <c r="VAG1434" s="40"/>
      <c r="VAH1434" s="40"/>
      <c r="VAI1434" s="40"/>
      <c r="VAJ1434" s="40"/>
      <c r="VAK1434" s="40"/>
      <c r="VAL1434" s="40"/>
      <c r="VAM1434" s="40"/>
      <c r="VAN1434" s="40"/>
      <c r="VAO1434" s="40"/>
      <c r="VAP1434" s="40"/>
      <c r="VAQ1434" s="40"/>
      <c r="VAR1434" s="40"/>
      <c r="VAS1434" s="40"/>
      <c r="VAT1434" s="40"/>
      <c r="VAU1434" s="40"/>
      <c r="VAV1434" s="40"/>
      <c r="VAW1434" s="40"/>
      <c r="VAX1434" s="40"/>
      <c r="VAY1434" s="40"/>
      <c r="VAZ1434" s="40"/>
      <c r="VBA1434" s="40"/>
      <c r="VBB1434" s="40"/>
      <c r="VBC1434" s="40"/>
      <c r="VBD1434" s="40"/>
      <c r="VBE1434" s="40"/>
      <c r="VBF1434" s="40"/>
      <c r="VBG1434" s="40"/>
      <c r="VBH1434" s="40"/>
      <c r="VBI1434" s="40"/>
      <c r="VBJ1434" s="40"/>
      <c r="VBK1434" s="40"/>
      <c r="VBL1434" s="40"/>
      <c r="VBM1434" s="40"/>
      <c r="VBN1434" s="40"/>
      <c r="VBO1434" s="40"/>
      <c r="VBP1434" s="40"/>
      <c r="VBQ1434" s="40"/>
      <c r="VBR1434" s="40"/>
      <c r="VBS1434" s="40"/>
      <c r="VBT1434" s="40"/>
      <c r="VBU1434" s="40"/>
      <c r="VBV1434" s="40"/>
      <c r="VBW1434" s="40"/>
      <c r="VBX1434" s="40"/>
      <c r="VBY1434" s="40"/>
      <c r="VBZ1434" s="40"/>
      <c r="VCA1434" s="40"/>
      <c r="VCB1434" s="40"/>
      <c r="VCC1434" s="40"/>
      <c r="VCD1434" s="40"/>
      <c r="VCE1434" s="40"/>
      <c r="VCF1434" s="40"/>
      <c r="VCG1434" s="40"/>
      <c r="VCH1434" s="40"/>
      <c r="VCI1434" s="40"/>
      <c r="VCJ1434" s="40"/>
      <c r="VCK1434" s="40"/>
      <c r="VCL1434" s="40"/>
      <c r="VCM1434" s="40"/>
      <c r="VCN1434" s="40"/>
      <c r="VCO1434" s="40"/>
      <c r="VCP1434" s="40"/>
      <c r="VCQ1434" s="40"/>
      <c r="VCR1434" s="40"/>
      <c r="VCS1434" s="40"/>
      <c r="VCT1434" s="40"/>
      <c r="VCU1434" s="40"/>
      <c r="VCV1434" s="40"/>
      <c r="VCW1434" s="40"/>
      <c r="VCX1434" s="40"/>
      <c r="VCY1434" s="40"/>
      <c r="VCZ1434" s="40"/>
      <c r="VDA1434" s="40"/>
      <c r="VDB1434" s="40"/>
      <c r="VDC1434" s="40"/>
      <c r="VDD1434" s="40"/>
      <c r="VDE1434" s="40"/>
      <c r="VDF1434" s="40"/>
      <c r="VDG1434" s="40"/>
      <c r="VDH1434" s="40"/>
      <c r="VDI1434" s="40"/>
      <c r="VDJ1434" s="40"/>
      <c r="VDK1434" s="40"/>
      <c r="VDL1434" s="40"/>
      <c r="VDM1434" s="40"/>
      <c r="VDN1434" s="40"/>
      <c r="VDO1434" s="40"/>
      <c r="VDP1434" s="40"/>
      <c r="VDQ1434" s="40"/>
      <c r="VDR1434" s="40"/>
      <c r="VDS1434" s="40"/>
      <c r="VDT1434" s="40"/>
      <c r="VDU1434" s="40"/>
      <c r="VDV1434" s="40"/>
      <c r="VDW1434" s="40"/>
      <c r="VDX1434" s="40"/>
      <c r="VDY1434" s="40"/>
      <c r="VDZ1434" s="40"/>
      <c r="VEA1434" s="40"/>
      <c r="VEB1434" s="40"/>
      <c r="VEC1434" s="40"/>
      <c r="VED1434" s="40"/>
      <c r="VEE1434" s="40"/>
      <c r="VEF1434" s="40"/>
      <c r="VEG1434" s="40"/>
      <c r="VEH1434" s="40"/>
      <c r="VEI1434" s="40"/>
      <c r="VEJ1434" s="40"/>
      <c r="VEK1434" s="40"/>
      <c r="VEL1434" s="40"/>
      <c r="VEM1434" s="40"/>
      <c r="VEN1434" s="40"/>
      <c r="VEO1434" s="40"/>
      <c r="VEP1434" s="40"/>
      <c r="VEQ1434" s="40"/>
      <c r="VER1434" s="40"/>
      <c r="VES1434" s="40"/>
      <c r="VET1434" s="40"/>
      <c r="VEU1434" s="40"/>
      <c r="VEV1434" s="40"/>
      <c r="VEW1434" s="40"/>
      <c r="VEX1434" s="40"/>
      <c r="VEY1434" s="40"/>
      <c r="VEZ1434" s="40"/>
      <c r="VFA1434" s="40"/>
      <c r="VFB1434" s="40"/>
      <c r="VFC1434" s="40"/>
      <c r="VFD1434" s="40"/>
      <c r="VFE1434" s="40"/>
      <c r="VFF1434" s="40"/>
      <c r="VFG1434" s="40"/>
      <c r="VFH1434" s="40"/>
      <c r="VFI1434" s="40"/>
      <c r="VFJ1434" s="40"/>
      <c r="VFK1434" s="40"/>
      <c r="VFL1434" s="40"/>
      <c r="VFM1434" s="40"/>
      <c r="VFN1434" s="40"/>
      <c r="VFO1434" s="40"/>
      <c r="VFP1434" s="40"/>
      <c r="VFQ1434" s="40"/>
      <c r="VFR1434" s="40"/>
      <c r="VFS1434" s="40"/>
      <c r="VFT1434" s="40"/>
      <c r="VFU1434" s="40"/>
      <c r="VFV1434" s="40"/>
      <c r="VFW1434" s="40"/>
      <c r="VFX1434" s="40"/>
      <c r="VFY1434" s="40"/>
      <c r="VFZ1434" s="40"/>
      <c r="VGA1434" s="40"/>
      <c r="VGB1434" s="40"/>
      <c r="VGC1434" s="40"/>
      <c r="VGD1434" s="40"/>
      <c r="VGE1434" s="40"/>
      <c r="VGF1434" s="40"/>
      <c r="VGG1434" s="40"/>
      <c r="VGH1434" s="40"/>
      <c r="VGI1434" s="40"/>
      <c r="VGJ1434" s="40"/>
      <c r="VGK1434" s="40"/>
      <c r="VGL1434" s="40"/>
      <c r="VGM1434" s="40"/>
      <c r="VGN1434" s="40"/>
      <c r="VGO1434" s="40"/>
      <c r="VGP1434" s="40"/>
      <c r="VGQ1434" s="40"/>
      <c r="VGR1434" s="40"/>
      <c r="VGS1434" s="40"/>
      <c r="VGT1434" s="40"/>
      <c r="VGU1434" s="40"/>
      <c r="VGV1434" s="40"/>
      <c r="VGW1434" s="40"/>
      <c r="VGX1434" s="40"/>
      <c r="VGY1434" s="40"/>
      <c r="VGZ1434" s="40"/>
      <c r="VHA1434" s="40"/>
      <c r="VHB1434" s="40"/>
      <c r="VHC1434" s="40"/>
      <c r="VHD1434" s="40"/>
      <c r="VHE1434" s="40"/>
      <c r="VHF1434" s="40"/>
      <c r="VHG1434" s="40"/>
      <c r="VHH1434" s="40"/>
      <c r="VHI1434" s="40"/>
      <c r="VHJ1434" s="40"/>
      <c r="VHK1434" s="40"/>
      <c r="VHL1434" s="40"/>
      <c r="VHM1434" s="40"/>
      <c r="VHN1434" s="40"/>
      <c r="VHO1434" s="40"/>
      <c r="VHP1434" s="40"/>
      <c r="VHQ1434" s="40"/>
      <c r="VHR1434" s="40"/>
      <c r="VHS1434" s="40"/>
      <c r="VHT1434" s="40"/>
      <c r="VHU1434" s="40"/>
      <c r="VHV1434" s="40"/>
      <c r="VHW1434" s="40"/>
      <c r="VHX1434" s="40"/>
      <c r="VHY1434" s="40"/>
      <c r="VHZ1434" s="40"/>
      <c r="VIA1434" s="40"/>
      <c r="VIB1434" s="40"/>
      <c r="VIC1434" s="40"/>
      <c r="VID1434" s="40"/>
      <c r="VIE1434" s="40"/>
      <c r="VIF1434" s="40"/>
      <c r="VIG1434" s="40"/>
      <c r="VIH1434" s="40"/>
      <c r="VII1434" s="40"/>
      <c r="VIJ1434" s="40"/>
      <c r="VIK1434" s="40"/>
      <c r="VIL1434" s="40"/>
      <c r="VIM1434" s="40"/>
      <c r="VIN1434" s="40"/>
      <c r="VIO1434" s="40"/>
      <c r="VIP1434" s="40"/>
      <c r="VIQ1434" s="40"/>
      <c r="VIR1434" s="40"/>
      <c r="VIS1434" s="40"/>
      <c r="VIT1434" s="40"/>
      <c r="VIU1434" s="40"/>
      <c r="VIV1434" s="40"/>
      <c r="VIW1434" s="40"/>
      <c r="VIX1434" s="40"/>
      <c r="VIY1434" s="40"/>
      <c r="VIZ1434" s="40"/>
      <c r="VJA1434" s="40"/>
      <c r="VJB1434" s="40"/>
      <c r="VJC1434" s="40"/>
      <c r="VJD1434" s="40"/>
      <c r="VJE1434" s="40"/>
      <c r="VJF1434" s="40"/>
      <c r="VJG1434" s="40"/>
      <c r="VJH1434" s="40"/>
      <c r="VJI1434" s="40"/>
      <c r="VJJ1434" s="40"/>
      <c r="VJK1434" s="40"/>
      <c r="VJL1434" s="40"/>
      <c r="VJM1434" s="40"/>
      <c r="VJN1434" s="40"/>
      <c r="VJO1434" s="40"/>
      <c r="VJP1434" s="40"/>
      <c r="VJQ1434" s="40"/>
      <c r="VJR1434" s="40"/>
      <c r="VJS1434" s="40"/>
      <c r="VJT1434" s="40"/>
      <c r="VJU1434" s="40"/>
      <c r="VJV1434" s="40"/>
      <c r="VJW1434" s="40"/>
      <c r="VJX1434" s="40"/>
      <c r="VJY1434" s="40"/>
      <c r="VJZ1434" s="40"/>
      <c r="VKA1434" s="40"/>
      <c r="VKB1434" s="40"/>
      <c r="VKC1434" s="40"/>
      <c r="VKD1434" s="40"/>
      <c r="VKE1434" s="40"/>
      <c r="VKF1434" s="40"/>
      <c r="VKG1434" s="40"/>
      <c r="VKH1434" s="40"/>
      <c r="VKI1434" s="40"/>
      <c r="VKJ1434" s="40"/>
      <c r="VKK1434" s="40"/>
      <c r="VKL1434" s="40"/>
      <c r="VKM1434" s="40"/>
      <c r="VKN1434" s="40"/>
      <c r="VKO1434" s="40"/>
      <c r="VKP1434" s="40"/>
      <c r="VKQ1434" s="40"/>
      <c r="VKR1434" s="40"/>
      <c r="VKS1434" s="40"/>
      <c r="VKT1434" s="40"/>
      <c r="VKU1434" s="40"/>
      <c r="VKV1434" s="40"/>
      <c r="VKW1434" s="40"/>
      <c r="VKX1434" s="40"/>
      <c r="VKY1434" s="40"/>
      <c r="VKZ1434" s="40"/>
      <c r="VLA1434" s="40"/>
      <c r="VLB1434" s="40"/>
      <c r="VLC1434" s="40"/>
      <c r="VLD1434" s="40"/>
      <c r="VLE1434" s="40"/>
      <c r="VLF1434" s="40"/>
      <c r="VLG1434" s="40"/>
      <c r="VLH1434" s="40"/>
      <c r="VLI1434" s="40"/>
      <c r="VLJ1434" s="40"/>
      <c r="VLK1434" s="40"/>
      <c r="VLL1434" s="40"/>
      <c r="VLM1434" s="40"/>
      <c r="VLN1434" s="40"/>
      <c r="VLO1434" s="40"/>
      <c r="VLP1434" s="40"/>
      <c r="VLQ1434" s="40"/>
      <c r="VLR1434" s="40"/>
      <c r="VLS1434" s="40"/>
      <c r="VLT1434" s="40"/>
      <c r="VLU1434" s="40"/>
      <c r="VLV1434" s="40"/>
      <c r="VLW1434" s="40"/>
      <c r="VLX1434" s="40"/>
      <c r="VLY1434" s="40"/>
      <c r="VLZ1434" s="40"/>
      <c r="VMA1434" s="40"/>
      <c r="VMB1434" s="40"/>
      <c r="VMC1434" s="40"/>
      <c r="VMD1434" s="40"/>
      <c r="VME1434" s="40"/>
      <c r="VMF1434" s="40"/>
      <c r="VMG1434" s="40"/>
      <c r="VMH1434" s="40"/>
      <c r="VMI1434" s="40"/>
      <c r="VMJ1434" s="40"/>
      <c r="VMK1434" s="40"/>
      <c r="VML1434" s="40"/>
      <c r="VMM1434" s="40"/>
      <c r="VMN1434" s="40"/>
      <c r="VMO1434" s="40"/>
      <c r="VMP1434" s="40"/>
      <c r="VMQ1434" s="40"/>
      <c r="VMR1434" s="40"/>
      <c r="VMS1434" s="40"/>
      <c r="VMT1434" s="40"/>
      <c r="VMU1434" s="40"/>
      <c r="VMV1434" s="40"/>
      <c r="VMW1434" s="40"/>
      <c r="VMX1434" s="40"/>
      <c r="VMY1434" s="40"/>
      <c r="VMZ1434" s="40"/>
      <c r="VNA1434" s="40"/>
      <c r="VNB1434" s="40"/>
      <c r="VNC1434" s="40"/>
      <c r="VND1434" s="40"/>
      <c r="VNE1434" s="40"/>
      <c r="VNF1434" s="40"/>
      <c r="VNG1434" s="40"/>
      <c r="VNH1434" s="40"/>
      <c r="VNI1434" s="40"/>
      <c r="VNJ1434" s="40"/>
      <c r="VNK1434" s="40"/>
      <c r="VNL1434" s="40"/>
      <c r="VNM1434" s="40"/>
      <c r="VNN1434" s="40"/>
      <c r="VNO1434" s="40"/>
      <c r="VNP1434" s="40"/>
      <c r="VNQ1434" s="40"/>
      <c r="VNR1434" s="40"/>
      <c r="VNS1434" s="40"/>
      <c r="VNT1434" s="40"/>
      <c r="VNU1434" s="40"/>
      <c r="VNV1434" s="40"/>
      <c r="VNW1434" s="40"/>
      <c r="VNX1434" s="40"/>
      <c r="VNY1434" s="40"/>
      <c r="VNZ1434" s="40"/>
      <c r="VOA1434" s="40"/>
      <c r="VOB1434" s="40"/>
      <c r="VOC1434" s="40"/>
      <c r="VOD1434" s="40"/>
      <c r="VOE1434" s="40"/>
      <c r="VOF1434" s="40"/>
      <c r="VOG1434" s="40"/>
      <c r="VOH1434" s="40"/>
      <c r="VOI1434" s="40"/>
      <c r="VOJ1434" s="40"/>
      <c r="VOK1434" s="40"/>
      <c r="VOL1434" s="40"/>
      <c r="VOM1434" s="40"/>
      <c r="VON1434" s="40"/>
      <c r="VOO1434" s="40"/>
      <c r="VOP1434" s="40"/>
      <c r="VOQ1434" s="40"/>
      <c r="VOR1434" s="40"/>
      <c r="VOS1434" s="40"/>
      <c r="VOT1434" s="40"/>
      <c r="VOU1434" s="40"/>
      <c r="VOV1434" s="40"/>
      <c r="VOW1434" s="40"/>
      <c r="VOX1434" s="40"/>
      <c r="VOY1434" s="40"/>
      <c r="VOZ1434" s="40"/>
      <c r="VPA1434" s="40"/>
      <c r="VPB1434" s="40"/>
      <c r="VPC1434" s="40"/>
      <c r="VPD1434" s="40"/>
      <c r="VPE1434" s="40"/>
      <c r="VPF1434" s="40"/>
      <c r="VPG1434" s="40"/>
      <c r="VPH1434" s="40"/>
      <c r="VPI1434" s="40"/>
      <c r="VPJ1434" s="40"/>
      <c r="VPK1434" s="40"/>
      <c r="VPL1434" s="40"/>
      <c r="VPM1434" s="40"/>
      <c r="VPN1434" s="40"/>
      <c r="VPO1434" s="40"/>
      <c r="VPP1434" s="40"/>
      <c r="VPQ1434" s="40"/>
      <c r="VPR1434" s="40"/>
      <c r="VPS1434" s="40"/>
      <c r="VPT1434" s="40"/>
      <c r="VPU1434" s="40"/>
      <c r="VPV1434" s="40"/>
      <c r="VPW1434" s="40"/>
      <c r="VPX1434" s="40"/>
      <c r="VPY1434" s="40"/>
      <c r="VPZ1434" s="40"/>
      <c r="VQA1434" s="40"/>
      <c r="VQB1434" s="40"/>
      <c r="VQC1434" s="40"/>
      <c r="VQD1434" s="40"/>
      <c r="VQE1434" s="40"/>
      <c r="VQF1434" s="40"/>
      <c r="VQG1434" s="40"/>
      <c r="VQH1434" s="40"/>
      <c r="VQI1434" s="40"/>
      <c r="VQJ1434" s="40"/>
      <c r="VQK1434" s="40"/>
      <c r="VQL1434" s="40"/>
      <c r="VQM1434" s="40"/>
      <c r="VQN1434" s="40"/>
      <c r="VQO1434" s="40"/>
      <c r="VQP1434" s="40"/>
      <c r="VQQ1434" s="40"/>
      <c r="VQR1434" s="40"/>
      <c r="VQS1434" s="40"/>
      <c r="VQT1434" s="40"/>
      <c r="VQU1434" s="40"/>
      <c r="VQV1434" s="40"/>
      <c r="VQW1434" s="40"/>
      <c r="VQX1434" s="40"/>
      <c r="VQY1434" s="40"/>
      <c r="VQZ1434" s="40"/>
      <c r="VRA1434" s="40"/>
      <c r="VRB1434" s="40"/>
      <c r="VRC1434" s="40"/>
      <c r="VRD1434" s="40"/>
      <c r="VRE1434" s="40"/>
      <c r="VRF1434" s="40"/>
      <c r="VRG1434" s="40"/>
      <c r="VRH1434" s="40"/>
      <c r="VRI1434" s="40"/>
      <c r="VRJ1434" s="40"/>
      <c r="VRK1434" s="40"/>
      <c r="VRL1434" s="40"/>
      <c r="VRM1434" s="40"/>
      <c r="VRN1434" s="40"/>
      <c r="VRO1434" s="40"/>
      <c r="VRP1434" s="40"/>
      <c r="VRQ1434" s="40"/>
      <c r="VRR1434" s="40"/>
      <c r="VRS1434" s="40"/>
      <c r="VRT1434" s="40"/>
      <c r="VRU1434" s="40"/>
      <c r="VRV1434" s="40"/>
      <c r="VRW1434" s="40"/>
      <c r="VRX1434" s="40"/>
      <c r="VRY1434" s="40"/>
      <c r="VRZ1434" s="40"/>
      <c r="VSA1434" s="40"/>
      <c r="VSB1434" s="40"/>
      <c r="VSC1434" s="40"/>
      <c r="VSD1434" s="40"/>
      <c r="VSE1434" s="40"/>
      <c r="VSF1434" s="40"/>
      <c r="VSG1434" s="40"/>
      <c r="VSH1434" s="40"/>
      <c r="VSI1434" s="40"/>
      <c r="VSJ1434" s="40"/>
      <c r="VSK1434" s="40"/>
      <c r="VSL1434" s="40"/>
      <c r="VSM1434" s="40"/>
      <c r="VSN1434" s="40"/>
      <c r="VSO1434" s="40"/>
      <c r="VSP1434" s="40"/>
      <c r="VSQ1434" s="40"/>
      <c r="VSR1434" s="40"/>
      <c r="VSS1434" s="40"/>
      <c r="VST1434" s="40"/>
      <c r="VSU1434" s="40"/>
      <c r="VSV1434" s="40"/>
      <c r="VSW1434" s="40"/>
      <c r="VSX1434" s="40"/>
      <c r="VSY1434" s="40"/>
      <c r="VSZ1434" s="40"/>
      <c r="VTA1434" s="40"/>
      <c r="VTB1434" s="40"/>
      <c r="VTC1434" s="40"/>
      <c r="VTD1434" s="40"/>
      <c r="VTE1434" s="40"/>
      <c r="VTF1434" s="40"/>
      <c r="VTG1434" s="40"/>
      <c r="VTH1434" s="40"/>
      <c r="VTI1434" s="40"/>
      <c r="VTJ1434" s="40"/>
      <c r="VTK1434" s="40"/>
      <c r="VTL1434" s="40"/>
      <c r="VTM1434" s="40"/>
      <c r="VTN1434" s="40"/>
      <c r="VTO1434" s="40"/>
      <c r="VTP1434" s="40"/>
      <c r="VTQ1434" s="40"/>
      <c r="VTR1434" s="40"/>
      <c r="VTS1434" s="40"/>
      <c r="VTT1434" s="40"/>
      <c r="VTU1434" s="40"/>
      <c r="VTV1434" s="40"/>
      <c r="VTW1434" s="40"/>
      <c r="VTX1434" s="40"/>
      <c r="VTY1434" s="40"/>
      <c r="VTZ1434" s="40"/>
      <c r="VUA1434" s="40"/>
      <c r="VUB1434" s="40"/>
      <c r="VUC1434" s="40"/>
      <c r="VUD1434" s="40"/>
      <c r="VUE1434" s="40"/>
      <c r="VUF1434" s="40"/>
      <c r="VUG1434" s="40"/>
      <c r="VUH1434" s="40"/>
      <c r="VUI1434" s="40"/>
      <c r="VUJ1434" s="40"/>
      <c r="VUK1434" s="40"/>
      <c r="VUL1434" s="40"/>
      <c r="VUM1434" s="40"/>
      <c r="VUN1434" s="40"/>
      <c r="VUO1434" s="40"/>
      <c r="VUP1434" s="40"/>
      <c r="VUQ1434" s="40"/>
      <c r="VUR1434" s="40"/>
      <c r="VUS1434" s="40"/>
      <c r="VUT1434" s="40"/>
      <c r="VUU1434" s="40"/>
      <c r="VUV1434" s="40"/>
      <c r="VUW1434" s="40"/>
      <c r="VUX1434" s="40"/>
      <c r="VUY1434" s="40"/>
      <c r="VUZ1434" s="40"/>
      <c r="VVA1434" s="40"/>
      <c r="VVB1434" s="40"/>
      <c r="VVC1434" s="40"/>
      <c r="VVD1434" s="40"/>
      <c r="VVE1434" s="40"/>
      <c r="VVF1434" s="40"/>
      <c r="VVG1434" s="40"/>
      <c r="VVH1434" s="40"/>
      <c r="VVI1434" s="40"/>
      <c r="VVJ1434" s="40"/>
      <c r="VVK1434" s="40"/>
      <c r="VVL1434" s="40"/>
      <c r="VVM1434" s="40"/>
      <c r="VVN1434" s="40"/>
      <c r="VVO1434" s="40"/>
      <c r="VVP1434" s="40"/>
      <c r="VVQ1434" s="40"/>
      <c r="VVR1434" s="40"/>
      <c r="VVS1434" s="40"/>
      <c r="VVT1434" s="40"/>
      <c r="VVU1434" s="40"/>
      <c r="VVV1434" s="40"/>
      <c r="VVW1434" s="40"/>
      <c r="VVX1434" s="40"/>
      <c r="VVY1434" s="40"/>
      <c r="VVZ1434" s="40"/>
      <c r="VWA1434" s="40"/>
      <c r="VWB1434" s="40"/>
      <c r="VWC1434" s="40"/>
      <c r="VWD1434" s="40"/>
      <c r="VWE1434" s="40"/>
      <c r="VWF1434" s="40"/>
      <c r="VWG1434" s="40"/>
      <c r="VWH1434" s="40"/>
      <c r="VWI1434" s="40"/>
      <c r="VWJ1434" s="40"/>
      <c r="VWK1434" s="40"/>
      <c r="VWL1434" s="40"/>
      <c r="VWM1434" s="40"/>
      <c r="VWN1434" s="40"/>
      <c r="VWO1434" s="40"/>
      <c r="VWP1434" s="40"/>
      <c r="VWQ1434" s="40"/>
      <c r="VWR1434" s="40"/>
      <c r="VWS1434" s="40"/>
      <c r="VWT1434" s="40"/>
      <c r="VWU1434" s="40"/>
      <c r="VWV1434" s="40"/>
      <c r="VWW1434" s="40"/>
      <c r="VWX1434" s="40"/>
      <c r="VWY1434" s="40"/>
      <c r="VWZ1434" s="40"/>
      <c r="VXA1434" s="40"/>
      <c r="VXB1434" s="40"/>
      <c r="VXC1434" s="40"/>
      <c r="VXD1434" s="40"/>
      <c r="VXE1434" s="40"/>
      <c r="VXF1434" s="40"/>
      <c r="VXG1434" s="40"/>
      <c r="VXH1434" s="40"/>
      <c r="VXI1434" s="40"/>
      <c r="VXJ1434" s="40"/>
      <c r="VXK1434" s="40"/>
      <c r="VXL1434" s="40"/>
      <c r="VXM1434" s="40"/>
      <c r="VXN1434" s="40"/>
      <c r="VXO1434" s="40"/>
      <c r="VXP1434" s="40"/>
      <c r="VXQ1434" s="40"/>
      <c r="VXR1434" s="40"/>
      <c r="VXS1434" s="40"/>
      <c r="VXT1434" s="40"/>
      <c r="VXU1434" s="40"/>
      <c r="VXV1434" s="40"/>
      <c r="VXW1434" s="40"/>
      <c r="VXX1434" s="40"/>
      <c r="VXY1434" s="40"/>
      <c r="VXZ1434" s="40"/>
      <c r="VYA1434" s="40"/>
      <c r="VYB1434" s="40"/>
      <c r="VYC1434" s="40"/>
      <c r="VYD1434" s="40"/>
      <c r="VYE1434" s="40"/>
      <c r="VYF1434" s="40"/>
      <c r="VYG1434" s="40"/>
      <c r="VYH1434" s="40"/>
      <c r="VYI1434" s="40"/>
      <c r="VYJ1434" s="40"/>
      <c r="VYK1434" s="40"/>
      <c r="VYL1434" s="40"/>
      <c r="VYM1434" s="40"/>
      <c r="VYN1434" s="40"/>
      <c r="VYO1434" s="40"/>
      <c r="VYP1434" s="40"/>
      <c r="VYQ1434" s="40"/>
      <c r="VYR1434" s="40"/>
      <c r="VYS1434" s="40"/>
      <c r="VYT1434" s="40"/>
      <c r="VYU1434" s="40"/>
      <c r="VYV1434" s="40"/>
      <c r="VYW1434" s="40"/>
      <c r="VYX1434" s="40"/>
      <c r="VYY1434" s="40"/>
      <c r="VYZ1434" s="40"/>
      <c r="VZA1434" s="40"/>
      <c r="VZB1434" s="40"/>
      <c r="VZC1434" s="40"/>
      <c r="VZD1434" s="40"/>
      <c r="VZE1434" s="40"/>
      <c r="VZF1434" s="40"/>
      <c r="VZG1434" s="40"/>
      <c r="VZH1434" s="40"/>
      <c r="VZI1434" s="40"/>
      <c r="VZJ1434" s="40"/>
      <c r="VZK1434" s="40"/>
      <c r="VZL1434" s="40"/>
      <c r="VZM1434" s="40"/>
      <c r="VZN1434" s="40"/>
      <c r="VZO1434" s="40"/>
      <c r="VZP1434" s="40"/>
      <c r="VZQ1434" s="40"/>
      <c r="VZR1434" s="40"/>
      <c r="VZS1434" s="40"/>
      <c r="VZT1434" s="40"/>
      <c r="VZU1434" s="40"/>
      <c r="VZV1434" s="40"/>
      <c r="VZW1434" s="40"/>
      <c r="VZX1434" s="40"/>
      <c r="VZY1434" s="40"/>
      <c r="VZZ1434" s="40"/>
      <c r="WAA1434" s="40"/>
      <c r="WAB1434" s="40"/>
      <c r="WAC1434" s="40"/>
      <c r="WAD1434" s="40"/>
      <c r="WAE1434" s="40"/>
      <c r="WAF1434" s="40"/>
      <c r="WAG1434" s="40"/>
      <c r="WAH1434" s="40"/>
      <c r="WAI1434" s="40"/>
      <c r="WAJ1434" s="40"/>
      <c r="WAK1434" s="40"/>
      <c r="WAL1434" s="40"/>
      <c r="WAM1434" s="40"/>
      <c r="WAN1434" s="40"/>
      <c r="WAO1434" s="40"/>
      <c r="WAP1434" s="40"/>
      <c r="WAQ1434" s="40"/>
      <c r="WAR1434" s="40"/>
      <c r="WAS1434" s="40"/>
      <c r="WAT1434" s="40"/>
      <c r="WAU1434" s="40"/>
      <c r="WAV1434" s="40"/>
      <c r="WAW1434" s="40"/>
      <c r="WAX1434" s="40"/>
      <c r="WAY1434" s="40"/>
      <c r="WAZ1434" s="40"/>
      <c r="WBA1434" s="40"/>
      <c r="WBB1434" s="40"/>
      <c r="WBC1434" s="40"/>
      <c r="WBD1434" s="40"/>
      <c r="WBE1434" s="40"/>
      <c r="WBF1434" s="40"/>
      <c r="WBG1434" s="40"/>
      <c r="WBH1434" s="40"/>
      <c r="WBI1434" s="40"/>
      <c r="WBJ1434" s="40"/>
      <c r="WBK1434" s="40"/>
      <c r="WBL1434" s="40"/>
      <c r="WBM1434" s="40"/>
      <c r="WBN1434" s="40"/>
      <c r="WBO1434" s="40"/>
      <c r="WBP1434" s="40"/>
      <c r="WBQ1434" s="40"/>
      <c r="WBR1434" s="40"/>
      <c r="WBS1434" s="40"/>
      <c r="WBT1434" s="40"/>
      <c r="WBU1434" s="40"/>
      <c r="WBV1434" s="40"/>
      <c r="WBW1434" s="40"/>
      <c r="WBX1434" s="40"/>
      <c r="WBY1434" s="40"/>
      <c r="WBZ1434" s="40"/>
      <c r="WCA1434" s="40"/>
      <c r="WCB1434" s="40"/>
      <c r="WCC1434" s="40"/>
      <c r="WCD1434" s="40"/>
      <c r="WCE1434" s="40"/>
      <c r="WCF1434" s="40"/>
      <c r="WCG1434" s="40"/>
      <c r="WCH1434" s="40"/>
      <c r="WCI1434" s="40"/>
      <c r="WCJ1434" s="40"/>
      <c r="WCK1434" s="40"/>
      <c r="WCL1434" s="40"/>
      <c r="WCM1434" s="40"/>
      <c r="WCN1434" s="40"/>
      <c r="WCO1434" s="40"/>
      <c r="WCP1434" s="40"/>
      <c r="WCQ1434" s="40"/>
      <c r="WCR1434" s="40"/>
      <c r="WCS1434" s="40"/>
      <c r="WCT1434" s="40"/>
      <c r="WCU1434" s="40"/>
      <c r="WCV1434" s="40"/>
      <c r="WCW1434" s="40"/>
      <c r="WCX1434" s="40"/>
      <c r="WCY1434" s="40"/>
      <c r="WCZ1434" s="40"/>
      <c r="WDA1434" s="40"/>
      <c r="WDB1434" s="40"/>
      <c r="WDC1434" s="40"/>
      <c r="WDD1434" s="40"/>
      <c r="WDE1434" s="40"/>
      <c r="WDF1434" s="40"/>
      <c r="WDG1434" s="40"/>
      <c r="WDH1434" s="40"/>
      <c r="WDI1434" s="40"/>
      <c r="WDJ1434" s="40"/>
      <c r="WDK1434" s="40"/>
      <c r="WDL1434" s="40"/>
      <c r="WDM1434" s="40"/>
      <c r="WDN1434" s="40"/>
      <c r="WDO1434" s="40"/>
      <c r="WDP1434" s="40"/>
      <c r="WDQ1434" s="40"/>
      <c r="WDR1434" s="40"/>
      <c r="WDS1434" s="40"/>
      <c r="WDT1434" s="40"/>
      <c r="WDU1434" s="40"/>
      <c r="WDV1434" s="40"/>
      <c r="WDW1434" s="40"/>
      <c r="WDX1434" s="40"/>
      <c r="WDY1434" s="40"/>
      <c r="WDZ1434" s="40"/>
      <c r="WEA1434" s="40"/>
      <c r="WEB1434" s="40"/>
      <c r="WEC1434" s="40"/>
      <c r="WED1434" s="40"/>
      <c r="WEE1434" s="40"/>
      <c r="WEF1434" s="40"/>
      <c r="WEG1434" s="40"/>
      <c r="WEH1434" s="40"/>
      <c r="WEI1434" s="40"/>
      <c r="WEJ1434" s="40"/>
      <c r="WEK1434" s="40"/>
      <c r="WEL1434" s="40"/>
      <c r="WEM1434" s="40"/>
      <c r="WEN1434" s="40"/>
      <c r="WEO1434" s="40"/>
      <c r="WEP1434" s="40"/>
      <c r="WEQ1434" s="40"/>
      <c r="WER1434" s="40"/>
      <c r="WES1434" s="40"/>
      <c r="WET1434" s="40"/>
      <c r="WEU1434" s="40"/>
      <c r="WEV1434" s="40"/>
      <c r="WEW1434" s="40"/>
      <c r="WEX1434" s="40"/>
      <c r="WEY1434" s="40"/>
      <c r="WEZ1434" s="40"/>
      <c r="WFA1434" s="40"/>
      <c r="WFB1434" s="40"/>
      <c r="WFC1434" s="40"/>
      <c r="WFD1434" s="40"/>
      <c r="WFE1434" s="40"/>
      <c r="WFF1434" s="40"/>
      <c r="WFG1434" s="40"/>
      <c r="WFH1434" s="40"/>
      <c r="WFI1434" s="40"/>
      <c r="WFJ1434" s="40"/>
      <c r="WFK1434" s="40"/>
      <c r="WFL1434" s="40"/>
      <c r="WFM1434" s="40"/>
      <c r="WFN1434" s="40"/>
      <c r="WFO1434" s="40"/>
      <c r="WFP1434" s="40"/>
      <c r="WFQ1434" s="40"/>
      <c r="WFR1434" s="40"/>
      <c r="WFS1434" s="40"/>
      <c r="WFT1434" s="40"/>
      <c r="WFU1434" s="40"/>
      <c r="WFV1434" s="40"/>
      <c r="WFW1434" s="40"/>
      <c r="WFX1434" s="40"/>
      <c r="WFY1434" s="40"/>
      <c r="WFZ1434" s="40"/>
      <c r="WGA1434" s="40"/>
      <c r="WGB1434" s="40"/>
      <c r="WGC1434" s="40"/>
      <c r="WGD1434" s="40"/>
      <c r="WGE1434" s="40"/>
      <c r="WGF1434" s="40"/>
      <c r="WGG1434" s="40"/>
      <c r="WGH1434" s="40"/>
      <c r="WGI1434" s="40"/>
      <c r="WGJ1434" s="40"/>
      <c r="WGK1434" s="40"/>
      <c r="WGL1434" s="40"/>
      <c r="WGM1434" s="40"/>
      <c r="WGN1434" s="40"/>
      <c r="WGO1434" s="40"/>
      <c r="WGP1434" s="40"/>
      <c r="WGQ1434" s="40"/>
      <c r="WGR1434" s="40"/>
      <c r="WGS1434" s="40"/>
      <c r="WGT1434" s="40"/>
      <c r="WGU1434" s="40"/>
      <c r="WGV1434" s="40"/>
      <c r="WGW1434" s="40"/>
      <c r="WGX1434" s="40"/>
      <c r="WGY1434" s="40"/>
      <c r="WGZ1434" s="40"/>
      <c r="WHA1434" s="40"/>
      <c r="WHB1434" s="40"/>
      <c r="WHC1434" s="40"/>
      <c r="WHD1434" s="40"/>
      <c r="WHE1434" s="40"/>
      <c r="WHF1434" s="40"/>
      <c r="WHG1434" s="40"/>
      <c r="WHH1434" s="40"/>
      <c r="WHI1434" s="40"/>
      <c r="WHJ1434" s="40"/>
      <c r="WHK1434" s="40"/>
      <c r="WHL1434" s="40"/>
      <c r="WHM1434" s="40"/>
      <c r="WHN1434" s="40"/>
      <c r="WHO1434" s="40"/>
      <c r="WHP1434" s="40"/>
      <c r="WHQ1434" s="40"/>
      <c r="WHR1434" s="40"/>
      <c r="WHS1434" s="40"/>
      <c r="WHT1434" s="40"/>
      <c r="WHU1434" s="40"/>
      <c r="WHV1434" s="40"/>
      <c r="WHW1434" s="40"/>
      <c r="WHX1434" s="40"/>
      <c r="WHY1434" s="40"/>
      <c r="WHZ1434" s="40"/>
      <c r="WIA1434" s="40"/>
      <c r="WIB1434" s="40"/>
      <c r="WIC1434" s="40"/>
      <c r="WID1434" s="40"/>
      <c r="WIE1434" s="40"/>
      <c r="WIF1434" s="40"/>
      <c r="WIG1434" s="40"/>
      <c r="WIH1434" s="40"/>
      <c r="WII1434" s="40"/>
      <c r="WIJ1434" s="40"/>
      <c r="WIK1434" s="40"/>
      <c r="WIL1434" s="40"/>
      <c r="WIM1434" s="40"/>
      <c r="WIN1434" s="40"/>
      <c r="WIO1434" s="40"/>
      <c r="WIP1434" s="40"/>
      <c r="WIQ1434" s="40"/>
      <c r="WIR1434" s="40"/>
      <c r="WIS1434" s="40"/>
      <c r="WIT1434" s="40"/>
      <c r="WIU1434" s="40"/>
      <c r="WIV1434" s="40"/>
      <c r="WIW1434" s="40"/>
      <c r="WIX1434" s="40"/>
      <c r="WIY1434" s="40"/>
      <c r="WIZ1434" s="40"/>
      <c r="WJA1434" s="40"/>
      <c r="WJB1434" s="40"/>
      <c r="WJC1434" s="40"/>
      <c r="WJD1434" s="40"/>
      <c r="WJE1434" s="40"/>
      <c r="WJF1434" s="40"/>
      <c r="WJG1434" s="40"/>
      <c r="WJH1434" s="40"/>
      <c r="WJI1434" s="40"/>
      <c r="WJJ1434" s="40"/>
      <c r="WJK1434" s="40"/>
      <c r="WJL1434" s="40"/>
      <c r="WJM1434" s="40"/>
      <c r="WJN1434" s="40"/>
      <c r="WJO1434" s="40"/>
      <c r="WJP1434" s="40"/>
      <c r="WJQ1434" s="40"/>
      <c r="WJR1434" s="40"/>
      <c r="WJS1434" s="40"/>
      <c r="WJT1434" s="40"/>
      <c r="WJU1434" s="40"/>
      <c r="WJV1434" s="40"/>
      <c r="WJW1434" s="40"/>
      <c r="WJX1434" s="40"/>
      <c r="WJY1434" s="40"/>
      <c r="WJZ1434" s="40"/>
      <c r="WKA1434" s="40"/>
      <c r="WKB1434" s="40"/>
      <c r="WKC1434" s="40"/>
      <c r="WKD1434" s="40"/>
      <c r="WKE1434" s="40"/>
      <c r="WKF1434" s="40"/>
      <c r="WKG1434" s="40"/>
      <c r="WKH1434" s="40"/>
      <c r="WKI1434" s="40"/>
      <c r="WKJ1434" s="40"/>
      <c r="WKK1434" s="40"/>
      <c r="WKL1434" s="40"/>
      <c r="WKM1434" s="40"/>
      <c r="WKN1434" s="40"/>
      <c r="WKO1434" s="40"/>
      <c r="WKP1434" s="40"/>
      <c r="WKQ1434" s="40"/>
      <c r="WKR1434" s="40"/>
      <c r="WKS1434" s="40"/>
      <c r="WKT1434" s="40"/>
      <c r="WKU1434" s="40"/>
      <c r="WKV1434" s="40"/>
      <c r="WKW1434" s="40"/>
      <c r="WKX1434" s="40"/>
      <c r="WKY1434" s="40"/>
      <c r="WKZ1434" s="40"/>
      <c r="WLA1434" s="40"/>
      <c r="WLB1434" s="40"/>
      <c r="WLC1434" s="40"/>
      <c r="WLD1434" s="40"/>
      <c r="WLE1434" s="40"/>
      <c r="WLF1434" s="40"/>
      <c r="WLG1434" s="40"/>
      <c r="WLH1434" s="40"/>
      <c r="WLI1434" s="40"/>
      <c r="WLJ1434" s="40"/>
      <c r="WLK1434" s="40"/>
      <c r="WLL1434" s="40"/>
      <c r="WLM1434" s="40"/>
      <c r="WLN1434" s="40"/>
      <c r="WLO1434" s="40"/>
      <c r="WLP1434" s="40"/>
      <c r="WLQ1434" s="40"/>
      <c r="WLR1434" s="40"/>
      <c r="WLS1434" s="40"/>
      <c r="WLT1434" s="40"/>
      <c r="WLU1434" s="40"/>
      <c r="WLV1434" s="40"/>
      <c r="WLW1434" s="40"/>
      <c r="WLX1434" s="40"/>
      <c r="WLY1434" s="40"/>
      <c r="WLZ1434" s="40"/>
      <c r="WMA1434" s="40"/>
      <c r="WMB1434" s="40"/>
      <c r="WMC1434" s="40"/>
      <c r="WMD1434" s="40"/>
      <c r="WME1434" s="40"/>
      <c r="WMF1434" s="40"/>
      <c r="WMG1434" s="40"/>
      <c r="WMH1434" s="40"/>
      <c r="WMI1434" s="40"/>
      <c r="WMJ1434" s="40"/>
      <c r="WMK1434" s="40"/>
      <c r="WML1434" s="40"/>
      <c r="WMM1434" s="40"/>
      <c r="WMN1434" s="40"/>
      <c r="WMO1434" s="40"/>
      <c r="WMP1434" s="40"/>
      <c r="WMQ1434" s="40"/>
      <c r="WMR1434" s="40"/>
      <c r="WMS1434" s="40"/>
      <c r="WMT1434" s="40"/>
      <c r="WMU1434" s="40"/>
      <c r="WMV1434" s="40"/>
      <c r="WMW1434" s="40"/>
      <c r="WMX1434" s="40"/>
      <c r="WMY1434" s="40"/>
      <c r="WMZ1434" s="40"/>
      <c r="WNA1434" s="40"/>
      <c r="WNB1434" s="40"/>
      <c r="WNC1434" s="40"/>
      <c r="WND1434" s="40"/>
      <c r="WNE1434" s="40"/>
      <c r="WNF1434" s="40"/>
      <c r="WNG1434" s="40"/>
      <c r="WNH1434" s="40"/>
      <c r="WNI1434" s="40"/>
      <c r="WNJ1434" s="40"/>
      <c r="WNK1434" s="40"/>
      <c r="WNL1434" s="40"/>
      <c r="WNM1434" s="40"/>
      <c r="WNN1434" s="40"/>
      <c r="WNO1434" s="40"/>
      <c r="WNP1434" s="40"/>
      <c r="WNQ1434" s="40"/>
      <c r="WNR1434" s="40"/>
      <c r="WNS1434" s="40"/>
      <c r="WNT1434" s="40"/>
      <c r="WNU1434" s="40"/>
      <c r="WNV1434" s="40"/>
      <c r="WNW1434" s="40"/>
      <c r="WNX1434" s="40"/>
      <c r="WNY1434" s="40"/>
      <c r="WNZ1434" s="40"/>
      <c r="WOA1434" s="40"/>
      <c r="WOB1434" s="40"/>
      <c r="WOC1434" s="40"/>
      <c r="WOD1434" s="40"/>
      <c r="WOE1434" s="40"/>
      <c r="WOF1434" s="40"/>
      <c r="WOG1434" s="40"/>
      <c r="WOH1434" s="40"/>
      <c r="WOI1434" s="40"/>
      <c r="WOJ1434" s="40"/>
      <c r="WOK1434" s="40"/>
      <c r="WOL1434" s="40"/>
      <c r="WOM1434" s="40"/>
      <c r="WON1434" s="40"/>
      <c r="WOO1434" s="40"/>
      <c r="WOP1434" s="40"/>
      <c r="WOQ1434" s="40"/>
      <c r="WOR1434" s="40"/>
      <c r="WOS1434" s="40"/>
      <c r="WOT1434" s="40"/>
      <c r="WOU1434" s="40"/>
      <c r="WOV1434" s="40"/>
      <c r="WOW1434" s="40"/>
      <c r="WOX1434" s="40"/>
      <c r="WOY1434" s="40"/>
      <c r="WOZ1434" s="40"/>
      <c r="WPA1434" s="40"/>
      <c r="WPB1434" s="40"/>
      <c r="WPC1434" s="40"/>
      <c r="WPD1434" s="40"/>
      <c r="WPE1434" s="40"/>
      <c r="WPF1434" s="40"/>
      <c r="WPG1434" s="40"/>
      <c r="WPH1434" s="40"/>
      <c r="WPI1434" s="40"/>
      <c r="WPJ1434" s="40"/>
      <c r="WPK1434" s="40"/>
      <c r="WPL1434" s="40"/>
      <c r="WPM1434" s="40"/>
      <c r="WPN1434" s="40"/>
      <c r="WPO1434" s="40"/>
      <c r="WPP1434" s="40"/>
      <c r="WPQ1434" s="40"/>
      <c r="WPR1434" s="40"/>
      <c r="WPS1434" s="40"/>
      <c r="WPT1434" s="40"/>
      <c r="WPU1434" s="40"/>
      <c r="WPV1434" s="40"/>
      <c r="WPW1434" s="40"/>
      <c r="WPX1434" s="40"/>
      <c r="WPY1434" s="40"/>
      <c r="WPZ1434" s="40"/>
      <c r="WQA1434" s="40"/>
      <c r="WQB1434" s="40"/>
      <c r="WQC1434" s="40"/>
      <c r="WQD1434" s="40"/>
      <c r="WQE1434" s="40"/>
      <c r="WQF1434" s="40"/>
      <c r="WQG1434" s="40"/>
      <c r="WQH1434" s="40"/>
      <c r="WQI1434" s="40"/>
      <c r="WQJ1434" s="40"/>
      <c r="WQK1434" s="40"/>
      <c r="WQL1434" s="40"/>
      <c r="WQM1434" s="40"/>
      <c r="WQN1434" s="40"/>
      <c r="WQO1434" s="40"/>
      <c r="WQP1434" s="40"/>
      <c r="WQQ1434" s="40"/>
      <c r="WQR1434" s="40"/>
      <c r="WQS1434" s="40"/>
      <c r="WQT1434" s="40"/>
      <c r="WQU1434" s="40"/>
      <c r="WQV1434" s="40"/>
      <c r="WQW1434" s="40"/>
      <c r="WQX1434" s="40"/>
      <c r="WQY1434" s="40"/>
      <c r="WQZ1434" s="40"/>
      <c r="WRA1434" s="40"/>
      <c r="WRB1434" s="40"/>
      <c r="WRC1434" s="40"/>
      <c r="WRD1434" s="40"/>
      <c r="WRE1434" s="40"/>
      <c r="WRF1434" s="40"/>
      <c r="WRG1434" s="40"/>
      <c r="WRH1434" s="40"/>
      <c r="WRI1434" s="40"/>
      <c r="WRJ1434" s="40"/>
      <c r="WRK1434" s="40"/>
      <c r="WRL1434" s="40"/>
      <c r="WRM1434" s="40"/>
      <c r="WRN1434" s="40"/>
      <c r="WRO1434" s="40"/>
      <c r="WRP1434" s="40"/>
      <c r="WRQ1434" s="40"/>
      <c r="WRR1434" s="40"/>
      <c r="WRS1434" s="40"/>
      <c r="WRT1434" s="40"/>
      <c r="WRU1434" s="40"/>
      <c r="WRV1434" s="40"/>
      <c r="WRW1434" s="40"/>
      <c r="WRX1434" s="40"/>
      <c r="WRY1434" s="40"/>
      <c r="WRZ1434" s="40"/>
      <c r="WSA1434" s="40"/>
      <c r="WSB1434" s="40"/>
      <c r="WSC1434" s="40"/>
      <c r="WSD1434" s="40"/>
      <c r="WSE1434" s="40"/>
      <c r="WSF1434" s="40"/>
      <c r="WSG1434" s="40"/>
      <c r="WSH1434" s="40"/>
      <c r="WSI1434" s="40"/>
      <c r="WSJ1434" s="40"/>
      <c r="WSK1434" s="40"/>
      <c r="WSL1434" s="40"/>
      <c r="WSM1434" s="40"/>
      <c r="WSN1434" s="40"/>
      <c r="WSO1434" s="40"/>
      <c r="WSP1434" s="40"/>
      <c r="WSQ1434" s="40"/>
      <c r="WSR1434" s="40"/>
      <c r="WSS1434" s="40"/>
      <c r="WST1434" s="40"/>
      <c r="WSU1434" s="40"/>
      <c r="WSV1434" s="40"/>
      <c r="WSW1434" s="40"/>
      <c r="WSX1434" s="40"/>
      <c r="WSY1434" s="40"/>
      <c r="WSZ1434" s="40"/>
      <c r="WTA1434" s="40"/>
      <c r="WTB1434" s="40"/>
      <c r="WTC1434" s="40"/>
      <c r="WTD1434" s="40"/>
      <c r="WTE1434" s="40"/>
      <c r="WTF1434" s="40"/>
      <c r="WTG1434" s="40"/>
      <c r="WTH1434" s="40"/>
      <c r="WTI1434" s="40"/>
      <c r="WTJ1434" s="40"/>
      <c r="WTK1434" s="40"/>
      <c r="WTL1434" s="40"/>
      <c r="WTM1434" s="40"/>
      <c r="WTN1434" s="40"/>
      <c r="WTO1434" s="40"/>
      <c r="WTP1434" s="40"/>
      <c r="WTQ1434" s="40"/>
      <c r="WTR1434" s="40"/>
      <c r="WTS1434" s="40"/>
      <c r="WTT1434" s="40"/>
      <c r="WTU1434" s="40"/>
      <c r="WTV1434" s="40"/>
      <c r="WTW1434" s="40"/>
      <c r="WTX1434" s="40"/>
      <c r="WTY1434" s="40"/>
      <c r="WTZ1434" s="40"/>
      <c r="WUA1434" s="40"/>
      <c r="WUB1434" s="40"/>
      <c r="WUC1434" s="40"/>
      <c r="WUD1434" s="40"/>
      <c r="WUE1434" s="40"/>
      <c r="WUF1434" s="40"/>
      <c r="WUG1434" s="40"/>
      <c r="WUH1434" s="40"/>
      <c r="WUI1434" s="40"/>
      <c r="WUJ1434" s="40"/>
      <c r="WUK1434" s="40"/>
      <c r="WUL1434" s="40"/>
      <c r="WUM1434" s="40"/>
      <c r="WUN1434" s="40"/>
      <c r="WUO1434" s="40"/>
      <c r="WUP1434" s="40"/>
      <c r="WUQ1434" s="40"/>
      <c r="WUR1434" s="40"/>
      <c r="WUS1434" s="40"/>
      <c r="WUT1434" s="40"/>
      <c r="WUU1434" s="40"/>
      <c r="WUV1434" s="40"/>
      <c r="WUW1434" s="40"/>
      <c r="WUX1434" s="40"/>
      <c r="WUY1434" s="40"/>
      <c r="WUZ1434" s="40"/>
      <c r="WVA1434" s="40"/>
      <c r="WVB1434" s="40"/>
      <c r="WVC1434" s="40"/>
      <c r="WVD1434" s="40"/>
      <c r="WVE1434" s="40"/>
      <c r="WVF1434" s="40"/>
      <c r="WVG1434" s="40"/>
      <c r="WVH1434" s="40"/>
      <c r="WVI1434" s="40"/>
      <c r="WVJ1434" s="40"/>
      <c r="WVK1434" s="40"/>
      <c r="WVL1434" s="40"/>
      <c r="WVM1434" s="40"/>
      <c r="WVN1434" s="40"/>
      <c r="WVO1434" s="40"/>
      <c r="WVP1434" s="40"/>
      <c r="WVQ1434" s="40"/>
      <c r="WVR1434" s="40"/>
      <c r="WVS1434" s="40"/>
      <c r="WVT1434" s="40"/>
      <c r="WVU1434" s="40"/>
      <c r="WVV1434" s="40"/>
      <c r="WVW1434" s="40"/>
      <c r="WVX1434" s="40"/>
      <c r="WVY1434" s="40"/>
      <c r="WVZ1434" s="40"/>
      <c r="WWA1434" s="40"/>
      <c r="WWB1434" s="40"/>
      <c r="WWC1434" s="40"/>
      <c r="WWD1434" s="40"/>
      <c r="WWE1434" s="40"/>
      <c r="WWF1434" s="40"/>
      <c r="WWG1434" s="40"/>
      <c r="WWH1434" s="40"/>
      <c r="WWI1434" s="40"/>
      <c r="WWJ1434" s="40"/>
      <c r="WWK1434" s="40"/>
      <c r="WWL1434" s="40"/>
      <c r="WWM1434" s="40"/>
      <c r="WWN1434" s="40"/>
      <c r="WWO1434" s="40"/>
      <c r="WWP1434" s="40"/>
      <c r="WWQ1434" s="40"/>
      <c r="WWR1434" s="40"/>
      <c r="WWS1434" s="40"/>
      <c r="WWT1434" s="40"/>
      <c r="WWU1434" s="40"/>
      <c r="WWV1434" s="40"/>
      <c r="WWW1434" s="40"/>
      <c r="WWX1434" s="40"/>
      <c r="WWY1434" s="40"/>
      <c r="WWZ1434" s="40"/>
      <c r="WXA1434" s="40"/>
      <c r="WXB1434" s="40"/>
      <c r="WXC1434" s="40"/>
      <c r="WXD1434" s="40"/>
      <c r="WXE1434" s="40"/>
      <c r="WXF1434" s="40"/>
      <c r="WXG1434" s="40"/>
      <c r="WXH1434" s="40"/>
      <c r="WXI1434" s="40"/>
      <c r="WXJ1434" s="40"/>
      <c r="WXK1434" s="40"/>
      <c r="WXL1434" s="40"/>
      <c r="WXM1434" s="40"/>
      <c r="WXN1434" s="40"/>
      <c r="WXO1434" s="40"/>
      <c r="WXP1434" s="40"/>
      <c r="WXQ1434" s="40"/>
      <c r="WXR1434" s="40"/>
      <c r="WXS1434" s="40"/>
      <c r="WXT1434" s="40"/>
      <c r="WXU1434" s="40"/>
      <c r="WXV1434" s="40"/>
      <c r="WXW1434" s="40"/>
      <c r="WXX1434" s="40"/>
      <c r="WXY1434" s="40"/>
      <c r="WXZ1434" s="40"/>
      <c r="WYA1434" s="40"/>
      <c r="WYB1434" s="40"/>
      <c r="WYC1434" s="40"/>
      <c r="WYD1434" s="40"/>
      <c r="WYE1434" s="40"/>
      <c r="WYF1434" s="40"/>
      <c r="WYG1434" s="40"/>
      <c r="WYH1434" s="40"/>
      <c r="WYI1434" s="40"/>
      <c r="WYJ1434" s="40"/>
      <c r="WYK1434" s="40"/>
      <c r="WYL1434" s="40"/>
      <c r="WYM1434" s="40"/>
      <c r="WYN1434" s="40"/>
      <c r="WYO1434" s="40"/>
      <c r="WYP1434" s="40"/>
      <c r="WYQ1434" s="40"/>
      <c r="WYR1434" s="40"/>
      <c r="WYS1434" s="40"/>
      <c r="WYT1434" s="40"/>
      <c r="WYU1434" s="40"/>
      <c r="WYV1434" s="40"/>
      <c r="WYW1434" s="40"/>
      <c r="WYX1434" s="40"/>
      <c r="WYY1434" s="40"/>
      <c r="WYZ1434" s="40"/>
      <c r="WZA1434" s="40"/>
      <c r="WZB1434" s="40"/>
      <c r="WZC1434" s="40"/>
      <c r="WZD1434" s="40"/>
      <c r="WZE1434" s="40"/>
      <c r="WZF1434" s="40"/>
      <c r="WZG1434" s="40"/>
      <c r="WZH1434" s="40"/>
      <c r="WZI1434" s="40"/>
      <c r="WZJ1434" s="40"/>
      <c r="WZK1434" s="40"/>
      <c r="WZL1434" s="40"/>
      <c r="WZM1434" s="40"/>
      <c r="WZN1434" s="40"/>
      <c r="WZO1434" s="40"/>
      <c r="WZP1434" s="40"/>
      <c r="WZQ1434" s="40"/>
      <c r="WZR1434" s="40"/>
      <c r="WZS1434" s="40"/>
      <c r="WZT1434" s="40"/>
      <c r="WZU1434" s="40"/>
      <c r="WZV1434" s="40"/>
      <c r="WZW1434" s="40"/>
      <c r="WZX1434" s="40"/>
      <c r="WZY1434" s="40"/>
      <c r="WZZ1434" s="40"/>
      <c r="XAA1434" s="40"/>
      <c r="XAB1434" s="40"/>
      <c r="XAC1434" s="40"/>
      <c r="XAD1434" s="40"/>
      <c r="XAE1434" s="40"/>
      <c r="XAF1434" s="40"/>
      <c r="XAG1434" s="40"/>
      <c r="XAH1434" s="40"/>
      <c r="XAI1434" s="40"/>
      <c r="XAJ1434" s="40"/>
      <c r="XAK1434" s="40"/>
      <c r="XAL1434" s="40"/>
      <c r="XAM1434" s="40"/>
      <c r="XAN1434" s="40"/>
      <c r="XAO1434" s="40"/>
      <c r="XAP1434" s="40"/>
      <c r="XAQ1434" s="40"/>
      <c r="XAR1434" s="40"/>
      <c r="XAS1434" s="40"/>
      <c r="XAT1434" s="40"/>
      <c r="XAU1434" s="40"/>
      <c r="XAV1434" s="40"/>
      <c r="XAW1434" s="40"/>
      <c r="XAX1434" s="40"/>
      <c r="XAY1434" s="40"/>
      <c r="XAZ1434" s="40"/>
      <c r="XBA1434" s="40"/>
      <c r="XBB1434" s="40"/>
      <c r="XBC1434" s="40"/>
      <c r="XBD1434" s="40"/>
      <c r="XBE1434" s="40"/>
      <c r="XBF1434" s="40"/>
      <c r="XBG1434" s="40"/>
      <c r="XBH1434" s="40"/>
      <c r="XBI1434" s="40"/>
      <c r="XBJ1434" s="40"/>
      <c r="XBK1434" s="40"/>
      <c r="XBL1434" s="40"/>
      <c r="XBM1434" s="40"/>
      <c r="XBN1434" s="40"/>
      <c r="XBO1434" s="40"/>
      <c r="XBP1434" s="40"/>
      <c r="XBQ1434" s="40"/>
      <c r="XBR1434" s="40"/>
      <c r="XBS1434" s="40"/>
      <c r="XBT1434" s="40"/>
      <c r="XBU1434" s="40"/>
      <c r="XBV1434" s="40"/>
      <c r="XBW1434" s="40"/>
      <c r="XBX1434" s="40"/>
      <c r="XBY1434" s="40"/>
      <c r="XBZ1434" s="40"/>
      <c r="XCA1434" s="40"/>
      <c r="XCB1434" s="40"/>
      <c r="XCC1434" s="40"/>
      <c r="XCD1434" s="40"/>
      <c r="XCE1434" s="40"/>
      <c r="XCF1434" s="40"/>
      <c r="XCG1434" s="40"/>
      <c r="XCH1434" s="40"/>
      <c r="XCI1434" s="40"/>
      <c r="XCJ1434" s="40"/>
      <c r="XCK1434" s="40"/>
      <c r="XCL1434" s="40"/>
      <c r="XCM1434" s="40"/>
      <c r="XCN1434" s="40"/>
      <c r="XCO1434" s="40"/>
      <c r="XCP1434" s="40"/>
      <c r="XCQ1434" s="40"/>
      <c r="XCR1434" s="40"/>
      <c r="XCS1434" s="40"/>
      <c r="XCT1434" s="40"/>
      <c r="XCU1434" s="40"/>
      <c r="XCV1434" s="40"/>
      <c r="XCW1434" s="40"/>
      <c r="XCX1434" s="40"/>
      <c r="XCY1434" s="40"/>
      <c r="XCZ1434" s="40"/>
      <c r="XDA1434" s="40"/>
      <c r="XDB1434" s="40"/>
      <c r="XDC1434" s="40"/>
      <c r="XDD1434" s="40"/>
      <c r="XDE1434" s="40"/>
      <c r="XDF1434" s="40"/>
      <c r="XDG1434" s="40"/>
      <c r="XDH1434" s="40"/>
      <c r="XDI1434" s="40"/>
      <c r="XDJ1434" s="40"/>
      <c r="XDK1434" s="40"/>
      <c r="XDL1434" s="40"/>
      <c r="XDM1434" s="40"/>
      <c r="XDN1434" s="40"/>
      <c r="XDO1434" s="40"/>
      <c r="XDP1434" s="40"/>
      <c r="XDQ1434" s="40"/>
      <c r="XDR1434" s="40"/>
      <c r="XDS1434" s="40"/>
      <c r="XDT1434" s="40"/>
      <c r="XDU1434" s="40"/>
      <c r="XDV1434" s="40"/>
      <c r="XDW1434" s="40"/>
      <c r="XDX1434" s="40"/>
      <c r="XDY1434" s="40"/>
      <c r="XDZ1434" s="40"/>
      <c r="XEA1434" s="40"/>
      <c r="XEB1434" s="40"/>
      <c r="XEC1434" s="40"/>
      <c r="XED1434" s="40"/>
      <c r="XEE1434" s="40"/>
      <c r="XEF1434" s="40"/>
      <c r="XEG1434" s="40"/>
      <c r="XEH1434" s="40"/>
      <c r="XEI1434" s="40"/>
      <c r="XEJ1434" s="40"/>
      <c r="XEK1434" s="40"/>
      <c r="XEL1434" s="40"/>
      <c r="XEM1434" s="40"/>
      <c r="XEN1434" s="40"/>
      <c r="XEO1434" s="40"/>
      <c r="XEP1434" s="40"/>
      <c r="XEQ1434" s="40"/>
      <c r="XER1434" s="40"/>
      <c r="XES1434" s="40"/>
      <c r="XET1434" s="40"/>
      <c r="XEU1434" s="40"/>
      <c r="XEV1434" s="40"/>
      <c r="XEW1434" s="40"/>
      <c r="XEX1434" s="40"/>
      <c r="XEY1434" s="40"/>
      <c r="XEZ1434" s="40"/>
      <c r="XFA1434" s="40"/>
      <c r="XFB1434" s="40"/>
      <c r="XFC1434" s="40"/>
    </row>
    <row r="1435" spans="1:16383" x14ac:dyDescent="0.25">
      <c r="A1435" s="36">
        <f>COUNT(A1335:A1434)</f>
        <v>100</v>
      </c>
      <c r="B1435" s="70"/>
      <c r="C1435" s="37"/>
      <c r="D1435" s="70"/>
      <c r="E1435" s="36">
        <f>COUNTIF(E1335:E1434,"Y")</f>
        <v>0</v>
      </c>
      <c r="F1435" s="38">
        <f>SUM(F1335:F1434)</f>
        <v>125400</v>
      </c>
      <c r="G1435" s="38">
        <f>SUM(G1335:G1434)</f>
        <v>540.59999999999968</v>
      </c>
      <c r="H1435" s="39">
        <f>G1435*0.8</f>
        <v>432.47999999999979</v>
      </c>
      <c r="I1435" s="39">
        <f>H1435-0.95</f>
        <v>431.5299999999998</v>
      </c>
      <c r="J1435" s="37"/>
      <c r="K1435" s="37"/>
      <c r="L1435" s="37">
        <f>210+59+5+29</f>
        <v>303</v>
      </c>
    </row>
    <row r="1437" spans="1:16383" x14ac:dyDescent="0.25">
      <c r="A1437" s="6">
        <v>44013</v>
      </c>
      <c r="B1437" s="63" t="s">
        <v>1630</v>
      </c>
      <c r="F1437" s="2">
        <v>1600</v>
      </c>
      <c r="G1437" s="2">
        <f>IF(E1437="y",25,IF(OR(E1437="N",E1437="RD",E1437="I"),10,0))+IF(F1437&gt;5000,20,F1437*0.4%)+IF(E1437="SB",2,IF(E1437="JJ",35,IF(E1437="A",50,0)))</f>
        <v>6.4</v>
      </c>
    </row>
    <row r="1438" spans="1:16383" x14ac:dyDescent="0.25">
      <c r="A1438" s="6">
        <v>44013</v>
      </c>
      <c r="B1438" s="63" t="s">
        <v>1709</v>
      </c>
      <c r="C1438" t="s">
        <v>1710</v>
      </c>
      <c r="F1438" s="2">
        <v>500</v>
      </c>
      <c r="G1438" s="2">
        <f t="shared" ref="G1438:G1503" si="29">IF(E1438="y",25,IF(OR(E1438="N",E1438="RD",E1438="I"),10,0))+IF(F1438&gt;5000,20,F1438*0.4%)+IF(E1438="SB",2,IF(E1438="JJ",35,IF(E1438="A",50,0)))</f>
        <v>2</v>
      </c>
    </row>
    <row r="1439" spans="1:16383" x14ac:dyDescent="0.25">
      <c r="A1439" s="6">
        <v>44013</v>
      </c>
      <c r="B1439" s="63" t="s">
        <v>1711</v>
      </c>
      <c r="C1439" t="s">
        <v>39</v>
      </c>
      <c r="F1439" s="2">
        <v>550</v>
      </c>
      <c r="G1439" s="2">
        <f t="shared" si="29"/>
        <v>2.2000000000000002</v>
      </c>
    </row>
    <row r="1440" spans="1:16383" x14ac:dyDescent="0.25">
      <c r="A1440" s="6">
        <v>44013</v>
      </c>
      <c r="B1440" s="63" t="s">
        <v>1709</v>
      </c>
      <c r="C1440" s="22" t="s">
        <v>1710</v>
      </c>
      <c r="E1440" s="178" t="s">
        <v>1685</v>
      </c>
      <c r="G1440" s="2">
        <f t="shared" si="29"/>
        <v>35</v>
      </c>
    </row>
    <row r="1441" spans="1:7" x14ac:dyDescent="0.25">
      <c r="A1441" s="6">
        <v>44013</v>
      </c>
      <c r="B1441" s="63" t="s">
        <v>1709</v>
      </c>
      <c r="C1441" s="22" t="s">
        <v>1710</v>
      </c>
      <c r="E1441" s="178" t="s">
        <v>1686</v>
      </c>
      <c r="G1441" s="2">
        <f t="shared" si="29"/>
        <v>2</v>
      </c>
    </row>
    <row r="1442" spans="1:7" x14ac:dyDescent="0.25">
      <c r="A1442" s="6">
        <v>44013</v>
      </c>
      <c r="B1442" s="63" t="s">
        <v>1711</v>
      </c>
      <c r="C1442" s="22" t="s">
        <v>39</v>
      </c>
      <c r="E1442" s="178" t="s">
        <v>1685</v>
      </c>
      <c r="G1442" s="2">
        <f t="shared" si="29"/>
        <v>35</v>
      </c>
    </row>
    <row r="1443" spans="1:7" x14ac:dyDescent="0.25">
      <c r="A1443" s="6">
        <v>44013</v>
      </c>
      <c r="B1443" s="63" t="s">
        <v>1711</v>
      </c>
      <c r="C1443" s="22" t="s">
        <v>39</v>
      </c>
      <c r="E1443" s="178" t="s">
        <v>1686</v>
      </c>
      <c r="G1443" s="2">
        <f t="shared" si="29"/>
        <v>2</v>
      </c>
    </row>
    <row r="1444" spans="1:7" x14ac:dyDescent="0.25">
      <c r="A1444" s="6">
        <v>44013</v>
      </c>
      <c r="B1444" s="63" t="s">
        <v>1630</v>
      </c>
      <c r="C1444" t="s">
        <v>126</v>
      </c>
      <c r="F1444" s="2">
        <v>1600</v>
      </c>
      <c r="G1444" s="2">
        <f t="shared" si="29"/>
        <v>6.4</v>
      </c>
    </row>
    <row r="1445" spans="1:7" x14ac:dyDescent="0.25">
      <c r="A1445" s="6">
        <v>44013</v>
      </c>
      <c r="B1445" s="63" t="s">
        <v>1624</v>
      </c>
      <c r="C1445" t="s">
        <v>1712</v>
      </c>
      <c r="F1445" s="2">
        <v>1900</v>
      </c>
      <c r="G1445" s="2">
        <f t="shared" si="29"/>
        <v>7.6000000000000005</v>
      </c>
    </row>
    <row r="1446" spans="1:7" x14ac:dyDescent="0.25">
      <c r="A1446" s="6">
        <v>44014</v>
      </c>
      <c r="B1446" s="63" t="s">
        <v>1713</v>
      </c>
      <c r="C1446" t="s">
        <v>1715</v>
      </c>
      <c r="E1446" s="178" t="s">
        <v>66</v>
      </c>
      <c r="F1446" s="2">
        <v>200</v>
      </c>
      <c r="G1446" s="2">
        <f t="shared" si="29"/>
        <v>25.8</v>
      </c>
    </row>
    <row r="1447" spans="1:7" s="22" customFormat="1" x14ac:dyDescent="0.25">
      <c r="A1447" s="6">
        <v>44014</v>
      </c>
      <c r="B1447" s="63" t="s">
        <v>1692</v>
      </c>
      <c r="C1447" s="22" t="s">
        <v>1706</v>
      </c>
      <c r="D1447" s="63"/>
      <c r="E1447" s="178"/>
      <c r="F1447" s="2">
        <v>500</v>
      </c>
      <c r="G1447" s="2">
        <f t="shared" si="29"/>
        <v>2</v>
      </c>
    </row>
    <row r="1448" spans="1:7" s="22" customFormat="1" x14ac:dyDescent="0.25">
      <c r="A1448" s="6">
        <v>44014</v>
      </c>
      <c r="B1448" s="63" t="s">
        <v>1692</v>
      </c>
      <c r="C1448" s="22" t="s">
        <v>1706</v>
      </c>
      <c r="D1448" s="63"/>
      <c r="E1448" s="178" t="s">
        <v>1686</v>
      </c>
      <c r="F1448" s="2"/>
      <c r="G1448" s="2">
        <f t="shared" si="29"/>
        <v>2</v>
      </c>
    </row>
    <row r="1449" spans="1:7" x14ac:dyDescent="0.25">
      <c r="A1449" s="6">
        <v>44014</v>
      </c>
      <c r="B1449" s="63" t="s">
        <v>1714</v>
      </c>
      <c r="C1449" t="s">
        <v>1716</v>
      </c>
      <c r="E1449" s="178" t="s">
        <v>66</v>
      </c>
      <c r="F1449" s="2">
        <v>200</v>
      </c>
      <c r="G1449" s="2">
        <f t="shared" si="29"/>
        <v>25.8</v>
      </c>
    </row>
    <row r="1450" spans="1:7" s="22" customFormat="1" x14ac:dyDescent="0.25">
      <c r="A1450" s="6">
        <v>44015</v>
      </c>
      <c r="B1450" s="63" t="s">
        <v>1630</v>
      </c>
      <c r="C1450" s="22" t="s">
        <v>292</v>
      </c>
      <c r="D1450" s="63"/>
      <c r="E1450" s="178"/>
      <c r="F1450" s="2">
        <v>1200</v>
      </c>
      <c r="G1450" s="2">
        <f t="shared" si="29"/>
        <v>4.8</v>
      </c>
    </row>
    <row r="1451" spans="1:7" s="22" customFormat="1" x14ac:dyDescent="0.25">
      <c r="A1451" s="6">
        <v>44015</v>
      </c>
      <c r="B1451" s="63"/>
      <c r="C1451" s="22" t="s">
        <v>1832</v>
      </c>
      <c r="D1451" s="63"/>
      <c r="E1451" s="178"/>
      <c r="F1451" s="2">
        <v>100</v>
      </c>
      <c r="G1451" s="2">
        <f t="shared" si="29"/>
        <v>0.4</v>
      </c>
    </row>
    <row r="1452" spans="1:7" s="22" customFormat="1" x14ac:dyDescent="0.25">
      <c r="A1452" s="6">
        <v>44015</v>
      </c>
      <c r="B1452" s="63" t="s">
        <v>1641</v>
      </c>
      <c r="C1452" s="22" t="s">
        <v>1705</v>
      </c>
      <c r="D1452" s="63"/>
      <c r="E1452" s="178"/>
      <c r="F1452" s="2">
        <v>300</v>
      </c>
      <c r="G1452" s="2">
        <f t="shared" si="29"/>
        <v>1.2</v>
      </c>
    </row>
    <row r="1453" spans="1:7" s="22" customFormat="1" x14ac:dyDescent="0.25">
      <c r="A1453" s="6">
        <v>44015</v>
      </c>
      <c r="B1453" s="63" t="s">
        <v>1732</v>
      </c>
      <c r="D1453" s="63"/>
      <c r="E1453" s="178"/>
      <c r="F1453" s="2">
        <v>400</v>
      </c>
      <c r="G1453" s="2">
        <f t="shared" si="29"/>
        <v>1.6</v>
      </c>
    </row>
    <row r="1454" spans="1:7" s="22" customFormat="1" x14ac:dyDescent="0.25">
      <c r="A1454" s="6">
        <v>44015</v>
      </c>
      <c r="B1454" s="63" t="s">
        <v>1730</v>
      </c>
      <c r="D1454" s="63"/>
      <c r="E1454" s="178" t="s">
        <v>1731</v>
      </c>
      <c r="F1454" s="2"/>
      <c r="G1454" s="2">
        <f t="shared" si="29"/>
        <v>35</v>
      </c>
    </row>
    <row r="1455" spans="1:7" s="22" customFormat="1" x14ac:dyDescent="0.25">
      <c r="A1455" s="6">
        <v>44015</v>
      </c>
      <c r="B1455" s="63" t="s">
        <v>1732</v>
      </c>
      <c r="D1455" s="63"/>
      <c r="E1455" s="178" t="s">
        <v>1835</v>
      </c>
      <c r="F1455" s="2"/>
      <c r="G1455" s="2">
        <f t="shared" si="29"/>
        <v>50</v>
      </c>
    </row>
    <row r="1456" spans="1:7" s="22" customFormat="1" x14ac:dyDescent="0.25">
      <c r="A1456" s="6">
        <v>44015</v>
      </c>
      <c r="B1456" s="63" t="s">
        <v>1727</v>
      </c>
      <c r="D1456" s="63"/>
      <c r="E1456" s="178" t="s">
        <v>66</v>
      </c>
      <c r="F1456" s="2">
        <v>200</v>
      </c>
      <c r="G1456" s="2">
        <f t="shared" si="29"/>
        <v>25.8</v>
      </c>
    </row>
    <row r="1457" spans="1:7" s="22" customFormat="1" x14ac:dyDescent="0.25">
      <c r="A1457" s="6">
        <v>44015</v>
      </c>
      <c r="B1457" s="63" t="s">
        <v>1728</v>
      </c>
      <c r="D1457" s="63"/>
      <c r="E1457" s="178" t="s">
        <v>66</v>
      </c>
      <c r="F1457" s="2">
        <v>200</v>
      </c>
      <c r="G1457" s="2">
        <f t="shared" si="29"/>
        <v>25.8</v>
      </c>
    </row>
    <row r="1458" spans="1:7" s="22" customFormat="1" x14ac:dyDescent="0.25">
      <c r="A1458" s="6">
        <v>44015</v>
      </c>
      <c r="B1458" s="63" t="s">
        <v>1729</v>
      </c>
      <c r="D1458" s="63"/>
      <c r="E1458" s="178" t="s">
        <v>66</v>
      </c>
      <c r="F1458" s="2">
        <v>160</v>
      </c>
      <c r="G1458" s="2">
        <f t="shared" si="29"/>
        <v>25.64</v>
      </c>
    </row>
    <row r="1459" spans="1:7" s="22" customFormat="1" x14ac:dyDescent="0.25">
      <c r="A1459" s="6">
        <v>44016</v>
      </c>
      <c r="B1459" s="63" t="s">
        <v>1740</v>
      </c>
      <c r="C1459" s="22" t="s">
        <v>1736</v>
      </c>
      <c r="D1459" s="63"/>
      <c r="E1459" s="178" t="s">
        <v>66</v>
      </c>
      <c r="F1459" s="2">
        <v>160</v>
      </c>
      <c r="G1459" s="2">
        <f t="shared" si="29"/>
        <v>25.64</v>
      </c>
    </row>
    <row r="1460" spans="1:7" s="22" customFormat="1" x14ac:dyDescent="0.25">
      <c r="A1460" s="6">
        <v>44016</v>
      </c>
      <c r="B1460" s="63" t="s">
        <v>1740</v>
      </c>
      <c r="C1460" s="22" t="s">
        <v>1736</v>
      </c>
      <c r="D1460" s="63"/>
      <c r="E1460" s="178" t="s">
        <v>1686</v>
      </c>
      <c r="F1460" s="2"/>
      <c r="G1460" s="2">
        <f t="shared" si="29"/>
        <v>2</v>
      </c>
    </row>
    <row r="1461" spans="1:7" s="22" customFormat="1" x14ac:dyDescent="0.25">
      <c r="A1461" s="6">
        <v>44016</v>
      </c>
      <c r="B1461" s="63" t="s">
        <v>1630</v>
      </c>
      <c r="C1461" s="22" t="s">
        <v>126</v>
      </c>
      <c r="D1461" s="63"/>
      <c r="E1461" s="178"/>
      <c r="F1461" s="2">
        <v>800</v>
      </c>
      <c r="G1461" s="2">
        <f t="shared" si="29"/>
        <v>3.2</v>
      </c>
    </row>
    <row r="1462" spans="1:7" s="22" customFormat="1" x14ac:dyDescent="0.25">
      <c r="A1462" s="6">
        <v>44016</v>
      </c>
      <c r="B1462" s="63" t="s">
        <v>1741</v>
      </c>
      <c r="C1462" s="22" t="s">
        <v>1746</v>
      </c>
      <c r="D1462" s="63"/>
      <c r="E1462" s="178" t="s">
        <v>66</v>
      </c>
      <c r="F1462" s="2">
        <v>200</v>
      </c>
      <c r="G1462" s="2">
        <f t="shared" si="29"/>
        <v>25.8</v>
      </c>
    </row>
    <row r="1463" spans="1:7" s="22" customFormat="1" x14ac:dyDescent="0.25">
      <c r="A1463" s="6">
        <v>44016</v>
      </c>
      <c r="B1463" s="63" t="s">
        <v>1741</v>
      </c>
      <c r="C1463" s="22" t="s">
        <v>1746</v>
      </c>
      <c r="D1463" s="63"/>
      <c r="E1463" s="178" t="s">
        <v>1686</v>
      </c>
      <c r="F1463" s="2"/>
      <c r="G1463" s="2">
        <f t="shared" si="29"/>
        <v>2</v>
      </c>
    </row>
    <row r="1464" spans="1:7" s="22" customFormat="1" x14ac:dyDescent="0.25">
      <c r="A1464" s="6">
        <v>44016</v>
      </c>
      <c r="B1464" s="63" t="s">
        <v>1750</v>
      </c>
      <c r="C1464" s="22" t="s">
        <v>1747</v>
      </c>
      <c r="D1464" s="63"/>
      <c r="E1464" s="178" t="s">
        <v>1686</v>
      </c>
      <c r="F1464" s="2"/>
      <c r="G1464" s="2">
        <f t="shared" si="29"/>
        <v>2</v>
      </c>
    </row>
    <row r="1465" spans="1:7" x14ac:dyDescent="0.25">
      <c r="A1465" s="6">
        <v>44016</v>
      </c>
      <c r="B1465" s="63" t="s">
        <v>1749</v>
      </c>
      <c r="C1465" t="s">
        <v>1748</v>
      </c>
      <c r="E1465" s="178" t="s">
        <v>1685</v>
      </c>
      <c r="G1465" s="2">
        <f t="shared" si="29"/>
        <v>35</v>
      </c>
    </row>
    <row r="1466" spans="1:7" s="22" customFormat="1" x14ac:dyDescent="0.25">
      <c r="A1466" s="6">
        <v>44016</v>
      </c>
      <c r="B1466" s="63" t="s">
        <v>1743</v>
      </c>
      <c r="C1466" s="22" t="s">
        <v>1751</v>
      </c>
      <c r="D1466" s="63"/>
      <c r="E1466" s="178" t="s">
        <v>66</v>
      </c>
      <c r="F1466" s="2">
        <v>400</v>
      </c>
      <c r="G1466" s="2">
        <f t="shared" si="29"/>
        <v>26.6</v>
      </c>
    </row>
    <row r="1467" spans="1:7" s="22" customFormat="1" x14ac:dyDescent="0.25">
      <c r="A1467" s="6">
        <v>44016</v>
      </c>
      <c r="B1467" s="63" t="s">
        <v>1743</v>
      </c>
      <c r="C1467" s="22" t="s">
        <v>1751</v>
      </c>
      <c r="D1467" s="63"/>
      <c r="E1467" s="178" t="s">
        <v>1685</v>
      </c>
      <c r="F1467" s="2"/>
      <c r="G1467" s="2">
        <f t="shared" si="29"/>
        <v>35</v>
      </c>
    </row>
    <row r="1468" spans="1:7" s="22" customFormat="1" x14ac:dyDescent="0.25">
      <c r="A1468" s="6">
        <v>44016</v>
      </c>
      <c r="B1468" s="63" t="s">
        <v>1743</v>
      </c>
      <c r="C1468" s="22" t="s">
        <v>1751</v>
      </c>
      <c r="D1468" s="63"/>
      <c r="E1468" s="178" t="s">
        <v>1686</v>
      </c>
      <c r="F1468" s="2"/>
      <c r="G1468" s="2">
        <f t="shared" si="29"/>
        <v>2</v>
      </c>
    </row>
    <row r="1469" spans="1:7" s="22" customFormat="1" x14ac:dyDescent="0.25">
      <c r="A1469" s="6">
        <v>44016</v>
      </c>
      <c r="B1469" s="63" t="s">
        <v>1728</v>
      </c>
      <c r="C1469" s="22" t="s">
        <v>1752</v>
      </c>
      <c r="D1469" s="63"/>
      <c r="E1469" s="178"/>
      <c r="F1469" s="2">
        <v>200</v>
      </c>
      <c r="G1469" s="2">
        <f t="shared" si="29"/>
        <v>0.8</v>
      </c>
    </row>
    <row r="1470" spans="1:7" s="22" customFormat="1" x14ac:dyDescent="0.25">
      <c r="A1470" s="6">
        <v>44016</v>
      </c>
      <c r="B1470" s="63" t="s">
        <v>1728</v>
      </c>
      <c r="C1470" s="22" t="s">
        <v>1752</v>
      </c>
      <c r="D1470" s="63"/>
      <c r="E1470" s="178" t="s">
        <v>1685</v>
      </c>
      <c r="F1470" s="2"/>
      <c r="G1470" s="2">
        <f t="shared" si="29"/>
        <v>35</v>
      </c>
    </row>
    <row r="1471" spans="1:7" s="22" customFormat="1" x14ac:dyDescent="0.25">
      <c r="A1471" s="6">
        <v>44016</v>
      </c>
      <c r="B1471" s="63" t="s">
        <v>1728</v>
      </c>
      <c r="C1471" s="22" t="s">
        <v>1752</v>
      </c>
      <c r="D1471" s="63"/>
      <c r="E1471" s="178" t="s">
        <v>1686</v>
      </c>
      <c r="F1471" s="2"/>
      <c r="G1471" s="2">
        <f t="shared" si="29"/>
        <v>2</v>
      </c>
    </row>
    <row r="1472" spans="1:7" s="22" customFormat="1" x14ac:dyDescent="0.25">
      <c r="A1472" s="6">
        <v>44016</v>
      </c>
      <c r="B1472" s="63" t="s">
        <v>1757</v>
      </c>
      <c r="C1472" s="22" t="s">
        <v>1756</v>
      </c>
      <c r="D1472" s="63"/>
      <c r="E1472" s="178"/>
      <c r="F1472" s="2">
        <v>500</v>
      </c>
      <c r="G1472" s="2">
        <f t="shared" si="29"/>
        <v>2</v>
      </c>
    </row>
    <row r="1473" spans="1:7" s="22" customFormat="1" x14ac:dyDescent="0.25">
      <c r="A1473" s="6">
        <v>44016</v>
      </c>
      <c r="B1473" s="63" t="s">
        <v>1757</v>
      </c>
      <c r="C1473" s="22" t="s">
        <v>1756</v>
      </c>
      <c r="D1473" s="63"/>
      <c r="E1473" s="178" t="s">
        <v>1753</v>
      </c>
      <c r="F1473" s="2"/>
      <c r="G1473" s="2">
        <f t="shared" si="29"/>
        <v>2</v>
      </c>
    </row>
    <row r="1474" spans="1:7" s="22" customFormat="1" x14ac:dyDescent="0.25">
      <c r="A1474" s="6">
        <v>44016</v>
      </c>
      <c r="B1474" s="63" t="s">
        <v>1740</v>
      </c>
      <c r="C1474" s="22" t="s">
        <v>1736</v>
      </c>
      <c r="D1474" s="63"/>
      <c r="E1474" s="178"/>
      <c r="F1474" s="2">
        <v>500</v>
      </c>
      <c r="G1474" s="2">
        <f t="shared" si="29"/>
        <v>2</v>
      </c>
    </row>
    <row r="1475" spans="1:7" s="22" customFormat="1" x14ac:dyDescent="0.25">
      <c r="A1475" s="6">
        <v>44016</v>
      </c>
      <c r="B1475" s="63" t="s">
        <v>1740</v>
      </c>
      <c r="C1475" s="22" t="s">
        <v>1736</v>
      </c>
      <c r="D1475" s="63"/>
      <c r="E1475" s="178" t="s">
        <v>1731</v>
      </c>
      <c r="F1475" s="2"/>
      <c r="G1475" s="2">
        <f t="shared" si="29"/>
        <v>35</v>
      </c>
    </row>
    <row r="1476" spans="1:7" s="22" customFormat="1" x14ac:dyDescent="0.25">
      <c r="A1476" s="6">
        <v>44016</v>
      </c>
      <c r="B1476" s="63" t="s">
        <v>1740</v>
      </c>
      <c r="C1476" s="22" t="s">
        <v>1736</v>
      </c>
      <c r="D1476" s="63"/>
      <c r="E1476" s="178" t="s">
        <v>1835</v>
      </c>
      <c r="F1476" s="2"/>
      <c r="G1476" s="2">
        <f t="shared" si="29"/>
        <v>50</v>
      </c>
    </row>
    <row r="1477" spans="1:7" s="22" customFormat="1" x14ac:dyDescent="0.25">
      <c r="A1477" s="6">
        <v>44016</v>
      </c>
      <c r="B1477" s="63" t="s">
        <v>1755</v>
      </c>
      <c r="C1477" s="22" t="s">
        <v>1754</v>
      </c>
      <c r="D1477" s="63"/>
      <c r="E1477" s="178" t="s">
        <v>1753</v>
      </c>
      <c r="F1477" s="2"/>
      <c r="G1477" s="2">
        <f t="shared" si="29"/>
        <v>2</v>
      </c>
    </row>
    <row r="1478" spans="1:7" s="22" customFormat="1" x14ac:dyDescent="0.25">
      <c r="A1478" s="6">
        <v>44016</v>
      </c>
      <c r="B1478" s="63" t="s">
        <v>1745</v>
      </c>
      <c r="C1478" s="22" t="s">
        <v>1744</v>
      </c>
      <c r="D1478" s="63"/>
      <c r="E1478" s="178" t="s">
        <v>66</v>
      </c>
      <c r="F1478" s="2">
        <v>200</v>
      </c>
      <c r="G1478" s="2">
        <f t="shared" si="29"/>
        <v>25.8</v>
      </c>
    </row>
    <row r="1479" spans="1:7" s="22" customFormat="1" x14ac:dyDescent="0.25">
      <c r="A1479" s="6">
        <v>44017</v>
      </c>
      <c r="B1479" s="63" t="s">
        <v>1649</v>
      </c>
      <c r="D1479" s="63"/>
      <c r="E1479" s="178"/>
      <c r="F1479" s="2">
        <v>4000</v>
      </c>
      <c r="G1479" s="2">
        <f t="shared" si="29"/>
        <v>16</v>
      </c>
    </row>
    <row r="1480" spans="1:7" s="22" customFormat="1" x14ac:dyDescent="0.25">
      <c r="A1480" s="6">
        <v>44018</v>
      </c>
      <c r="B1480" s="63" t="s">
        <v>1637</v>
      </c>
      <c r="C1480" s="22" t="s">
        <v>187</v>
      </c>
      <c r="D1480" s="63"/>
      <c r="E1480" s="178"/>
      <c r="F1480" s="2">
        <v>4000</v>
      </c>
      <c r="G1480" s="2">
        <f t="shared" si="29"/>
        <v>16</v>
      </c>
    </row>
    <row r="1481" spans="1:7" s="22" customFormat="1" x14ac:dyDescent="0.25">
      <c r="A1481" s="6">
        <v>44018</v>
      </c>
      <c r="B1481" s="63" t="s">
        <v>1630</v>
      </c>
      <c r="C1481" s="22" t="s">
        <v>126</v>
      </c>
      <c r="D1481" s="63"/>
      <c r="E1481" s="178"/>
      <c r="F1481" s="2">
        <v>2300</v>
      </c>
      <c r="G1481" s="2">
        <f t="shared" si="29"/>
        <v>9.2000000000000011</v>
      </c>
    </row>
    <row r="1482" spans="1:7" s="22" customFormat="1" x14ac:dyDescent="0.25">
      <c r="A1482" s="6">
        <v>44018</v>
      </c>
      <c r="B1482" s="63" t="s">
        <v>1775</v>
      </c>
      <c r="C1482" s="22" t="s">
        <v>1776</v>
      </c>
      <c r="D1482" s="63"/>
      <c r="E1482" s="178"/>
      <c r="F1482" s="2">
        <v>500</v>
      </c>
      <c r="G1482" s="2">
        <f t="shared" si="29"/>
        <v>2</v>
      </c>
    </row>
    <row r="1483" spans="1:7" s="22" customFormat="1" x14ac:dyDescent="0.25">
      <c r="A1483" s="6">
        <v>44018</v>
      </c>
      <c r="B1483" s="59" t="s">
        <v>1779</v>
      </c>
      <c r="C1483" s="22" t="s">
        <v>1274</v>
      </c>
      <c r="D1483" s="63"/>
      <c r="E1483" s="178"/>
      <c r="F1483" s="2">
        <v>500</v>
      </c>
      <c r="G1483" s="2">
        <f t="shared" si="29"/>
        <v>2</v>
      </c>
    </row>
    <row r="1484" spans="1:7" s="22" customFormat="1" x14ac:dyDescent="0.25">
      <c r="A1484" s="6">
        <v>44018</v>
      </c>
      <c r="B1484" s="63" t="s">
        <v>1628</v>
      </c>
      <c r="D1484" s="63"/>
      <c r="E1484" s="178"/>
      <c r="F1484" s="2">
        <v>2000</v>
      </c>
      <c r="G1484" s="2">
        <f t="shared" si="29"/>
        <v>8</v>
      </c>
    </row>
    <row r="1485" spans="1:7" s="22" customFormat="1" x14ac:dyDescent="0.25">
      <c r="A1485" s="6">
        <v>44018</v>
      </c>
      <c r="B1485" s="59" t="s">
        <v>1780</v>
      </c>
      <c r="C1485" s="22" t="s">
        <v>1781</v>
      </c>
      <c r="D1485" s="63"/>
      <c r="E1485" s="178"/>
      <c r="F1485" s="2">
        <v>1000</v>
      </c>
      <c r="G1485" s="2">
        <f t="shared" si="29"/>
        <v>4</v>
      </c>
    </row>
    <row r="1486" spans="1:7" s="22" customFormat="1" x14ac:dyDescent="0.25">
      <c r="A1486" s="6">
        <v>44018</v>
      </c>
      <c r="B1486" s="59" t="s">
        <v>1782</v>
      </c>
      <c r="C1486" s="22" t="s">
        <v>1783</v>
      </c>
      <c r="D1486" s="63"/>
      <c r="E1486" s="178"/>
      <c r="F1486" s="2">
        <v>2500</v>
      </c>
      <c r="G1486" s="2">
        <f t="shared" si="29"/>
        <v>10</v>
      </c>
    </row>
    <row r="1487" spans="1:7" s="22" customFormat="1" x14ac:dyDescent="0.25">
      <c r="A1487" s="6">
        <v>44019</v>
      </c>
      <c r="B1487" s="59" t="s">
        <v>1630</v>
      </c>
      <c r="C1487" s="22" t="s">
        <v>292</v>
      </c>
      <c r="D1487" s="63"/>
      <c r="E1487" s="178"/>
      <c r="F1487" s="2">
        <v>800</v>
      </c>
      <c r="G1487" s="2">
        <f t="shared" si="29"/>
        <v>3.2</v>
      </c>
    </row>
    <row r="1488" spans="1:7" s="22" customFormat="1" x14ac:dyDescent="0.25">
      <c r="A1488" s="6">
        <v>44019</v>
      </c>
      <c r="B1488" s="59" t="s">
        <v>1680</v>
      </c>
      <c r="C1488" s="22" t="s">
        <v>1681</v>
      </c>
      <c r="D1488" s="63"/>
      <c r="E1488" s="178"/>
      <c r="F1488" s="2">
        <v>2800</v>
      </c>
      <c r="G1488" s="2">
        <f t="shared" si="29"/>
        <v>11.200000000000001</v>
      </c>
    </row>
    <row r="1489" spans="1:7" s="22" customFormat="1" x14ac:dyDescent="0.25">
      <c r="A1489" s="6">
        <v>44019</v>
      </c>
      <c r="B1489" s="59" t="s">
        <v>1785</v>
      </c>
      <c r="C1489" s="22" t="s">
        <v>1784</v>
      </c>
      <c r="D1489" s="63"/>
      <c r="E1489" s="178" t="s">
        <v>1731</v>
      </c>
      <c r="F1489" s="2"/>
      <c r="G1489" s="2">
        <f t="shared" si="29"/>
        <v>35</v>
      </c>
    </row>
    <row r="1490" spans="1:7" s="22" customFormat="1" x14ac:dyDescent="0.25">
      <c r="A1490" s="6">
        <v>44019</v>
      </c>
      <c r="B1490" s="59" t="s">
        <v>1785</v>
      </c>
      <c r="C1490" s="22" t="s">
        <v>1784</v>
      </c>
      <c r="D1490" s="63"/>
      <c r="E1490" s="178" t="s">
        <v>1753</v>
      </c>
      <c r="F1490" s="2"/>
      <c r="G1490" s="2">
        <f t="shared" si="29"/>
        <v>2</v>
      </c>
    </row>
    <row r="1491" spans="1:7" s="22" customFormat="1" x14ac:dyDescent="0.25">
      <c r="A1491" s="6">
        <v>44019</v>
      </c>
      <c r="B1491" s="59" t="s">
        <v>1785</v>
      </c>
      <c r="C1491" s="22" t="s">
        <v>1784</v>
      </c>
      <c r="D1491" s="63"/>
      <c r="E1491" s="178"/>
      <c r="F1491" s="2">
        <v>500</v>
      </c>
      <c r="G1491" s="2">
        <f t="shared" si="29"/>
        <v>2</v>
      </c>
    </row>
    <row r="1492" spans="1:7" s="22" customFormat="1" x14ac:dyDescent="0.25">
      <c r="A1492" s="6">
        <v>44019</v>
      </c>
      <c r="B1492" s="59" t="s">
        <v>1785</v>
      </c>
      <c r="C1492" s="22" t="s">
        <v>1784</v>
      </c>
      <c r="D1492" s="63"/>
      <c r="E1492" s="178" t="s">
        <v>1834</v>
      </c>
      <c r="F1492" s="2"/>
      <c r="G1492" s="2">
        <f t="shared" si="29"/>
        <v>50</v>
      </c>
    </row>
    <row r="1493" spans="1:7" s="22" customFormat="1" x14ac:dyDescent="0.25">
      <c r="A1493" s="6">
        <v>44019</v>
      </c>
      <c r="B1493" s="59" t="s">
        <v>1787</v>
      </c>
      <c r="C1493" s="22" t="s">
        <v>793</v>
      </c>
      <c r="D1493" s="63"/>
      <c r="E1493" s="178" t="s">
        <v>66</v>
      </c>
      <c r="F1493" s="2">
        <v>400</v>
      </c>
      <c r="G1493" s="2">
        <f t="shared" si="29"/>
        <v>26.6</v>
      </c>
    </row>
    <row r="1494" spans="1:7" s="22" customFormat="1" x14ac:dyDescent="0.25">
      <c r="A1494" s="6">
        <v>44019</v>
      </c>
      <c r="B1494" s="59" t="s">
        <v>1787</v>
      </c>
      <c r="C1494" s="22" t="s">
        <v>793</v>
      </c>
      <c r="D1494" s="63"/>
      <c r="E1494" s="178" t="s">
        <v>1686</v>
      </c>
      <c r="F1494" s="2"/>
      <c r="G1494" s="2">
        <f t="shared" si="29"/>
        <v>2</v>
      </c>
    </row>
    <row r="1495" spans="1:7" s="22" customFormat="1" x14ac:dyDescent="0.25">
      <c r="A1495" s="6">
        <v>44019</v>
      </c>
      <c r="B1495" s="59" t="s">
        <v>1787</v>
      </c>
      <c r="C1495" s="22" t="s">
        <v>793</v>
      </c>
      <c r="D1495" s="63"/>
      <c r="E1495" s="178" t="s">
        <v>1685</v>
      </c>
      <c r="F1495" s="2"/>
      <c r="G1495" s="2">
        <f t="shared" si="29"/>
        <v>35</v>
      </c>
    </row>
    <row r="1496" spans="1:7" s="22" customFormat="1" x14ac:dyDescent="0.25">
      <c r="A1496" s="6">
        <v>44019</v>
      </c>
      <c r="B1496" s="59" t="s">
        <v>1788</v>
      </c>
      <c r="C1496" s="22" t="s">
        <v>1789</v>
      </c>
      <c r="D1496" s="63"/>
      <c r="E1496" s="178" t="s">
        <v>107</v>
      </c>
      <c r="F1496" s="2"/>
      <c r="G1496" s="2">
        <f t="shared" si="29"/>
        <v>10</v>
      </c>
    </row>
    <row r="1497" spans="1:7" s="22" customFormat="1" x14ac:dyDescent="0.25">
      <c r="A1497" s="6">
        <v>44019</v>
      </c>
      <c r="B1497" s="59"/>
      <c r="C1497" s="22" t="s">
        <v>1288</v>
      </c>
      <c r="D1497" s="63"/>
      <c r="E1497" s="178" t="s">
        <v>1753</v>
      </c>
      <c r="F1497" s="2"/>
      <c r="G1497" s="2">
        <f t="shared" si="29"/>
        <v>2</v>
      </c>
    </row>
    <row r="1498" spans="1:7" s="22" customFormat="1" x14ac:dyDescent="0.25">
      <c r="A1498" s="6">
        <v>44019</v>
      </c>
      <c r="B1498" s="59" t="s">
        <v>1790</v>
      </c>
      <c r="C1498" s="22" t="s">
        <v>1796</v>
      </c>
      <c r="D1498" s="63"/>
      <c r="E1498" s="178"/>
      <c r="F1498" s="22">
        <v>1000</v>
      </c>
      <c r="G1498" s="2">
        <f t="shared" si="29"/>
        <v>4</v>
      </c>
    </row>
    <row r="1499" spans="1:7" s="22" customFormat="1" x14ac:dyDescent="0.25">
      <c r="A1499" s="6">
        <v>44019</v>
      </c>
      <c r="B1499" s="59" t="s">
        <v>1791</v>
      </c>
      <c r="C1499" s="22" t="s">
        <v>1797</v>
      </c>
      <c r="D1499" s="63"/>
      <c r="E1499" s="178"/>
      <c r="F1499" s="22">
        <v>500</v>
      </c>
      <c r="G1499" s="2">
        <f t="shared" si="29"/>
        <v>2</v>
      </c>
    </row>
    <row r="1500" spans="1:7" s="22" customFormat="1" x14ac:dyDescent="0.25">
      <c r="A1500" s="6">
        <v>44019</v>
      </c>
      <c r="B1500" s="59" t="s">
        <v>1792</v>
      </c>
      <c r="C1500" s="22" t="s">
        <v>1795</v>
      </c>
      <c r="D1500" s="63"/>
      <c r="E1500" s="178"/>
      <c r="F1500" s="22">
        <v>500</v>
      </c>
      <c r="G1500" s="2">
        <f t="shared" si="29"/>
        <v>2</v>
      </c>
    </row>
    <row r="1501" spans="1:7" s="22" customFormat="1" x14ac:dyDescent="0.25">
      <c r="A1501" s="6">
        <v>44019</v>
      </c>
      <c r="B1501" s="59" t="s">
        <v>1793</v>
      </c>
      <c r="C1501" s="22" t="s">
        <v>1794</v>
      </c>
      <c r="D1501" s="63"/>
      <c r="E1501" s="178"/>
      <c r="F1501" s="22">
        <v>500</v>
      </c>
      <c r="G1501" s="2">
        <f t="shared" si="29"/>
        <v>2</v>
      </c>
    </row>
    <row r="1502" spans="1:7" s="22" customFormat="1" x14ac:dyDescent="0.25">
      <c r="A1502" s="6">
        <v>44019</v>
      </c>
      <c r="B1502" s="59" t="s">
        <v>1630</v>
      </c>
      <c r="C1502" s="22" t="s">
        <v>126</v>
      </c>
      <c r="D1502" s="63"/>
      <c r="E1502" s="178"/>
      <c r="F1502" s="22">
        <v>800</v>
      </c>
      <c r="G1502" s="2">
        <f t="shared" si="29"/>
        <v>3.2</v>
      </c>
    </row>
    <row r="1503" spans="1:7" s="22" customFormat="1" x14ac:dyDescent="0.25">
      <c r="A1503" s="6">
        <v>44020</v>
      </c>
      <c r="B1503" s="59" t="s">
        <v>1680</v>
      </c>
      <c r="C1503" s="22" t="s">
        <v>1681</v>
      </c>
      <c r="D1503" s="63"/>
      <c r="E1503" s="178"/>
      <c r="F1503" s="22">
        <v>8000</v>
      </c>
      <c r="G1503" s="2">
        <f t="shared" si="29"/>
        <v>20</v>
      </c>
    </row>
    <row r="1504" spans="1:7" s="22" customFormat="1" x14ac:dyDescent="0.25">
      <c r="A1504" s="6">
        <v>44020</v>
      </c>
      <c r="B1504" s="59" t="s">
        <v>1806</v>
      </c>
      <c r="C1504" s="22" t="s">
        <v>1805</v>
      </c>
      <c r="D1504" s="63"/>
      <c r="E1504" s="178" t="s">
        <v>1686</v>
      </c>
      <c r="G1504" s="2">
        <f t="shared" ref="G1504:G1618" si="30">IF(E1504="y",25,IF(OR(E1504="N",E1504="RD",E1504="I"),10,0))+IF(F1504&gt;5000,20,F1504*0.4%)+IF(E1504="SB",2,IF(E1504="JJ",35,IF(E1504="A",50,0)))</f>
        <v>2</v>
      </c>
    </row>
    <row r="1505" spans="1:7" s="22" customFormat="1" x14ac:dyDescent="0.25">
      <c r="A1505" s="6">
        <v>44020</v>
      </c>
      <c r="B1505" s="59" t="s">
        <v>1806</v>
      </c>
      <c r="C1505" s="22" t="s">
        <v>1805</v>
      </c>
      <c r="D1505" s="63"/>
      <c r="E1505" s="178"/>
      <c r="F1505" s="22">
        <v>300</v>
      </c>
      <c r="G1505" s="2">
        <f t="shared" si="30"/>
        <v>1.2</v>
      </c>
    </row>
    <row r="1506" spans="1:7" s="22" customFormat="1" x14ac:dyDescent="0.25">
      <c r="A1506" s="6">
        <v>44020</v>
      </c>
      <c r="B1506" s="59" t="s">
        <v>1788</v>
      </c>
      <c r="C1506" s="22" t="s">
        <v>1789</v>
      </c>
      <c r="D1506" s="63"/>
      <c r="E1506" s="178"/>
      <c r="F1506" s="22">
        <v>150</v>
      </c>
      <c r="G1506" s="2">
        <f t="shared" si="30"/>
        <v>0.6</v>
      </c>
    </row>
    <row r="1507" spans="1:7" s="22" customFormat="1" x14ac:dyDescent="0.25">
      <c r="A1507" s="6">
        <v>44020</v>
      </c>
      <c r="B1507" s="59" t="s">
        <v>1807</v>
      </c>
      <c r="C1507" s="22" t="s">
        <v>1808</v>
      </c>
      <c r="D1507" s="63"/>
      <c r="E1507" s="178" t="s">
        <v>66</v>
      </c>
      <c r="F1507" s="22">
        <v>100</v>
      </c>
      <c r="G1507" s="2">
        <f t="shared" si="30"/>
        <v>25.4</v>
      </c>
    </row>
    <row r="1508" spans="1:7" s="22" customFormat="1" x14ac:dyDescent="0.25">
      <c r="A1508" s="6">
        <v>44020</v>
      </c>
      <c r="B1508" s="59" t="s">
        <v>1807</v>
      </c>
      <c r="C1508" s="22" t="s">
        <v>1808</v>
      </c>
      <c r="D1508" s="63"/>
      <c r="E1508" s="178" t="s">
        <v>1686</v>
      </c>
      <c r="G1508" s="2">
        <f t="shared" si="30"/>
        <v>2</v>
      </c>
    </row>
    <row r="1509" spans="1:7" s="22" customFormat="1" x14ac:dyDescent="0.25">
      <c r="A1509" s="6">
        <v>44020</v>
      </c>
      <c r="B1509" s="59" t="s">
        <v>1740</v>
      </c>
      <c r="C1509" s="22" t="s">
        <v>1736</v>
      </c>
      <c r="D1509" s="63"/>
      <c r="E1509" s="178"/>
      <c r="F1509" s="22">
        <v>200</v>
      </c>
      <c r="G1509" s="2">
        <f t="shared" si="30"/>
        <v>0.8</v>
      </c>
    </row>
    <row r="1510" spans="1:7" s="22" customFormat="1" x14ac:dyDescent="0.25">
      <c r="A1510" s="6">
        <v>44020</v>
      </c>
      <c r="B1510" s="59" t="s">
        <v>1809</v>
      </c>
      <c r="C1510" s="22" t="s">
        <v>1810</v>
      </c>
      <c r="D1510" s="63"/>
      <c r="E1510" s="178" t="s">
        <v>53</v>
      </c>
      <c r="F1510" s="22">
        <v>400</v>
      </c>
      <c r="G1510" s="2">
        <f t="shared" si="30"/>
        <v>26.6</v>
      </c>
    </row>
    <row r="1511" spans="1:7" s="22" customFormat="1" x14ac:dyDescent="0.25">
      <c r="A1511" s="6">
        <v>44020</v>
      </c>
      <c r="B1511" s="59" t="s">
        <v>1809</v>
      </c>
      <c r="C1511" s="22" t="s">
        <v>1810</v>
      </c>
      <c r="D1511" s="63"/>
      <c r="E1511" s="178" t="s">
        <v>1753</v>
      </c>
      <c r="G1511" s="2">
        <f t="shared" si="30"/>
        <v>2</v>
      </c>
    </row>
    <row r="1512" spans="1:7" s="22" customFormat="1" x14ac:dyDescent="0.25">
      <c r="A1512" s="6">
        <v>44020</v>
      </c>
      <c r="B1512" s="59" t="s">
        <v>1809</v>
      </c>
      <c r="C1512" s="22" t="s">
        <v>1810</v>
      </c>
      <c r="D1512" s="63"/>
      <c r="E1512" s="178" t="s">
        <v>1731</v>
      </c>
      <c r="G1512" s="2">
        <f t="shared" si="30"/>
        <v>35</v>
      </c>
    </row>
    <row r="1513" spans="1:7" s="22" customFormat="1" x14ac:dyDescent="0.25">
      <c r="A1513" s="6">
        <v>44020</v>
      </c>
      <c r="B1513" s="59" t="s">
        <v>1811</v>
      </c>
      <c r="C1513" s="22" t="s">
        <v>1812</v>
      </c>
      <c r="D1513" s="63"/>
      <c r="E1513" s="178" t="s">
        <v>53</v>
      </c>
      <c r="F1513" s="2">
        <v>100</v>
      </c>
      <c r="G1513" s="2">
        <f t="shared" si="30"/>
        <v>25.4</v>
      </c>
    </row>
    <row r="1514" spans="1:7" s="22" customFormat="1" x14ac:dyDescent="0.25">
      <c r="A1514" s="6">
        <v>44020</v>
      </c>
      <c r="B1514" s="59" t="s">
        <v>1811</v>
      </c>
      <c r="C1514" s="22" t="s">
        <v>1812</v>
      </c>
      <c r="D1514" s="63"/>
      <c r="E1514" s="178" t="s">
        <v>1753</v>
      </c>
      <c r="F1514" s="2"/>
      <c r="G1514" s="2">
        <f t="shared" si="30"/>
        <v>2</v>
      </c>
    </row>
    <row r="1515" spans="1:7" s="22" customFormat="1" x14ac:dyDescent="0.25">
      <c r="A1515" s="6">
        <v>44020</v>
      </c>
      <c r="B1515" s="59" t="s">
        <v>1813</v>
      </c>
      <c r="C1515" s="22" t="s">
        <v>1814</v>
      </c>
      <c r="D1515" s="63"/>
      <c r="E1515" s="178"/>
      <c r="F1515" s="2">
        <v>2500</v>
      </c>
      <c r="G1515" s="2">
        <f t="shared" si="30"/>
        <v>10</v>
      </c>
    </row>
    <row r="1516" spans="1:7" s="22" customFormat="1" x14ac:dyDescent="0.25">
      <c r="A1516" s="6">
        <v>44021</v>
      </c>
      <c r="B1516" s="59" t="s">
        <v>1824</v>
      </c>
      <c r="C1516" s="22" t="s">
        <v>1825</v>
      </c>
      <c r="D1516" s="63"/>
      <c r="E1516" s="178" t="s">
        <v>66</v>
      </c>
      <c r="F1516" s="2">
        <v>500</v>
      </c>
      <c r="G1516" s="2">
        <f t="shared" si="30"/>
        <v>27</v>
      </c>
    </row>
    <row r="1517" spans="1:7" s="22" customFormat="1" x14ac:dyDescent="0.25">
      <c r="A1517" s="6">
        <v>44021</v>
      </c>
      <c r="B1517" s="59" t="s">
        <v>1824</v>
      </c>
      <c r="C1517" s="22" t="s">
        <v>1825</v>
      </c>
      <c r="D1517" s="63"/>
      <c r="E1517" s="178" t="s">
        <v>1753</v>
      </c>
      <c r="F1517" s="2"/>
      <c r="G1517" s="2">
        <f t="shared" si="30"/>
        <v>2</v>
      </c>
    </row>
    <row r="1518" spans="1:7" s="22" customFormat="1" x14ac:dyDescent="0.25">
      <c r="A1518" s="6">
        <v>44021</v>
      </c>
      <c r="B1518" s="59" t="s">
        <v>1824</v>
      </c>
      <c r="C1518" s="22" t="s">
        <v>1825</v>
      </c>
      <c r="D1518" s="63"/>
      <c r="E1518" s="178" t="s">
        <v>1731</v>
      </c>
      <c r="F1518" s="2"/>
      <c r="G1518" s="2">
        <f t="shared" si="30"/>
        <v>35</v>
      </c>
    </row>
    <row r="1519" spans="1:7" s="22" customFormat="1" x14ac:dyDescent="0.25">
      <c r="A1519" s="6">
        <v>44021</v>
      </c>
      <c r="B1519" s="59" t="s">
        <v>72</v>
      </c>
      <c r="C1519" s="22" t="s">
        <v>1826</v>
      </c>
      <c r="D1519" s="63"/>
      <c r="E1519" s="178"/>
      <c r="F1519" s="2">
        <v>3000</v>
      </c>
      <c r="G1519" s="2">
        <f t="shared" si="30"/>
        <v>12</v>
      </c>
    </row>
    <row r="1520" spans="1:7" s="22" customFormat="1" x14ac:dyDescent="0.25">
      <c r="A1520" s="6">
        <v>44021</v>
      </c>
      <c r="B1520" s="59" t="s">
        <v>1692</v>
      </c>
      <c r="C1520" s="22" t="s">
        <v>1706</v>
      </c>
      <c r="D1520" s="63"/>
      <c r="E1520" s="178"/>
      <c r="F1520" s="2">
        <v>2500</v>
      </c>
      <c r="G1520" s="2">
        <f t="shared" si="30"/>
        <v>10</v>
      </c>
    </row>
    <row r="1521" spans="1:16383" s="22" customFormat="1" x14ac:dyDescent="0.25">
      <c r="A1521" s="6">
        <v>44021</v>
      </c>
      <c r="B1521" s="59" t="s">
        <v>1692</v>
      </c>
      <c r="C1521" s="22" t="s">
        <v>1706</v>
      </c>
      <c r="D1521" s="63"/>
      <c r="E1521" s="178"/>
      <c r="F1521" s="2">
        <v>100</v>
      </c>
      <c r="G1521" s="2">
        <f t="shared" si="30"/>
        <v>0.4</v>
      </c>
    </row>
    <row r="1522" spans="1:16383" s="22" customFormat="1" x14ac:dyDescent="0.25">
      <c r="A1522" s="6">
        <v>44021</v>
      </c>
      <c r="B1522" s="59" t="s">
        <v>1641</v>
      </c>
      <c r="C1522" s="22" t="s">
        <v>1705</v>
      </c>
      <c r="D1522" s="63"/>
      <c r="E1522" s="178"/>
      <c r="F1522" s="2">
        <v>250</v>
      </c>
      <c r="G1522" s="2">
        <f t="shared" si="30"/>
        <v>1</v>
      </c>
    </row>
    <row r="1523" spans="1:16383" s="22" customFormat="1" x14ac:dyDescent="0.25">
      <c r="A1523" s="6">
        <v>44021</v>
      </c>
      <c r="B1523" s="59" t="s">
        <v>1630</v>
      </c>
      <c r="C1523" s="22" t="s">
        <v>126</v>
      </c>
      <c r="D1523" s="63"/>
      <c r="E1523" s="178"/>
      <c r="F1523" s="2">
        <v>2000</v>
      </c>
      <c r="G1523" s="2">
        <f t="shared" si="30"/>
        <v>8</v>
      </c>
    </row>
    <row r="1524" spans="1:16383" s="22" customFormat="1" x14ac:dyDescent="0.25">
      <c r="A1524" s="6">
        <v>44022</v>
      </c>
      <c r="B1524" s="59" t="s">
        <v>1831</v>
      </c>
      <c r="C1524" s="22" t="s">
        <v>1833</v>
      </c>
      <c r="D1524" s="63"/>
      <c r="E1524" s="178"/>
      <c r="F1524" s="2">
        <v>400</v>
      </c>
      <c r="G1524" s="2">
        <f t="shared" si="30"/>
        <v>1.6</v>
      </c>
    </row>
    <row r="1525" spans="1:16383" s="22" customFormat="1" x14ac:dyDescent="0.25">
      <c r="A1525" s="6">
        <v>44022</v>
      </c>
      <c r="B1525" s="59" t="s">
        <v>1831</v>
      </c>
      <c r="C1525" s="22" t="s">
        <v>1833</v>
      </c>
      <c r="D1525" s="63"/>
      <c r="E1525" s="178" t="s">
        <v>1753</v>
      </c>
      <c r="F1525" s="2"/>
      <c r="G1525" s="2">
        <f t="shared" si="30"/>
        <v>2</v>
      </c>
    </row>
    <row r="1526" spans="1:16383" s="22" customFormat="1" x14ac:dyDescent="0.25">
      <c r="A1526" s="6">
        <v>44022</v>
      </c>
      <c r="B1526" s="59" t="s">
        <v>1692</v>
      </c>
      <c r="C1526" s="22" t="s">
        <v>1706</v>
      </c>
      <c r="D1526" s="63"/>
      <c r="E1526" s="178"/>
      <c r="F1526" s="2">
        <v>500</v>
      </c>
      <c r="G1526" s="2">
        <f t="shared" si="30"/>
        <v>2</v>
      </c>
    </row>
    <row r="1527" spans="1:16383" s="22" customFormat="1" x14ac:dyDescent="0.25">
      <c r="A1527" s="6">
        <v>44023</v>
      </c>
      <c r="B1527" s="59" t="s">
        <v>1692</v>
      </c>
      <c r="C1527" s="22" t="s">
        <v>1706</v>
      </c>
      <c r="D1527" s="63"/>
      <c r="E1527" s="178"/>
      <c r="F1527" s="2">
        <v>500</v>
      </c>
      <c r="G1527" s="2">
        <f t="shared" si="30"/>
        <v>2</v>
      </c>
    </row>
    <row r="1528" spans="1:16383" s="22" customFormat="1" x14ac:dyDescent="0.25">
      <c r="A1528" s="6">
        <v>44023</v>
      </c>
      <c r="B1528" s="59" t="s">
        <v>1680</v>
      </c>
      <c r="C1528" s="22" t="s">
        <v>1681</v>
      </c>
      <c r="D1528" s="63"/>
      <c r="E1528" s="178"/>
      <c r="F1528" s="2">
        <v>700</v>
      </c>
      <c r="G1528" s="2">
        <f t="shared" si="30"/>
        <v>2.8000000000000003</v>
      </c>
    </row>
    <row r="1529" spans="1:16383" s="22" customFormat="1" x14ac:dyDescent="0.25">
      <c r="A1529" s="6">
        <v>44024</v>
      </c>
      <c r="B1529" s="59" t="s">
        <v>1853</v>
      </c>
      <c r="C1529" s="22" t="s">
        <v>1854</v>
      </c>
      <c r="D1529" s="63"/>
      <c r="E1529" s="178"/>
      <c r="F1529" s="2">
        <v>500</v>
      </c>
      <c r="G1529" s="2">
        <f t="shared" si="30"/>
        <v>2</v>
      </c>
    </row>
    <row r="1530" spans="1:16383" s="22" customFormat="1" x14ac:dyDescent="0.25">
      <c r="A1530" s="6">
        <v>44024</v>
      </c>
      <c r="B1530" s="59" t="s">
        <v>1630</v>
      </c>
      <c r="C1530" s="22" t="s">
        <v>126</v>
      </c>
      <c r="D1530" s="63"/>
      <c r="E1530" s="178"/>
      <c r="F1530" s="2">
        <v>600</v>
      </c>
      <c r="G1530" s="2">
        <f t="shared" si="30"/>
        <v>2.4</v>
      </c>
    </row>
    <row r="1531" spans="1:16383" s="22" customFormat="1" x14ac:dyDescent="0.25">
      <c r="A1531" s="6">
        <v>44026</v>
      </c>
      <c r="B1531" s="59" t="s">
        <v>1680</v>
      </c>
      <c r="C1531" s="22" t="s">
        <v>1681</v>
      </c>
      <c r="D1531" s="63"/>
      <c r="E1531" s="178"/>
      <c r="F1531" s="2">
        <v>400</v>
      </c>
      <c r="G1531" s="2">
        <f t="shared" si="30"/>
        <v>1.6</v>
      </c>
    </row>
    <row r="1532" spans="1:16383" s="22" customFormat="1" x14ac:dyDescent="0.25">
      <c r="A1532" s="6">
        <v>44026</v>
      </c>
      <c r="B1532" s="59" t="s">
        <v>1692</v>
      </c>
      <c r="C1532" s="22" t="s">
        <v>1706</v>
      </c>
      <c r="D1532" s="63"/>
      <c r="E1532" s="178"/>
      <c r="F1532" s="2">
        <v>500</v>
      </c>
      <c r="G1532" s="2">
        <f t="shared" si="30"/>
        <v>2</v>
      </c>
    </row>
    <row r="1533" spans="1:16383" s="22" customFormat="1" x14ac:dyDescent="0.25">
      <c r="A1533" s="6">
        <v>44026</v>
      </c>
      <c r="B1533" s="59" t="s">
        <v>1856</v>
      </c>
      <c r="C1533" s="6" t="s">
        <v>1857</v>
      </c>
      <c r="D1533" s="59"/>
      <c r="E1533" s="21"/>
      <c r="F1533" s="2">
        <v>500</v>
      </c>
      <c r="G1533" s="2">
        <f t="shared" si="30"/>
        <v>2</v>
      </c>
      <c r="H1533" s="4"/>
      <c r="I1533" s="6"/>
      <c r="J1533" s="4"/>
      <c r="K1533" s="6"/>
      <c r="L1533" s="4"/>
      <c r="M1533" s="6"/>
      <c r="N1533" s="4"/>
      <c r="O1533" s="6"/>
      <c r="P1533" s="4"/>
      <c r="Q1533" s="6"/>
      <c r="R1533" s="4"/>
      <c r="S1533" s="6"/>
      <c r="T1533" s="4"/>
      <c r="U1533" s="6"/>
      <c r="V1533" s="4"/>
      <c r="W1533" s="6"/>
      <c r="X1533" s="4"/>
      <c r="Y1533" s="6"/>
      <c r="Z1533" s="4"/>
      <c r="AA1533" s="6"/>
      <c r="AB1533" s="4"/>
      <c r="AC1533" s="6"/>
      <c r="AD1533" s="4"/>
      <c r="AE1533" s="6"/>
      <c r="AF1533" s="4"/>
      <c r="AG1533" s="6"/>
      <c r="AH1533" s="4"/>
      <c r="AI1533" s="6"/>
      <c r="AJ1533" s="4"/>
      <c r="AK1533" s="6"/>
      <c r="AL1533" s="4"/>
      <c r="AM1533" s="6"/>
      <c r="AN1533" s="4"/>
      <c r="AO1533" s="6"/>
      <c r="AP1533" s="4"/>
      <c r="AQ1533" s="6"/>
      <c r="AR1533" s="4"/>
      <c r="AS1533" s="6"/>
      <c r="AT1533" s="4"/>
      <c r="AU1533" s="6"/>
      <c r="AV1533" s="4"/>
      <c r="AW1533" s="6"/>
      <c r="AX1533" s="4"/>
      <c r="AY1533" s="6"/>
      <c r="AZ1533" s="4"/>
      <c r="BA1533" s="6"/>
      <c r="BB1533" s="4"/>
      <c r="BC1533" s="6"/>
      <c r="BD1533" s="4"/>
      <c r="BE1533" s="6"/>
      <c r="BF1533" s="4"/>
      <c r="BG1533" s="6"/>
      <c r="BH1533" s="4"/>
      <c r="BI1533" s="6"/>
      <c r="BJ1533" s="4"/>
      <c r="BK1533" s="6"/>
      <c r="BL1533" s="4"/>
      <c r="BM1533" s="6"/>
      <c r="BN1533" s="4"/>
      <c r="BO1533" s="6"/>
      <c r="BP1533" s="4"/>
      <c r="BQ1533" s="6"/>
      <c r="BR1533" s="4"/>
      <c r="BS1533" s="6"/>
      <c r="BT1533" s="4"/>
      <c r="BU1533" s="6"/>
      <c r="BV1533" s="4"/>
      <c r="BW1533" s="6"/>
      <c r="BX1533" s="4"/>
      <c r="BY1533" s="6"/>
      <c r="BZ1533" s="4"/>
      <c r="CA1533" s="6"/>
      <c r="CB1533" s="4"/>
      <c r="CC1533" s="6"/>
      <c r="CD1533" s="4"/>
      <c r="CE1533" s="6"/>
      <c r="CF1533" s="4"/>
      <c r="CG1533" s="6"/>
      <c r="CH1533" s="4"/>
      <c r="CI1533" s="6"/>
      <c r="CJ1533" s="4"/>
      <c r="CK1533" s="6"/>
      <c r="CL1533" s="4"/>
      <c r="CM1533" s="6"/>
      <c r="CN1533" s="4"/>
      <c r="CO1533" s="6"/>
      <c r="CP1533" s="4"/>
      <c r="CQ1533" s="6"/>
      <c r="CR1533" s="4"/>
      <c r="CS1533" s="6"/>
      <c r="CT1533" s="4"/>
      <c r="CU1533" s="6"/>
      <c r="CV1533" s="4"/>
      <c r="CW1533" s="6"/>
      <c r="CX1533" s="4"/>
      <c r="CY1533" s="6"/>
      <c r="CZ1533" s="4"/>
      <c r="DA1533" s="6"/>
      <c r="DB1533" s="4"/>
      <c r="DC1533" s="6"/>
      <c r="DD1533" s="4"/>
      <c r="DE1533" s="6"/>
      <c r="DF1533" s="4"/>
      <c r="DG1533" s="6"/>
      <c r="DH1533" s="4"/>
      <c r="DI1533" s="6"/>
      <c r="DJ1533" s="4"/>
      <c r="DK1533" s="6"/>
      <c r="DL1533" s="4"/>
      <c r="DM1533" s="6"/>
      <c r="DN1533" s="4"/>
      <c r="DO1533" s="6"/>
      <c r="DP1533" s="4"/>
      <c r="DQ1533" s="6"/>
      <c r="DR1533" s="4"/>
      <c r="DS1533" s="6"/>
      <c r="DT1533" s="4"/>
      <c r="DU1533" s="6"/>
      <c r="DV1533" s="4"/>
      <c r="DW1533" s="6"/>
      <c r="DX1533" s="4"/>
      <c r="DY1533" s="6"/>
      <c r="DZ1533" s="4"/>
      <c r="EA1533" s="6"/>
      <c r="EB1533" s="4"/>
      <c r="EC1533" s="6"/>
      <c r="ED1533" s="4"/>
      <c r="EE1533" s="6"/>
      <c r="EF1533" s="4"/>
      <c r="EG1533" s="6"/>
      <c r="EH1533" s="4"/>
      <c r="EI1533" s="6"/>
      <c r="EJ1533" s="4"/>
      <c r="EK1533" s="6"/>
      <c r="EL1533" s="4"/>
      <c r="EM1533" s="6"/>
      <c r="EN1533" s="4"/>
      <c r="EO1533" s="6"/>
      <c r="EP1533" s="4"/>
      <c r="EQ1533" s="6"/>
      <c r="ER1533" s="4"/>
      <c r="ES1533" s="6"/>
      <c r="ET1533" s="4"/>
      <c r="EU1533" s="6"/>
      <c r="EV1533" s="4"/>
      <c r="EW1533" s="6"/>
      <c r="EX1533" s="4"/>
      <c r="EY1533" s="6"/>
      <c r="EZ1533" s="4"/>
      <c r="FA1533" s="6"/>
      <c r="FB1533" s="4"/>
      <c r="FC1533" s="6"/>
      <c r="FD1533" s="4"/>
      <c r="FE1533" s="6"/>
      <c r="FF1533" s="4"/>
      <c r="FG1533" s="6"/>
      <c r="FH1533" s="4"/>
      <c r="FI1533" s="6"/>
      <c r="FJ1533" s="4"/>
      <c r="FK1533" s="6"/>
      <c r="FL1533" s="4"/>
      <c r="FM1533" s="6"/>
      <c r="FN1533" s="4"/>
      <c r="FO1533" s="6"/>
      <c r="FP1533" s="4"/>
      <c r="FQ1533" s="6"/>
      <c r="FR1533" s="4"/>
      <c r="FS1533" s="6"/>
      <c r="FT1533" s="4"/>
      <c r="FU1533" s="6"/>
      <c r="FV1533" s="4"/>
      <c r="FW1533" s="6"/>
      <c r="FX1533" s="4"/>
      <c r="FY1533" s="6"/>
      <c r="FZ1533" s="4"/>
      <c r="GA1533" s="6"/>
      <c r="GB1533" s="4"/>
      <c r="GC1533" s="6"/>
      <c r="GD1533" s="4"/>
      <c r="GE1533" s="6"/>
      <c r="GF1533" s="4"/>
      <c r="GG1533" s="6"/>
      <c r="GH1533" s="4"/>
      <c r="GI1533" s="6"/>
      <c r="GJ1533" s="4"/>
      <c r="GK1533" s="6"/>
      <c r="GL1533" s="4"/>
      <c r="GM1533" s="6"/>
      <c r="GN1533" s="4"/>
      <c r="GO1533" s="6"/>
      <c r="GP1533" s="4"/>
      <c r="GQ1533" s="6"/>
      <c r="GR1533" s="4"/>
      <c r="GS1533" s="6"/>
      <c r="GT1533" s="4"/>
      <c r="GU1533" s="6"/>
      <c r="GV1533" s="4"/>
      <c r="GW1533" s="6"/>
      <c r="GX1533" s="4"/>
      <c r="GY1533" s="6"/>
      <c r="GZ1533" s="4"/>
      <c r="HA1533" s="6"/>
      <c r="HB1533" s="4"/>
      <c r="HC1533" s="6"/>
      <c r="HD1533" s="4"/>
      <c r="HE1533" s="6"/>
      <c r="HF1533" s="4"/>
      <c r="HG1533" s="6"/>
      <c r="HH1533" s="4"/>
      <c r="HI1533" s="6"/>
      <c r="HJ1533" s="4"/>
      <c r="HK1533" s="6"/>
      <c r="HL1533" s="4"/>
      <c r="HM1533" s="6"/>
      <c r="HN1533" s="4"/>
      <c r="HO1533" s="6"/>
      <c r="HP1533" s="4"/>
      <c r="HQ1533" s="6"/>
      <c r="HR1533" s="4"/>
      <c r="HS1533" s="6"/>
      <c r="HT1533" s="4"/>
      <c r="HU1533" s="6"/>
      <c r="HV1533" s="4"/>
      <c r="HW1533" s="6"/>
      <c r="HX1533" s="4"/>
      <c r="HY1533" s="6"/>
      <c r="HZ1533" s="4"/>
      <c r="IA1533" s="6"/>
      <c r="IB1533" s="4"/>
      <c r="IC1533" s="6"/>
      <c r="ID1533" s="4"/>
      <c r="IE1533" s="6"/>
      <c r="IF1533" s="4"/>
      <c r="IG1533" s="6"/>
      <c r="IH1533" s="4"/>
      <c r="II1533" s="6"/>
      <c r="IJ1533" s="4"/>
      <c r="IK1533" s="6"/>
      <c r="IL1533" s="4"/>
      <c r="IM1533" s="6"/>
      <c r="IN1533" s="4"/>
      <c r="IO1533" s="6"/>
      <c r="IP1533" s="4"/>
      <c r="IQ1533" s="6"/>
      <c r="IR1533" s="4"/>
      <c r="IS1533" s="6"/>
      <c r="IT1533" s="4"/>
      <c r="IU1533" s="6"/>
      <c r="IV1533" s="4"/>
      <c r="IW1533" s="6"/>
      <c r="IX1533" s="4"/>
      <c r="IY1533" s="6"/>
      <c r="IZ1533" s="4"/>
      <c r="JA1533" s="6"/>
      <c r="JB1533" s="4"/>
      <c r="JC1533" s="6"/>
      <c r="JD1533" s="4"/>
      <c r="JE1533" s="6"/>
      <c r="JF1533" s="4"/>
      <c r="JG1533" s="6"/>
      <c r="JH1533" s="4"/>
      <c r="JI1533" s="6"/>
      <c r="JJ1533" s="4"/>
      <c r="JK1533" s="6"/>
      <c r="JL1533" s="4"/>
      <c r="JM1533" s="6"/>
      <c r="JN1533" s="4"/>
      <c r="JO1533" s="6"/>
      <c r="JP1533" s="4"/>
      <c r="JQ1533" s="6"/>
      <c r="JR1533" s="4"/>
      <c r="JS1533" s="6"/>
      <c r="JT1533" s="4"/>
      <c r="JU1533" s="6"/>
      <c r="JV1533" s="4"/>
      <c r="JW1533" s="6"/>
      <c r="JX1533" s="4"/>
      <c r="JY1533" s="6"/>
      <c r="JZ1533" s="4"/>
      <c r="KA1533" s="6"/>
      <c r="KB1533" s="4"/>
      <c r="KC1533" s="6"/>
      <c r="KD1533" s="4"/>
      <c r="KE1533" s="6"/>
      <c r="KF1533" s="4"/>
      <c r="KG1533" s="6"/>
      <c r="KH1533" s="4"/>
      <c r="KI1533" s="6"/>
      <c r="KJ1533" s="4"/>
      <c r="KK1533" s="6"/>
      <c r="KL1533" s="4"/>
      <c r="KM1533" s="6"/>
      <c r="KN1533" s="4"/>
      <c r="KO1533" s="6"/>
      <c r="KP1533" s="4"/>
      <c r="KQ1533" s="6"/>
      <c r="KR1533" s="4"/>
      <c r="KS1533" s="6"/>
      <c r="KT1533" s="4"/>
      <c r="KU1533" s="6"/>
      <c r="KV1533" s="4"/>
      <c r="KW1533" s="6"/>
      <c r="KX1533" s="4"/>
      <c r="KY1533" s="6"/>
      <c r="KZ1533" s="4"/>
      <c r="LA1533" s="6"/>
      <c r="LB1533" s="4"/>
      <c r="LC1533" s="6"/>
      <c r="LD1533" s="4"/>
      <c r="LE1533" s="6"/>
      <c r="LF1533" s="4"/>
      <c r="LG1533" s="6"/>
      <c r="LH1533" s="4"/>
      <c r="LI1533" s="6"/>
      <c r="LJ1533" s="4"/>
      <c r="LK1533" s="6"/>
      <c r="LL1533" s="4"/>
      <c r="LM1533" s="6"/>
      <c r="LN1533" s="4"/>
      <c r="LO1533" s="6"/>
      <c r="LP1533" s="4"/>
      <c r="LQ1533" s="6"/>
      <c r="LR1533" s="4"/>
      <c r="LS1533" s="6"/>
      <c r="LT1533" s="4"/>
      <c r="LU1533" s="6"/>
      <c r="LV1533" s="4"/>
      <c r="LW1533" s="6"/>
      <c r="LX1533" s="4"/>
      <c r="LY1533" s="6"/>
      <c r="LZ1533" s="4"/>
      <c r="MA1533" s="6"/>
      <c r="MB1533" s="4"/>
      <c r="MC1533" s="6"/>
      <c r="MD1533" s="4"/>
      <c r="ME1533" s="6"/>
      <c r="MF1533" s="4"/>
      <c r="MG1533" s="6"/>
      <c r="MH1533" s="4"/>
      <c r="MI1533" s="6"/>
      <c r="MJ1533" s="4"/>
      <c r="MK1533" s="6"/>
      <c r="ML1533" s="4"/>
      <c r="MM1533" s="6"/>
      <c r="MN1533" s="4"/>
      <c r="MO1533" s="6"/>
      <c r="MP1533" s="4"/>
      <c r="MQ1533" s="6"/>
      <c r="MR1533" s="4"/>
      <c r="MS1533" s="6"/>
      <c r="MT1533" s="4"/>
      <c r="MU1533" s="6"/>
      <c r="MV1533" s="4"/>
      <c r="MW1533" s="6"/>
      <c r="MX1533" s="4"/>
      <c r="MY1533" s="6"/>
      <c r="MZ1533" s="4"/>
      <c r="NA1533" s="6"/>
      <c r="NB1533" s="4"/>
      <c r="NC1533" s="6"/>
      <c r="ND1533" s="4"/>
      <c r="NE1533" s="6"/>
      <c r="NF1533" s="4"/>
      <c r="NG1533" s="6"/>
      <c r="NH1533" s="4"/>
      <c r="NI1533" s="6"/>
      <c r="NJ1533" s="4"/>
      <c r="NK1533" s="6"/>
      <c r="NL1533" s="4"/>
      <c r="NM1533" s="6"/>
      <c r="NN1533" s="4"/>
      <c r="NO1533" s="6"/>
      <c r="NP1533" s="4"/>
      <c r="NQ1533" s="6"/>
      <c r="NR1533" s="4"/>
      <c r="NS1533" s="6"/>
      <c r="NT1533" s="4"/>
      <c r="NU1533" s="6"/>
      <c r="NV1533" s="4"/>
      <c r="NW1533" s="6"/>
      <c r="NX1533" s="4"/>
      <c r="NY1533" s="6"/>
      <c r="NZ1533" s="4"/>
      <c r="OA1533" s="6"/>
      <c r="OB1533" s="4"/>
      <c r="OC1533" s="6"/>
      <c r="OD1533" s="4"/>
      <c r="OE1533" s="6"/>
      <c r="OF1533" s="4"/>
      <c r="OG1533" s="6"/>
      <c r="OH1533" s="4"/>
      <c r="OI1533" s="6"/>
      <c r="OJ1533" s="4"/>
      <c r="OK1533" s="6"/>
      <c r="OL1533" s="4"/>
      <c r="OM1533" s="6"/>
      <c r="ON1533" s="4"/>
      <c r="OO1533" s="6"/>
      <c r="OP1533" s="4"/>
      <c r="OQ1533" s="6"/>
      <c r="OR1533" s="4"/>
      <c r="OS1533" s="6"/>
      <c r="OT1533" s="4"/>
      <c r="OU1533" s="6"/>
      <c r="OV1533" s="4"/>
      <c r="OW1533" s="6"/>
      <c r="OX1533" s="4"/>
      <c r="OY1533" s="6"/>
      <c r="OZ1533" s="4"/>
      <c r="PA1533" s="6"/>
      <c r="PB1533" s="4"/>
      <c r="PC1533" s="6"/>
      <c r="PD1533" s="4"/>
      <c r="PE1533" s="6"/>
      <c r="PF1533" s="4"/>
      <c r="PG1533" s="6"/>
      <c r="PH1533" s="4"/>
      <c r="PI1533" s="6"/>
      <c r="PJ1533" s="4"/>
      <c r="PK1533" s="6"/>
      <c r="PL1533" s="4"/>
      <c r="PM1533" s="6"/>
      <c r="PN1533" s="4"/>
      <c r="PO1533" s="6"/>
      <c r="PP1533" s="4"/>
      <c r="PQ1533" s="6"/>
      <c r="PR1533" s="4"/>
      <c r="PS1533" s="6"/>
      <c r="PT1533" s="4"/>
      <c r="PU1533" s="6"/>
      <c r="PV1533" s="4"/>
      <c r="PW1533" s="6"/>
      <c r="PX1533" s="4"/>
      <c r="PY1533" s="6"/>
      <c r="PZ1533" s="4"/>
      <c r="QA1533" s="6"/>
      <c r="QB1533" s="4"/>
      <c r="QC1533" s="6"/>
      <c r="QD1533" s="4"/>
      <c r="QE1533" s="6"/>
      <c r="QF1533" s="4"/>
      <c r="QG1533" s="6"/>
      <c r="QH1533" s="4"/>
      <c r="QI1533" s="6"/>
      <c r="QJ1533" s="4"/>
      <c r="QK1533" s="6"/>
      <c r="QL1533" s="4"/>
      <c r="QM1533" s="6"/>
      <c r="QN1533" s="4"/>
      <c r="QO1533" s="6"/>
      <c r="QP1533" s="4"/>
      <c r="QQ1533" s="6"/>
      <c r="QR1533" s="4"/>
      <c r="QS1533" s="6"/>
      <c r="QT1533" s="4"/>
      <c r="QU1533" s="6"/>
      <c r="QV1533" s="4"/>
      <c r="QW1533" s="6"/>
      <c r="QX1533" s="4"/>
      <c r="QY1533" s="6"/>
      <c r="QZ1533" s="4"/>
      <c r="RA1533" s="6"/>
      <c r="RB1533" s="4"/>
      <c r="RC1533" s="6"/>
      <c r="RD1533" s="4"/>
      <c r="RE1533" s="6"/>
      <c r="RF1533" s="4"/>
      <c r="RG1533" s="6"/>
      <c r="RH1533" s="4"/>
      <c r="RI1533" s="6"/>
      <c r="RJ1533" s="4"/>
      <c r="RK1533" s="6"/>
      <c r="RL1533" s="4"/>
      <c r="RM1533" s="6"/>
      <c r="RN1533" s="4"/>
      <c r="RO1533" s="6"/>
      <c r="RP1533" s="4"/>
      <c r="RQ1533" s="6"/>
      <c r="RR1533" s="4"/>
      <c r="RS1533" s="6"/>
      <c r="RT1533" s="4"/>
      <c r="RU1533" s="6"/>
      <c r="RV1533" s="4"/>
      <c r="RW1533" s="6"/>
      <c r="RX1533" s="4"/>
      <c r="RY1533" s="6"/>
      <c r="RZ1533" s="4"/>
      <c r="SA1533" s="6"/>
      <c r="SB1533" s="4"/>
      <c r="SC1533" s="6"/>
      <c r="SD1533" s="4"/>
      <c r="SE1533" s="6"/>
      <c r="SF1533" s="4"/>
      <c r="SG1533" s="6"/>
      <c r="SH1533" s="4"/>
      <c r="SI1533" s="6"/>
      <c r="SJ1533" s="4"/>
      <c r="SK1533" s="6"/>
      <c r="SL1533" s="4"/>
      <c r="SM1533" s="6"/>
      <c r="SN1533" s="4"/>
      <c r="SO1533" s="6"/>
      <c r="SP1533" s="4"/>
      <c r="SQ1533" s="6"/>
      <c r="SR1533" s="4"/>
      <c r="SS1533" s="6"/>
      <c r="ST1533" s="4"/>
      <c r="SU1533" s="6"/>
      <c r="SV1533" s="4"/>
      <c r="SW1533" s="6"/>
      <c r="SX1533" s="4"/>
      <c r="SY1533" s="6"/>
      <c r="SZ1533" s="4"/>
      <c r="TA1533" s="6"/>
      <c r="TB1533" s="4"/>
      <c r="TC1533" s="6"/>
      <c r="TD1533" s="4"/>
      <c r="TE1533" s="6"/>
      <c r="TF1533" s="4"/>
      <c r="TG1533" s="6"/>
      <c r="TH1533" s="4"/>
      <c r="TI1533" s="6"/>
      <c r="TJ1533" s="4"/>
      <c r="TK1533" s="6"/>
      <c r="TL1533" s="4"/>
      <c r="TM1533" s="6"/>
      <c r="TN1533" s="4"/>
      <c r="TO1533" s="6"/>
      <c r="TP1533" s="4"/>
      <c r="TQ1533" s="6"/>
      <c r="TR1533" s="4"/>
      <c r="TS1533" s="6"/>
      <c r="TT1533" s="4"/>
      <c r="TU1533" s="6"/>
      <c r="TV1533" s="4"/>
      <c r="TW1533" s="6"/>
      <c r="TX1533" s="4"/>
      <c r="TY1533" s="6"/>
      <c r="TZ1533" s="4"/>
      <c r="UA1533" s="6"/>
      <c r="UB1533" s="4"/>
      <c r="UC1533" s="6"/>
      <c r="UD1533" s="4"/>
      <c r="UE1533" s="6"/>
      <c r="UF1533" s="4"/>
      <c r="UG1533" s="6"/>
      <c r="UH1533" s="4"/>
      <c r="UI1533" s="6"/>
      <c r="UJ1533" s="4"/>
      <c r="UK1533" s="6"/>
      <c r="UL1533" s="4"/>
      <c r="UM1533" s="6"/>
      <c r="UN1533" s="4"/>
      <c r="UO1533" s="6"/>
      <c r="UP1533" s="4"/>
      <c r="UQ1533" s="6"/>
      <c r="UR1533" s="4"/>
      <c r="US1533" s="6"/>
      <c r="UT1533" s="4"/>
      <c r="UU1533" s="6"/>
      <c r="UV1533" s="4"/>
      <c r="UW1533" s="6"/>
      <c r="UX1533" s="4"/>
      <c r="UY1533" s="6"/>
      <c r="UZ1533" s="4"/>
      <c r="VA1533" s="6"/>
      <c r="VB1533" s="4"/>
      <c r="VC1533" s="6"/>
      <c r="VD1533" s="4"/>
      <c r="VE1533" s="6"/>
      <c r="VF1533" s="4"/>
      <c r="VG1533" s="6"/>
      <c r="VH1533" s="4"/>
      <c r="VI1533" s="6"/>
      <c r="VJ1533" s="4"/>
      <c r="VK1533" s="6"/>
      <c r="VL1533" s="4"/>
      <c r="VM1533" s="6"/>
      <c r="VN1533" s="4"/>
      <c r="VO1533" s="6"/>
      <c r="VP1533" s="4"/>
      <c r="VQ1533" s="6"/>
      <c r="VR1533" s="4"/>
      <c r="VS1533" s="6"/>
      <c r="VT1533" s="4"/>
      <c r="VU1533" s="6"/>
      <c r="VV1533" s="4"/>
      <c r="VW1533" s="6"/>
      <c r="VX1533" s="4"/>
      <c r="VY1533" s="6"/>
      <c r="VZ1533" s="4"/>
      <c r="WA1533" s="6"/>
      <c r="WB1533" s="4"/>
      <c r="WC1533" s="6"/>
      <c r="WD1533" s="4"/>
      <c r="WE1533" s="6"/>
      <c r="WF1533" s="4"/>
      <c r="WG1533" s="6"/>
      <c r="WH1533" s="4"/>
      <c r="WI1533" s="6"/>
      <c r="WJ1533" s="4"/>
      <c r="WK1533" s="6"/>
      <c r="WL1533" s="4"/>
      <c r="WM1533" s="6"/>
      <c r="WN1533" s="4"/>
      <c r="WO1533" s="6"/>
      <c r="WP1533" s="4"/>
      <c r="WQ1533" s="6"/>
      <c r="WR1533" s="4"/>
      <c r="WS1533" s="6"/>
      <c r="WT1533" s="4"/>
      <c r="WU1533" s="6"/>
      <c r="WV1533" s="4"/>
      <c r="WW1533" s="6"/>
      <c r="WX1533" s="4"/>
      <c r="WY1533" s="6"/>
      <c r="WZ1533" s="4"/>
      <c r="XA1533" s="6"/>
      <c r="XB1533" s="4"/>
      <c r="XC1533" s="6"/>
      <c r="XD1533" s="4"/>
      <c r="XE1533" s="6"/>
      <c r="XF1533" s="4"/>
      <c r="XG1533" s="6"/>
      <c r="XH1533" s="4"/>
      <c r="XI1533" s="6"/>
      <c r="XJ1533" s="4"/>
      <c r="XK1533" s="6"/>
      <c r="XL1533" s="4"/>
      <c r="XM1533" s="6"/>
      <c r="XN1533" s="4"/>
      <c r="XO1533" s="6"/>
      <c r="XP1533" s="4"/>
      <c r="XQ1533" s="6"/>
      <c r="XR1533" s="4"/>
      <c r="XS1533" s="6"/>
      <c r="XT1533" s="4"/>
      <c r="XU1533" s="6"/>
      <c r="XV1533" s="4"/>
      <c r="XW1533" s="6"/>
      <c r="XX1533" s="4"/>
      <c r="XY1533" s="6"/>
      <c r="XZ1533" s="4"/>
      <c r="YA1533" s="6"/>
      <c r="YB1533" s="4"/>
      <c r="YC1533" s="6"/>
      <c r="YD1533" s="4"/>
      <c r="YE1533" s="6"/>
      <c r="YF1533" s="4"/>
      <c r="YG1533" s="6"/>
      <c r="YH1533" s="4"/>
      <c r="YI1533" s="6"/>
      <c r="YJ1533" s="4"/>
      <c r="YK1533" s="6"/>
      <c r="YL1533" s="4"/>
      <c r="YM1533" s="6"/>
      <c r="YN1533" s="4"/>
      <c r="YO1533" s="6"/>
      <c r="YP1533" s="4"/>
      <c r="YQ1533" s="6"/>
      <c r="YR1533" s="4"/>
      <c r="YS1533" s="6"/>
      <c r="YT1533" s="4"/>
      <c r="YU1533" s="6"/>
      <c r="YV1533" s="4"/>
      <c r="YW1533" s="6"/>
      <c r="YX1533" s="4"/>
      <c r="YY1533" s="6"/>
      <c r="YZ1533" s="4"/>
      <c r="ZA1533" s="6"/>
      <c r="ZB1533" s="4"/>
      <c r="ZC1533" s="6"/>
      <c r="ZD1533" s="4"/>
      <c r="ZE1533" s="6"/>
      <c r="ZF1533" s="4"/>
      <c r="ZG1533" s="6"/>
      <c r="ZH1533" s="4"/>
      <c r="ZI1533" s="6"/>
      <c r="ZJ1533" s="4"/>
      <c r="ZK1533" s="6"/>
      <c r="ZL1533" s="4"/>
      <c r="ZM1533" s="6"/>
      <c r="ZN1533" s="4"/>
      <c r="ZO1533" s="6"/>
      <c r="ZP1533" s="4"/>
      <c r="ZQ1533" s="6"/>
      <c r="ZR1533" s="4"/>
      <c r="ZS1533" s="6"/>
      <c r="ZT1533" s="4"/>
      <c r="ZU1533" s="6"/>
      <c r="ZV1533" s="4"/>
      <c r="ZW1533" s="6"/>
      <c r="ZX1533" s="4"/>
      <c r="ZY1533" s="6"/>
      <c r="ZZ1533" s="4"/>
      <c r="AAA1533" s="6"/>
      <c r="AAB1533" s="4"/>
      <c r="AAC1533" s="6"/>
      <c r="AAD1533" s="4"/>
      <c r="AAE1533" s="6"/>
      <c r="AAF1533" s="4"/>
      <c r="AAG1533" s="6"/>
      <c r="AAH1533" s="4"/>
      <c r="AAI1533" s="6"/>
      <c r="AAJ1533" s="4"/>
      <c r="AAK1533" s="6"/>
      <c r="AAL1533" s="4"/>
      <c r="AAM1533" s="6"/>
      <c r="AAN1533" s="4"/>
      <c r="AAO1533" s="6"/>
      <c r="AAP1533" s="4"/>
      <c r="AAQ1533" s="6"/>
      <c r="AAR1533" s="4"/>
      <c r="AAS1533" s="6"/>
      <c r="AAT1533" s="4"/>
      <c r="AAU1533" s="6"/>
      <c r="AAV1533" s="4"/>
      <c r="AAW1533" s="6"/>
      <c r="AAX1533" s="4"/>
      <c r="AAY1533" s="6"/>
      <c r="AAZ1533" s="4"/>
      <c r="ABA1533" s="6"/>
      <c r="ABB1533" s="4"/>
      <c r="ABC1533" s="6"/>
      <c r="ABD1533" s="4"/>
      <c r="ABE1533" s="6"/>
      <c r="ABF1533" s="4"/>
      <c r="ABG1533" s="6"/>
      <c r="ABH1533" s="4"/>
      <c r="ABI1533" s="6"/>
      <c r="ABJ1533" s="4"/>
      <c r="ABK1533" s="6"/>
      <c r="ABL1533" s="4"/>
      <c r="ABM1533" s="6"/>
      <c r="ABN1533" s="4"/>
      <c r="ABO1533" s="6"/>
      <c r="ABP1533" s="4"/>
      <c r="ABQ1533" s="6"/>
      <c r="ABR1533" s="4"/>
      <c r="ABS1533" s="6"/>
      <c r="ABT1533" s="4"/>
      <c r="ABU1533" s="6"/>
      <c r="ABV1533" s="4"/>
      <c r="ABW1533" s="6"/>
      <c r="ABX1533" s="4"/>
      <c r="ABY1533" s="6"/>
      <c r="ABZ1533" s="4"/>
      <c r="ACA1533" s="6"/>
      <c r="ACB1533" s="4"/>
      <c r="ACC1533" s="6"/>
      <c r="ACD1533" s="4"/>
      <c r="ACE1533" s="6"/>
      <c r="ACF1533" s="4"/>
      <c r="ACG1533" s="6"/>
      <c r="ACH1533" s="4"/>
      <c r="ACI1533" s="6"/>
      <c r="ACJ1533" s="4"/>
      <c r="ACK1533" s="6"/>
      <c r="ACL1533" s="4"/>
      <c r="ACM1533" s="6"/>
      <c r="ACN1533" s="4"/>
      <c r="ACO1533" s="6"/>
      <c r="ACP1533" s="4"/>
      <c r="ACQ1533" s="6"/>
      <c r="ACR1533" s="4"/>
      <c r="ACS1533" s="6"/>
      <c r="ACT1533" s="4"/>
      <c r="ACU1533" s="6"/>
      <c r="ACV1533" s="4"/>
      <c r="ACW1533" s="6"/>
      <c r="ACX1533" s="4"/>
      <c r="ACY1533" s="6"/>
      <c r="ACZ1533" s="4"/>
      <c r="ADA1533" s="6"/>
      <c r="ADB1533" s="4"/>
      <c r="ADC1533" s="6"/>
      <c r="ADD1533" s="4"/>
      <c r="ADE1533" s="6"/>
      <c r="ADF1533" s="4"/>
      <c r="ADG1533" s="6"/>
      <c r="ADH1533" s="4"/>
      <c r="ADI1533" s="6"/>
      <c r="ADJ1533" s="4"/>
      <c r="ADK1533" s="6"/>
      <c r="ADL1533" s="4"/>
      <c r="ADM1533" s="6"/>
      <c r="ADN1533" s="4"/>
      <c r="ADO1533" s="6"/>
      <c r="ADP1533" s="4"/>
      <c r="ADQ1533" s="6"/>
      <c r="ADR1533" s="4"/>
      <c r="ADS1533" s="6"/>
      <c r="ADT1533" s="4"/>
      <c r="ADU1533" s="6"/>
      <c r="ADV1533" s="4"/>
      <c r="ADW1533" s="6"/>
      <c r="ADX1533" s="4"/>
      <c r="ADY1533" s="6"/>
      <c r="ADZ1533" s="4"/>
      <c r="AEA1533" s="6"/>
      <c r="AEB1533" s="4"/>
      <c r="AEC1533" s="6"/>
      <c r="AED1533" s="4"/>
      <c r="AEE1533" s="6"/>
      <c r="AEF1533" s="4"/>
      <c r="AEG1533" s="6"/>
      <c r="AEH1533" s="4"/>
      <c r="AEI1533" s="6"/>
      <c r="AEJ1533" s="4"/>
      <c r="AEK1533" s="6"/>
      <c r="AEL1533" s="4"/>
      <c r="AEM1533" s="6"/>
      <c r="AEN1533" s="4"/>
      <c r="AEO1533" s="6"/>
      <c r="AEP1533" s="4"/>
      <c r="AEQ1533" s="6"/>
      <c r="AER1533" s="4"/>
      <c r="AES1533" s="6"/>
      <c r="AET1533" s="4"/>
      <c r="AEU1533" s="6"/>
      <c r="AEV1533" s="4"/>
      <c r="AEW1533" s="6"/>
      <c r="AEX1533" s="4"/>
      <c r="AEY1533" s="6"/>
      <c r="AEZ1533" s="4"/>
      <c r="AFA1533" s="6"/>
      <c r="AFB1533" s="4"/>
      <c r="AFC1533" s="6"/>
      <c r="AFD1533" s="4"/>
      <c r="AFE1533" s="6"/>
      <c r="AFF1533" s="4"/>
      <c r="AFG1533" s="6"/>
      <c r="AFH1533" s="4"/>
      <c r="AFI1533" s="6"/>
      <c r="AFJ1533" s="4"/>
      <c r="AFK1533" s="6"/>
      <c r="AFL1533" s="4"/>
      <c r="AFM1533" s="6"/>
      <c r="AFN1533" s="4"/>
      <c r="AFO1533" s="6"/>
      <c r="AFP1533" s="4"/>
      <c r="AFQ1533" s="6"/>
      <c r="AFR1533" s="4"/>
      <c r="AFS1533" s="6"/>
      <c r="AFT1533" s="4"/>
      <c r="AFU1533" s="6"/>
      <c r="AFV1533" s="4"/>
      <c r="AFW1533" s="6"/>
      <c r="AFX1533" s="4"/>
      <c r="AFY1533" s="6"/>
      <c r="AFZ1533" s="4"/>
      <c r="AGA1533" s="6"/>
      <c r="AGB1533" s="4"/>
      <c r="AGC1533" s="6"/>
      <c r="AGD1533" s="4"/>
      <c r="AGE1533" s="6"/>
      <c r="AGF1533" s="4"/>
      <c r="AGG1533" s="6"/>
      <c r="AGH1533" s="4"/>
      <c r="AGI1533" s="6"/>
      <c r="AGJ1533" s="4"/>
      <c r="AGK1533" s="6"/>
      <c r="AGL1533" s="4"/>
      <c r="AGM1533" s="6"/>
      <c r="AGN1533" s="4"/>
      <c r="AGO1533" s="6"/>
      <c r="AGP1533" s="4"/>
      <c r="AGQ1533" s="6"/>
      <c r="AGR1533" s="4"/>
      <c r="AGS1533" s="6"/>
      <c r="AGT1533" s="4"/>
      <c r="AGU1533" s="6"/>
      <c r="AGV1533" s="4"/>
      <c r="AGW1533" s="6"/>
      <c r="AGX1533" s="4"/>
      <c r="AGY1533" s="6"/>
      <c r="AGZ1533" s="4"/>
      <c r="AHA1533" s="6"/>
      <c r="AHB1533" s="4"/>
      <c r="AHC1533" s="6"/>
      <c r="AHD1533" s="4"/>
      <c r="AHE1533" s="6"/>
      <c r="AHF1533" s="4"/>
      <c r="AHG1533" s="6"/>
      <c r="AHH1533" s="4"/>
      <c r="AHI1533" s="6"/>
      <c r="AHJ1533" s="4"/>
      <c r="AHK1533" s="6"/>
      <c r="AHL1533" s="4"/>
      <c r="AHM1533" s="6"/>
      <c r="AHN1533" s="4"/>
      <c r="AHO1533" s="6"/>
      <c r="AHP1533" s="4"/>
      <c r="AHQ1533" s="6"/>
      <c r="AHR1533" s="4"/>
      <c r="AHS1533" s="6"/>
      <c r="AHT1533" s="4"/>
      <c r="AHU1533" s="6"/>
      <c r="AHV1533" s="4"/>
      <c r="AHW1533" s="6"/>
      <c r="AHX1533" s="4"/>
      <c r="AHY1533" s="6"/>
      <c r="AHZ1533" s="4"/>
      <c r="AIA1533" s="6"/>
      <c r="AIB1533" s="4"/>
      <c r="AIC1533" s="6"/>
      <c r="AID1533" s="4"/>
      <c r="AIE1533" s="6"/>
      <c r="AIF1533" s="4"/>
      <c r="AIG1533" s="6"/>
      <c r="AIH1533" s="4"/>
      <c r="AII1533" s="6"/>
      <c r="AIJ1533" s="4"/>
      <c r="AIK1533" s="6"/>
      <c r="AIL1533" s="4"/>
      <c r="AIM1533" s="6"/>
      <c r="AIN1533" s="4"/>
      <c r="AIO1533" s="6"/>
      <c r="AIP1533" s="4"/>
      <c r="AIQ1533" s="6"/>
      <c r="AIR1533" s="4"/>
      <c r="AIS1533" s="6"/>
      <c r="AIT1533" s="4"/>
      <c r="AIU1533" s="6"/>
      <c r="AIV1533" s="4"/>
      <c r="AIW1533" s="6"/>
      <c r="AIX1533" s="4"/>
      <c r="AIY1533" s="6"/>
      <c r="AIZ1533" s="4"/>
      <c r="AJA1533" s="6"/>
      <c r="AJB1533" s="4"/>
      <c r="AJC1533" s="6"/>
      <c r="AJD1533" s="4"/>
      <c r="AJE1533" s="6"/>
      <c r="AJF1533" s="4"/>
      <c r="AJG1533" s="6"/>
      <c r="AJH1533" s="4"/>
      <c r="AJI1533" s="6"/>
      <c r="AJJ1533" s="4"/>
      <c r="AJK1533" s="6"/>
      <c r="AJL1533" s="4"/>
      <c r="AJM1533" s="6"/>
      <c r="AJN1533" s="4"/>
      <c r="AJO1533" s="6"/>
      <c r="AJP1533" s="4"/>
      <c r="AJQ1533" s="6"/>
      <c r="AJR1533" s="4"/>
      <c r="AJS1533" s="6"/>
      <c r="AJT1533" s="4"/>
      <c r="AJU1533" s="6"/>
      <c r="AJV1533" s="4"/>
      <c r="AJW1533" s="6"/>
      <c r="AJX1533" s="4"/>
      <c r="AJY1533" s="6"/>
      <c r="AJZ1533" s="4"/>
      <c r="AKA1533" s="6"/>
      <c r="AKB1533" s="4"/>
      <c r="AKC1533" s="6"/>
      <c r="AKD1533" s="4"/>
      <c r="AKE1533" s="6"/>
      <c r="AKF1533" s="4"/>
      <c r="AKG1533" s="6"/>
      <c r="AKH1533" s="4"/>
      <c r="AKI1533" s="6"/>
      <c r="AKJ1533" s="4"/>
      <c r="AKK1533" s="6"/>
      <c r="AKL1533" s="4"/>
      <c r="AKM1533" s="6"/>
      <c r="AKN1533" s="4"/>
      <c r="AKO1533" s="6"/>
      <c r="AKP1533" s="4"/>
      <c r="AKQ1533" s="6"/>
      <c r="AKR1533" s="4"/>
      <c r="AKS1533" s="6"/>
      <c r="AKT1533" s="4"/>
      <c r="AKU1533" s="6"/>
      <c r="AKV1533" s="4"/>
      <c r="AKW1533" s="6"/>
      <c r="AKX1533" s="4"/>
      <c r="AKY1533" s="6"/>
      <c r="AKZ1533" s="4"/>
      <c r="ALA1533" s="6"/>
      <c r="ALB1533" s="4"/>
      <c r="ALC1533" s="6"/>
      <c r="ALD1533" s="4"/>
      <c r="ALE1533" s="6"/>
      <c r="ALF1533" s="4"/>
      <c r="ALG1533" s="6"/>
      <c r="ALH1533" s="4"/>
      <c r="ALI1533" s="6"/>
      <c r="ALJ1533" s="4"/>
      <c r="ALK1533" s="6"/>
      <c r="ALL1533" s="4"/>
      <c r="ALM1533" s="6"/>
      <c r="ALN1533" s="4"/>
      <c r="ALO1533" s="6"/>
      <c r="ALP1533" s="4"/>
      <c r="ALQ1533" s="6"/>
      <c r="ALR1533" s="4"/>
      <c r="ALS1533" s="6"/>
      <c r="ALT1533" s="4"/>
      <c r="ALU1533" s="6"/>
      <c r="ALV1533" s="4"/>
      <c r="ALW1533" s="6"/>
      <c r="ALX1533" s="4"/>
      <c r="ALY1533" s="6"/>
      <c r="ALZ1533" s="4"/>
      <c r="AMA1533" s="6"/>
      <c r="AMB1533" s="4"/>
      <c r="AMC1533" s="6"/>
      <c r="AMD1533" s="4"/>
      <c r="AME1533" s="6"/>
      <c r="AMF1533" s="4"/>
      <c r="AMG1533" s="6"/>
      <c r="AMH1533" s="4"/>
      <c r="AMI1533" s="6"/>
      <c r="AMJ1533" s="4"/>
      <c r="AMK1533" s="6"/>
      <c r="AML1533" s="4"/>
      <c r="AMM1533" s="6"/>
      <c r="AMN1533" s="4"/>
      <c r="AMO1533" s="6"/>
      <c r="AMP1533" s="4"/>
      <c r="AMQ1533" s="6"/>
      <c r="AMR1533" s="4"/>
      <c r="AMS1533" s="6"/>
      <c r="AMT1533" s="4"/>
      <c r="AMU1533" s="6"/>
      <c r="AMV1533" s="4"/>
      <c r="AMW1533" s="6"/>
      <c r="AMX1533" s="4"/>
      <c r="AMY1533" s="6"/>
      <c r="AMZ1533" s="4"/>
      <c r="ANA1533" s="6"/>
      <c r="ANB1533" s="4"/>
      <c r="ANC1533" s="6"/>
      <c r="AND1533" s="4"/>
      <c r="ANE1533" s="6"/>
      <c r="ANF1533" s="4"/>
      <c r="ANG1533" s="6"/>
      <c r="ANH1533" s="4"/>
      <c r="ANI1533" s="6"/>
      <c r="ANJ1533" s="4"/>
      <c r="ANK1533" s="6"/>
      <c r="ANL1533" s="4"/>
      <c r="ANM1533" s="6"/>
      <c r="ANN1533" s="4"/>
      <c r="ANO1533" s="6"/>
      <c r="ANP1533" s="4"/>
      <c r="ANQ1533" s="6"/>
      <c r="ANR1533" s="4"/>
      <c r="ANS1533" s="6"/>
      <c r="ANT1533" s="4"/>
      <c r="ANU1533" s="6"/>
      <c r="ANV1533" s="4"/>
      <c r="ANW1533" s="6"/>
      <c r="ANX1533" s="4"/>
      <c r="ANY1533" s="6"/>
      <c r="ANZ1533" s="4"/>
      <c r="AOA1533" s="6"/>
      <c r="AOB1533" s="4"/>
      <c r="AOC1533" s="6"/>
      <c r="AOD1533" s="4"/>
      <c r="AOE1533" s="6"/>
      <c r="AOF1533" s="4"/>
      <c r="AOG1533" s="6"/>
      <c r="AOH1533" s="4"/>
      <c r="AOI1533" s="6"/>
      <c r="AOJ1533" s="4"/>
      <c r="AOK1533" s="6"/>
      <c r="AOL1533" s="4"/>
      <c r="AOM1533" s="6"/>
      <c r="AON1533" s="4"/>
      <c r="AOO1533" s="6"/>
      <c r="AOP1533" s="4"/>
      <c r="AOQ1533" s="6"/>
      <c r="AOR1533" s="4"/>
      <c r="AOS1533" s="6"/>
      <c r="AOT1533" s="4"/>
      <c r="AOU1533" s="6"/>
      <c r="AOV1533" s="4"/>
      <c r="AOW1533" s="6"/>
      <c r="AOX1533" s="4"/>
      <c r="AOY1533" s="6"/>
      <c r="AOZ1533" s="4"/>
      <c r="APA1533" s="6"/>
      <c r="APB1533" s="4"/>
      <c r="APC1533" s="6"/>
      <c r="APD1533" s="4"/>
      <c r="APE1533" s="6"/>
      <c r="APF1533" s="4"/>
      <c r="APG1533" s="6"/>
      <c r="APH1533" s="4"/>
      <c r="API1533" s="6"/>
      <c r="APJ1533" s="4"/>
      <c r="APK1533" s="6"/>
      <c r="APL1533" s="4"/>
      <c r="APM1533" s="6"/>
      <c r="APN1533" s="4"/>
      <c r="APO1533" s="6"/>
      <c r="APP1533" s="4"/>
      <c r="APQ1533" s="6"/>
      <c r="APR1533" s="4"/>
      <c r="APS1533" s="6"/>
      <c r="APT1533" s="4"/>
      <c r="APU1533" s="6"/>
      <c r="APV1533" s="4"/>
      <c r="APW1533" s="6"/>
      <c r="APX1533" s="4"/>
      <c r="APY1533" s="6"/>
      <c r="APZ1533" s="4"/>
      <c r="AQA1533" s="6"/>
      <c r="AQB1533" s="4"/>
      <c r="AQC1533" s="6"/>
      <c r="AQD1533" s="4"/>
      <c r="AQE1533" s="6"/>
      <c r="AQF1533" s="4"/>
      <c r="AQG1533" s="6"/>
      <c r="AQH1533" s="4"/>
      <c r="AQI1533" s="6"/>
      <c r="AQJ1533" s="4"/>
      <c r="AQK1533" s="6"/>
      <c r="AQL1533" s="4"/>
      <c r="AQM1533" s="6"/>
      <c r="AQN1533" s="4"/>
      <c r="AQO1533" s="6"/>
      <c r="AQP1533" s="4"/>
      <c r="AQQ1533" s="6"/>
      <c r="AQR1533" s="4"/>
      <c r="AQS1533" s="6"/>
      <c r="AQT1533" s="4"/>
      <c r="AQU1533" s="6"/>
      <c r="AQV1533" s="4"/>
      <c r="AQW1533" s="6"/>
      <c r="AQX1533" s="4"/>
      <c r="AQY1533" s="6"/>
      <c r="AQZ1533" s="4"/>
      <c r="ARA1533" s="6"/>
      <c r="ARB1533" s="4"/>
      <c r="ARC1533" s="6"/>
      <c r="ARD1533" s="4"/>
      <c r="ARE1533" s="6"/>
      <c r="ARF1533" s="4"/>
      <c r="ARG1533" s="6"/>
      <c r="ARH1533" s="4"/>
      <c r="ARI1533" s="6"/>
      <c r="ARJ1533" s="4"/>
      <c r="ARK1533" s="6"/>
      <c r="ARL1533" s="4"/>
      <c r="ARM1533" s="6"/>
      <c r="ARN1533" s="4"/>
      <c r="ARO1533" s="6"/>
      <c r="ARP1533" s="4"/>
      <c r="ARQ1533" s="6"/>
      <c r="ARR1533" s="4"/>
      <c r="ARS1533" s="6"/>
      <c r="ART1533" s="4"/>
      <c r="ARU1533" s="6"/>
      <c r="ARV1533" s="4"/>
      <c r="ARW1533" s="6"/>
      <c r="ARX1533" s="4"/>
      <c r="ARY1533" s="6"/>
      <c r="ARZ1533" s="4"/>
      <c r="ASA1533" s="6"/>
      <c r="ASB1533" s="4"/>
      <c r="ASC1533" s="6"/>
      <c r="ASD1533" s="4"/>
      <c r="ASE1533" s="6"/>
      <c r="ASF1533" s="4"/>
      <c r="ASG1533" s="6"/>
      <c r="ASH1533" s="4"/>
      <c r="ASI1533" s="6"/>
      <c r="ASJ1533" s="4"/>
      <c r="ASK1533" s="6"/>
      <c r="ASL1533" s="4"/>
      <c r="ASM1533" s="6"/>
      <c r="ASN1533" s="4"/>
      <c r="ASO1533" s="6"/>
      <c r="ASP1533" s="4"/>
      <c r="ASQ1533" s="6"/>
      <c r="ASR1533" s="4"/>
      <c r="ASS1533" s="6"/>
      <c r="AST1533" s="4"/>
      <c r="ASU1533" s="6"/>
      <c r="ASV1533" s="4"/>
      <c r="ASW1533" s="6"/>
      <c r="ASX1533" s="4"/>
      <c r="ASY1533" s="6"/>
      <c r="ASZ1533" s="4"/>
      <c r="ATA1533" s="6"/>
      <c r="ATB1533" s="4"/>
      <c r="ATC1533" s="6"/>
      <c r="ATD1533" s="4"/>
      <c r="ATE1533" s="6"/>
      <c r="ATF1533" s="4"/>
      <c r="ATG1533" s="6"/>
      <c r="ATH1533" s="4"/>
      <c r="ATI1533" s="6"/>
      <c r="ATJ1533" s="4"/>
      <c r="ATK1533" s="6"/>
      <c r="ATL1533" s="4"/>
      <c r="ATM1533" s="6"/>
      <c r="ATN1533" s="4"/>
      <c r="ATO1533" s="6"/>
      <c r="ATP1533" s="4"/>
      <c r="ATQ1533" s="6"/>
      <c r="ATR1533" s="4"/>
      <c r="ATS1533" s="6"/>
      <c r="ATT1533" s="4"/>
      <c r="ATU1533" s="6"/>
      <c r="ATV1533" s="4"/>
      <c r="ATW1533" s="6"/>
      <c r="ATX1533" s="4"/>
      <c r="ATY1533" s="6"/>
      <c r="ATZ1533" s="4"/>
      <c r="AUA1533" s="6"/>
      <c r="AUB1533" s="4"/>
      <c r="AUC1533" s="6"/>
      <c r="AUD1533" s="4"/>
      <c r="AUE1533" s="6"/>
      <c r="AUF1533" s="4"/>
      <c r="AUG1533" s="6"/>
      <c r="AUH1533" s="4"/>
      <c r="AUI1533" s="6"/>
      <c r="AUJ1533" s="4"/>
      <c r="AUK1533" s="6"/>
      <c r="AUL1533" s="4"/>
      <c r="AUM1533" s="6"/>
      <c r="AUN1533" s="4"/>
      <c r="AUO1533" s="6"/>
      <c r="AUP1533" s="4"/>
      <c r="AUQ1533" s="6"/>
      <c r="AUR1533" s="4"/>
      <c r="AUS1533" s="6"/>
      <c r="AUT1533" s="4"/>
      <c r="AUU1533" s="6"/>
      <c r="AUV1533" s="4"/>
      <c r="AUW1533" s="6"/>
      <c r="AUX1533" s="4"/>
      <c r="AUY1533" s="6"/>
      <c r="AUZ1533" s="4"/>
      <c r="AVA1533" s="6"/>
      <c r="AVB1533" s="4"/>
      <c r="AVC1533" s="6"/>
      <c r="AVD1533" s="4"/>
      <c r="AVE1533" s="6"/>
      <c r="AVF1533" s="4"/>
      <c r="AVG1533" s="6"/>
      <c r="AVH1533" s="4"/>
      <c r="AVI1533" s="6"/>
      <c r="AVJ1533" s="4"/>
      <c r="AVK1533" s="6"/>
      <c r="AVL1533" s="4"/>
      <c r="AVM1533" s="6"/>
      <c r="AVN1533" s="4"/>
      <c r="AVO1533" s="6"/>
      <c r="AVP1533" s="4"/>
      <c r="AVQ1533" s="6"/>
      <c r="AVR1533" s="4"/>
      <c r="AVS1533" s="6"/>
      <c r="AVT1533" s="4"/>
      <c r="AVU1533" s="6"/>
      <c r="AVV1533" s="4"/>
      <c r="AVW1533" s="6"/>
      <c r="AVX1533" s="4"/>
      <c r="AVY1533" s="6"/>
      <c r="AVZ1533" s="4"/>
      <c r="AWA1533" s="6"/>
      <c r="AWB1533" s="4"/>
      <c r="AWC1533" s="6"/>
      <c r="AWD1533" s="4"/>
      <c r="AWE1533" s="6"/>
      <c r="AWF1533" s="4"/>
      <c r="AWG1533" s="6"/>
      <c r="AWH1533" s="4"/>
      <c r="AWI1533" s="6"/>
      <c r="AWJ1533" s="4"/>
      <c r="AWK1533" s="6"/>
      <c r="AWL1533" s="4"/>
      <c r="AWM1533" s="6"/>
      <c r="AWN1533" s="4"/>
      <c r="AWO1533" s="6"/>
      <c r="AWP1533" s="4"/>
      <c r="AWQ1533" s="6"/>
      <c r="AWR1533" s="4"/>
      <c r="AWS1533" s="6"/>
      <c r="AWT1533" s="4"/>
      <c r="AWU1533" s="6"/>
      <c r="AWV1533" s="4"/>
      <c r="AWW1533" s="6"/>
      <c r="AWX1533" s="4"/>
      <c r="AWY1533" s="6"/>
      <c r="AWZ1533" s="4"/>
      <c r="AXA1533" s="6"/>
      <c r="AXB1533" s="4"/>
      <c r="AXC1533" s="6"/>
      <c r="AXD1533" s="4"/>
      <c r="AXE1533" s="6"/>
      <c r="AXF1533" s="4"/>
      <c r="AXG1533" s="6"/>
      <c r="AXH1533" s="4"/>
      <c r="AXI1533" s="6"/>
      <c r="AXJ1533" s="4"/>
      <c r="AXK1533" s="6"/>
      <c r="AXL1533" s="4"/>
      <c r="AXM1533" s="6"/>
      <c r="AXN1533" s="4"/>
      <c r="AXO1533" s="6"/>
      <c r="AXP1533" s="4"/>
      <c r="AXQ1533" s="6"/>
      <c r="AXR1533" s="4"/>
      <c r="AXS1533" s="6"/>
      <c r="AXT1533" s="4"/>
      <c r="AXU1533" s="6"/>
      <c r="AXV1533" s="4"/>
      <c r="AXW1533" s="6"/>
      <c r="AXX1533" s="4"/>
      <c r="AXY1533" s="6"/>
      <c r="AXZ1533" s="4"/>
      <c r="AYA1533" s="6"/>
      <c r="AYB1533" s="4"/>
      <c r="AYC1533" s="6"/>
      <c r="AYD1533" s="4"/>
      <c r="AYE1533" s="6"/>
      <c r="AYF1533" s="4"/>
      <c r="AYG1533" s="6"/>
      <c r="AYH1533" s="4"/>
      <c r="AYI1533" s="6"/>
      <c r="AYJ1533" s="4"/>
      <c r="AYK1533" s="6"/>
      <c r="AYL1533" s="4"/>
      <c r="AYM1533" s="6"/>
      <c r="AYN1533" s="4"/>
      <c r="AYO1533" s="6"/>
      <c r="AYP1533" s="4"/>
      <c r="AYQ1533" s="6"/>
      <c r="AYR1533" s="4"/>
      <c r="AYS1533" s="6"/>
      <c r="AYT1533" s="4"/>
      <c r="AYU1533" s="6"/>
      <c r="AYV1533" s="4"/>
      <c r="AYW1533" s="6"/>
      <c r="AYX1533" s="4"/>
      <c r="AYY1533" s="6"/>
      <c r="AYZ1533" s="4"/>
      <c r="AZA1533" s="6"/>
      <c r="AZB1533" s="4"/>
      <c r="AZC1533" s="6"/>
      <c r="AZD1533" s="4"/>
      <c r="AZE1533" s="6"/>
      <c r="AZF1533" s="4"/>
      <c r="AZG1533" s="6"/>
      <c r="AZH1533" s="4"/>
      <c r="AZI1533" s="6"/>
      <c r="AZJ1533" s="4"/>
      <c r="AZK1533" s="6"/>
      <c r="AZL1533" s="4"/>
      <c r="AZM1533" s="6"/>
      <c r="AZN1533" s="4"/>
      <c r="AZO1533" s="6"/>
      <c r="AZP1533" s="4"/>
      <c r="AZQ1533" s="6"/>
      <c r="AZR1533" s="4"/>
      <c r="AZS1533" s="6"/>
      <c r="AZT1533" s="4"/>
      <c r="AZU1533" s="6"/>
      <c r="AZV1533" s="4"/>
      <c r="AZW1533" s="6"/>
      <c r="AZX1533" s="4"/>
      <c r="AZY1533" s="6"/>
      <c r="AZZ1533" s="4"/>
      <c r="BAA1533" s="6"/>
      <c r="BAB1533" s="4"/>
      <c r="BAC1533" s="6"/>
      <c r="BAD1533" s="4"/>
      <c r="BAE1533" s="6"/>
      <c r="BAF1533" s="4"/>
      <c r="BAG1533" s="6"/>
      <c r="BAH1533" s="4"/>
      <c r="BAI1533" s="6"/>
      <c r="BAJ1533" s="4"/>
      <c r="BAK1533" s="6"/>
      <c r="BAL1533" s="4"/>
      <c r="BAM1533" s="6"/>
      <c r="BAN1533" s="4"/>
      <c r="BAO1533" s="6"/>
      <c r="BAP1533" s="4"/>
      <c r="BAQ1533" s="6"/>
      <c r="BAR1533" s="4"/>
      <c r="BAS1533" s="6"/>
      <c r="BAT1533" s="4"/>
      <c r="BAU1533" s="6"/>
      <c r="BAV1533" s="4"/>
      <c r="BAW1533" s="6"/>
      <c r="BAX1533" s="4"/>
      <c r="BAY1533" s="6"/>
      <c r="BAZ1533" s="4"/>
      <c r="BBA1533" s="6"/>
      <c r="BBB1533" s="4"/>
      <c r="BBC1533" s="6"/>
      <c r="BBD1533" s="4"/>
      <c r="BBE1533" s="6"/>
      <c r="BBF1533" s="4"/>
      <c r="BBG1533" s="6"/>
      <c r="BBH1533" s="4"/>
      <c r="BBI1533" s="6"/>
      <c r="BBJ1533" s="4"/>
      <c r="BBK1533" s="6"/>
      <c r="BBL1533" s="4"/>
      <c r="BBM1533" s="6"/>
      <c r="BBN1533" s="4"/>
      <c r="BBO1533" s="6"/>
      <c r="BBP1533" s="4"/>
      <c r="BBQ1533" s="6"/>
      <c r="BBR1533" s="4"/>
      <c r="BBS1533" s="6"/>
      <c r="BBT1533" s="4"/>
      <c r="BBU1533" s="6"/>
      <c r="BBV1533" s="4"/>
      <c r="BBW1533" s="6"/>
      <c r="BBX1533" s="4"/>
      <c r="BBY1533" s="6"/>
      <c r="BBZ1533" s="4"/>
      <c r="BCA1533" s="6"/>
      <c r="BCB1533" s="4"/>
      <c r="BCC1533" s="6"/>
      <c r="BCD1533" s="4"/>
      <c r="BCE1533" s="6"/>
      <c r="BCF1533" s="4"/>
      <c r="BCG1533" s="6"/>
      <c r="BCH1533" s="4"/>
      <c r="BCI1533" s="6"/>
      <c r="BCJ1533" s="4"/>
      <c r="BCK1533" s="6"/>
      <c r="BCL1533" s="4"/>
      <c r="BCM1533" s="6"/>
      <c r="BCN1533" s="4"/>
      <c r="BCO1533" s="6"/>
      <c r="BCP1533" s="4"/>
      <c r="BCQ1533" s="6"/>
      <c r="BCR1533" s="4"/>
      <c r="BCS1533" s="6"/>
      <c r="BCT1533" s="4"/>
      <c r="BCU1533" s="6"/>
      <c r="BCV1533" s="4"/>
      <c r="BCW1533" s="6"/>
      <c r="BCX1533" s="4"/>
      <c r="BCY1533" s="6"/>
      <c r="BCZ1533" s="4"/>
      <c r="BDA1533" s="6"/>
      <c r="BDB1533" s="4"/>
      <c r="BDC1533" s="6"/>
      <c r="BDD1533" s="4"/>
      <c r="BDE1533" s="6"/>
      <c r="BDF1533" s="4"/>
      <c r="BDG1533" s="6"/>
      <c r="BDH1533" s="4"/>
      <c r="BDI1533" s="6"/>
      <c r="BDJ1533" s="4"/>
      <c r="BDK1533" s="6"/>
      <c r="BDL1533" s="4"/>
      <c r="BDM1533" s="6"/>
      <c r="BDN1533" s="4"/>
      <c r="BDO1533" s="6"/>
      <c r="BDP1533" s="4"/>
      <c r="BDQ1533" s="6"/>
      <c r="BDR1533" s="4"/>
      <c r="BDS1533" s="6"/>
      <c r="BDT1533" s="4"/>
      <c r="BDU1533" s="6"/>
      <c r="BDV1533" s="4"/>
      <c r="BDW1533" s="6"/>
      <c r="BDX1533" s="4"/>
      <c r="BDY1533" s="6"/>
      <c r="BDZ1533" s="4"/>
      <c r="BEA1533" s="6"/>
      <c r="BEB1533" s="4"/>
      <c r="BEC1533" s="6"/>
      <c r="BED1533" s="4"/>
      <c r="BEE1533" s="6"/>
      <c r="BEF1533" s="4"/>
      <c r="BEG1533" s="6"/>
      <c r="BEH1533" s="4"/>
      <c r="BEI1533" s="6"/>
      <c r="BEJ1533" s="4"/>
      <c r="BEK1533" s="6"/>
      <c r="BEL1533" s="4"/>
      <c r="BEM1533" s="6"/>
      <c r="BEN1533" s="4"/>
      <c r="BEO1533" s="6"/>
      <c r="BEP1533" s="4"/>
      <c r="BEQ1533" s="6"/>
      <c r="BER1533" s="4"/>
      <c r="BES1533" s="6"/>
      <c r="BET1533" s="4"/>
      <c r="BEU1533" s="6"/>
      <c r="BEV1533" s="4"/>
      <c r="BEW1533" s="6"/>
      <c r="BEX1533" s="4"/>
      <c r="BEY1533" s="6"/>
      <c r="BEZ1533" s="4"/>
      <c r="BFA1533" s="6"/>
      <c r="BFB1533" s="4"/>
      <c r="BFC1533" s="6"/>
      <c r="BFD1533" s="4"/>
      <c r="BFE1533" s="6"/>
      <c r="BFF1533" s="4"/>
      <c r="BFG1533" s="6"/>
      <c r="BFH1533" s="4"/>
      <c r="BFI1533" s="6"/>
      <c r="BFJ1533" s="4"/>
      <c r="BFK1533" s="6"/>
      <c r="BFL1533" s="4"/>
      <c r="BFM1533" s="6"/>
      <c r="BFN1533" s="4"/>
      <c r="BFO1533" s="6"/>
      <c r="BFP1533" s="4"/>
      <c r="BFQ1533" s="6"/>
      <c r="BFR1533" s="4"/>
      <c r="BFS1533" s="6"/>
      <c r="BFT1533" s="4"/>
      <c r="BFU1533" s="6"/>
      <c r="BFV1533" s="4"/>
      <c r="BFW1533" s="6"/>
      <c r="BFX1533" s="4"/>
      <c r="BFY1533" s="6"/>
      <c r="BFZ1533" s="4"/>
      <c r="BGA1533" s="6"/>
      <c r="BGB1533" s="4"/>
      <c r="BGC1533" s="6"/>
      <c r="BGD1533" s="4"/>
      <c r="BGE1533" s="6"/>
      <c r="BGF1533" s="4"/>
      <c r="BGG1533" s="6"/>
      <c r="BGH1533" s="4"/>
      <c r="BGI1533" s="6"/>
      <c r="BGJ1533" s="4"/>
      <c r="BGK1533" s="6"/>
      <c r="BGL1533" s="4"/>
      <c r="BGM1533" s="6"/>
      <c r="BGN1533" s="4"/>
      <c r="BGO1533" s="6"/>
      <c r="BGP1533" s="4"/>
      <c r="BGQ1533" s="6"/>
      <c r="BGR1533" s="4"/>
      <c r="BGS1533" s="6"/>
      <c r="BGT1533" s="4"/>
      <c r="BGU1533" s="6"/>
      <c r="BGV1533" s="4"/>
      <c r="BGW1533" s="6"/>
      <c r="BGX1533" s="4"/>
      <c r="BGY1533" s="6"/>
      <c r="BGZ1533" s="4"/>
      <c r="BHA1533" s="6"/>
      <c r="BHB1533" s="4"/>
      <c r="BHC1533" s="6"/>
      <c r="BHD1533" s="4"/>
      <c r="BHE1533" s="6"/>
      <c r="BHF1533" s="4"/>
      <c r="BHG1533" s="6"/>
      <c r="BHH1533" s="4"/>
      <c r="BHI1533" s="6"/>
      <c r="BHJ1533" s="4"/>
      <c r="BHK1533" s="6"/>
      <c r="BHL1533" s="4"/>
      <c r="BHM1533" s="6"/>
      <c r="BHN1533" s="4"/>
      <c r="BHO1533" s="6"/>
      <c r="BHP1533" s="4"/>
      <c r="BHQ1533" s="6"/>
      <c r="BHR1533" s="4"/>
      <c r="BHS1533" s="6"/>
      <c r="BHT1533" s="4"/>
      <c r="BHU1533" s="6"/>
      <c r="BHV1533" s="4"/>
      <c r="BHW1533" s="6"/>
      <c r="BHX1533" s="4"/>
      <c r="BHY1533" s="6"/>
      <c r="BHZ1533" s="4"/>
      <c r="BIA1533" s="6"/>
      <c r="BIB1533" s="4"/>
      <c r="BIC1533" s="6"/>
      <c r="BID1533" s="4"/>
      <c r="BIE1533" s="6"/>
      <c r="BIF1533" s="4"/>
      <c r="BIG1533" s="6"/>
      <c r="BIH1533" s="4"/>
      <c r="BII1533" s="6"/>
      <c r="BIJ1533" s="4"/>
      <c r="BIK1533" s="6"/>
      <c r="BIL1533" s="4"/>
      <c r="BIM1533" s="6"/>
      <c r="BIN1533" s="4"/>
      <c r="BIO1533" s="6"/>
      <c r="BIP1533" s="4"/>
      <c r="BIQ1533" s="6"/>
      <c r="BIR1533" s="4"/>
      <c r="BIS1533" s="6"/>
      <c r="BIT1533" s="4"/>
      <c r="BIU1533" s="6"/>
      <c r="BIV1533" s="4"/>
      <c r="BIW1533" s="6"/>
      <c r="BIX1533" s="4"/>
      <c r="BIY1533" s="6"/>
      <c r="BIZ1533" s="4"/>
      <c r="BJA1533" s="6"/>
      <c r="BJB1533" s="4"/>
      <c r="BJC1533" s="6"/>
      <c r="BJD1533" s="4"/>
      <c r="BJE1533" s="6"/>
      <c r="BJF1533" s="4"/>
      <c r="BJG1533" s="6"/>
      <c r="BJH1533" s="4"/>
      <c r="BJI1533" s="6"/>
      <c r="BJJ1533" s="4"/>
      <c r="BJK1533" s="6"/>
      <c r="BJL1533" s="4"/>
      <c r="BJM1533" s="6"/>
      <c r="BJN1533" s="4"/>
      <c r="BJO1533" s="6"/>
      <c r="BJP1533" s="4"/>
      <c r="BJQ1533" s="6"/>
      <c r="BJR1533" s="4"/>
      <c r="BJS1533" s="6"/>
      <c r="BJT1533" s="4"/>
      <c r="BJU1533" s="6"/>
      <c r="BJV1533" s="4"/>
      <c r="BJW1533" s="6"/>
      <c r="BJX1533" s="4"/>
      <c r="BJY1533" s="6"/>
      <c r="BJZ1533" s="4"/>
      <c r="BKA1533" s="6"/>
      <c r="BKB1533" s="4"/>
      <c r="BKC1533" s="6"/>
      <c r="BKD1533" s="4"/>
      <c r="BKE1533" s="6"/>
      <c r="BKF1533" s="4"/>
      <c r="BKG1533" s="6"/>
      <c r="BKH1533" s="4"/>
      <c r="BKI1533" s="6"/>
      <c r="BKJ1533" s="4"/>
      <c r="BKK1533" s="6"/>
      <c r="BKL1533" s="4"/>
      <c r="BKM1533" s="6"/>
      <c r="BKN1533" s="4"/>
      <c r="BKO1533" s="6"/>
      <c r="BKP1533" s="4"/>
      <c r="BKQ1533" s="6"/>
      <c r="BKR1533" s="4"/>
      <c r="BKS1533" s="6"/>
      <c r="BKT1533" s="4"/>
      <c r="BKU1533" s="6"/>
      <c r="BKV1533" s="4"/>
      <c r="BKW1533" s="6"/>
      <c r="BKX1533" s="4"/>
      <c r="BKY1533" s="6"/>
      <c r="BKZ1533" s="4"/>
      <c r="BLA1533" s="6"/>
      <c r="BLB1533" s="4"/>
      <c r="BLC1533" s="6"/>
      <c r="BLD1533" s="4"/>
      <c r="BLE1533" s="6"/>
      <c r="BLF1533" s="4"/>
      <c r="BLG1533" s="6"/>
      <c r="BLH1533" s="4"/>
      <c r="BLI1533" s="6"/>
      <c r="BLJ1533" s="4"/>
      <c r="BLK1533" s="6"/>
      <c r="BLL1533" s="4"/>
      <c r="BLM1533" s="6"/>
      <c r="BLN1533" s="4"/>
      <c r="BLO1533" s="6"/>
      <c r="BLP1533" s="4"/>
      <c r="BLQ1533" s="6"/>
      <c r="BLR1533" s="4"/>
      <c r="BLS1533" s="6"/>
      <c r="BLT1533" s="4"/>
      <c r="BLU1533" s="6"/>
      <c r="BLV1533" s="4"/>
      <c r="BLW1533" s="6"/>
      <c r="BLX1533" s="4"/>
      <c r="BLY1533" s="6"/>
      <c r="BLZ1533" s="4"/>
      <c r="BMA1533" s="6"/>
      <c r="BMB1533" s="4"/>
      <c r="BMC1533" s="6"/>
      <c r="BMD1533" s="4"/>
      <c r="BME1533" s="6"/>
      <c r="BMF1533" s="4"/>
      <c r="BMG1533" s="6"/>
      <c r="BMH1533" s="4"/>
      <c r="BMI1533" s="6"/>
      <c r="BMJ1533" s="4"/>
      <c r="BMK1533" s="6"/>
      <c r="BML1533" s="4"/>
      <c r="BMM1533" s="6"/>
      <c r="BMN1533" s="4"/>
      <c r="BMO1533" s="6"/>
      <c r="BMP1533" s="4"/>
      <c r="BMQ1533" s="6"/>
      <c r="BMR1533" s="4"/>
      <c r="BMS1533" s="6"/>
      <c r="BMT1533" s="4"/>
      <c r="BMU1533" s="6"/>
      <c r="BMV1533" s="4"/>
      <c r="BMW1533" s="6"/>
      <c r="BMX1533" s="4"/>
      <c r="BMY1533" s="6"/>
      <c r="BMZ1533" s="4"/>
      <c r="BNA1533" s="6"/>
      <c r="BNB1533" s="4"/>
      <c r="BNC1533" s="6"/>
      <c r="BND1533" s="4"/>
      <c r="BNE1533" s="6"/>
      <c r="BNF1533" s="4"/>
      <c r="BNG1533" s="6"/>
      <c r="BNH1533" s="4"/>
      <c r="BNI1533" s="6"/>
      <c r="BNJ1533" s="4"/>
      <c r="BNK1533" s="6"/>
      <c r="BNL1533" s="4"/>
      <c r="BNM1533" s="6"/>
      <c r="BNN1533" s="4"/>
      <c r="BNO1533" s="6"/>
      <c r="BNP1533" s="4"/>
      <c r="BNQ1533" s="6"/>
      <c r="BNR1533" s="4"/>
      <c r="BNS1533" s="6"/>
      <c r="BNT1533" s="4"/>
      <c r="BNU1533" s="6"/>
      <c r="BNV1533" s="4"/>
      <c r="BNW1533" s="6"/>
      <c r="BNX1533" s="4"/>
      <c r="BNY1533" s="6"/>
      <c r="BNZ1533" s="4"/>
      <c r="BOA1533" s="6"/>
      <c r="BOB1533" s="4"/>
      <c r="BOC1533" s="6"/>
      <c r="BOD1533" s="4"/>
      <c r="BOE1533" s="6"/>
      <c r="BOF1533" s="4"/>
      <c r="BOG1533" s="6"/>
      <c r="BOH1533" s="4"/>
      <c r="BOI1533" s="6"/>
      <c r="BOJ1533" s="4"/>
      <c r="BOK1533" s="6"/>
      <c r="BOL1533" s="4"/>
      <c r="BOM1533" s="6"/>
      <c r="BON1533" s="4"/>
      <c r="BOO1533" s="6"/>
      <c r="BOP1533" s="4"/>
      <c r="BOQ1533" s="6"/>
      <c r="BOR1533" s="4"/>
      <c r="BOS1533" s="6"/>
      <c r="BOT1533" s="4"/>
      <c r="BOU1533" s="6"/>
      <c r="BOV1533" s="4"/>
      <c r="BOW1533" s="6"/>
      <c r="BOX1533" s="4"/>
      <c r="BOY1533" s="6"/>
      <c r="BOZ1533" s="4"/>
      <c r="BPA1533" s="6"/>
      <c r="BPB1533" s="4"/>
      <c r="BPC1533" s="6"/>
      <c r="BPD1533" s="4"/>
      <c r="BPE1533" s="6"/>
      <c r="BPF1533" s="4"/>
      <c r="BPG1533" s="6"/>
      <c r="BPH1533" s="4"/>
      <c r="BPI1533" s="6"/>
      <c r="BPJ1533" s="4"/>
      <c r="BPK1533" s="6"/>
      <c r="BPL1533" s="4"/>
      <c r="BPM1533" s="6"/>
      <c r="BPN1533" s="4"/>
      <c r="BPO1533" s="6"/>
      <c r="BPP1533" s="4"/>
      <c r="BPQ1533" s="6"/>
      <c r="BPR1533" s="4"/>
      <c r="BPS1533" s="6"/>
      <c r="BPT1533" s="4"/>
      <c r="BPU1533" s="6"/>
      <c r="BPV1533" s="4"/>
      <c r="BPW1533" s="6"/>
      <c r="BPX1533" s="4"/>
      <c r="BPY1533" s="6"/>
      <c r="BPZ1533" s="4"/>
      <c r="BQA1533" s="6"/>
      <c r="BQB1533" s="4"/>
      <c r="BQC1533" s="6"/>
      <c r="BQD1533" s="4"/>
      <c r="BQE1533" s="6"/>
      <c r="BQF1533" s="4"/>
      <c r="BQG1533" s="6"/>
      <c r="BQH1533" s="4"/>
      <c r="BQI1533" s="6"/>
      <c r="BQJ1533" s="4"/>
      <c r="BQK1533" s="6"/>
      <c r="BQL1533" s="4"/>
      <c r="BQM1533" s="6"/>
      <c r="BQN1533" s="4"/>
      <c r="BQO1533" s="6"/>
      <c r="BQP1533" s="4"/>
      <c r="BQQ1533" s="6"/>
      <c r="BQR1533" s="4"/>
      <c r="BQS1533" s="6"/>
      <c r="BQT1533" s="4"/>
      <c r="BQU1533" s="6"/>
      <c r="BQV1533" s="4"/>
      <c r="BQW1533" s="6"/>
      <c r="BQX1533" s="4"/>
      <c r="BQY1533" s="6"/>
      <c r="BQZ1533" s="4"/>
      <c r="BRA1533" s="6"/>
      <c r="BRB1533" s="4"/>
      <c r="BRC1533" s="6"/>
      <c r="BRD1533" s="4"/>
      <c r="BRE1533" s="6"/>
      <c r="BRF1533" s="4"/>
      <c r="BRG1533" s="6"/>
      <c r="BRH1533" s="4"/>
      <c r="BRI1533" s="6"/>
      <c r="BRJ1533" s="4"/>
      <c r="BRK1533" s="6"/>
      <c r="BRL1533" s="4"/>
      <c r="BRM1533" s="6"/>
      <c r="BRN1533" s="4"/>
      <c r="BRO1533" s="6"/>
      <c r="BRP1533" s="4"/>
      <c r="BRQ1533" s="6"/>
      <c r="BRR1533" s="4"/>
      <c r="BRS1533" s="6"/>
      <c r="BRT1533" s="4"/>
      <c r="BRU1533" s="6"/>
      <c r="BRV1533" s="4"/>
      <c r="BRW1533" s="6"/>
      <c r="BRX1533" s="4"/>
      <c r="BRY1533" s="6"/>
      <c r="BRZ1533" s="4"/>
      <c r="BSA1533" s="6"/>
      <c r="BSB1533" s="4"/>
      <c r="BSC1533" s="6"/>
      <c r="BSD1533" s="4"/>
      <c r="BSE1533" s="6"/>
      <c r="BSF1533" s="4"/>
      <c r="BSG1533" s="6"/>
      <c r="BSH1533" s="4"/>
      <c r="BSI1533" s="6"/>
      <c r="BSJ1533" s="4"/>
      <c r="BSK1533" s="6"/>
      <c r="BSL1533" s="4"/>
      <c r="BSM1533" s="6"/>
      <c r="BSN1533" s="4"/>
      <c r="BSO1533" s="6"/>
      <c r="BSP1533" s="4"/>
      <c r="BSQ1533" s="6"/>
      <c r="BSR1533" s="4"/>
      <c r="BSS1533" s="6"/>
      <c r="BST1533" s="4"/>
      <c r="BSU1533" s="6"/>
      <c r="BSV1533" s="4"/>
      <c r="BSW1533" s="6"/>
      <c r="BSX1533" s="4"/>
      <c r="BSY1533" s="6"/>
      <c r="BSZ1533" s="4"/>
      <c r="BTA1533" s="6"/>
      <c r="BTB1533" s="4"/>
      <c r="BTC1533" s="6"/>
      <c r="BTD1533" s="4"/>
      <c r="BTE1533" s="6"/>
      <c r="BTF1533" s="4"/>
      <c r="BTG1533" s="6"/>
      <c r="BTH1533" s="4"/>
      <c r="BTI1533" s="6"/>
      <c r="BTJ1533" s="4"/>
      <c r="BTK1533" s="6"/>
      <c r="BTL1533" s="4"/>
      <c r="BTM1533" s="6"/>
      <c r="BTN1533" s="4"/>
      <c r="BTO1533" s="6"/>
      <c r="BTP1533" s="4"/>
      <c r="BTQ1533" s="6"/>
      <c r="BTR1533" s="4"/>
      <c r="BTS1533" s="6"/>
      <c r="BTT1533" s="4"/>
      <c r="BTU1533" s="6"/>
      <c r="BTV1533" s="4"/>
      <c r="BTW1533" s="6"/>
      <c r="BTX1533" s="4"/>
      <c r="BTY1533" s="6"/>
      <c r="BTZ1533" s="4"/>
      <c r="BUA1533" s="6"/>
      <c r="BUB1533" s="4"/>
      <c r="BUC1533" s="6"/>
      <c r="BUD1533" s="4"/>
      <c r="BUE1533" s="6"/>
      <c r="BUF1533" s="4"/>
      <c r="BUG1533" s="6"/>
      <c r="BUH1533" s="4"/>
      <c r="BUI1533" s="6"/>
      <c r="BUJ1533" s="4"/>
      <c r="BUK1533" s="6"/>
      <c r="BUL1533" s="4"/>
      <c r="BUM1533" s="6"/>
      <c r="BUN1533" s="4"/>
      <c r="BUO1533" s="6"/>
      <c r="BUP1533" s="4"/>
      <c r="BUQ1533" s="6"/>
      <c r="BUR1533" s="4"/>
      <c r="BUS1533" s="6"/>
      <c r="BUT1533" s="4"/>
      <c r="BUU1533" s="6"/>
      <c r="BUV1533" s="4"/>
      <c r="BUW1533" s="6"/>
      <c r="BUX1533" s="4"/>
      <c r="BUY1533" s="6"/>
      <c r="BUZ1533" s="4"/>
      <c r="BVA1533" s="6"/>
      <c r="BVB1533" s="4"/>
      <c r="BVC1533" s="6"/>
      <c r="BVD1533" s="4"/>
      <c r="BVE1533" s="6"/>
      <c r="BVF1533" s="4"/>
      <c r="BVG1533" s="6"/>
      <c r="BVH1533" s="4"/>
      <c r="BVI1533" s="6"/>
      <c r="BVJ1533" s="4"/>
      <c r="BVK1533" s="6"/>
      <c r="BVL1533" s="4"/>
      <c r="BVM1533" s="6"/>
      <c r="BVN1533" s="4"/>
      <c r="BVO1533" s="6"/>
      <c r="BVP1533" s="4"/>
      <c r="BVQ1533" s="6"/>
      <c r="BVR1533" s="4"/>
      <c r="BVS1533" s="6"/>
      <c r="BVT1533" s="4"/>
      <c r="BVU1533" s="6"/>
      <c r="BVV1533" s="4"/>
      <c r="BVW1533" s="6"/>
      <c r="BVX1533" s="4"/>
      <c r="BVY1533" s="6"/>
      <c r="BVZ1533" s="4"/>
      <c r="BWA1533" s="6"/>
      <c r="BWB1533" s="4"/>
      <c r="BWC1533" s="6"/>
      <c r="BWD1533" s="4"/>
      <c r="BWE1533" s="6"/>
      <c r="BWF1533" s="4"/>
      <c r="BWG1533" s="6"/>
      <c r="BWH1533" s="4"/>
      <c r="BWI1533" s="6"/>
      <c r="BWJ1533" s="4"/>
      <c r="BWK1533" s="6"/>
      <c r="BWL1533" s="4"/>
      <c r="BWM1533" s="6"/>
      <c r="BWN1533" s="4"/>
      <c r="BWO1533" s="6"/>
      <c r="BWP1533" s="4"/>
      <c r="BWQ1533" s="6"/>
      <c r="BWR1533" s="4"/>
      <c r="BWS1533" s="6"/>
      <c r="BWT1533" s="4"/>
      <c r="BWU1533" s="6"/>
      <c r="BWV1533" s="4"/>
      <c r="BWW1533" s="6"/>
      <c r="BWX1533" s="4"/>
      <c r="BWY1533" s="6"/>
      <c r="BWZ1533" s="4"/>
      <c r="BXA1533" s="6"/>
      <c r="BXB1533" s="4"/>
      <c r="BXC1533" s="6"/>
      <c r="BXD1533" s="4"/>
      <c r="BXE1533" s="6"/>
      <c r="BXF1533" s="4"/>
      <c r="BXG1533" s="6"/>
      <c r="BXH1533" s="4"/>
      <c r="BXI1533" s="6"/>
      <c r="BXJ1533" s="4"/>
      <c r="BXK1533" s="6"/>
      <c r="BXL1533" s="4"/>
      <c r="BXM1533" s="6"/>
      <c r="BXN1533" s="4"/>
      <c r="BXO1533" s="6"/>
      <c r="BXP1533" s="4"/>
      <c r="BXQ1533" s="6"/>
      <c r="BXR1533" s="4"/>
      <c r="BXS1533" s="6"/>
      <c r="BXT1533" s="4"/>
      <c r="BXU1533" s="6"/>
      <c r="BXV1533" s="4"/>
      <c r="BXW1533" s="6"/>
      <c r="BXX1533" s="4"/>
      <c r="BXY1533" s="6"/>
      <c r="BXZ1533" s="4"/>
      <c r="BYA1533" s="6"/>
      <c r="BYB1533" s="4"/>
      <c r="BYC1533" s="6"/>
      <c r="BYD1533" s="4"/>
      <c r="BYE1533" s="6"/>
      <c r="BYF1533" s="4"/>
      <c r="BYG1533" s="6"/>
      <c r="BYH1533" s="4"/>
      <c r="BYI1533" s="6"/>
      <c r="BYJ1533" s="4"/>
      <c r="BYK1533" s="6"/>
      <c r="BYL1533" s="4"/>
      <c r="BYM1533" s="6"/>
      <c r="BYN1533" s="4"/>
      <c r="BYO1533" s="6"/>
      <c r="BYP1533" s="4"/>
      <c r="BYQ1533" s="6"/>
      <c r="BYR1533" s="4"/>
      <c r="BYS1533" s="6"/>
      <c r="BYT1533" s="4"/>
      <c r="BYU1533" s="6"/>
      <c r="BYV1533" s="4"/>
      <c r="BYW1533" s="6"/>
      <c r="BYX1533" s="4"/>
      <c r="BYY1533" s="6"/>
      <c r="BYZ1533" s="4"/>
      <c r="BZA1533" s="6"/>
      <c r="BZB1533" s="4"/>
      <c r="BZC1533" s="6"/>
      <c r="BZD1533" s="4"/>
      <c r="BZE1533" s="6"/>
      <c r="BZF1533" s="4"/>
      <c r="BZG1533" s="6"/>
      <c r="BZH1533" s="4"/>
      <c r="BZI1533" s="6"/>
      <c r="BZJ1533" s="4"/>
      <c r="BZK1533" s="6"/>
      <c r="BZL1533" s="4"/>
      <c r="BZM1533" s="6"/>
      <c r="BZN1533" s="4"/>
      <c r="BZO1533" s="6"/>
      <c r="BZP1533" s="4"/>
      <c r="BZQ1533" s="6"/>
      <c r="BZR1533" s="4"/>
      <c r="BZS1533" s="6"/>
      <c r="BZT1533" s="4"/>
      <c r="BZU1533" s="6"/>
      <c r="BZV1533" s="4"/>
      <c r="BZW1533" s="6"/>
      <c r="BZX1533" s="4"/>
      <c r="BZY1533" s="6"/>
      <c r="BZZ1533" s="4"/>
      <c r="CAA1533" s="6"/>
      <c r="CAB1533" s="4"/>
      <c r="CAC1533" s="6"/>
      <c r="CAD1533" s="4"/>
      <c r="CAE1533" s="6"/>
      <c r="CAF1533" s="4"/>
      <c r="CAG1533" s="6"/>
      <c r="CAH1533" s="4"/>
      <c r="CAI1533" s="6"/>
      <c r="CAJ1533" s="4"/>
      <c r="CAK1533" s="6"/>
      <c r="CAL1533" s="4"/>
      <c r="CAM1533" s="6"/>
      <c r="CAN1533" s="4"/>
      <c r="CAO1533" s="6"/>
      <c r="CAP1533" s="4"/>
      <c r="CAQ1533" s="6"/>
      <c r="CAR1533" s="4"/>
      <c r="CAS1533" s="6"/>
      <c r="CAT1533" s="4"/>
      <c r="CAU1533" s="6"/>
      <c r="CAV1533" s="4"/>
      <c r="CAW1533" s="6"/>
      <c r="CAX1533" s="4"/>
      <c r="CAY1533" s="6"/>
      <c r="CAZ1533" s="4"/>
      <c r="CBA1533" s="6"/>
      <c r="CBB1533" s="4"/>
      <c r="CBC1533" s="6"/>
      <c r="CBD1533" s="4"/>
      <c r="CBE1533" s="6"/>
      <c r="CBF1533" s="4"/>
      <c r="CBG1533" s="6"/>
      <c r="CBH1533" s="4"/>
      <c r="CBI1533" s="6"/>
      <c r="CBJ1533" s="4"/>
      <c r="CBK1533" s="6"/>
      <c r="CBL1533" s="4"/>
      <c r="CBM1533" s="6"/>
      <c r="CBN1533" s="4"/>
      <c r="CBO1533" s="6"/>
      <c r="CBP1533" s="4"/>
      <c r="CBQ1533" s="6"/>
      <c r="CBR1533" s="4"/>
      <c r="CBS1533" s="6"/>
      <c r="CBT1533" s="4"/>
      <c r="CBU1533" s="6"/>
      <c r="CBV1533" s="4"/>
      <c r="CBW1533" s="6"/>
      <c r="CBX1533" s="4"/>
      <c r="CBY1533" s="6"/>
      <c r="CBZ1533" s="4"/>
      <c r="CCA1533" s="6"/>
      <c r="CCB1533" s="4"/>
      <c r="CCC1533" s="6"/>
      <c r="CCD1533" s="4"/>
      <c r="CCE1533" s="6"/>
      <c r="CCF1533" s="4"/>
      <c r="CCG1533" s="6"/>
      <c r="CCH1533" s="4"/>
      <c r="CCI1533" s="6"/>
      <c r="CCJ1533" s="4"/>
      <c r="CCK1533" s="6"/>
      <c r="CCL1533" s="4"/>
      <c r="CCM1533" s="6"/>
      <c r="CCN1533" s="4"/>
      <c r="CCO1533" s="6"/>
      <c r="CCP1533" s="4"/>
      <c r="CCQ1533" s="6"/>
      <c r="CCR1533" s="4"/>
      <c r="CCS1533" s="6"/>
      <c r="CCT1533" s="4"/>
      <c r="CCU1533" s="6"/>
      <c r="CCV1533" s="4"/>
      <c r="CCW1533" s="6"/>
      <c r="CCX1533" s="4"/>
      <c r="CCY1533" s="6"/>
      <c r="CCZ1533" s="4"/>
      <c r="CDA1533" s="6"/>
      <c r="CDB1533" s="4"/>
      <c r="CDC1533" s="6"/>
      <c r="CDD1533" s="4"/>
      <c r="CDE1533" s="6"/>
      <c r="CDF1533" s="4"/>
      <c r="CDG1533" s="6"/>
      <c r="CDH1533" s="4"/>
      <c r="CDI1533" s="6"/>
      <c r="CDJ1533" s="4"/>
      <c r="CDK1533" s="6"/>
      <c r="CDL1533" s="4"/>
      <c r="CDM1533" s="6"/>
      <c r="CDN1533" s="4"/>
      <c r="CDO1533" s="6"/>
      <c r="CDP1533" s="4"/>
      <c r="CDQ1533" s="6"/>
      <c r="CDR1533" s="4"/>
      <c r="CDS1533" s="6"/>
      <c r="CDT1533" s="4"/>
      <c r="CDU1533" s="6"/>
      <c r="CDV1533" s="4"/>
      <c r="CDW1533" s="6"/>
      <c r="CDX1533" s="4"/>
      <c r="CDY1533" s="6"/>
      <c r="CDZ1533" s="4"/>
      <c r="CEA1533" s="6"/>
      <c r="CEB1533" s="4"/>
      <c r="CEC1533" s="6"/>
      <c r="CED1533" s="4"/>
      <c r="CEE1533" s="6"/>
      <c r="CEF1533" s="4"/>
      <c r="CEG1533" s="6"/>
      <c r="CEH1533" s="4"/>
      <c r="CEI1533" s="6"/>
      <c r="CEJ1533" s="4"/>
      <c r="CEK1533" s="6"/>
      <c r="CEL1533" s="4"/>
      <c r="CEM1533" s="6"/>
      <c r="CEN1533" s="4"/>
      <c r="CEO1533" s="6"/>
      <c r="CEP1533" s="4"/>
      <c r="CEQ1533" s="6"/>
      <c r="CER1533" s="4"/>
      <c r="CES1533" s="6"/>
      <c r="CET1533" s="4"/>
      <c r="CEU1533" s="6"/>
      <c r="CEV1533" s="4"/>
      <c r="CEW1533" s="6"/>
      <c r="CEX1533" s="4"/>
      <c r="CEY1533" s="6"/>
      <c r="CEZ1533" s="4"/>
      <c r="CFA1533" s="6"/>
      <c r="CFB1533" s="4"/>
      <c r="CFC1533" s="6"/>
      <c r="CFD1533" s="4"/>
      <c r="CFE1533" s="6"/>
      <c r="CFF1533" s="4"/>
      <c r="CFG1533" s="6"/>
      <c r="CFH1533" s="4"/>
      <c r="CFI1533" s="6"/>
      <c r="CFJ1533" s="4"/>
      <c r="CFK1533" s="6"/>
      <c r="CFL1533" s="4"/>
      <c r="CFM1533" s="6"/>
      <c r="CFN1533" s="4"/>
      <c r="CFO1533" s="6"/>
      <c r="CFP1533" s="4"/>
      <c r="CFQ1533" s="6"/>
      <c r="CFR1533" s="4"/>
      <c r="CFS1533" s="6"/>
      <c r="CFT1533" s="4"/>
      <c r="CFU1533" s="6"/>
      <c r="CFV1533" s="4"/>
      <c r="CFW1533" s="6"/>
      <c r="CFX1533" s="4"/>
      <c r="CFY1533" s="6"/>
      <c r="CFZ1533" s="4"/>
      <c r="CGA1533" s="6"/>
      <c r="CGB1533" s="4"/>
      <c r="CGC1533" s="6"/>
      <c r="CGD1533" s="4"/>
      <c r="CGE1533" s="6"/>
      <c r="CGF1533" s="4"/>
      <c r="CGG1533" s="6"/>
      <c r="CGH1533" s="4"/>
      <c r="CGI1533" s="6"/>
      <c r="CGJ1533" s="4"/>
      <c r="CGK1533" s="6"/>
      <c r="CGL1533" s="4"/>
      <c r="CGM1533" s="6"/>
      <c r="CGN1533" s="4"/>
      <c r="CGO1533" s="6"/>
      <c r="CGP1533" s="4"/>
      <c r="CGQ1533" s="6"/>
      <c r="CGR1533" s="4"/>
      <c r="CGS1533" s="6"/>
      <c r="CGT1533" s="4"/>
      <c r="CGU1533" s="6"/>
      <c r="CGV1533" s="4"/>
      <c r="CGW1533" s="6"/>
      <c r="CGX1533" s="4"/>
      <c r="CGY1533" s="6"/>
      <c r="CGZ1533" s="4"/>
      <c r="CHA1533" s="6"/>
      <c r="CHB1533" s="4"/>
      <c r="CHC1533" s="6"/>
      <c r="CHD1533" s="4"/>
      <c r="CHE1533" s="6"/>
      <c r="CHF1533" s="4"/>
      <c r="CHG1533" s="6"/>
      <c r="CHH1533" s="4"/>
      <c r="CHI1533" s="6"/>
      <c r="CHJ1533" s="4"/>
      <c r="CHK1533" s="6"/>
      <c r="CHL1533" s="4"/>
      <c r="CHM1533" s="6"/>
      <c r="CHN1533" s="4"/>
      <c r="CHO1533" s="6"/>
      <c r="CHP1533" s="4"/>
      <c r="CHQ1533" s="6"/>
      <c r="CHR1533" s="4"/>
      <c r="CHS1533" s="6"/>
      <c r="CHT1533" s="4"/>
      <c r="CHU1533" s="6"/>
      <c r="CHV1533" s="4"/>
      <c r="CHW1533" s="6"/>
      <c r="CHX1533" s="4"/>
      <c r="CHY1533" s="6"/>
      <c r="CHZ1533" s="4"/>
      <c r="CIA1533" s="6"/>
      <c r="CIB1533" s="4"/>
      <c r="CIC1533" s="6"/>
      <c r="CID1533" s="4"/>
      <c r="CIE1533" s="6"/>
      <c r="CIF1533" s="4"/>
      <c r="CIG1533" s="6"/>
      <c r="CIH1533" s="4"/>
      <c r="CII1533" s="6"/>
      <c r="CIJ1533" s="4"/>
      <c r="CIK1533" s="6"/>
      <c r="CIL1533" s="4"/>
      <c r="CIM1533" s="6"/>
      <c r="CIN1533" s="4"/>
      <c r="CIO1533" s="6"/>
      <c r="CIP1533" s="4"/>
      <c r="CIQ1533" s="6"/>
      <c r="CIR1533" s="4"/>
      <c r="CIS1533" s="6"/>
      <c r="CIT1533" s="4"/>
      <c r="CIU1533" s="6"/>
      <c r="CIV1533" s="4"/>
      <c r="CIW1533" s="6"/>
      <c r="CIX1533" s="4"/>
      <c r="CIY1533" s="6"/>
      <c r="CIZ1533" s="4"/>
      <c r="CJA1533" s="6"/>
      <c r="CJB1533" s="4"/>
      <c r="CJC1533" s="6"/>
      <c r="CJD1533" s="4"/>
      <c r="CJE1533" s="6"/>
      <c r="CJF1533" s="4"/>
      <c r="CJG1533" s="6"/>
      <c r="CJH1533" s="4"/>
      <c r="CJI1533" s="6"/>
      <c r="CJJ1533" s="4"/>
      <c r="CJK1533" s="6"/>
      <c r="CJL1533" s="4"/>
      <c r="CJM1533" s="6"/>
      <c r="CJN1533" s="4"/>
      <c r="CJO1533" s="6"/>
      <c r="CJP1533" s="4"/>
      <c r="CJQ1533" s="6"/>
      <c r="CJR1533" s="4"/>
      <c r="CJS1533" s="6"/>
      <c r="CJT1533" s="4"/>
      <c r="CJU1533" s="6"/>
      <c r="CJV1533" s="4"/>
      <c r="CJW1533" s="6"/>
      <c r="CJX1533" s="4"/>
      <c r="CJY1533" s="6"/>
      <c r="CJZ1533" s="4"/>
      <c r="CKA1533" s="6"/>
      <c r="CKB1533" s="4"/>
      <c r="CKC1533" s="6"/>
      <c r="CKD1533" s="4"/>
      <c r="CKE1533" s="6"/>
      <c r="CKF1533" s="4"/>
      <c r="CKG1533" s="6"/>
      <c r="CKH1533" s="4"/>
      <c r="CKI1533" s="6"/>
      <c r="CKJ1533" s="4"/>
      <c r="CKK1533" s="6"/>
      <c r="CKL1533" s="4"/>
      <c r="CKM1533" s="6"/>
      <c r="CKN1533" s="4"/>
      <c r="CKO1533" s="6"/>
      <c r="CKP1533" s="4"/>
      <c r="CKQ1533" s="6"/>
      <c r="CKR1533" s="4"/>
      <c r="CKS1533" s="6"/>
      <c r="CKT1533" s="4"/>
      <c r="CKU1533" s="6"/>
      <c r="CKV1533" s="4"/>
      <c r="CKW1533" s="6"/>
      <c r="CKX1533" s="4"/>
      <c r="CKY1533" s="6"/>
      <c r="CKZ1533" s="4"/>
      <c r="CLA1533" s="6"/>
      <c r="CLB1533" s="4"/>
      <c r="CLC1533" s="6"/>
      <c r="CLD1533" s="4"/>
      <c r="CLE1533" s="6"/>
      <c r="CLF1533" s="4"/>
      <c r="CLG1533" s="6"/>
      <c r="CLH1533" s="4"/>
      <c r="CLI1533" s="6"/>
      <c r="CLJ1533" s="4"/>
      <c r="CLK1533" s="6"/>
      <c r="CLL1533" s="4"/>
      <c r="CLM1533" s="6"/>
      <c r="CLN1533" s="4"/>
      <c r="CLO1533" s="6"/>
      <c r="CLP1533" s="4"/>
      <c r="CLQ1533" s="6"/>
      <c r="CLR1533" s="4"/>
      <c r="CLS1533" s="6"/>
      <c r="CLT1533" s="4"/>
      <c r="CLU1533" s="6"/>
      <c r="CLV1533" s="4"/>
      <c r="CLW1533" s="6"/>
      <c r="CLX1533" s="4"/>
      <c r="CLY1533" s="6"/>
      <c r="CLZ1533" s="4"/>
      <c r="CMA1533" s="6"/>
      <c r="CMB1533" s="4"/>
      <c r="CMC1533" s="6"/>
      <c r="CMD1533" s="4"/>
      <c r="CME1533" s="6"/>
      <c r="CMF1533" s="4"/>
      <c r="CMG1533" s="6"/>
      <c r="CMH1533" s="4"/>
      <c r="CMI1533" s="6"/>
      <c r="CMJ1533" s="4"/>
      <c r="CMK1533" s="6"/>
      <c r="CML1533" s="4"/>
      <c r="CMM1533" s="6"/>
      <c r="CMN1533" s="4"/>
      <c r="CMO1533" s="6"/>
      <c r="CMP1533" s="4"/>
      <c r="CMQ1533" s="6"/>
      <c r="CMR1533" s="4"/>
      <c r="CMS1533" s="6"/>
      <c r="CMT1533" s="4"/>
      <c r="CMU1533" s="6"/>
      <c r="CMV1533" s="4"/>
      <c r="CMW1533" s="6"/>
      <c r="CMX1533" s="4"/>
      <c r="CMY1533" s="6"/>
      <c r="CMZ1533" s="4"/>
      <c r="CNA1533" s="6"/>
      <c r="CNB1533" s="4"/>
      <c r="CNC1533" s="6"/>
      <c r="CND1533" s="4"/>
      <c r="CNE1533" s="6"/>
      <c r="CNF1533" s="4"/>
      <c r="CNG1533" s="6"/>
      <c r="CNH1533" s="4"/>
      <c r="CNI1533" s="6"/>
      <c r="CNJ1533" s="4"/>
      <c r="CNK1533" s="6"/>
      <c r="CNL1533" s="4"/>
      <c r="CNM1533" s="6"/>
      <c r="CNN1533" s="4"/>
      <c r="CNO1533" s="6"/>
      <c r="CNP1533" s="4"/>
      <c r="CNQ1533" s="6"/>
      <c r="CNR1533" s="4"/>
      <c r="CNS1533" s="6"/>
      <c r="CNT1533" s="4"/>
      <c r="CNU1533" s="6"/>
      <c r="CNV1533" s="4"/>
      <c r="CNW1533" s="6"/>
      <c r="CNX1533" s="4"/>
      <c r="CNY1533" s="6"/>
      <c r="CNZ1533" s="4"/>
      <c r="COA1533" s="6"/>
      <c r="COB1533" s="4"/>
      <c r="COC1533" s="6"/>
      <c r="COD1533" s="4"/>
      <c r="COE1533" s="6"/>
      <c r="COF1533" s="4"/>
      <c r="COG1533" s="6"/>
      <c r="COH1533" s="4"/>
      <c r="COI1533" s="6"/>
      <c r="COJ1533" s="4"/>
      <c r="COK1533" s="6"/>
      <c r="COL1533" s="4"/>
      <c r="COM1533" s="6"/>
      <c r="CON1533" s="4"/>
      <c r="COO1533" s="6"/>
      <c r="COP1533" s="4"/>
      <c r="COQ1533" s="6"/>
      <c r="COR1533" s="4"/>
      <c r="COS1533" s="6"/>
      <c r="COT1533" s="4"/>
      <c r="COU1533" s="6"/>
      <c r="COV1533" s="4"/>
      <c r="COW1533" s="6"/>
      <c r="COX1533" s="4"/>
      <c r="COY1533" s="6"/>
      <c r="COZ1533" s="4"/>
      <c r="CPA1533" s="6"/>
      <c r="CPB1533" s="4"/>
      <c r="CPC1533" s="6"/>
      <c r="CPD1533" s="4"/>
      <c r="CPE1533" s="6"/>
      <c r="CPF1533" s="4"/>
      <c r="CPG1533" s="6"/>
      <c r="CPH1533" s="4"/>
      <c r="CPI1533" s="6"/>
      <c r="CPJ1533" s="4"/>
      <c r="CPK1533" s="6"/>
      <c r="CPL1533" s="4"/>
      <c r="CPM1533" s="6"/>
      <c r="CPN1533" s="4"/>
      <c r="CPO1533" s="6"/>
      <c r="CPP1533" s="4"/>
      <c r="CPQ1533" s="6"/>
      <c r="CPR1533" s="4"/>
      <c r="CPS1533" s="6"/>
      <c r="CPT1533" s="4"/>
      <c r="CPU1533" s="6"/>
      <c r="CPV1533" s="4"/>
      <c r="CPW1533" s="6"/>
      <c r="CPX1533" s="4"/>
      <c r="CPY1533" s="6"/>
      <c r="CPZ1533" s="4"/>
      <c r="CQA1533" s="6"/>
      <c r="CQB1533" s="4"/>
      <c r="CQC1533" s="6"/>
      <c r="CQD1533" s="4"/>
      <c r="CQE1533" s="6"/>
      <c r="CQF1533" s="4"/>
      <c r="CQG1533" s="6"/>
      <c r="CQH1533" s="4"/>
      <c r="CQI1533" s="6"/>
      <c r="CQJ1533" s="4"/>
      <c r="CQK1533" s="6"/>
      <c r="CQL1533" s="4"/>
      <c r="CQM1533" s="6"/>
      <c r="CQN1533" s="4"/>
      <c r="CQO1533" s="6"/>
      <c r="CQP1533" s="4"/>
      <c r="CQQ1533" s="6"/>
      <c r="CQR1533" s="4"/>
      <c r="CQS1533" s="6"/>
      <c r="CQT1533" s="4"/>
      <c r="CQU1533" s="6"/>
      <c r="CQV1533" s="4"/>
      <c r="CQW1533" s="6"/>
      <c r="CQX1533" s="4"/>
      <c r="CQY1533" s="6"/>
      <c r="CQZ1533" s="4"/>
      <c r="CRA1533" s="6"/>
      <c r="CRB1533" s="4"/>
      <c r="CRC1533" s="6"/>
      <c r="CRD1533" s="4"/>
      <c r="CRE1533" s="6"/>
      <c r="CRF1533" s="4"/>
      <c r="CRG1533" s="6"/>
      <c r="CRH1533" s="4"/>
      <c r="CRI1533" s="6"/>
      <c r="CRJ1533" s="4"/>
      <c r="CRK1533" s="6"/>
      <c r="CRL1533" s="4"/>
      <c r="CRM1533" s="6"/>
      <c r="CRN1533" s="4"/>
      <c r="CRO1533" s="6"/>
      <c r="CRP1533" s="4"/>
      <c r="CRQ1533" s="6"/>
      <c r="CRR1533" s="4"/>
      <c r="CRS1533" s="6"/>
      <c r="CRT1533" s="4"/>
      <c r="CRU1533" s="6"/>
      <c r="CRV1533" s="4"/>
      <c r="CRW1533" s="6"/>
      <c r="CRX1533" s="4"/>
      <c r="CRY1533" s="6"/>
      <c r="CRZ1533" s="4"/>
      <c r="CSA1533" s="6"/>
      <c r="CSB1533" s="4"/>
      <c r="CSC1533" s="6"/>
      <c r="CSD1533" s="4"/>
      <c r="CSE1533" s="6"/>
      <c r="CSF1533" s="4"/>
      <c r="CSG1533" s="6"/>
      <c r="CSH1533" s="4"/>
      <c r="CSI1533" s="6"/>
      <c r="CSJ1533" s="4"/>
      <c r="CSK1533" s="6"/>
      <c r="CSL1533" s="4"/>
      <c r="CSM1533" s="6"/>
      <c r="CSN1533" s="4"/>
      <c r="CSO1533" s="6"/>
      <c r="CSP1533" s="4"/>
      <c r="CSQ1533" s="6"/>
      <c r="CSR1533" s="4"/>
      <c r="CSS1533" s="6"/>
      <c r="CST1533" s="4"/>
      <c r="CSU1533" s="6"/>
      <c r="CSV1533" s="4"/>
      <c r="CSW1533" s="6"/>
      <c r="CSX1533" s="4"/>
      <c r="CSY1533" s="6"/>
      <c r="CSZ1533" s="4"/>
      <c r="CTA1533" s="6"/>
      <c r="CTB1533" s="4"/>
      <c r="CTC1533" s="6"/>
      <c r="CTD1533" s="4"/>
      <c r="CTE1533" s="6"/>
      <c r="CTF1533" s="4"/>
      <c r="CTG1533" s="6"/>
      <c r="CTH1533" s="4"/>
      <c r="CTI1533" s="6"/>
      <c r="CTJ1533" s="4"/>
      <c r="CTK1533" s="6"/>
      <c r="CTL1533" s="4"/>
      <c r="CTM1533" s="6"/>
      <c r="CTN1533" s="4"/>
      <c r="CTO1533" s="6"/>
      <c r="CTP1533" s="4"/>
      <c r="CTQ1533" s="6"/>
      <c r="CTR1533" s="4"/>
      <c r="CTS1533" s="6"/>
      <c r="CTT1533" s="4"/>
      <c r="CTU1533" s="6"/>
      <c r="CTV1533" s="4"/>
      <c r="CTW1533" s="6"/>
      <c r="CTX1533" s="4"/>
      <c r="CTY1533" s="6"/>
      <c r="CTZ1533" s="4"/>
      <c r="CUA1533" s="6"/>
      <c r="CUB1533" s="4"/>
      <c r="CUC1533" s="6"/>
      <c r="CUD1533" s="4"/>
      <c r="CUE1533" s="6"/>
      <c r="CUF1533" s="4"/>
      <c r="CUG1533" s="6"/>
      <c r="CUH1533" s="4"/>
      <c r="CUI1533" s="6"/>
      <c r="CUJ1533" s="4"/>
      <c r="CUK1533" s="6"/>
      <c r="CUL1533" s="4"/>
      <c r="CUM1533" s="6"/>
      <c r="CUN1533" s="4"/>
      <c r="CUO1533" s="6"/>
      <c r="CUP1533" s="4"/>
      <c r="CUQ1533" s="6"/>
      <c r="CUR1533" s="4"/>
      <c r="CUS1533" s="6"/>
      <c r="CUT1533" s="4"/>
      <c r="CUU1533" s="6"/>
      <c r="CUV1533" s="4"/>
      <c r="CUW1533" s="6"/>
      <c r="CUX1533" s="4"/>
      <c r="CUY1533" s="6"/>
      <c r="CUZ1533" s="4"/>
      <c r="CVA1533" s="6"/>
      <c r="CVB1533" s="4"/>
      <c r="CVC1533" s="6"/>
      <c r="CVD1533" s="4"/>
      <c r="CVE1533" s="6"/>
      <c r="CVF1533" s="4"/>
      <c r="CVG1533" s="6"/>
      <c r="CVH1533" s="4"/>
      <c r="CVI1533" s="6"/>
      <c r="CVJ1533" s="4"/>
      <c r="CVK1533" s="6"/>
      <c r="CVL1533" s="4"/>
      <c r="CVM1533" s="6"/>
      <c r="CVN1533" s="4"/>
      <c r="CVO1533" s="6"/>
      <c r="CVP1533" s="4"/>
      <c r="CVQ1533" s="6"/>
      <c r="CVR1533" s="4"/>
      <c r="CVS1533" s="6"/>
      <c r="CVT1533" s="4"/>
      <c r="CVU1533" s="6"/>
      <c r="CVV1533" s="4"/>
      <c r="CVW1533" s="6"/>
      <c r="CVX1533" s="4"/>
      <c r="CVY1533" s="6"/>
      <c r="CVZ1533" s="4"/>
      <c r="CWA1533" s="6"/>
      <c r="CWB1533" s="4"/>
      <c r="CWC1533" s="6"/>
      <c r="CWD1533" s="4"/>
      <c r="CWE1533" s="6"/>
      <c r="CWF1533" s="4"/>
      <c r="CWG1533" s="6"/>
      <c r="CWH1533" s="4"/>
      <c r="CWI1533" s="6"/>
      <c r="CWJ1533" s="4"/>
      <c r="CWK1533" s="6"/>
      <c r="CWL1533" s="4"/>
      <c r="CWM1533" s="6"/>
      <c r="CWN1533" s="4"/>
      <c r="CWO1533" s="6"/>
      <c r="CWP1533" s="4"/>
      <c r="CWQ1533" s="6"/>
      <c r="CWR1533" s="4"/>
      <c r="CWS1533" s="6"/>
      <c r="CWT1533" s="4"/>
      <c r="CWU1533" s="6"/>
      <c r="CWV1533" s="4"/>
      <c r="CWW1533" s="6"/>
      <c r="CWX1533" s="4"/>
      <c r="CWY1533" s="6"/>
      <c r="CWZ1533" s="4"/>
      <c r="CXA1533" s="6"/>
      <c r="CXB1533" s="4"/>
      <c r="CXC1533" s="6"/>
      <c r="CXD1533" s="4"/>
      <c r="CXE1533" s="6"/>
      <c r="CXF1533" s="4"/>
      <c r="CXG1533" s="6"/>
      <c r="CXH1533" s="4"/>
      <c r="CXI1533" s="6"/>
      <c r="CXJ1533" s="4"/>
      <c r="CXK1533" s="6"/>
      <c r="CXL1533" s="4"/>
      <c r="CXM1533" s="6"/>
      <c r="CXN1533" s="4"/>
      <c r="CXO1533" s="6"/>
      <c r="CXP1533" s="4"/>
      <c r="CXQ1533" s="6"/>
      <c r="CXR1533" s="4"/>
      <c r="CXS1533" s="6"/>
      <c r="CXT1533" s="4"/>
      <c r="CXU1533" s="6"/>
      <c r="CXV1533" s="4"/>
      <c r="CXW1533" s="6"/>
      <c r="CXX1533" s="4"/>
      <c r="CXY1533" s="6"/>
      <c r="CXZ1533" s="4"/>
      <c r="CYA1533" s="6"/>
      <c r="CYB1533" s="4"/>
      <c r="CYC1533" s="6"/>
      <c r="CYD1533" s="4"/>
      <c r="CYE1533" s="6"/>
      <c r="CYF1533" s="4"/>
      <c r="CYG1533" s="6"/>
      <c r="CYH1533" s="4"/>
      <c r="CYI1533" s="6"/>
      <c r="CYJ1533" s="4"/>
      <c r="CYK1533" s="6"/>
      <c r="CYL1533" s="4"/>
      <c r="CYM1533" s="6"/>
      <c r="CYN1533" s="4"/>
      <c r="CYO1533" s="6"/>
      <c r="CYP1533" s="4"/>
      <c r="CYQ1533" s="6"/>
      <c r="CYR1533" s="4"/>
      <c r="CYS1533" s="6"/>
      <c r="CYT1533" s="4"/>
      <c r="CYU1533" s="6"/>
      <c r="CYV1533" s="4"/>
      <c r="CYW1533" s="6"/>
      <c r="CYX1533" s="4"/>
      <c r="CYY1533" s="6"/>
      <c r="CYZ1533" s="4"/>
      <c r="CZA1533" s="6"/>
      <c r="CZB1533" s="4"/>
      <c r="CZC1533" s="6"/>
      <c r="CZD1533" s="4"/>
      <c r="CZE1533" s="6"/>
      <c r="CZF1533" s="4"/>
      <c r="CZG1533" s="6"/>
      <c r="CZH1533" s="4"/>
      <c r="CZI1533" s="6"/>
      <c r="CZJ1533" s="4"/>
      <c r="CZK1533" s="6"/>
      <c r="CZL1533" s="4"/>
      <c r="CZM1533" s="6"/>
      <c r="CZN1533" s="4"/>
      <c r="CZO1533" s="6"/>
      <c r="CZP1533" s="4"/>
      <c r="CZQ1533" s="6"/>
      <c r="CZR1533" s="4"/>
      <c r="CZS1533" s="6"/>
      <c r="CZT1533" s="4"/>
      <c r="CZU1533" s="6"/>
      <c r="CZV1533" s="4"/>
      <c r="CZW1533" s="6"/>
      <c r="CZX1533" s="4"/>
      <c r="CZY1533" s="6"/>
      <c r="CZZ1533" s="4"/>
      <c r="DAA1533" s="6"/>
      <c r="DAB1533" s="4"/>
      <c r="DAC1533" s="6"/>
      <c r="DAD1533" s="4"/>
      <c r="DAE1533" s="6"/>
      <c r="DAF1533" s="4"/>
      <c r="DAG1533" s="6"/>
      <c r="DAH1533" s="4"/>
      <c r="DAI1533" s="6"/>
      <c r="DAJ1533" s="4"/>
      <c r="DAK1533" s="6"/>
      <c r="DAL1533" s="4"/>
      <c r="DAM1533" s="6"/>
      <c r="DAN1533" s="4"/>
      <c r="DAO1533" s="6"/>
      <c r="DAP1533" s="4"/>
      <c r="DAQ1533" s="6"/>
      <c r="DAR1533" s="4"/>
      <c r="DAS1533" s="6"/>
      <c r="DAT1533" s="4"/>
      <c r="DAU1533" s="6"/>
      <c r="DAV1533" s="4"/>
      <c r="DAW1533" s="6"/>
      <c r="DAX1533" s="4"/>
      <c r="DAY1533" s="6"/>
      <c r="DAZ1533" s="4"/>
      <c r="DBA1533" s="6"/>
      <c r="DBB1533" s="4"/>
      <c r="DBC1533" s="6"/>
      <c r="DBD1533" s="4"/>
      <c r="DBE1533" s="6"/>
      <c r="DBF1533" s="4"/>
      <c r="DBG1533" s="6"/>
      <c r="DBH1533" s="4"/>
      <c r="DBI1533" s="6"/>
      <c r="DBJ1533" s="4"/>
      <c r="DBK1533" s="6"/>
      <c r="DBL1533" s="4"/>
      <c r="DBM1533" s="6"/>
      <c r="DBN1533" s="4"/>
      <c r="DBO1533" s="6"/>
      <c r="DBP1533" s="4"/>
      <c r="DBQ1533" s="6"/>
      <c r="DBR1533" s="4"/>
      <c r="DBS1533" s="6"/>
      <c r="DBT1533" s="4"/>
      <c r="DBU1533" s="6"/>
      <c r="DBV1533" s="4"/>
      <c r="DBW1533" s="6"/>
      <c r="DBX1533" s="4"/>
      <c r="DBY1533" s="6"/>
      <c r="DBZ1533" s="4"/>
      <c r="DCA1533" s="6"/>
      <c r="DCB1533" s="4"/>
      <c r="DCC1533" s="6"/>
      <c r="DCD1533" s="4"/>
      <c r="DCE1533" s="6"/>
      <c r="DCF1533" s="4"/>
      <c r="DCG1533" s="6"/>
      <c r="DCH1533" s="4"/>
      <c r="DCI1533" s="6"/>
      <c r="DCJ1533" s="4"/>
      <c r="DCK1533" s="6"/>
      <c r="DCL1533" s="4"/>
      <c r="DCM1533" s="6"/>
      <c r="DCN1533" s="4"/>
      <c r="DCO1533" s="6"/>
      <c r="DCP1533" s="4"/>
      <c r="DCQ1533" s="6"/>
      <c r="DCR1533" s="4"/>
      <c r="DCS1533" s="6"/>
      <c r="DCT1533" s="4"/>
      <c r="DCU1533" s="6"/>
      <c r="DCV1533" s="4"/>
      <c r="DCW1533" s="6"/>
      <c r="DCX1533" s="4"/>
      <c r="DCY1533" s="6"/>
      <c r="DCZ1533" s="4"/>
      <c r="DDA1533" s="6"/>
      <c r="DDB1533" s="4"/>
      <c r="DDC1533" s="6"/>
      <c r="DDD1533" s="4"/>
      <c r="DDE1533" s="6"/>
      <c r="DDF1533" s="4"/>
      <c r="DDG1533" s="6"/>
      <c r="DDH1533" s="4"/>
      <c r="DDI1533" s="6"/>
      <c r="DDJ1533" s="4"/>
      <c r="DDK1533" s="6"/>
      <c r="DDL1533" s="4"/>
      <c r="DDM1533" s="6"/>
      <c r="DDN1533" s="4"/>
      <c r="DDO1533" s="6"/>
      <c r="DDP1533" s="4"/>
      <c r="DDQ1533" s="6"/>
      <c r="DDR1533" s="4"/>
      <c r="DDS1533" s="6"/>
      <c r="DDT1533" s="4"/>
      <c r="DDU1533" s="6"/>
      <c r="DDV1533" s="4"/>
      <c r="DDW1533" s="6"/>
      <c r="DDX1533" s="4"/>
      <c r="DDY1533" s="6"/>
      <c r="DDZ1533" s="4"/>
      <c r="DEA1533" s="6"/>
      <c r="DEB1533" s="4"/>
      <c r="DEC1533" s="6"/>
      <c r="DED1533" s="4"/>
      <c r="DEE1533" s="6"/>
      <c r="DEF1533" s="4"/>
      <c r="DEG1533" s="6"/>
      <c r="DEH1533" s="4"/>
      <c r="DEI1533" s="6"/>
      <c r="DEJ1533" s="4"/>
      <c r="DEK1533" s="6"/>
      <c r="DEL1533" s="4"/>
      <c r="DEM1533" s="6"/>
      <c r="DEN1533" s="4"/>
      <c r="DEO1533" s="6"/>
      <c r="DEP1533" s="4"/>
      <c r="DEQ1533" s="6"/>
      <c r="DER1533" s="4"/>
      <c r="DES1533" s="6"/>
      <c r="DET1533" s="4"/>
      <c r="DEU1533" s="6"/>
      <c r="DEV1533" s="4"/>
      <c r="DEW1533" s="6"/>
      <c r="DEX1533" s="4"/>
      <c r="DEY1533" s="6"/>
      <c r="DEZ1533" s="4"/>
      <c r="DFA1533" s="6"/>
      <c r="DFB1533" s="4"/>
      <c r="DFC1533" s="6"/>
      <c r="DFD1533" s="4"/>
      <c r="DFE1533" s="6"/>
      <c r="DFF1533" s="4"/>
      <c r="DFG1533" s="6"/>
      <c r="DFH1533" s="4"/>
      <c r="DFI1533" s="6"/>
      <c r="DFJ1533" s="4"/>
      <c r="DFK1533" s="6"/>
      <c r="DFL1533" s="4"/>
      <c r="DFM1533" s="6"/>
      <c r="DFN1533" s="4"/>
      <c r="DFO1533" s="6"/>
      <c r="DFP1533" s="4"/>
      <c r="DFQ1533" s="6"/>
      <c r="DFR1533" s="4"/>
      <c r="DFS1533" s="6"/>
      <c r="DFT1533" s="4"/>
      <c r="DFU1533" s="6"/>
      <c r="DFV1533" s="4"/>
      <c r="DFW1533" s="6"/>
      <c r="DFX1533" s="4"/>
      <c r="DFY1533" s="6"/>
      <c r="DFZ1533" s="4"/>
      <c r="DGA1533" s="6"/>
      <c r="DGB1533" s="4"/>
      <c r="DGC1533" s="6"/>
      <c r="DGD1533" s="4"/>
      <c r="DGE1533" s="6"/>
      <c r="DGF1533" s="4"/>
      <c r="DGG1533" s="6"/>
      <c r="DGH1533" s="4"/>
      <c r="DGI1533" s="6"/>
      <c r="DGJ1533" s="4"/>
      <c r="DGK1533" s="6"/>
      <c r="DGL1533" s="4"/>
      <c r="DGM1533" s="6"/>
      <c r="DGN1533" s="4"/>
      <c r="DGO1533" s="6"/>
      <c r="DGP1533" s="4"/>
      <c r="DGQ1533" s="6"/>
      <c r="DGR1533" s="4"/>
      <c r="DGS1533" s="6"/>
      <c r="DGT1533" s="4"/>
      <c r="DGU1533" s="6"/>
      <c r="DGV1533" s="4"/>
      <c r="DGW1533" s="6"/>
      <c r="DGX1533" s="4"/>
      <c r="DGY1533" s="6"/>
      <c r="DGZ1533" s="4"/>
      <c r="DHA1533" s="6"/>
      <c r="DHB1533" s="4"/>
      <c r="DHC1533" s="6"/>
      <c r="DHD1533" s="4"/>
      <c r="DHE1533" s="6"/>
      <c r="DHF1533" s="4"/>
      <c r="DHG1533" s="6"/>
      <c r="DHH1533" s="4"/>
      <c r="DHI1533" s="6"/>
      <c r="DHJ1533" s="4"/>
      <c r="DHK1533" s="6"/>
      <c r="DHL1533" s="4"/>
      <c r="DHM1533" s="6"/>
      <c r="DHN1533" s="4"/>
      <c r="DHO1533" s="6"/>
      <c r="DHP1533" s="4"/>
      <c r="DHQ1533" s="6"/>
      <c r="DHR1533" s="4"/>
      <c r="DHS1533" s="6"/>
      <c r="DHT1533" s="4"/>
      <c r="DHU1533" s="6"/>
      <c r="DHV1533" s="4"/>
      <c r="DHW1533" s="6"/>
      <c r="DHX1533" s="4"/>
      <c r="DHY1533" s="6"/>
      <c r="DHZ1533" s="4"/>
      <c r="DIA1533" s="6"/>
      <c r="DIB1533" s="4"/>
      <c r="DIC1533" s="6"/>
      <c r="DID1533" s="4"/>
      <c r="DIE1533" s="6"/>
      <c r="DIF1533" s="4"/>
      <c r="DIG1533" s="6"/>
      <c r="DIH1533" s="4"/>
      <c r="DII1533" s="6"/>
      <c r="DIJ1533" s="4"/>
      <c r="DIK1533" s="6"/>
      <c r="DIL1533" s="4"/>
      <c r="DIM1533" s="6"/>
      <c r="DIN1533" s="4"/>
      <c r="DIO1533" s="6"/>
      <c r="DIP1533" s="4"/>
      <c r="DIQ1533" s="6"/>
      <c r="DIR1533" s="4"/>
      <c r="DIS1533" s="6"/>
      <c r="DIT1533" s="4"/>
      <c r="DIU1533" s="6"/>
      <c r="DIV1533" s="4"/>
      <c r="DIW1533" s="6"/>
      <c r="DIX1533" s="4"/>
      <c r="DIY1533" s="6"/>
      <c r="DIZ1533" s="4"/>
      <c r="DJA1533" s="6"/>
      <c r="DJB1533" s="4"/>
      <c r="DJC1533" s="6"/>
      <c r="DJD1533" s="4"/>
      <c r="DJE1533" s="6"/>
      <c r="DJF1533" s="4"/>
      <c r="DJG1533" s="6"/>
      <c r="DJH1533" s="4"/>
      <c r="DJI1533" s="6"/>
      <c r="DJJ1533" s="4"/>
      <c r="DJK1533" s="6"/>
      <c r="DJL1533" s="4"/>
      <c r="DJM1533" s="6"/>
      <c r="DJN1533" s="4"/>
      <c r="DJO1533" s="6"/>
      <c r="DJP1533" s="4"/>
      <c r="DJQ1533" s="6"/>
      <c r="DJR1533" s="4"/>
      <c r="DJS1533" s="6"/>
      <c r="DJT1533" s="4"/>
      <c r="DJU1533" s="6"/>
      <c r="DJV1533" s="4"/>
      <c r="DJW1533" s="6"/>
      <c r="DJX1533" s="4"/>
      <c r="DJY1533" s="6"/>
      <c r="DJZ1533" s="4"/>
      <c r="DKA1533" s="6"/>
      <c r="DKB1533" s="4"/>
      <c r="DKC1533" s="6"/>
      <c r="DKD1533" s="4"/>
      <c r="DKE1533" s="6"/>
      <c r="DKF1533" s="4"/>
      <c r="DKG1533" s="6"/>
      <c r="DKH1533" s="4"/>
      <c r="DKI1533" s="6"/>
      <c r="DKJ1533" s="4"/>
      <c r="DKK1533" s="6"/>
      <c r="DKL1533" s="4"/>
      <c r="DKM1533" s="6"/>
      <c r="DKN1533" s="4"/>
      <c r="DKO1533" s="6"/>
      <c r="DKP1533" s="4"/>
      <c r="DKQ1533" s="6"/>
      <c r="DKR1533" s="4"/>
      <c r="DKS1533" s="6"/>
      <c r="DKT1533" s="4"/>
      <c r="DKU1533" s="6"/>
      <c r="DKV1533" s="4"/>
      <c r="DKW1533" s="6"/>
      <c r="DKX1533" s="4"/>
      <c r="DKY1533" s="6"/>
      <c r="DKZ1533" s="4"/>
      <c r="DLA1533" s="6"/>
      <c r="DLB1533" s="4"/>
      <c r="DLC1533" s="6"/>
      <c r="DLD1533" s="4"/>
      <c r="DLE1533" s="6"/>
      <c r="DLF1533" s="4"/>
      <c r="DLG1533" s="6"/>
      <c r="DLH1533" s="4"/>
      <c r="DLI1533" s="6"/>
      <c r="DLJ1533" s="4"/>
      <c r="DLK1533" s="6"/>
      <c r="DLL1533" s="4"/>
      <c r="DLM1533" s="6"/>
      <c r="DLN1533" s="4"/>
      <c r="DLO1533" s="6"/>
      <c r="DLP1533" s="4"/>
      <c r="DLQ1533" s="6"/>
      <c r="DLR1533" s="4"/>
      <c r="DLS1533" s="6"/>
      <c r="DLT1533" s="4"/>
      <c r="DLU1533" s="6"/>
      <c r="DLV1533" s="4"/>
      <c r="DLW1533" s="6"/>
      <c r="DLX1533" s="4"/>
      <c r="DLY1533" s="6"/>
      <c r="DLZ1533" s="4"/>
      <c r="DMA1533" s="6"/>
      <c r="DMB1533" s="4"/>
      <c r="DMC1533" s="6"/>
      <c r="DMD1533" s="4"/>
      <c r="DME1533" s="6"/>
      <c r="DMF1533" s="4"/>
      <c r="DMG1533" s="6"/>
      <c r="DMH1533" s="4"/>
      <c r="DMI1533" s="6"/>
      <c r="DMJ1533" s="4"/>
      <c r="DMK1533" s="6"/>
      <c r="DML1533" s="4"/>
      <c r="DMM1533" s="6"/>
      <c r="DMN1533" s="4"/>
      <c r="DMO1533" s="6"/>
      <c r="DMP1533" s="4"/>
      <c r="DMQ1533" s="6"/>
      <c r="DMR1533" s="4"/>
      <c r="DMS1533" s="6"/>
      <c r="DMT1533" s="4"/>
      <c r="DMU1533" s="6"/>
      <c r="DMV1533" s="4"/>
      <c r="DMW1533" s="6"/>
      <c r="DMX1533" s="4"/>
      <c r="DMY1533" s="6"/>
      <c r="DMZ1533" s="4"/>
      <c r="DNA1533" s="6"/>
      <c r="DNB1533" s="4"/>
      <c r="DNC1533" s="6"/>
      <c r="DND1533" s="4"/>
      <c r="DNE1533" s="6"/>
      <c r="DNF1533" s="4"/>
      <c r="DNG1533" s="6"/>
      <c r="DNH1533" s="4"/>
      <c r="DNI1533" s="6"/>
      <c r="DNJ1533" s="4"/>
      <c r="DNK1533" s="6"/>
      <c r="DNL1533" s="4"/>
      <c r="DNM1533" s="6"/>
      <c r="DNN1533" s="4"/>
      <c r="DNO1533" s="6"/>
      <c r="DNP1533" s="4"/>
      <c r="DNQ1533" s="6"/>
      <c r="DNR1533" s="4"/>
      <c r="DNS1533" s="6"/>
      <c r="DNT1533" s="4"/>
      <c r="DNU1533" s="6"/>
      <c r="DNV1533" s="4"/>
      <c r="DNW1533" s="6"/>
      <c r="DNX1533" s="4"/>
      <c r="DNY1533" s="6"/>
      <c r="DNZ1533" s="4"/>
      <c r="DOA1533" s="6"/>
      <c r="DOB1533" s="4"/>
      <c r="DOC1533" s="6"/>
      <c r="DOD1533" s="4"/>
      <c r="DOE1533" s="6"/>
      <c r="DOF1533" s="4"/>
      <c r="DOG1533" s="6"/>
      <c r="DOH1533" s="4"/>
      <c r="DOI1533" s="6"/>
      <c r="DOJ1533" s="4"/>
      <c r="DOK1533" s="6"/>
      <c r="DOL1533" s="4"/>
      <c r="DOM1533" s="6"/>
      <c r="DON1533" s="4"/>
      <c r="DOO1533" s="6"/>
      <c r="DOP1533" s="4"/>
      <c r="DOQ1533" s="6"/>
      <c r="DOR1533" s="4"/>
      <c r="DOS1533" s="6"/>
      <c r="DOT1533" s="4"/>
      <c r="DOU1533" s="6"/>
      <c r="DOV1533" s="4"/>
      <c r="DOW1533" s="6"/>
      <c r="DOX1533" s="4"/>
      <c r="DOY1533" s="6"/>
      <c r="DOZ1533" s="4"/>
      <c r="DPA1533" s="6"/>
      <c r="DPB1533" s="4"/>
      <c r="DPC1533" s="6"/>
      <c r="DPD1533" s="4"/>
      <c r="DPE1533" s="6"/>
      <c r="DPF1533" s="4"/>
      <c r="DPG1533" s="6"/>
      <c r="DPH1533" s="4"/>
      <c r="DPI1533" s="6"/>
      <c r="DPJ1533" s="4"/>
      <c r="DPK1533" s="6"/>
      <c r="DPL1533" s="4"/>
      <c r="DPM1533" s="6"/>
      <c r="DPN1533" s="4"/>
      <c r="DPO1533" s="6"/>
      <c r="DPP1533" s="4"/>
      <c r="DPQ1533" s="6"/>
      <c r="DPR1533" s="4"/>
      <c r="DPS1533" s="6"/>
      <c r="DPT1533" s="4"/>
      <c r="DPU1533" s="6"/>
      <c r="DPV1533" s="4"/>
      <c r="DPW1533" s="6"/>
      <c r="DPX1533" s="4"/>
      <c r="DPY1533" s="6"/>
      <c r="DPZ1533" s="4"/>
      <c r="DQA1533" s="6"/>
      <c r="DQB1533" s="4"/>
      <c r="DQC1533" s="6"/>
      <c r="DQD1533" s="4"/>
      <c r="DQE1533" s="6"/>
      <c r="DQF1533" s="4"/>
      <c r="DQG1533" s="6"/>
      <c r="DQH1533" s="4"/>
      <c r="DQI1533" s="6"/>
      <c r="DQJ1533" s="4"/>
      <c r="DQK1533" s="6"/>
      <c r="DQL1533" s="4"/>
      <c r="DQM1533" s="6"/>
      <c r="DQN1533" s="4"/>
      <c r="DQO1533" s="6"/>
      <c r="DQP1533" s="4"/>
      <c r="DQQ1533" s="6"/>
      <c r="DQR1533" s="4"/>
      <c r="DQS1533" s="6"/>
      <c r="DQT1533" s="4"/>
      <c r="DQU1533" s="6"/>
      <c r="DQV1533" s="4"/>
      <c r="DQW1533" s="6"/>
      <c r="DQX1533" s="4"/>
      <c r="DQY1533" s="6"/>
      <c r="DQZ1533" s="4"/>
      <c r="DRA1533" s="6"/>
      <c r="DRB1533" s="4"/>
      <c r="DRC1533" s="6"/>
      <c r="DRD1533" s="4"/>
      <c r="DRE1533" s="6"/>
      <c r="DRF1533" s="4"/>
      <c r="DRG1533" s="6"/>
      <c r="DRH1533" s="4"/>
      <c r="DRI1533" s="6"/>
      <c r="DRJ1533" s="4"/>
      <c r="DRK1533" s="6"/>
      <c r="DRL1533" s="4"/>
      <c r="DRM1533" s="6"/>
      <c r="DRN1533" s="4"/>
      <c r="DRO1533" s="6"/>
      <c r="DRP1533" s="4"/>
      <c r="DRQ1533" s="6"/>
      <c r="DRR1533" s="4"/>
      <c r="DRS1533" s="6"/>
      <c r="DRT1533" s="4"/>
      <c r="DRU1533" s="6"/>
      <c r="DRV1533" s="4"/>
      <c r="DRW1533" s="6"/>
      <c r="DRX1533" s="4"/>
      <c r="DRY1533" s="6"/>
      <c r="DRZ1533" s="4"/>
      <c r="DSA1533" s="6"/>
      <c r="DSB1533" s="4"/>
      <c r="DSC1533" s="6"/>
      <c r="DSD1533" s="4"/>
      <c r="DSE1533" s="6"/>
      <c r="DSF1533" s="4"/>
      <c r="DSG1533" s="6"/>
      <c r="DSH1533" s="4"/>
      <c r="DSI1533" s="6"/>
      <c r="DSJ1533" s="4"/>
      <c r="DSK1533" s="6"/>
      <c r="DSL1533" s="4"/>
      <c r="DSM1533" s="6"/>
      <c r="DSN1533" s="4"/>
      <c r="DSO1533" s="6"/>
      <c r="DSP1533" s="4"/>
      <c r="DSQ1533" s="6"/>
      <c r="DSR1533" s="4"/>
      <c r="DSS1533" s="6"/>
      <c r="DST1533" s="4"/>
      <c r="DSU1533" s="6"/>
      <c r="DSV1533" s="4"/>
      <c r="DSW1533" s="6"/>
      <c r="DSX1533" s="4"/>
      <c r="DSY1533" s="6"/>
      <c r="DSZ1533" s="4"/>
      <c r="DTA1533" s="6"/>
      <c r="DTB1533" s="4"/>
      <c r="DTC1533" s="6"/>
      <c r="DTD1533" s="4"/>
      <c r="DTE1533" s="6"/>
      <c r="DTF1533" s="4"/>
      <c r="DTG1533" s="6"/>
      <c r="DTH1533" s="4"/>
      <c r="DTI1533" s="6"/>
      <c r="DTJ1533" s="4"/>
      <c r="DTK1533" s="6"/>
      <c r="DTL1533" s="4"/>
      <c r="DTM1533" s="6"/>
      <c r="DTN1533" s="4"/>
      <c r="DTO1533" s="6"/>
      <c r="DTP1533" s="4"/>
      <c r="DTQ1533" s="6"/>
      <c r="DTR1533" s="4"/>
      <c r="DTS1533" s="6"/>
      <c r="DTT1533" s="4"/>
      <c r="DTU1533" s="6"/>
      <c r="DTV1533" s="4"/>
      <c r="DTW1533" s="6"/>
      <c r="DTX1533" s="4"/>
      <c r="DTY1533" s="6"/>
      <c r="DTZ1533" s="4"/>
      <c r="DUA1533" s="6"/>
      <c r="DUB1533" s="4"/>
      <c r="DUC1533" s="6"/>
      <c r="DUD1533" s="4"/>
      <c r="DUE1533" s="6"/>
      <c r="DUF1533" s="4"/>
      <c r="DUG1533" s="6"/>
      <c r="DUH1533" s="4"/>
      <c r="DUI1533" s="6"/>
      <c r="DUJ1533" s="4"/>
      <c r="DUK1533" s="6"/>
      <c r="DUL1533" s="4"/>
      <c r="DUM1533" s="6"/>
      <c r="DUN1533" s="4"/>
      <c r="DUO1533" s="6"/>
      <c r="DUP1533" s="4"/>
      <c r="DUQ1533" s="6"/>
      <c r="DUR1533" s="4"/>
      <c r="DUS1533" s="6"/>
      <c r="DUT1533" s="4"/>
      <c r="DUU1533" s="6"/>
      <c r="DUV1533" s="4"/>
      <c r="DUW1533" s="6"/>
      <c r="DUX1533" s="4"/>
      <c r="DUY1533" s="6"/>
      <c r="DUZ1533" s="4"/>
      <c r="DVA1533" s="6"/>
      <c r="DVB1533" s="4"/>
      <c r="DVC1533" s="6"/>
      <c r="DVD1533" s="4"/>
      <c r="DVE1533" s="6"/>
      <c r="DVF1533" s="4"/>
      <c r="DVG1533" s="6"/>
      <c r="DVH1533" s="4"/>
      <c r="DVI1533" s="6"/>
      <c r="DVJ1533" s="4"/>
      <c r="DVK1533" s="6"/>
      <c r="DVL1533" s="4"/>
      <c r="DVM1533" s="6"/>
      <c r="DVN1533" s="4"/>
      <c r="DVO1533" s="6"/>
      <c r="DVP1533" s="4"/>
      <c r="DVQ1533" s="6"/>
      <c r="DVR1533" s="4"/>
      <c r="DVS1533" s="6"/>
      <c r="DVT1533" s="4"/>
      <c r="DVU1533" s="6"/>
      <c r="DVV1533" s="4"/>
      <c r="DVW1533" s="6"/>
      <c r="DVX1533" s="4"/>
      <c r="DVY1533" s="6"/>
      <c r="DVZ1533" s="4"/>
      <c r="DWA1533" s="6"/>
      <c r="DWB1533" s="4"/>
      <c r="DWC1533" s="6"/>
      <c r="DWD1533" s="4"/>
      <c r="DWE1533" s="6"/>
      <c r="DWF1533" s="4"/>
      <c r="DWG1533" s="6"/>
      <c r="DWH1533" s="4"/>
      <c r="DWI1533" s="6"/>
      <c r="DWJ1533" s="4"/>
      <c r="DWK1533" s="6"/>
      <c r="DWL1533" s="4"/>
      <c r="DWM1533" s="6"/>
      <c r="DWN1533" s="4"/>
      <c r="DWO1533" s="6"/>
      <c r="DWP1533" s="4"/>
      <c r="DWQ1533" s="6"/>
      <c r="DWR1533" s="4"/>
      <c r="DWS1533" s="6"/>
      <c r="DWT1533" s="4"/>
      <c r="DWU1533" s="6"/>
      <c r="DWV1533" s="4"/>
      <c r="DWW1533" s="6"/>
      <c r="DWX1533" s="4"/>
      <c r="DWY1533" s="6"/>
      <c r="DWZ1533" s="4"/>
      <c r="DXA1533" s="6"/>
      <c r="DXB1533" s="4"/>
      <c r="DXC1533" s="6"/>
      <c r="DXD1533" s="4"/>
      <c r="DXE1533" s="6"/>
      <c r="DXF1533" s="4"/>
      <c r="DXG1533" s="6"/>
      <c r="DXH1533" s="4"/>
      <c r="DXI1533" s="6"/>
      <c r="DXJ1533" s="4"/>
      <c r="DXK1533" s="6"/>
      <c r="DXL1533" s="4"/>
      <c r="DXM1533" s="6"/>
      <c r="DXN1533" s="4"/>
      <c r="DXO1533" s="6"/>
      <c r="DXP1533" s="4"/>
      <c r="DXQ1533" s="6"/>
      <c r="DXR1533" s="4"/>
      <c r="DXS1533" s="6"/>
      <c r="DXT1533" s="4"/>
      <c r="DXU1533" s="6"/>
      <c r="DXV1533" s="4"/>
      <c r="DXW1533" s="6"/>
      <c r="DXX1533" s="4"/>
      <c r="DXY1533" s="6"/>
      <c r="DXZ1533" s="4"/>
      <c r="DYA1533" s="6"/>
      <c r="DYB1533" s="4"/>
      <c r="DYC1533" s="6"/>
      <c r="DYD1533" s="4"/>
      <c r="DYE1533" s="6"/>
      <c r="DYF1533" s="4"/>
      <c r="DYG1533" s="6"/>
      <c r="DYH1533" s="4"/>
      <c r="DYI1533" s="6"/>
      <c r="DYJ1533" s="4"/>
      <c r="DYK1533" s="6"/>
      <c r="DYL1533" s="4"/>
      <c r="DYM1533" s="6"/>
      <c r="DYN1533" s="4"/>
      <c r="DYO1533" s="6"/>
      <c r="DYP1533" s="4"/>
      <c r="DYQ1533" s="6"/>
      <c r="DYR1533" s="4"/>
      <c r="DYS1533" s="6"/>
      <c r="DYT1533" s="4"/>
      <c r="DYU1533" s="6"/>
      <c r="DYV1533" s="4"/>
      <c r="DYW1533" s="6"/>
      <c r="DYX1533" s="4"/>
      <c r="DYY1533" s="6"/>
      <c r="DYZ1533" s="4"/>
      <c r="DZA1533" s="6"/>
      <c r="DZB1533" s="4"/>
      <c r="DZC1533" s="6"/>
      <c r="DZD1533" s="4"/>
      <c r="DZE1533" s="6"/>
      <c r="DZF1533" s="4"/>
      <c r="DZG1533" s="6"/>
      <c r="DZH1533" s="4"/>
      <c r="DZI1533" s="6"/>
      <c r="DZJ1533" s="4"/>
      <c r="DZK1533" s="6"/>
      <c r="DZL1533" s="4"/>
      <c r="DZM1533" s="6"/>
      <c r="DZN1533" s="4"/>
      <c r="DZO1533" s="6"/>
      <c r="DZP1533" s="4"/>
      <c r="DZQ1533" s="6"/>
      <c r="DZR1533" s="4"/>
      <c r="DZS1533" s="6"/>
      <c r="DZT1533" s="4"/>
      <c r="DZU1533" s="6"/>
      <c r="DZV1533" s="4"/>
      <c r="DZW1533" s="6"/>
      <c r="DZX1533" s="4"/>
      <c r="DZY1533" s="6"/>
      <c r="DZZ1533" s="4"/>
      <c r="EAA1533" s="6"/>
      <c r="EAB1533" s="4"/>
      <c r="EAC1533" s="6"/>
      <c r="EAD1533" s="4"/>
      <c r="EAE1533" s="6"/>
      <c r="EAF1533" s="4"/>
      <c r="EAG1533" s="6"/>
      <c r="EAH1533" s="4"/>
      <c r="EAI1533" s="6"/>
      <c r="EAJ1533" s="4"/>
      <c r="EAK1533" s="6"/>
      <c r="EAL1533" s="4"/>
      <c r="EAM1533" s="6"/>
      <c r="EAN1533" s="4"/>
      <c r="EAO1533" s="6"/>
      <c r="EAP1533" s="4"/>
      <c r="EAQ1533" s="6"/>
      <c r="EAR1533" s="4"/>
      <c r="EAS1533" s="6"/>
      <c r="EAT1533" s="4"/>
      <c r="EAU1533" s="6"/>
      <c r="EAV1533" s="4"/>
      <c r="EAW1533" s="6"/>
      <c r="EAX1533" s="4"/>
      <c r="EAY1533" s="6"/>
      <c r="EAZ1533" s="4"/>
      <c r="EBA1533" s="6"/>
      <c r="EBB1533" s="4"/>
      <c r="EBC1533" s="6"/>
      <c r="EBD1533" s="4"/>
      <c r="EBE1533" s="6"/>
      <c r="EBF1533" s="4"/>
      <c r="EBG1533" s="6"/>
      <c r="EBH1533" s="4"/>
      <c r="EBI1533" s="6"/>
      <c r="EBJ1533" s="4"/>
      <c r="EBK1533" s="6"/>
      <c r="EBL1533" s="4"/>
      <c r="EBM1533" s="6"/>
      <c r="EBN1533" s="4"/>
      <c r="EBO1533" s="6"/>
      <c r="EBP1533" s="4"/>
      <c r="EBQ1533" s="6"/>
      <c r="EBR1533" s="4"/>
      <c r="EBS1533" s="6"/>
      <c r="EBT1533" s="4"/>
      <c r="EBU1533" s="6"/>
      <c r="EBV1533" s="4"/>
      <c r="EBW1533" s="6"/>
      <c r="EBX1533" s="4"/>
      <c r="EBY1533" s="6"/>
      <c r="EBZ1533" s="4"/>
      <c r="ECA1533" s="6"/>
      <c r="ECB1533" s="4"/>
      <c r="ECC1533" s="6"/>
      <c r="ECD1533" s="4"/>
      <c r="ECE1533" s="6"/>
      <c r="ECF1533" s="4"/>
      <c r="ECG1533" s="6"/>
      <c r="ECH1533" s="4"/>
      <c r="ECI1533" s="6"/>
      <c r="ECJ1533" s="4"/>
      <c r="ECK1533" s="6"/>
      <c r="ECL1533" s="4"/>
      <c r="ECM1533" s="6"/>
      <c r="ECN1533" s="4"/>
      <c r="ECO1533" s="6"/>
      <c r="ECP1533" s="4"/>
      <c r="ECQ1533" s="6"/>
      <c r="ECR1533" s="4"/>
      <c r="ECS1533" s="6"/>
      <c r="ECT1533" s="4"/>
      <c r="ECU1533" s="6"/>
      <c r="ECV1533" s="4"/>
      <c r="ECW1533" s="6"/>
      <c r="ECX1533" s="4"/>
      <c r="ECY1533" s="6"/>
      <c r="ECZ1533" s="4"/>
      <c r="EDA1533" s="6"/>
      <c r="EDB1533" s="4"/>
      <c r="EDC1533" s="6"/>
      <c r="EDD1533" s="4"/>
      <c r="EDE1533" s="6"/>
      <c r="EDF1533" s="4"/>
      <c r="EDG1533" s="6"/>
      <c r="EDH1533" s="4"/>
      <c r="EDI1533" s="6"/>
      <c r="EDJ1533" s="4"/>
      <c r="EDK1533" s="6"/>
      <c r="EDL1533" s="4"/>
      <c r="EDM1533" s="6"/>
      <c r="EDN1533" s="4"/>
      <c r="EDO1533" s="6"/>
      <c r="EDP1533" s="4"/>
      <c r="EDQ1533" s="6"/>
      <c r="EDR1533" s="4"/>
      <c r="EDS1533" s="6"/>
      <c r="EDT1533" s="4"/>
      <c r="EDU1533" s="6"/>
      <c r="EDV1533" s="4"/>
      <c r="EDW1533" s="6"/>
      <c r="EDX1533" s="4"/>
      <c r="EDY1533" s="6"/>
      <c r="EDZ1533" s="4"/>
      <c r="EEA1533" s="6"/>
      <c r="EEB1533" s="4"/>
      <c r="EEC1533" s="6"/>
      <c r="EED1533" s="4"/>
      <c r="EEE1533" s="6"/>
      <c r="EEF1533" s="4"/>
      <c r="EEG1533" s="6"/>
      <c r="EEH1533" s="4"/>
      <c r="EEI1533" s="6"/>
      <c r="EEJ1533" s="4"/>
      <c r="EEK1533" s="6"/>
      <c r="EEL1533" s="4"/>
      <c r="EEM1533" s="6"/>
      <c r="EEN1533" s="4"/>
      <c r="EEO1533" s="6"/>
      <c r="EEP1533" s="4"/>
      <c r="EEQ1533" s="6"/>
      <c r="EER1533" s="4"/>
      <c r="EES1533" s="6"/>
      <c r="EET1533" s="4"/>
      <c r="EEU1533" s="6"/>
      <c r="EEV1533" s="4"/>
      <c r="EEW1533" s="6"/>
      <c r="EEX1533" s="4"/>
      <c r="EEY1533" s="6"/>
      <c r="EEZ1533" s="4"/>
      <c r="EFA1533" s="6"/>
      <c r="EFB1533" s="4"/>
      <c r="EFC1533" s="6"/>
      <c r="EFD1533" s="4"/>
      <c r="EFE1533" s="6"/>
      <c r="EFF1533" s="4"/>
      <c r="EFG1533" s="6"/>
      <c r="EFH1533" s="4"/>
      <c r="EFI1533" s="6"/>
      <c r="EFJ1533" s="4"/>
      <c r="EFK1533" s="6"/>
      <c r="EFL1533" s="4"/>
      <c r="EFM1533" s="6"/>
      <c r="EFN1533" s="4"/>
      <c r="EFO1533" s="6"/>
      <c r="EFP1533" s="4"/>
      <c r="EFQ1533" s="6"/>
      <c r="EFR1533" s="4"/>
      <c r="EFS1533" s="6"/>
      <c r="EFT1533" s="4"/>
      <c r="EFU1533" s="6"/>
      <c r="EFV1533" s="4"/>
      <c r="EFW1533" s="6"/>
      <c r="EFX1533" s="4"/>
      <c r="EFY1533" s="6"/>
      <c r="EFZ1533" s="4"/>
      <c r="EGA1533" s="6"/>
      <c r="EGB1533" s="4"/>
      <c r="EGC1533" s="6"/>
      <c r="EGD1533" s="4"/>
      <c r="EGE1533" s="6"/>
      <c r="EGF1533" s="4"/>
      <c r="EGG1533" s="6"/>
      <c r="EGH1533" s="4"/>
      <c r="EGI1533" s="6"/>
      <c r="EGJ1533" s="4"/>
      <c r="EGK1533" s="6"/>
      <c r="EGL1533" s="4"/>
      <c r="EGM1533" s="6"/>
      <c r="EGN1533" s="4"/>
      <c r="EGO1533" s="6"/>
      <c r="EGP1533" s="4"/>
      <c r="EGQ1533" s="6"/>
      <c r="EGR1533" s="4"/>
      <c r="EGS1533" s="6"/>
      <c r="EGT1533" s="4"/>
      <c r="EGU1533" s="6"/>
      <c r="EGV1533" s="4"/>
      <c r="EGW1533" s="6"/>
      <c r="EGX1533" s="4"/>
      <c r="EGY1533" s="6"/>
      <c r="EGZ1533" s="4"/>
      <c r="EHA1533" s="6"/>
      <c r="EHB1533" s="4"/>
      <c r="EHC1533" s="6"/>
      <c r="EHD1533" s="4"/>
      <c r="EHE1533" s="6"/>
      <c r="EHF1533" s="4"/>
      <c r="EHG1533" s="6"/>
      <c r="EHH1533" s="4"/>
      <c r="EHI1533" s="6"/>
      <c r="EHJ1533" s="4"/>
      <c r="EHK1533" s="6"/>
      <c r="EHL1533" s="4"/>
      <c r="EHM1533" s="6"/>
      <c r="EHN1533" s="4"/>
      <c r="EHO1533" s="6"/>
      <c r="EHP1533" s="4"/>
      <c r="EHQ1533" s="6"/>
      <c r="EHR1533" s="4"/>
      <c r="EHS1533" s="6"/>
      <c r="EHT1533" s="4"/>
      <c r="EHU1533" s="6"/>
      <c r="EHV1533" s="4"/>
      <c r="EHW1533" s="6"/>
      <c r="EHX1533" s="4"/>
      <c r="EHY1533" s="6"/>
      <c r="EHZ1533" s="4"/>
      <c r="EIA1533" s="6"/>
      <c r="EIB1533" s="4"/>
      <c r="EIC1533" s="6"/>
      <c r="EID1533" s="4"/>
      <c r="EIE1533" s="6"/>
      <c r="EIF1533" s="4"/>
      <c r="EIG1533" s="6"/>
      <c r="EIH1533" s="4"/>
      <c r="EII1533" s="6"/>
      <c r="EIJ1533" s="4"/>
      <c r="EIK1533" s="6"/>
      <c r="EIL1533" s="4"/>
      <c r="EIM1533" s="6"/>
      <c r="EIN1533" s="4"/>
      <c r="EIO1533" s="6"/>
      <c r="EIP1533" s="4"/>
      <c r="EIQ1533" s="6"/>
      <c r="EIR1533" s="4"/>
      <c r="EIS1533" s="6"/>
      <c r="EIT1533" s="4"/>
      <c r="EIU1533" s="6"/>
      <c r="EIV1533" s="4"/>
      <c r="EIW1533" s="6"/>
      <c r="EIX1533" s="4"/>
      <c r="EIY1533" s="6"/>
      <c r="EIZ1533" s="4"/>
      <c r="EJA1533" s="6"/>
      <c r="EJB1533" s="4"/>
      <c r="EJC1533" s="6"/>
      <c r="EJD1533" s="4"/>
      <c r="EJE1533" s="6"/>
      <c r="EJF1533" s="4"/>
      <c r="EJG1533" s="6"/>
      <c r="EJH1533" s="4"/>
      <c r="EJI1533" s="6"/>
      <c r="EJJ1533" s="4"/>
      <c r="EJK1533" s="6"/>
      <c r="EJL1533" s="4"/>
      <c r="EJM1533" s="6"/>
      <c r="EJN1533" s="4"/>
      <c r="EJO1533" s="6"/>
      <c r="EJP1533" s="4"/>
      <c r="EJQ1533" s="6"/>
      <c r="EJR1533" s="4"/>
      <c r="EJS1533" s="6"/>
      <c r="EJT1533" s="4"/>
      <c r="EJU1533" s="6"/>
      <c r="EJV1533" s="4"/>
      <c r="EJW1533" s="6"/>
      <c r="EJX1533" s="4"/>
      <c r="EJY1533" s="6"/>
      <c r="EJZ1533" s="4"/>
      <c r="EKA1533" s="6"/>
      <c r="EKB1533" s="4"/>
      <c r="EKC1533" s="6"/>
      <c r="EKD1533" s="4"/>
      <c r="EKE1533" s="6"/>
      <c r="EKF1533" s="4"/>
      <c r="EKG1533" s="6"/>
      <c r="EKH1533" s="4"/>
      <c r="EKI1533" s="6"/>
      <c r="EKJ1533" s="4"/>
      <c r="EKK1533" s="6"/>
      <c r="EKL1533" s="4"/>
      <c r="EKM1533" s="6"/>
      <c r="EKN1533" s="4"/>
      <c r="EKO1533" s="6"/>
      <c r="EKP1533" s="4"/>
      <c r="EKQ1533" s="6"/>
      <c r="EKR1533" s="4"/>
      <c r="EKS1533" s="6"/>
      <c r="EKT1533" s="4"/>
      <c r="EKU1533" s="6"/>
      <c r="EKV1533" s="4"/>
      <c r="EKW1533" s="6"/>
      <c r="EKX1533" s="4"/>
      <c r="EKY1533" s="6"/>
      <c r="EKZ1533" s="4"/>
      <c r="ELA1533" s="6"/>
      <c r="ELB1533" s="4"/>
      <c r="ELC1533" s="6"/>
      <c r="ELD1533" s="4"/>
      <c r="ELE1533" s="6"/>
      <c r="ELF1533" s="4"/>
      <c r="ELG1533" s="6"/>
      <c r="ELH1533" s="4"/>
      <c r="ELI1533" s="6"/>
      <c r="ELJ1533" s="4"/>
      <c r="ELK1533" s="6"/>
      <c r="ELL1533" s="4"/>
      <c r="ELM1533" s="6"/>
      <c r="ELN1533" s="4"/>
      <c r="ELO1533" s="6"/>
      <c r="ELP1533" s="4"/>
      <c r="ELQ1533" s="6"/>
      <c r="ELR1533" s="4"/>
      <c r="ELS1533" s="6"/>
      <c r="ELT1533" s="4"/>
      <c r="ELU1533" s="6"/>
      <c r="ELV1533" s="4"/>
      <c r="ELW1533" s="6"/>
      <c r="ELX1533" s="4"/>
      <c r="ELY1533" s="6"/>
      <c r="ELZ1533" s="4"/>
      <c r="EMA1533" s="6"/>
      <c r="EMB1533" s="4"/>
      <c r="EMC1533" s="6"/>
      <c r="EMD1533" s="4"/>
      <c r="EME1533" s="6"/>
      <c r="EMF1533" s="4"/>
      <c r="EMG1533" s="6"/>
      <c r="EMH1533" s="4"/>
      <c r="EMI1533" s="6"/>
      <c r="EMJ1533" s="4"/>
      <c r="EMK1533" s="6"/>
      <c r="EML1533" s="4"/>
      <c r="EMM1533" s="6"/>
      <c r="EMN1533" s="4"/>
      <c r="EMO1533" s="6"/>
      <c r="EMP1533" s="4"/>
      <c r="EMQ1533" s="6"/>
      <c r="EMR1533" s="4"/>
      <c r="EMS1533" s="6"/>
      <c r="EMT1533" s="4"/>
      <c r="EMU1533" s="6"/>
      <c r="EMV1533" s="4"/>
      <c r="EMW1533" s="6"/>
      <c r="EMX1533" s="4"/>
      <c r="EMY1533" s="6"/>
      <c r="EMZ1533" s="4"/>
      <c r="ENA1533" s="6"/>
      <c r="ENB1533" s="4"/>
      <c r="ENC1533" s="6"/>
      <c r="END1533" s="4"/>
      <c r="ENE1533" s="6"/>
      <c r="ENF1533" s="4"/>
      <c r="ENG1533" s="6"/>
      <c r="ENH1533" s="4"/>
      <c r="ENI1533" s="6"/>
      <c r="ENJ1533" s="4"/>
      <c r="ENK1533" s="6"/>
      <c r="ENL1533" s="4"/>
      <c r="ENM1533" s="6"/>
      <c r="ENN1533" s="4"/>
      <c r="ENO1533" s="6"/>
      <c r="ENP1533" s="4"/>
      <c r="ENQ1533" s="6"/>
      <c r="ENR1533" s="4"/>
      <c r="ENS1533" s="6"/>
      <c r="ENT1533" s="4"/>
      <c r="ENU1533" s="6"/>
      <c r="ENV1533" s="4"/>
      <c r="ENW1533" s="6"/>
      <c r="ENX1533" s="4"/>
      <c r="ENY1533" s="6"/>
      <c r="ENZ1533" s="4"/>
      <c r="EOA1533" s="6"/>
      <c r="EOB1533" s="4"/>
      <c r="EOC1533" s="6"/>
      <c r="EOD1533" s="4"/>
      <c r="EOE1533" s="6"/>
      <c r="EOF1533" s="4"/>
      <c r="EOG1533" s="6"/>
      <c r="EOH1533" s="4"/>
      <c r="EOI1533" s="6"/>
      <c r="EOJ1533" s="4"/>
      <c r="EOK1533" s="6"/>
      <c r="EOL1533" s="4"/>
      <c r="EOM1533" s="6"/>
      <c r="EON1533" s="4"/>
      <c r="EOO1533" s="6"/>
      <c r="EOP1533" s="4"/>
      <c r="EOQ1533" s="6"/>
      <c r="EOR1533" s="4"/>
      <c r="EOS1533" s="6"/>
      <c r="EOT1533" s="4"/>
      <c r="EOU1533" s="6"/>
      <c r="EOV1533" s="4"/>
      <c r="EOW1533" s="6"/>
      <c r="EOX1533" s="4"/>
      <c r="EOY1533" s="6"/>
      <c r="EOZ1533" s="4"/>
      <c r="EPA1533" s="6"/>
      <c r="EPB1533" s="4"/>
      <c r="EPC1533" s="6"/>
      <c r="EPD1533" s="4"/>
      <c r="EPE1533" s="6"/>
      <c r="EPF1533" s="4"/>
      <c r="EPG1533" s="6"/>
      <c r="EPH1533" s="4"/>
      <c r="EPI1533" s="6"/>
      <c r="EPJ1533" s="4"/>
      <c r="EPK1533" s="6"/>
      <c r="EPL1533" s="4"/>
      <c r="EPM1533" s="6"/>
      <c r="EPN1533" s="4"/>
      <c r="EPO1533" s="6"/>
      <c r="EPP1533" s="4"/>
      <c r="EPQ1533" s="6"/>
      <c r="EPR1533" s="4"/>
      <c r="EPS1533" s="6"/>
      <c r="EPT1533" s="4"/>
      <c r="EPU1533" s="6"/>
      <c r="EPV1533" s="4"/>
      <c r="EPW1533" s="6"/>
      <c r="EPX1533" s="4"/>
      <c r="EPY1533" s="6"/>
      <c r="EPZ1533" s="4"/>
      <c r="EQA1533" s="6"/>
      <c r="EQB1533" s="4"/>
      <c r="EQC1533" s="6"/>
      <c r="EQD1533" s="4"/>
      <c r="EQE1533" s="6"/>
      <c r="EQF1533" s="4"/>
      <c r="EQG1533" s="6"/>
      <c r="EQH1533" s="4"/>
      <c r="EQI1533" s="6"/>
      <c r="EQJ1533" s="4"/>
      <c r="EQK1533" s="6"/>
      <c r="EQL1533" s="4"/>
      <c r="EQM1533" s="6"/>
      <c r="EQN1533" s="4"/>
      <c r="EQO1533" s="6"/>
      <c r="EQP1533" s="4"/>
      <c r="EQQ1533" s="6"/>
      <c r="EQR1533" s="4"/>
      <c r="EQS1533" s="6"/>
      <c r="EQT1533" s="4"/>
      <c r="EQU1533" s="6"/>
      <c r="EQV1533" s="4"/>
      <c r="EQW1533" s="6"/>
      <c r="EQX1533" s="4"/>
      <c r="EQY1533" s="6"/>
      <c r="EQZ1533" s="4"/>
      <c r="ERA1533" s="6"/>
      <c r="ERB1533" s="4"/>
      <c r="ERC1533" s="6"/>
      <c r="ERD1533" s="4"/>
      <c r="ERE1533" s="6"/>
      <c r="ERF1533" s="4"/>
      <c r="ERG1533" s="6"/>
      <c r="ERH1533" s="4"/>
      <c r="ERI1533" s="6"/>
      <c r="ERJ1533" s="4"/>
      <c r="ERK1533" s="6"/>
      <c r="ERL1533" s="4"/>
      <c r="ERM1533" s="6"/>
      <c r="ERN1533" s="4"/>
      <c r="ERO1533" s="6"/>
      <c r="ERP1533" s="4"/>
      <c r="ERQ1533" s="6"/>
      <c r="ERR1533" s="4"/>
      <c r="ERS1533" s="6"/>
      <c r="ERT1533" s="4"/>
      <c r="ERU1533" s="6"/>
      <c r="ERV1533" s="4"/>
      <c r="ERW1533" s="6"/>
      <c r="ERX1533" s="4"/>
      <c r="ERY1533" s="6"/>
      <c r="ERZ1533" s="4"/>
      <c r="ESA1533" s="6"/>
      <c r="ESB1533" s="4"/>
      <c r="ESC1533" s="6"/>
      <c r="ESD1533" s="4"/>
      <c r="ESE1533" s="6"/>
      <c r="ESF1533" s="4"/>
      <c r="ESG1533" s="6"/>
      <c r="ESH1533" s="4"/>
      <c r="ESI1533" s="6"/>
      <c r="ESJ1533" s="4"/>
      <c r="ESK1533" s="6"/>
      <c r="ESL1533" s="4"/>
      <c r="ESM1533" s="6"/>
      <c r="ESN1533" s="4"/>
      <c r="ESO1533" s="6"/>
      <c r="ESP1533" s="4"/>
      <c r="ESQ1533" s="6"/>
      <c r="ESR1533" s="4"/>
      <c r="ESS1533" s="6"/>
      <c r="EST1533" s="4"/>
      <c r="ESU1533" s="6"/>
      <c r="ESV1533" s="4"/>
      <c r="ESW1533" s="6"/>
      <c r="ESX1533" s="4"/>
      <c r="ESY1533" s="6"/>
      <c r="ESZ1533" s="4"/>
      <c r="ETA1533" s="6"/>
      <c r="ETB1533" s="4"/>
      <c r="ETC1533" s="6"/>
      <c r="ETD1533" s="4"/>
      <c r="ETE1533" s="6"/>
      <c r="ETF1533" s="4"/>
      <c r="ETG1533" s="6"/>
      <c r="ETH1533" s="4"/>
      <c r="ETI1533" s="6"/>
      <c r="ETJ1533" s="4"/>
      <c r="ETK1533" s="6"/>
      <c r="ETL1533" s="4"/>
      <c r="ETM1533" s="6"/>
      <c r="ETN1533" s="4"/>
      <c r="ETO1533" s="6"/>
      <c r="ETP1533" s="4"/>
      <c r="ETQ1533" s="6"/>
      <c r="ETR1533" s="4"/>
      <c r="ETS1533" s="6"/>
      <c r="ETT1533" s="4"/>
      <c r="ETU1533" s="6"/>
      <c r="ETV1533" s="4"/>
      <c r="ETW1533" s="6"/>
      <c r="ETX1533" s="4"/>
      <c r="ETY1533" s="6"/>
      <c r="ETZ1533" s="4"/>
      <c r="EUA1533" s="6"/>
      <c r="EUB1533" s="4"/>
      <c r="EUC1533" s="6"/>
      <c r="EUD1533" s="4"/>
      <c r="EUE1533" s="6"/>
      <c r="EUF1533" s="4"/>
      <c r="EUG1533" s="6"/>
      <c r="EUH1533" s="4"/>
      <c r="EUI1533" s="6"/>
      <c r="EUJ1533" s="4"/>
      <c r="EUK1533" s="6"/>
      <c r="EUL1533" s="4"/>
      <c r="EUM1533" s="6"/>
      <c r="EUN1533" s="4"/>
      <c r="EUO1533" s="6"/>
      <c r="EUP1533" s="4"/>
      <c r="EUQ1533" s="6"/>
      <c r="EUR1533" s="4"/>
      <c r="EUS1533" s="6"/>
      <c r="EUT1533" s="4"/>
      <c r="EUU1533" s="6"/>
      <c r="EUV1533" s="4"/>
      <c r="EUW1533" s="6"/>
      <c r="EUX1533" s="4"/>
      <c r="EUY1533" s="6"/>
      <c r="EUZ1533" s="4"/>
      <c r="EVA1533" s="6"/>
      <c r="EVB1533" s="4"/>
      <c r="EVC1533" s="6"/>
      <c r="EVD1533" s="4"/>
      <c r="EVE1533" s="6"/>
      <c r="EVF1533" s="4"/>
      <c r="EVG1533" s="6"/>
      <c r="EVH1533" s="4"/>
      <c r="EVI1533" s="6"/>
      <c r="EVJ1533" s="4"/>
      <c r="EVK1533" s="6"/>
      <c r="EVL1533" s="4"/>
      <c r="EVM1533" s="6"/>
      <c r="EVN1533" s="4"/>
      <c r="EVO1533" s="6"/>
      <c r="EVP1533" s="4"/>
      <c r="EVQ1533" s="6"/>
      <c r="EVR1533" s="4"/>
      <c r="EVS1533" s="6"/>
      <c r="EVT1533" s="4"/>
      <c r="EVU1533" s="6"/>
      <c r="EVV1533" s="4"/>
      <c r="EVW1533" s="6"/>
      <c r="EVX1533" s="4"/>
      <c r="EVY1533" s="6"/>
      <c r="EVZ1533" s="4"/>
      <c r="EWA1533" s="6"/>
      <c r="EWB1533" s="4"/>
      <c r="EWC1533" s="6"/>
      <c r="EWD1533" s="4"/>
      <c r="EWE1533" s="6"/>
      <c r="EWF1533" s="4"/>
      <c r="EWG1533" s="6"/>
      <c r="EWH1533" s="4"/>
      <c r="EWI1533" s="6"/>
      <c r="EWJ1533" s="4"/>
      <c r="EWK1533" s="6"/>
      <c r="EWL1533" s="4"/>
      <c r="EWM1533" s="6"/>
      <c r="EWN1533" s="4"/>
      <c r="EWO1533" s="6"/>
      <c r="EWP1533" s="4"/>
      <c r="EWQ1533" s="6"/>
      <c r="EWR1533" s="4"/>
      <c r="EWS1533" s="6"/>
      <c r="EWT1533" s="4"/>
      <c r="EWU1533" s="6"/>
      <c r="EWV1533" s="4"/>
      <c r="EWW1533" s="6"/>
      <c r="EWX1533" s="4"/>
      <c r="EWY1533" s="6"/>
      <c r="EWZ1533" s="4"/>
      <c r="EXA1533" s="6"/>
      <c r="EXB1533" s="4"/>
      <c r="EXC1533" s="6"/>
      <c r="EXD1533" s="4"/>
      <c r="EXE1533" s="6"/>
      <c r="EXF1533" s="4"/>
      <c r="EXG1533" s="6"/>
      <c r="EXH1533" s="4"/>
      <c r="EXI1533" s="6"/>
      <c r="EXJ1533" s="4"/>
      <c r="EXK1533" s="6"/>
      <c r="EXL1533" s="4"/>
      <c r="EXM1533" s="6"/>
      <c r="EXN1533" s="4"/>
      <c r="EXO1533" s="6"/>
      <c r="EXP1533" s="4"/>
      <c r="EXQ1533" s="6"/>
      <c r="EXR1533" s="4"/>
      <c r="EXS1533" s="6"/>
      <c r="EXT1533" s="4"/>
      <c r="EXU1533" s="6"/>
      <c r="EXV1533" s="4"/>
      <c r="EXW1533" s="6"/>
      <c r="EXX1533" s="4"/>
      <c r="EXY1533" s="6"/>
      <c r="EXZ1533" s="4"/>
      <c r="EYA1533" s="6"/>
      <c r="EYB1533" s="4"/>
      <c r="EYC1533" s="6"/>
      <c r="EYD1533" s="4"/>
      <c r="EYE1533" s="6"/>
      <c r="EYF1533" s="4"/>
      <c r="EYG1533" s="6"/>
      <c r="EYH1533" s="4"/>
      <c r="EYI1533" s="6"/>
      <c r="EYJ1533" s="4"/>
      <c r="EYK1533" s="6"/>
      <c r="EYL1533" s="4"/>
      <c r="EYM1533" s="6"/>
      <c r="EYN1533" s="4"/>
      <c r="EYO1533" s="6"/>
      <c r="EYP1533" s="4"/>
      <c r="EYQ1533" s="6"/>
      <c r="EYR1533" s="4"/>
      <c r="EYS1533" s="6"/>
      <c r="EYT1533" s="4"/>
      <c r="EYU1533" s="6"/>
      <c r="EYV1533" s="4"/>
      <c r="EYW1533" s="6"/>
      <c r="EYX1533" s="4"/>
      <c r="EYY1533" s="6"/>
      <c r="EYZ1533" s="4"/>
      <c r="EZA1533" s="6"/>
      <c r="EZB1533" s="4"/>
      <c r="EZC1533" s="6"/>
      <c r="EZD1533" s="4"/>
      <c r="EZE1533" s="6"/>
      <c r="EZF1533" s="4"/>
      <c r="EZG1533" s="6"/>
      <c r="EZH1533" s="4"/>
      <c r="EZI1533" s="6"/>
      <c r="EZJ1533" s="4"/>
      <c r="EZK1533" s="6"/>
      <c r="EZL1533" s="4"/>
      <c r="EZM1533" s="6"/>
      <c r="EZN1533" s="4"/>
      <c r="EZO1533" s="6"/>
      <c r="EZP1533" s="4"/>
      <c r="EZQ1533" s="6"/>
      <c r="EZR1533" s="4"/>
      <c r="EZS1533" s="6"/>
      <c r="EZT1533" s="4"/>
      <c r="EZU1533" s="6"/>
      <c r="EZV1533" s="4"/>
      <c r="EZW1533" s="6"/>
      <c r="EZX1533" s="4"/>
      <c r="EZY1533" s="6"/>
      <c r="EZZ1533" s="4"/>
      <c r="FAA1533" s="6"/>
      <c r="FAB1533" s="4"/>
      <c r="FAC1533" s="6"/>
      <c r="FAD1533" s="4"/>
      <c r="FAE1533" s="6"/>
      <c r="FAF1533" s="4"/>
      <c r="FAG1533" s="6"/>
      <c r="FAH1533" s="4"/>
      <c r="FAI1533" s="6"/>
      <c r="FAJ1533" s="4"/>
      <c r="FAK1533" s="6"/>
      <c r="FAL1533" s="4"/>
      <c r="FAM1533" s="6"/>
      <c r="FAN1533" s="4"/>
      <c r="FAO1533" s="6"/>
      <c r="FAP1533" s="4"/>
      <c r="FAQ1533" s="6"/>
      <c r="FAR1533" s="4"/>
      <c r="FAS1533" s="6"/>
      <c r="FAT1533" s="4"/>
      <c r="FAU1533" s="6"/>
      <c r="FAV1533" s="4"/>
      <c r="FAW1533" s="6"/>
      <c r="FAX1533" s="4"/>
      <c r="FAY1533" s="6"/>
      <c r="FAZ1533" s="4"/>
      <c r="FBA1533" s="6"/>
      <c r="FBB1533" s="4"/>
      <c r="FBC1533" s="6"/>
      <c r="FBD1533" s="4"/>
      <c r="FBE1533" s="6"/>
      <c r="FBF1533" s="4"/>
      <c r="FBG1533" s="6"/>
      <c r="FBH1533" s="4"/>
      <c r="FBI1533" s="6"/>
      <c r="FBJ1533" s="4"/>
      <c r="FBK1533" s="6"/>
      <c r="FBL1533" s="4"/>
      <c r="FBM1533" s="6"/>
      <c r="FBN1533" s="4"/>
      <c r="FBO1533" s="6"/>
      <c r="FBP1533" s="4"/>
      <c r="FBQ1533" s="6"/>
      <c r="FBR1533" s="4"/>
      <c r="FBS1533" s="6"/>
      <c r="FBT1533" s="4"/>
      <c r="FBU1533" s="6"/>
      <c r="FBV1533" s="4"/>
      <c r="FBW1533" s="6"/>
      <c r="FBX1533" s="4"/>
      <c r="FBY1533" s="6"/>
      <c r="FBZ1533" s="4"/>
      <c r="FCA1533" s="6"/>
      <c r="FCB1533" s="4"/>
      <c r="FCC1533" s="6"/>
      <c r="FCD1533" s="4"/>
      <c r="FCE1533" s="6"/>
      <c r="FCF1533" s="4"/>
      <c r="FCG1533" s="6"/>
      <c r="FCH1533" s="4"/>
      <c r="FCI1533" s="6"/>
      <c r="FCJ1533" s="4"/>
      <c r="FCK1533" s="6"/>
      <c r="FCL1533" s="4"/>
      <c r="FCM1533" s="6"/>
      <c r="FCN1533" s="4"/>
      <c r="FCO1533" s="6"/>
      <c r="FCP1533" s="4"/>
      <c r="FCQ1533" s="6"/>
      <c r="FCR1533" s="4"/>
      <c r="FCS1533" s="6"/>
      <c r="FCT1533" s="4"/>
      <c r="FCU1533" s="6"/>
      <c r="FCV1533" s="4"/>
      <c r="FCW1533" s="6"/>
      <c r="FCX1533" s="4"/>
      <c r="FCY1533" s="6"/>
      <c r="FCZ1533" s="4"/>
      <c r="FDA1533" s="6"/>
      <c r="FDB1533" s="4"/>
      <c r="FDC1533" s="6"/>
      <c r="FDD1533" s="4"/>
      <c r="FDE1533" s="6"/>
      <c r="FDF1533" s="4"/>
      <c r="FDG1533" s="6"/>
      <c r="FDH1533" s="4"/>
      <c r="FDI1533" s="6"/>
      <c r="FDJ1533" s="4"/>
      <c r="FDK1533" s="6"/>
      <c r="FDL1533" s="4"/>
      <c r="FDM1533" s="6"/>
      <c r="FDN1533" s="4"/>
      <c r="FDO1533" s="6"/>
      <c r="FDP1533" s="4"/>
      <c r="FDQ1533" s="6"/>
      <c r="FDR1533" s="4"/>
      <c r="FDS1533" s="6"/>
      <c r="FDT1533" s="4"/>
      <c r="FDU1533" s="6"/>
      <c r="FDV1533" s="4"/>
      <c r="FDW1533" s="6"/>
      <c r="FDX1533" s="4"/>
      <c r="FDY1533" s="6"/>
      <c r="FDZ1533" s="4"/>
      <c r="FEA1533" s="6"/>
      <c r="FEB1533" s="4"/>
      <c r="FEC1533" s="6"/>
      <c r="FED1533" s="4"/>
      <c r="FEE1533" s="6"/>
      <c r="FEF1533" s="4"/>
      <c r="FEG1533" s="6"/>
      <c r="FEH1533" s="4"/>
      <c r="FEI1533" s="6"/>
      <c r="FEJ1533" s="4"/>
      <c r="FEK1533" s="6"/>
      <c r="FEL1533" s="4"/>
      <c r="FEM1533" s="6"/>
      <c r="FEN1533" s="4"/>
      <c r="FEO1533" s="6"/>
      <c r="FEP1533" s="4"/>
      <c r="FEQ1533" s="6"/>
      <c r="FER1533" s="4"/>
      <c r="FES1533" s="6"/>
      <c r="FET1533" s="4"/>
      <c r="FEU1533" s="6"/>
      <c r="FEV1533" s="4"/>
      <c r="FEW1533" s="6"/>
      <c r="FEX1533" s="4"/>
      <c r="FEY1533" s="6"/>
      <c r="FEZ1533" s="4"/>
      <c r="FFA1533" s="6"/>
      <c r="FFB1533" s="4"/>
      <c r="FFC1533" s="6"/>
      <c r="FFD1533" s="4"/>
      <c r="FFE1533" s="6"/>
      <c r="FFF1533" s="4"/>
      <c r="FFG1533" s="6"/>
      <c r="FFH1533" s="4"/>
      <c r="FFI1533" s="6"/>
      <c r="FFJ1533" s="4"/>
      <c r="FFK1533" s="6"/>
      <c r="FFL1533" s="4"/>
      <c r="FFM1533" s="6"/>
      <c r="FFN1533" s="4"/>
      <c r="FFO1533" s="6"/>
      <c r="FFP1533" s="4"/>
      <c r="FFQ1533" s="6"/>
      <c r="FFR1533" s="4"/>
      <c r="FFS1533" s="6"/>
      <c r="FFT1533" s="4"/>
      <c r="FFU1533" s="6"/>
      <c r="FFV1533" s="4"/>
      <c r="FFW1533" s="6"/>
      <c r="FFX1533" s="4"/>
      <c r="FFY1533" s="6"/>
      <c r="FFZ1533" s="4"/>
      <c r="FGA1533" s="6"/>
      <c r="FGB1533" s="4"/>
      <c r="FGC1533" s="6"/>
      <c r="FGD1533" s="4"/>
      <c r="FGE1533" s="6"/>
      <c r="FGF1533" s="4"/>
      <c r="FGG1533" s="6"/>
      <c r="FGH1533" s="4"/>
      <c r="FGI1533" s="6"/>
      <c r="FGJ1533" s="4"/>
      <c r="FGK1533" s="6"/>
      <c r="FGL1533" s="4"/>
      <c r="FGM1533" s="6"/>
      <c r="FGN1533" s="4"/>
      <c r="FGO1533" s="6"/>
      <c r="FGP1533" s="4"/>
      <c r="FGQ1533" s="6"/>
      <c r="FGR1533" s="4"/>
      <c r="FGS1533" s="6"/>
      <c r="FGT1533" s="4"/>
      <c r="FGU1533" s="6"/>
      <c r="FGV1533" s="4"/>
      <c r="FGW1533" s="6"/>
      <c r="FGX1533" s="4"/>
      <c r="FGY1533" s="6"/>
      <c r="FGZ1533" s="4"/>
      <c r="FHA1533" s="6"/>
      <c r="FHB1533" s="4"/>
      <c r="FHC1533" s="6"/>
      <c r="FHD1533" s="4"/>
      <c r="FHE1533" s="6"/>
      <c r="FHF1533" s="4"/>
      <c r="FHG1533" s="6"/>
      <c r="FHH1533" s="4"/>
      <c r="FHI1533" s="6"/>
      <c r="FHJ1533" s="4"/>
      <c r="FHK1533" s="6"/>
      <c r="FHL1533" s="4"/>
      <c r="FHM1533" s="6"/>
      <c r="FHN1533" s="4"/>
      <c r="FHO1533" s="6"/>
      <c r="FHP1533" s="4"/>
      <c r="FHQ1533" s="6"/>
      <c r="FHR1533" s="4"/>
      <c r="FHS1533" s="6"/>
      <c r="FHT1533" s="4"/>
      <c r="FHU1533" s="6"/>
      <c r="FHV1533" s="4"/>
      <c r="FHW1533" s="6"/>
      <c r="FHX1533" s="4"/>
      <c r="FHY1533" s="6"/>
      <c r="FHZ1533" s="4"/>
      <c r="FIA1533" s="6"/>
      <c r="FIB1533" s="4"/>
      <c r="FIC1533" s="6"/>
      <c r="FID1533" s="4"/>
      <c r="FIE1533" s="6"/>
      <c r="FIF1533" s="4"/>
      <c r="FIG1533" s="6"/>
      <c r="FIH1533" s="4"/>
      <c r="FII1533" s="6"/>
      <c r="FIJ1533" s="4"/>
      <c r="FIK1533" s="6"/>
      <c r="FIL1533" s="4"/>
      <c r="FIM1533" s="6"/>
      <c r="FIN1533" s="4"/>
      <c r="FIO1533" s="6"/>
      <c r="FIP1533" s="4"/>
      <c r="FIQ1533" s="6"/>
      <c r="FIR1533" s="4"/>
      <c r="FIS1533" s="6"/>
      <c r="FIT1533" s="4"/>
      <c r="FIU1533" s="6"/>
      <c r="FIV1533" s="4"/>
      <c r="FIW1533" s="6"/>
      <c r="FIX1533" s="4"/>
      <c r="FIY1533" s="6"/>
      <c r="FIZ1533" s="4"/>
      <c r="FJA1533" s="6"/>
      <c r="FJB1533" s="4"/>
      <c r="FJC1533" s="6"/>
      <c r="FJD1533" s="4"/>
      <c r="FJE1533" s="6"/>
      <c r="FJF1533" s="4"/>
      <c r="FJG1533" s="6"/>
      <c r="FJH1533" s="4"/>
      <c r="FJI1533" s="6"/>
      <c r="FJJ1533" s="4"/>
      <c r="FJK1533" s="6"/>
      <c r="FJL1533" s="4"/>
      <c r="FJM1533" s="6"/>
      <c r="FJN1533" s="4"/>
      <c r="FJO1533" s="6"/>
      <c r="FJP1533" s="4"/>
      <c r="FJQ1533" s="6"/>
      <c r="FJR1533" s="4"/>
      <c r="FJS1533" s="6"/>
      <c r="FJT1533" s="4"/>
      <c r="FJU1533" s="6"/>
      <c r="FJV1533" s="4"/>
      <c r="FJW1533" s="6"/>
      <c r="FJX1533" s="4"/>
      <c r="FJY1533" s="6"/>
      <c r="FJZ1533" s="4"/>
      <c r="FKA1533" s="6"/>
      <c r="FKB1533" s="4"/>
      <c r="FKC1533" s="6"/>
      <c r="FKD1533" s="4"/>
      <c r="FKE1533" s="6"/>
      <c r="FKF1533" s="4"/>
      <c r="FKG1533" s="6"/>
      <c r="FKH1533" s="4"/>
      <c r="FKI1533" s="6"/>
      <c r="FKJ1533" s="4"/>
      <c r="FKK1533" s="6"/>
      <c r="FKL1533" s="4"/>
      <c r="FKM1533" s="6"/>
      <c r="FKN1533" s="4"/>
      <c r="FKO1533" s="6"/>
      <c r="FKP1533" s="4"/>
      <c r="FKQ1533" s="6"/>
      <c r="FKR1533" s="4"/>
      <c r="FKS1533" s="6"/>
      <c r="FKT1533" s="4"/>
      <c r="FKU1533" s="6"/>
      <c r="FKV1533" s="4"/>
      <c r="FKW1533" s="6"/>
      <c r="FKX1533" s="4"/>
      <c r="FKY1533" s="6"/>
      <c r="FKZ1533" s="4"/>
      <c r="FLA1533" s="6"/>
      <c r="FLB1533" s="4"/>
      <c r="FLC1533" s="6"/>
      <c r="FLD1533" s="4"/>
      <c r="FLE1533" s="6"/>
      <c r="FLF1533" s="4"/>
      <c r="FLG1533" s="6"/>
      <c r="FLH1533" s="4"/>
      <c r="FLI1533" s="6"/>
      <c r="FLJ1533" s="4"/>
      <c r="FLK1533" s="6"/>
      <c r="FLL1533" s="4"/>
      <c r="FLM1533" s="6"/>
      <c r="FLN1533" s="4"/>
      <c r="FLO1533" s="6"/>
      <c r="FLP1533" s="4"/>
      <c r="FLQ1533" s="6"/>
      <c r="FLR1533" s="4"/>
      <c r="FLS1533" s="6"/>
      <c r="FLT1533" s="4"/>
      <c r="FLU1533" s="6"/>
      <c r="FLV1533" s="4"/>
      <c r="FLW1533" s="6"/>
      <c r="FLX1533" s="4"/>
      <c r="FLY1533" s="6"/>
      <c r="FLZ1533" s="4"/>
      <c r="FMA1533" s="6"/>
      <c r="FMB1533" s="4"/>
      <c r="FMC1533" s="6"/>
      <c r="FMD1533" s="4"/>
      <c r="FME1533" s="6"/>
      <c r="FMF1533" s="4"/>
      <c r="FMG1533" s="6"/>
      <c r="FMH1533" s="4"/>
      <c r="FMI1533" s="6"/>
      <c r="FMJ1533" s="4"/>
      <c r="FMK1533" s="6"/>
      <c r="FML1533" s="4"/>
      <c r="FMM1533" s="6"/>
      <c r="FMN1533" s="4"/>
      <c r="FMO1533" s="6"/>
      <c r="FMP1533" s="4"/>
      <c r="FMQ1533" s="6"/>
      <c r="FMR1533" s="4"/>
      <c r="FMS1533" s="6"/>
      <c r="FMT1533" s="4"/>
      <c r="FMU1533" s="6"/>
      <c r="FMV1533" s="4"/>
      <c r="FMW1533" s="6"/>
      <c r="FMX1533" s="4"/>
      <c r="FMY1533" s="6"/>
      <c r="FMZ1533" s="4"/>
      <c r="FNA1533" s="6"/>
      <c r="FNB1533" s="4"/>
      <c r="FNC1533" s="6"/>
      <c r="FND1533" s="4"/>
      <c r="FNE1533" s="6"/>
      <c r="FNF1533" s="4"/>
      <c r="FNG1533" s="6"/>
      <c r="FNH1533" s="4"/>
      <c r="FNI1533" s="6"/>
      <c r="FNJ1533" s="4"/>
      <c r="FNK1533" s="6"/>
      <c r="FNL1533" s="4"/>
      <c r="FNM1533" s="6"/>
      <c r="FNN1533" s="4"/>
      <c r="FNO1533" s="6"/>
      <c r="FNP1533" s="4"/>
      <c r="FNQ1533" s="6"/>
      <c r="FNR1533" s="4"/>
      <c r="FNS1533" s="6"/>
      <c r="FNT1533" s="4"/>
      <c r="FNU1533" s="6"/>
      <c r="FNV1533" s="4"/>
      <c r="FNW1533" s="6"/>
      <c r="FNX1533" s="4"/>
      <c r="FNY1533" s="6"/>
      <c r="FNZ1533" s="4"/>
      <c r="FOA1533" s="6"/>
      <c r="FOB1533" s="4"/>
      <c r="FOC1533" s="6"/>
      <c r="FOD1533" s="4"/>
      <c r="FOE1533" s="6"/>
      <c r="FOF1533" s="4"/>
      <c r="FOG1533" s="6"/>
      <c r="FOH1533" s="4"/>
      <c r="FOI1533" s="6"/>
      <c r="FOJ1533" s="4"/>
      <c r="FOK1533" s="6"/>
      <c r="FOL1533" s="4"/>
      <c r="FOM1533" s="6"/>
      <c r="FON1533" s="4"/>
      <c r="FOO1533" s="6"/>
      <c r="FOP1533" s="4"/>
      <c r="FOQ1533" s="6"/>
      <c r="FOR1533" s="4"/>
      <c r="FOS1533" s="6"/>
      <c r="FOT1533" s="4"/>
      <c r="FOU1533" s="6"/>
      <c r="FOV1533" s="4"/>
      <c r="FOW1533" s="6"/>
      <c r="FOX1533" s="4"/>
      <c r="FOY1533" s="6"/>
      <c r="FOZ1533" s="4"/>
      <c r="FPA1533" s="6"/>
      <c r="FPB1533" s="4"/>
      <c r="FPC1533" s="6"/>
      <c r="FPD1533" s="4"/>
      <c r="FPE1533" s="6"/>
      <c r="FPF1533" s="4"/>
      <c r="FPG1533" s="6"/>
      <c r="FPH1533" s="4"/>
      <c r="FPI1533" s="6"/>
      <c r="FPJ1533" s="4"/>
      <c r="FPK1533" s="6"/>
      <c r="FPL1533" s="4"/>
      <c r="FPM1533" s="6"/>
      <c r="FPN1533" s="4"/>
      <c r="FPO1533" s="6"/>
      <c r="FPP1533" s="4"/>
      <c r="FPQ1533" s="6"/>
      <c r="FPR1533" s="4"/>
      <c r="FPS1533" s="6"/>
      <c r="FPT1533" s="4"/>
      <c r="FPU1533" s="6"/>
      <c r="FPV1533" s="4"/>
      <c r="FPW1533" s="6"/>
      <c r="FPX1533" s="4"/>
      <c r="FPY1533" s="6"/>
      <c r="FPZ1533" s="4"/>
      <c r="FQA1533" s="6"/>
      <c r="FQB1533" s="4"/>
      <c r="FQC1533" s="6"/>
      <c r="FQD1533" s="4"/>
      <c r="FQE1533" s="6"/>
      <c r="FQF1533" s="4"/>
      <c r="FQG1533" s="6"/>
      <c r="FQH1533" s="4"/>
      <c r="FQI1533" s="6"/>
      <c r="FQJ1533" s="4"/>
      <c r="FQK1533" s="6"/>
      <c r="FQL1533" s="4"/>
      <c r="FQM1533" s="6"/>
      <c r="FQN1533" s="4"/>
      <c r="FQO1533" s="6"/>
      <c r="FQP1533" s="4"/>
      <c r="FQQ1533" s="6"/>
      <c r="FQR1533" s="4"/>
      <c r="FQS1533" s="6"/>
      <c r="FQT1533" s="4"/>
      <c r="FQU1533" s="6"/>
      <c r="FQV1533" s="4"/>
      <c r="FQW1533" s="6"/>
      <c r="FQX1533" s="4"/>
      <c r="FQY1533" s="6"/>
      <c r="FQZ1533" s="4"/>
      <c r="FRA1533" s="6"/>
      <c r="FRB1533" s="4"/>
      <c r="FRC1533" s="6"/>
      <c r="FRD1533" s="4"/>
      <c r="FRE1533" s="6"/>
      <c r="FRF1533" s="4"/>
      <c r="FRG1533" s="6"/>
      <c r="FRH1533" s="4"/>
      <c r="FRI1533" s="6"/>
      <c r="FRJ1533" s="4"/>
      <c r="FRK1533" s="6"/>
      <c r="FRL1533" s="4"/>
      <c r="FRM1533" s="6"/>
      <c r="FRN1533" s="4"/>
      <c r="FRO1533" s="6"/>
      <c r="FRP1533" s="4"/>
      <c r="FRQ1533" s="6"/>
      <c r="FRR1533" s="4"/>
      <c r="FRS1533" s="6"/>
      <c r="FRT1533" s="4"/>
      <c r="FRU1533" s="6"/>
      <c r="FRV1533" s="4"/>
      <c r="FRW1533" s="6"/>
      <c r="FRX1533" s="4"/>
      <c r="FRY1533" s="6"/>
      <c r="FRZ1533" s="4"/>
      <c r="FSA1533" s="6"/>
      <c r="FSB1533" s="4"/>
      <c r="FSC1533" s="6"/>
      <c r="FSD1533" s="4"/>
      <c r="FSE1533" s="6"/>
      <c r="FSF1533" s="4"/>
      <c r="FSG1533" s="6"/>
      <c r="FSH1533" s="4"/>
      <c r="FSI1533" s="6"/>
      <c r="FSJ1533" s="4"/>
      <c r="FSK1533" s="6"/>
      <c r="FSL1533" s="4"/>
      <c r="FSM1533" s="6"/>
      <c r="FSN1533" s="4"/>
      <c r="FSO1533" s="6"/>
      <c r="FSP1533" s="4"/>
      <c r="FSQ1533" s="6"/>
      <c r="FSR1533" s="4"/>
      <c r="FSS1533" s="6"/>
      <c r="FST1533" s="4"/>
      <c r="FSU1533" s="6"/>
      <c r="FSV1533" s="4"/>
      <c r="FSW1533" s="6"/>
      <c r="FSX1533" s="4"/>
      <c r="FSY1533" s="6"/>
      <c r="FSZ1533" s="4"/>
      <c r="FTA1533" s="6"/>
      <c r="FTB1533" s="4"/>
      <c r="FTC1533" s="6"/>
      <c r="FTD1533" s="4"/>
      <c r="FTE1533" s="6"/>
      <c r="FTF1533" s="4"/>
      <c r="FTG1533" s="6"/>
      <c r="FTH1533" s="4"/>
      <c r="FTI1533" s="6"/>
      <c r="FTJ1533" s="4"/>
      <c r="FTK1533" s="6"/>
      <c r="FTL1533" s="4"/>
      <c r="FTM1533" s="6"/>
      <c r="FTN1533" s="4"/>
      <c r="FTO1533" s="6"/>
      <c r="FTP1533" s="4"/>
      <c r="FTQ1533" s="6"/>
      <c r="FTR1533" s="4"/>
      <c r="FTS1533" s="6"/>
      <c r="FTT1533" s="4"/>
      <c r="FTU1533" s="6"/>
      <c r="FTV1533" s="4"/>
      <c r="FTW1533" s="6"/>
      <c r="FTX1533" s="4"/>
      <c r="FTY1533" s="6"/>
      <c r="FTZ1533" s="4"/>
      <c r="FUA1533" s="6"/>
      <c r="FUB1533" s="4"/>
      <c r="FUC1533" s="6"/>
      <c r="FUD1533" s="4"/>
      <c r="FUE1533" s="6"/>
      <c r="FUF1533" s="4"/>
      <c r="FUG1533" s="6"/>
      <c r="FUH1533" s="4"/>
      <c r="FUI1533" s="6"/>
      <c r="FUJ1533" s="4"/>
      <c r="FUK1533" s="6"/>
      <c r="FUL1533" s="4"/>
      <c r="FUM1533" s="6"/>
      <c r="FUN1533" s="4"/>
      <c r="FUO1533" s="6"/>
      <c r="FUP1533" s="4"/>
      <c r="FUQ1533" s="6"/>
      <c r="FUR1533" s="4"/>
      <c r="FUS1533" s="6"/>
      <c r="FUT1533" s="4"/>
      <c r="FUU1533" s="6"/>
      <c r="FUV1533" s="4"/>
      <c r="FUW1533" s="6"/>
      <c r="FUX1533" s="4"/>
      <c r="FUY1533" s="6"/>
      <c r="FUZ1533" s="4"/>
      <c r="FVA1533" s="6"/>
      <c r="FVB1533" s="4"/>
      <c r="FVC1533" s="6"/>
      <c r="FVD1533" s="4"/>
      <c r="FVE1533" s="6"/>
      <c r="FVF1533" s="4"/>
      <c r="FVG1533" s="6"/>
      <c r="FVH1533" s="4"/>
      <c r="FVI1533" s="6"/>
      <c r="FVJ1533" s="4"/>
      <c r="FVK1533" s="6"/>
      <c r="FVL1533" s="4"/>
      <c r="FVM1533" s="6"/>
      <c r="FVN1533" s="4"/>
      <c r="FVO1533" s="6"/>
      <c r="FVP1533" s="4"/>
      <c r="FVQ1533" s="6"/>
      <c r="FVR1533" s="4"/>
      <c r="FVS1533" s="6"/>
      <c r="FVT1533" s="4"/>
      <c r="FVU1533" s="6"/>
      <c r="FVV1533" s="4"/>
      <c r="FVW1533" s="6"/>
      <c r="FVX1533" s="4"/>
      <c r="FVY1533" s="6"/>
      <c r="FVZ1533" s="4"/>
      <c r="FWA1533" s="6"/>
      <c r="FWB1533" s="4"/>
      <c r="FWC1533" s="6"/>
      <c r="FWD1533" s="4"/>
      <c r="FWE1533" s="6"/>
      <c r="FWF1533" s="4"/>
      <c r="FWG1533" s="6"/>
      <c r="FWH1533" s="4"/>
      <c r="FWI1533" s="6"/>
      <c r="FWJ1533" s="4"/>
      <c r="FWK1533" s="6"/>
      <c r="FWL1533" s="4"/>
      <c r="FWM1533" s="6"/>
      <c r="FWN1533" s="4"/>
      <c r="FWO1533" s="6"/>
      <c r="FWP1533" s="4"/>
      <c r="FWQ1533" s="6"/>
      <c r="FWR1533" s="4"/>
      <c r="FWS1533" s="6"/>
      <c r="FWT1533" s="4"/>
      <c r="FWU1533" s="6"/>
      <c r="FWV1533" s="4"/>
      <c r="FWW1533" s="6"/>
      <c r="FWX1533" s="4"/>
      <c r="FWY1533" s="6"/>
      <c r="FWZ1533" s="4"/>
      <c r="FXA1533" s="6"/>
      <c r="FXB1533" s="4"/>
      <c r="FXC1533" s="6"/>
      <c r="FXD1533" s="4"/>
      <c r="FXE1533" s="6"/>
      <c r="FXF1533" s="4"/>
      <c r="FXG1533" s="6"/>
      <c r="FXH1533" s="4"/>
      <c r="FXI1533" s="6"/>
      <c r="FXJ1533" s="4"/>
      <c r="FXK1533" s="6"/>
      <c r="FXL1533" s="4"/>
      <c r="FXM1533" s="6"/>
      <c r="FXN1533" s="4"/>
      <c r="FXO1533" s="6"/>
      <c r="FXP1533" s="4"/>
      <c r="FXQ1533" s="6"/>
      <c r="FXR1533" s="4"/>
      <c r="FXS1533" s="6"/>
      <c r="FXT1533" s="4"/>
      <c r="FXU1533" s="6"/>
      <c r="FXV1533" s="4"/>
      <c r="FXW1533" s="6"/>
      <c r="FXX1533" s="4"/>
      <c r="FXY1533" s="6"/>
      <c r="FXZ1533" s="4"/>
      <c r="FYA1533" s="6"/>
      <c r="FYB1533" s="4"/>
      <c r="FYC1533" s="6"/>
      <c r="FYD1533" s="4"/>
      <c r="FYE1533" s="6"/>
      <c r="FYF1533" s="4"/>
      <c r="FYG1533" s="6"/>
      <c r="FYH1533" s="4"/>
      <c r="FYI1533" s="6"/>
      <c r="FYJ1533" s="4"/>
      <c r="FYK1533" s="6"/>
      <c r="FYL1533" s="4"/>
      <c r="FYM1533" s="6"/>
      <c r="FYN1533" s="4"/>
      <c r="FYO1533" s="6"/>
      <c r="FYP1533" s="4"/>
      <c r="FYQ1533" s="6"/>
      <c r="FYR1533" s="4"/>
      <c r="FYS1533" s="6"/>
      <c r="FYT1533" s="4"/>
      <c r="FYU1533" s="6"/>
      <c r="FYV1533" s="4"/>
      <c r="FYW1533" s="6"/>
      <c r="FYX1533" s="4"/>
      <c r="FYY1533" s="6"/>
      <c r="FYZ1533" s="4"/>
      <c r="FZA1533" s="6"/>
      <c r="FZB1533" s="4"/>
      <c r="FZC1533" s="6"/>
      <c r="FZD1533" s="4"/>
      <c r="FZE1533" s="6"/>
      <c r="FZF1533" s="4"/>
      <c r="FZG1533" s="6"/>
      <c r="FZH1533" s="4"/>
      <c r="FZI1533" s="6"/>
      <c r="FZJ1533" s="4"/>
      <c r="FZK1533" s="6"/>
      <c r="FZL1533" s="4"/>
      <c r="FZM1533" s="6"/>
      <c r="FZN1533" s="4"/>
      <c r="FZO1533" s="6"/>
      <c r="FZP1533" s="4"/>
      <c r="FZQ1533" s="6"/>
      <c r="FZR1533" s="4"/>
      <c r="FZS1533" s="6"/>
      <c r="FZT1533" s="4"/>
      <c r="FZU1533" s="6"/>
      <c r="FZV1533" s="4"/>
      <c r="FZW1533" s="6"/>
      <c r="FZX1533" s="4"/>
      <c r="FZY1533" s="6"/>
      <c r="FZZ1533" s="4"/>
      <c r="GAA1533" s="6"/>
      <c r="GAB1533" s="4"/>
      <c r="GAC1533" s="6"/>
      <c r="GAD1533" s="4"/>
      <c r="GAE1533" s="6"/>
      <c r="GAF1533" s="4"/>
      <c r="GAG1533" s="6"/>
      <c r="GAH1533" s="4"/>
      <c r="GAI1533" s="6"/>
      <c r="GAJ1533" s="4"/>
      <c r="GAK1533" s="6"/>
      <c r="GAL1533" s="4"/>
      <c r="GAM1533" s="6"/>
      <c r="GAN1533" s="4"/>
      <c r="GAO1533" s="6"/>
      <c r="GAP1533" s="4"/>
      <c r="GAQ1533" s="6"/>
      <c r="GAR1533" s="4"/>
      <c r="GAS1533" s="6"/>
      <c r="GAT1533" s="4"/>
      <c r="GAU1533" s="6"/>
      <c r="GAV1533" s="4"/>
      <c r="GAW1533" s="6"/>
      <c r="GAX1533" s="4"/>
      <c r="GAY1533" s="6"/>
      <c r="GAZ1533" s="4"/>
      <c r="GBA1533" s="6"/>
      <c r="GBB1533" s="4"/>
      <c r="GBC1533" s="6"/>
      <c r="GBD1533" s="4"/>
      <c r="GBE1533" s="6"/>
      <c r="GBF1533" s="4"/>
      <c r="GBG1533" s="6"/>
      <c r="GBH1533" s="4"/>
      <c r="GBI1533" s="6"/>
      <c r="GBJ1533" s="4"/>
      <c r="GBK1533" s="6"/>
      <c r="GBL1533" s="4"/>
      <c r="GBM1533" s="6"/>
      <c r="GBN1533" s="4"/>
      <c r="GBO1533" s="6"/>
      <c r="GBP1533" s="4"/>
      <c r="GBQ1533" s="6"/>
      <c r="GBR1533" s="4"/>
      <c r="GBS1533" s="6"/>
      <c r="GBT1533" s="4"/>
      <c r="GBU1533" s="6"/>
      <c r="GBV1533" s="4"/>
      <c r="GBW1533" s="6"/>
      <c r="GBX1533" s="4"/>
      <c r="GBY1533" s="6"/>
      <c r="GBZ1533" s="4"/>
      <c r="GCA1533" s="6"/>
      <c r="GCB1533" s="4"/>
      <c r="GCC1533" s="6"/>
      <c r="GCD1533" s="4"/>
      <c r="GCE1533" s="6"/>
      <c r="GCF1533" s="4"/>
      <c r="GCG1533" s="6"/>
      <c r="GCH1533" s="4"/>
      <c r="GCI1533" s="6"/>
      <c r="GCJ1533" s="4"/>
      <c r="GCK1533" s="6"/>
      <c r="GCL1533" s="4"/>
      <c r="GCM1533" s="6"/>
      <c r="GCN1533" s="4"/>
      <c r="GCO1533" s="6"/>
      <c r="GCP1533" s="4"/>
      <c r="GCQ1533" s="6"/>
      <c r="GCR1533" s="4"/>
      <c r="GCS1533" s="6"/>
      <c r="GCT1533" s="4"/>
      <c r="GCU1533" s="6"/>
      <c r="GCV1533" s="4"/>
      <c r="GCW1533" s="6"/>
      <c r="GCX1533" s="4"/>
      <c r="GCY1533" s="6"/>
      <c r="GCZ1533" s="4"/>
      <c r="GDA1533" s="6"/>
      <c r="GDB1533" s="4"/>
      <c r="GDC1533" s="6"/>
      <c r="GDD1533" s="4"/>
      <c r="GDE1533" s="6"/>
      <c r="GDF1533" s="4"/>
      <c r="GDG1533" s="6"/>
      <c r="GDH1533" s="4"/>
      <c r="GDI1533" s="6"/>
      <c r="GDJ1533" s="4"/>
      <c r="GDK1533" s="6"/>
      <c r="GDL1533" s="4"/>
      <c r="GDM1533" s="6"/>
      <c r="GDN1533" s="4"/>
      <c r="GDO1533" s="6"/>
      <c r="GDP1533" s="4"/>
      <c r="GDQ1533" s="6"/>
      <c r="GDR1533" s="4"/>
      <c r="GDS1533" s="6"/>
      <c r="GDT1533" s="4"/>
      <c r="GDU1533" s="6"/>
      <c r="GDV1533" s="4"/>
      <c r="GDW1533" s="6"/>
      <c r="GDX1533" s="4"/>
      <c r="GDY1533" s="6"/>
      <c r="GDZ1533" s="4"/>
      <c r="GEA1533" s="6"/>
      <c r="GEB1533" s="4"/>
      <c r="GEC1533" s="6"/>
      <c r="GED1533" s="4"/>
      <c r="GEE1533" s="6"/>
      <c r="GEF1533" s="4"/>
      <c r="GEG1533" s="6"/>
      <c r="GEH1533" s="4"/>
      <c r="GEI1533" s="6"/>
      <c r="GEJ1533" s="4"/>
      <c r="GEK1533" s="6"/>
      <c r="GEL1533" s="4"/>
      <c r="GEM1533" s="6"/>
      <c r="GEN1533" s="4"/>
      <c r="GEO1533" s="6"/>
      <c r="GEP1533" s="4"/>
      <c r="GEQ1533" s="6"/>
      <c r="GER1533" s="4"/>
      <c r="GES1533" s="6"/>
      <c r="GET1533" s="4"/>
      <c r="GEU1533" s="6"/>
      <c r="GEV1533" s="4"/>
      <c r="GEW1533" s="6"/>
      <c r="GEX1533" s="4"/>
      <c r="GEY1533" s="6"/>
      <c r="GEZ1533" s="4"/>
      <c r="GFA1533" s="6"/>
      <c r="GFB1533" s="4"/>
      <c r="GFC1533" s="6"/>
      <c r="GFD1533" s="4"/>
      <c r="GFE1533" s="6"/>
      <c r="GFF1533" s="4"/>
      <c r="GFG1533" s="6"/>
      <c r="GFH1533" s="4"/>
      <c r="GFI1533" s="6"/>
      <c r="GFJ1533" s="4"/>
      <c r="GFK1533" s="6"/>
      <c r="GFL1533" s="4"/>
      <c r="GFM1533" s="6"/>
      <c r="GFN1533" s="4"/>
      <c r="GFO1533" s="6"/>
      <c r="GFP1533" s="4"/>
      <c r="GFQ1533" s="6"/>
      <c r="GFR1533" s="4"/>
      <c r="GFS1533" s="6"/>
      <c r="GFT1533" s="4"/>
      <c r="GFU1533" s="6"/>
      <c r="GFV1533" s="4"/>
      <c r="GFW1533" s="6"/>
      <c r="GFX1533" s="4"/>
      <c r="GFY1533" s="6"/>
      <c r="GFZ1533" s="4"/>
      <c r="GGA1533" s="6"/>
      <c r="GGB1533" s="4"/>
      <c r="GGC1533" s="6"/>
      <c r="GGD1533" s="4"/>
      <c r="GGE1533" s="6"/>
      <c r="GGF1533" s="4"/>
      <c r="GGG1533" s="6"/>
      <c r="GGH1533" s="4"/>
      <c r="GGI1533" s="6"/>
      <c r="GGJ1533" s="4"/>
      <c r="GGK1533" s="6"/>
      <c r="GGL1533" s="4"/>
      <c r="GGM1533" s="6"/>
      <c r="GGN1533" s="4"/>
      <c r="GGO1533" s="6"/>
      <c r="GGP1533" s="4"/>
      <c r="GGQ1533" s="6"/>
      <c r="GGR1533" s="4"/>
      <c r="GGS1533" s="6"/>
      <c r="GGT1533" s="4"/>
      <c r="GGU1533" s="6"/>
      <c r="GGV1533" s="4"/>
      <c r="GGW1533" s="6"/>
      <c r="GGX1533" s="4"/>
      <c r="GGY1533" s="6"/>
      <c r="GGZ1533" s="4"/>
      <c r="GHA1533" s="6"/>
      <c r="GHB1533" s="4"/>
      <c r="GHC1533" s="6"/>
      <c r="GHD1533" s="4"/>
      <c r="GHE1533" s="6"/>
      <c r="GHF1533" s="4"/>
      <c r="GHG1533" s="6"/>
      <c r="GHH1533" s="4"/>
      <c r="GHI1533" s="6"/>
      <c r="GHJ1533" s="4"/>
      <c r="GHK1533" s="6"/>
      <c r="GHL1533" s="4"/>
      <c r="GHM1533" s="6"/>
      <c r="GHN1533" s="4"/>
      <c r="GHO1533" s="6"/>
      <c r="GHP1533" s="4"/>
      <c r="GHQ1533" s="6"/>
      <c r="GHR1533" s="4"/>
      <c r="GHS1533" s="6"/>
      <c r="GHT1533" s="4"/>
      <c r="GHU1533" s="6"/>
      <c r="GHV1533" s="4"/>
      <c r="GHW1533" s="6"/>
      <c r="GHX1533" s="4"/>
      <c r="GHY1533" s="6"/>
      <c r="GHZ1533" s="4"/>
      <c r="GIA1533" s="6"/>
      <c r="GIB1533" s="4"/>
      <c r="GIC1533" s="6"/>
      <c r="GID1533" s="4"/>
      <c r="GIE1533" s="6"/>
      <c r="GIF1533" s="4"/>
      <c r="GIG1533" s="6"/>
      <c r="GIH1533" s="4"/>
      <c r="GII1533" s="6"/>
      <c r="GIJ1533" s="4"/>
      <c r="GIK1533" s="6"/>
      <c r="GIL1533" s="4"/>
      <c r="GIM1533" s="6"/>
      <c r="GIN1533" s="4"/>
      <c r="GIO1533" s="6"/>
      <c r="GIP1533" s="4"/>
      <c r="GIQ1533" s="6"/>
      <c r="GIR1533" s="4"/>
      <c r="GIS1533" s="6"/>
      <c r="GIT1533" s="4"/>
      <c r="GIU1533" s="6"/>
      <c r="GIV1533" s="4"/>
      <c r="GIW1533" s="6"/>
      <c r="GIX1533" s="4"/>
      <c r="GIY1533" s="6"/>
      <c r="GIZ1533" s="4"/>
      <c r="GJA1533" s="6"/>
      <c r="GJB1533" s="4"/>
      <c r="GJC1533" s="6"/>
      <c r="GJD1533" s="4"/>
      <c r="GJE1533" s="6"/>
      <c r="GJF1533" s="4"/>
      <c r="GJG1533" s="6"/>
      <c r="GJH1533" s="4"/>
      <c r="GJI1533" s="6"/>
      <c r="GJJ1533" s="4"/>
      <c r="GJK1533" s="6"/>
      <c r="GJL1533" s="4"/>
      <c r="GJM1533" s="6"/>
      <c r="GJN1533" s="4"/>
      <c r="GJO1533" s="6"/>
      <c r="GJP1533" s="4"/>
      <c r="GJQ1533" s="6"/>
      <c r="GJR1533" s="4"/>
      <c r="GJS1533" s="6"/>
      <c r="GJT1533" s="4"/>
      <c r="GJU1533" s="6"/>
      <c r="GJV1533" s="4"/>
      <c r="GJW1533" s="6"/>
      <c r="GJX1533" s="4"/>
      <c r="GJY1533" s="6"/>
      <c r="GJZ1533" s="4"/>
      <c r="GKA1533" s="6"/>
      <c r="GKB1533" s="4"/>
      <c r="GKC1533" s="6"/>
      <c r="GKD1533" s="4"/>
      <c r="GKE1533" s="6"/>
      <c r="GKF1533" s="4"/>
      <c r="GKG1533" s="6"/>
      <c r="GKH1533" s="4"/>
      <c r="GKI1533" s="6"/>
      <c r="GKJ1533" s="4"/>
      <c r="GKK1533" s="6"/>
      <c r="GKL1533" s="4"/>
      <c r="GKM1533" s="6"/>
      <c r="GKN1533" s="4"/>
      <c r="GKO1533" s="6"/>
      <c r="GKP1533" s="4"/>
      <c r="GKQ1533" s="6"/>
      <c r="GKR1533" s="4"/>
      <c r="GKS1533" s="6"/>
      <c r="GKT1533" s="4"/>
      <c r="GKU1533" s="6"/>
      <c r="GKV1533" s="4"/>
      <c r="GKW1533" s="6"/>
      <c r="GKX1533" s="4"/>
      <c r="GKY1533" s="6"/>
      <c r="GKZ1533" s="4"/>
      <c r="GLA1533" s="6"/>
      <c r="GLB1533" s="4"/>
      <c r="GLC1533" s="6"/>
      <c r="GLD1533" s="4"/>
      <c r="GLE1533" s="6"/>
      <c r="GLF1533" s="4"/>
      <c r="GLG1533" s="6"/>
      <c r="GLH1533" s="4"/>
      <c r="GLI1533" s="6"/>
      <c r="GLJ1533" s="4"/>
      <c r="GLK1533" s="6"/>
      <c r="GLL1533" s="4"/>
      <c r="GLM1533" s="6"/>
      <c r="GLN1533" s="4"/>
      <c r="GLO1533" s="6"/>
      <c r="GLP1533" s="4"/>
      <c r="GLQ1533" s="6"/>
      <c r="GLR1533" s="4"/>
      <c r="GLS1533" s="6"/>
      <c r="GLT1533" s="4"/>
      <c r="GLU1533" s="6"/>
      <c r="GLV1533" s="4"/>
      <c r="GLW1533" s="6"/>
      <c r="GLX1533" s="4"/>
      <c r="GLY1533" s="6"/>
      <c r="GLZ1533" s="4"/>
      <c r="GMA1533" s="6"/>
      <c r="GMB1533" s="4"/>
      <c r="GMC1533" s="6"/>
      <c r="GMD1533" s="4"/>
      <c r="GME1533" s="6"/>
      <c r="GMF1533" s="4"/>
      <c r="GMG1533" s="6"/>
      <c r="GMH1533" s="4"/>
      <c r="GMI1533" s="6"/>
      <c r="GMJ1533" s="4"/>
      <c r="GMK1533" s="6"/>
      <c r="GML1533" s="4"/>
      <c r="GMM1533" s="6"/>
      <c r="GMN1533" s="4"/>
      <c r="GMO1533" s="6"/>
      <c r="GMP1533" s="4"/>
      <c r="GMQ1533" s="6"/>
      <c r="GMR1533" s="4"/>
      <c r="GMS1533" s="6"/>
      <c r="GMT1533" s="4"/>
      <c r="GMU1533" s="6"/>
      <c r="GMV1533" s="4"/>
      <c r="GMW1533" s="6"/>
      <c r="GMX1533" s="4"/>
      <c r="GMY1533" s="6"/>
      <c r="GMZ1533" s="4"/>
      <c r="GNA1533" s="6"/>
      <c r="GNB1533" s="4"/>
      <c r="GNC1533" s="6"/>
      <c r="GND1533" s="4"/>
      <c r="GNE1533" s="6"/>
      <c r="GNF1533" s="4"/>
      <c r="GNG1533" s="6"/>
      <c r="GNH1533" s="4"/>
      <c r="GNI1533" s="6"/>
      <c r="GNJ1533" s="4"/>
      <c r="GNK1533" s="6"/>
      <c r="GNL1533" s="4"/>
      <c r="GNM1533" s="6"/>
      <c r="GNN1533" s="4"/>
      <c r="GNO1533" s="6"/>
      <c r="GNP1533" s="4"/>
      <c r="GNQ1533" s="6"/>
      <c r="GNR1533" s="4"/>
      <c r="GNS1533" s="6"/>
      <c r="GNT1533" s="4"/>
      <c r="GNU1533" s="6"/>
      <c r="GNV1533" s="4"/>
      <c r="GNW1533" s="6"/>
      <c r="GNX1533" s="4"/>
      <c r="GNY1533" s="6"/>
      <c r="GNZ1533" s="4"/>
      <c r="GOA1533" s="6"/>
      <c r="GOB1533" s="4"/>
      <c r="GOC1533" s="6"/>
      <c r="GOD1533" s="4"/>
      <c r="GOE1533" s="6"/>
      <c r="GOF1533" s="4"/>
      <c r="GOG1533" s="6"/>
      <c r="GOH1533" s="4"/>
      <c r="GOI1533" s="6"/>
      <c r="GOJ1533" s="4"/>
      <c r="GOK1533" s="6"/>
      <c r="GOL1533" s="4"/>
      <c r="GOM1533" s="6"/>
      <c r="GON1533" s="4"/>
      <c r="GOO1533" s="6"/>
      <c r="GOP1533" s="4"/>
      <c r="GOQ1533" s="6"/>
      <c r="GOR1533" s="4"/>
      <c r="GOS1533" s="6"/>
      <c r="GOT1533" s="4"/>
      <c r="GOU1533" s="6"/>
      <c r="GOV1533" s="4"/>
      <c r="GOW1533" s="6"/>
      <c r="GOX1533" s="4"/>
      <c r="GOY1533" s="6"/>
      <c r="GOZ1533" s="4"/>
      <c r="GPA1533" s="6"/>
      <c r="GPB1533" s="4"/>
      <c r="GPC1533" s="6"/>
      <c r="GPD1533" s="4"/>
      <c r="GPE1533" s="6"/>
      <c r="GPF1533" s="4"/>
      <c r="GPG1533" s="6"/>
      <c r="GPH1533" s="4"/>
      <c r="GPI1533" s="6"/>
      <c r="GPJ1533" s="4"/>
      <c r="GPK1533" s="6"/>
      <c r="GPL1533" s="4"/>
      <c r="GPM1533" s="6"/>
      <c r="GPN1533" s="4"/>
      <c r="GPO1533" s="6"/>
      <c r="GPP1533" s="4"/>
      <c r="GPQ1533" s="6"/>
      <c r="GPR1533" s="4"/>
      <c r="GPS1533" s="6"/>
      <c r="GPT1533" s="4"/>
      <c r="GPU1533" s="6"/>
      <c r="GPV1533" s="4"/>
      <c r="GPW1533" s="6"/>
      <c r="GPX1533" s="4"/>
      <c r="GPY1533" s="6"/>
      <c r="GPZ1533" s="4"/>
      <c r="GQA1533" s="6"/>
      <c r="GQB1533" s="4"/>
      <c r="GQC1533" s="6"/>
      <c r="GQD1533" s="4"/>
      <c r="GQE1533" s="6"/>
      <c r="GQF1533" s="4"/>
      <c r="GQG1533" s="6"/>
      <c r="GQH1533" s="4"/>
      <c r="GQI1533" s="6"/>
      <c r="GQJ1533" s="4"/>
      <c r="GQK1533" s="6"/>
      <c r="GQL1533" s="4"/>
      <c r="GQM1533" s="6"/>
      <c r="GQN1533" s="4"/>
      <c r="GQO1533" s="6"/>
      <c r="GQP1533" s="4"/>
      <c r="GQQ1533" s="6"/>
      <c r="GQR1533" s="4"/>
      <c r="GQS1533" s="6"/>
      <c r="GQT1533" s="4"/>
      <c r="GQU1533" s="6"/>
      <c r="GQV1533" s="4"/>
      <c r="GQW1533" s="6"/>
      <c r="GQX1533" s="4"/>
      <c r="GQY1533" s="6"/>
      <c r="GQZ1533" s="4"/>
      <c r="GRA1533" s="6"/>
      <c r="GRB1533" s="4"/>
      <c r="GRC1533" s="6"/>
      <c r="GRD1533" s="4"/>
      <c r="GRE1533" s="6"/>
      <c r="GRF1533" s="4"/>
      <c r="GRG1533" s="6"/>
      <c r="GRH1533" s="4"/>
      <c r="GRI1533" s="6"/>
      <c r="GRJ1533" s="4"/>
      <c r="GRK1533" s="6"/>
      <c r="GRL1533" s="4"/>
      <c r="GRM1533" s="6"/>
      <c r="GRN1533" s="4"/>
      <c r="GRO1533" s="6"/>
      <c r="GRP1533" s="4"/>
      <c r="GRQ1533" s="6"/>
      <c r="GRR1533" s="4"/>
      <c r="GRS1533" s="6"/>
      <c r="GRT1533" s="4"/>
      <c r="GRU1533" s="6"/>
      <c r="GRV1533" s="4"/>
      <c r="GRW1533" s="6"/>
      <c r="GRX1533" s="4"/>
      <c r="GRY1533" s="6"/>
      <c r="GRZ1533" s="4"/>
      <c r="GSA1533" s="6"/>
      <c r="GSB1533" s="4"/>
      <c r="GSC1533" s="6"/>
      <c r="GSD1533" s="4"/>
      <c r="GSE1533" s="6"/>
      <c r="GSF1533" s="4"/>
      <c r="GSG1533" s="6"/>
      <c r="GSH1533" s="4"/>
      <c r="GSI1533" s="6"/>
      <c r="GSJ1533" s="4"/>
      <c r="GSK1533" s="6"/>
      <c r="GSL1533" s="4"/>
      <c r="GSM1533" s="6"/>
      <c r="GSN1533" s="4"/>
      <c r="GSO1533" s="6"/>
      <c r="GSP1533" s="4"/>
      <c r="GSQ1533" s="6"/>
      <c r="GSR1533" s="4"/>
      <c r="GSS1533" s="6"/>
      <c r="GST1533" s="4"/>
      <c r="GSU1533" s="6"/>
      <c r="GSV1533" s="4"/>
      <c r="GSW1533" s="6"/>
      <c r="GSX1533" s="4"/>
      <c r="GSY1533" s="6"/>
      <c r="GSZ1533" s="4"/>
      <c r="GTA1533" s="6"/>
      <c r="GTB1533" s="4"/>
      <c r="GTC1533" s="6"/>
      <c r="GTD1533" s="4"/>
      <c r="GTE1533" s="6"/>
      <c r="GTF1533" s="4"/>
      <c r="GTG1533" s="6"/>
      <c r="GTH1533" s="4"/>
      <c r="GTI1533" s="6"/>
      <c r="GTJ1533" s="4"/>
      <c r="GTK1533" s="6"/>
      <c r="GTL1533" s="4"/>
      <c r="GTM1533" s="6"/>
      <c r="GTN1533" s="4"/>
      <c r="GTO1533" s="6"/>
      <c r="GTP1533" s="4"/>
      <c r="GTQ1533" s="6"/>
      <c r="GTR1533" s="4"/>
      <c r="GTS1533" s="6"/>
      <c r="GTT1533" s="4"/>
      <c r="GTU1533" s="6"/>
      <c r="GTV1533" s="4"/>
      <c r="GTW1533" s="6"/>
      <c r="GTX1533" s="4"/>
      <c r="GTY1533" s="6"/>
      <c r="GTZ1533" s="4"/>
      <c r="GUA1533" s="6"/>
      <c r="GUB1533" s="4"/>
      <c r="GUC1533" s="6"/>
      <c r="GUD1533" s="4"/>
      <c r="GUE1533" s="6"/>
      <c r="GUF1533" s="4"/>
      <c r="GUG1533" s="6"/>
      <c r="GUH1533" s="4"/>
      <c r="GUI1533" s="6"/>
      <c r="GUJ1533" s="4"/>
      <c r="GUK1533" s="6"/>
      <c r="GUL1533" s="4"/>
      <c r="GUM1533" s="6"/>
      <c r="GUN1533" s="4"/>
      <c r="GUO1533" s="6"/>
      <c r="GUP1533" s="4"/>
      <c r="GUQ1533" s="6"/>
      <c r="GUR1533" s="4"/>
      <c r="GUS1533" s="6"/>
      <c r="GUT1533" s="4"/>
      <c r="GUU1533" s="6"/>
      <c r="GUV1533" s="4"/>
      <c r="GUW1533" s="6"/>
      <c r="GUX1533" s="4"/>
      <c r="GUY1533" s="6"/>
      <c r="GUZ1533" s="4"/>
      <c r="GVA1533" s="6"/>
      <c r="GVB1533" s="4"/>
      <c r="GVC1533" s="6"/>
      <c r="GVD1533" s="4"/>
      <c r="GVE1533" s="6"/>
      <c r="GVF1533" s="4"/>
      <c r="GVG1533" s="6"/>
      <c r="GVH1533" s="4"/>
      <c r="GVI1533" s="6"/>
      <c r="GVJ1533" s="4"/>
      <c r="GVK1533" s="6"/>
      <c r="GVL1533" s="4"/>
      <c r="GVM1533" s="6"/>
      <c r="GVN1533" s="4"/>
      <c r="GVO1533" s="6"/>
      <c r="GVP1533" s="4"/>
      <c r="GVQ1533" s="6"/>
      <c r="GVR1533" s="4"/>
      <c r="GVS1533" s="6"/>
      <c r="GVT1533" s="4"/>
      <c r="GVU1533" s="6"/>
      <c r="GVV1533" s="4"/>
      <c r="GVW1533" s="6"/>
      <c r="GVX1533" s="4"/>
      <c r="GVY1533" s="6"/>
      <c r="GVZ1533" s="4"/>
      <c r="GWA1533" s="6"/>
      <c r="GWB1533" s="4"/>
      <c r="GWC1533" s="6"/>
      <c r="GWD1533" s="4"/>
      <c r="GWE1533" s="6"/>
      <c r="GWF1533" s="4"/>
      <c r="GWG1533" s="6"/>
      <c r="GWH1533" s="4"/>
      <c r="GWI1533" s="6"/>
      <c r="GWJ1533" s="4"/>
      <c r="GWK1533" s="6"/>
      <c r="GWL1533" s="4"/>
      <c r="GWM1533" s="6"/>
      <c r="GWN1533" s="4"/>
      <c r="GWO1533" s="6"/>
      <c r="GWP1533" s="4"/>
      <c r="GWQ1533" s="6"/>
      <c r="GWR1533" s="4"/>
      <c r="GWS1533" s="6"/>
      <c r="GWT1533" s="4"/>
      <c r="GWU1533" s="6"/>
      <c r="GWV1533" s="4"/>
      <c r="GWW1533" s="6"/>
      <c r="GWX1533" s="4"/>
      <c r="GWY1533" s="6"/>
      <c r="GWZ1533" s="4"/>
      <c r="GXA1533" s="6"/>
      <c r="GXB1533" s="4"/>
      <c r="GXC1533" s="6"/>
      <c r="GXD1533" s="4"/>
      <c r="GXE1533" s="6"/>
      <c r="GXF1533" s="4"/>
      <c r="GXG1533" s="6"/>
      <c r="GXH1533" s="4"/>
      <c r="GXI1533" s="6"/>
      <c r="GXJ1533" s="4"/>
      <c r="GXK1533" s="6"/>
      <c r="GXL1533" s="4"/>
      <c r="GXM1533" s="6"/>
      <c r="GXN1533" s="4"/>
      <c r="GXO1533" s="6"/>
      <c r="GXP1533" s="4"/>
      <c r="GXQ1533" s="6"/>
      <c r="GXR1533" s="4"/>
      <c r="GXS1533" s="6"/>
      <c r="GXT1533" s="4"/>
      <c r="GXU1533" s="6"/>
      <c r="GXV1533" s="4"/>
      <c r="GXW1533" s="6"/>
      <c r="GXX1533" s="4"/>
      <c r="GXY1533" s="6"/>
      <c r="GXZ1533" s="4"/>
      <c r="GYA1533" s="6"/>
      <c r="GYB1533" s="4"/>
      <c r="GYC1533" s="6"/>
      <c r="GYD1533" s="4"/>
      <c r="GYE1533" s="6"/>
      <c r="GYF1533" s="4"/>
      <c r="GYG1533" s="6"/>
      <c r="GYH1533" s="4"/>
      <c r="GYI1533" s="6"/>
      <c r="GYJ1533" s="4"/>
      <c r="GYK1533" s="6"/>
      <c r="GYL1533" s="4"/>
      <c r="GYM1533" s="6"/>
      <c r="GYN1533" s="4"/>
      <c r="GYO1533" s="6"/>
      <c r="GYP1533" s="4"/>
      <c r="GYQ1533" s="6"/>
      <c r="GYR1533" s="4"/>
      <c r="GYS1533" s="6"/>
      <c r="GYT1533" s="4"/>
      <c r="GYU1533" s="6"/>
      <c r="GYV1533" s="4"/>
      <c r="GYW1533" s="6"/>
      <c r="GYX1533" s="4"/>
      <c r="GYY1533" s="6"/>
      <c r="GYZ1533" s="4"/>
      <c r="GZA1533" s="6"/>
      <c r="GZB1533" s="4"/>
      <c r="GZC1533" s="6"/>
      <c r="GZD1533" s="4"/>
      <c r="GZE1533" s="6"/>
      <c r="GZF1533" s="4"/>
      <c r="GZG1533" s="6"/>
      <c r="GZH1533" s="4"/>
      <c r="GZI1533" s="6"/>
      <c r="GZJ1533" s="4"/>
      <c r="GZK1533" s="6"/>
      <c r="GZL1533" s="4"/>
      <c r="GZM1533" s="6"/>
      <c r="GZN1533" s="4"/>
      <c r="GZO1533" s="6"/>
      <c r="GZP1533" s="4"/>
      <c r="GZQ1533" s="6"/>
      <c r="GZR1533" s="4"/>
      <c r="GZS1533" s="6"/>
      <c r="GZT1533" s="4"/>
      <c r="GZU1533" s="6"/>
      <c r="GZV1533" s="4"/>
      <c r="GZW1533" s="6"/>
      <c r="GZX1533" s="4"/>
      <c r="GZY1533" s="6"/>
      <c r="GZZ1533" s="4"/>
      <c r="HAA1533" s="6"/>
      <c r="HAB1533" s="4"/>
      <c r="HAC1533" s="6"/>
      <c r="HAD1533" s="4"/>
      <c r="HAE1533" s="6"/>
      <c r="HAF1533" s="4"/>
      <c r="HAG1533" s="6"/>
      <c r="HAH1533" s="4"/>
      <c r="HAI1533" s="6"/>
      <c r="HAJ1533" s="4"/>
      <c r="HAK1533" s="6"/>
      <c r="HAL1533" s="4"/>
      <c r="HAM1533" s="6"/>
      <c r="HAN1533" s="4"/>
      <c r="HAO1533" s="6"/>
      <c r="HAP1533" s="4"/>
      <c r="HAQ1533" s="6"/>
      <c r="HAR1533" s="4"/>
      <c r="HAS1533" s="6"/>
      <c r="HAT1533" s="4"/>
      <c r="HAU1533" s="6"/>
      <c r="HAV1533" s="4"/>
      <c r="HAW1533" s="6"/>
      <c r="HAX1533" s="4"/>
      <c r="HAY1533" s="6"/>
      <c r="HAZ1533" s="4"/>
      <c r="HBA1533" s="6"/>
      <c r="HBB1533" s="4"/>
      <c r="HBC1533" s="6"/>
      <c r="HBD1533" s="4"/>
      <c r="HBE1533" s="6"/>
      <c r="HBF1533" s="4"/>
      <c r="HBG1533" s="6"/>
      <c r="HBH1533" s="4"/>
      <c r="HBI1533" s="6"/>
      <c r="HBJ1533" s="4"/>
      <c r="HBK1533" s="6"/>
      <c r="HBL1533" s="4"/>
      <c r="HBM1533" s="6"/>
      <c r="HBN1533" s="4"/>
      <c r="HBO1533" s="6"/>
      <c r="HBP1533" s="4"/>
      <c r="HBQ1533" s="6"/>
      <c r="HBR1533" s="4"/>
      <c r="HBS1533" s="6"/>
      <c r="HBT1533" s="4"/>
      <c r="HBU1533" s="6"/>
      <c r="HBV1533" s="4"/>
      <c r="HBW1533" s="6"/>
      <c r="HBX1533" s="4"/>
      <c r="HBY1533" s="6"/>
      <c r="HBZ1533" s="4"/>
      <c r="HCA1533" s="6"/>
      <c r="HCB1533" s="4"/>
      <c r="HCC1533" s="6"/>
      <c r="HCD1533" s="4"/>
      <c r="HCE1533" s="6"/>
      <c r="HCF1533" s="4"/>
      <c r="HCG1533" s="6"/>
      <c r="HCH1533" s="4"/>
      <c r="HCI1533" s="6"/>
      <c r="HCJ1533" s="4"/>
      <c r="HCK1533" s="6"/>
      <c r="HCL1533" s="4"/>
      <c r="HCM1533" s="6"/>
      <c r="HCN1533" s="4"/>
      <c r="HCO1533" s="6"/>
      <c r="HCP1533" s="4"/>
      <c r="HCQ1533" s="6"/>
      <c r="HCR1533" s="4"/>
      <c r="HCS1533" s="6"/>
      <c r="HCT1533" s="4"/>
      <c r="HCU1533" s="6"/>
      <c r="HCV1533" s="4"/>
      <c r="HCW1533" s="6"/>
      <c r="HCX1533" s="4"/>
      <c r="HCY1533" s="6"/>
      <c r="HCZ1533" s="4"/>
      <c r="HDA1533" s="6"/>
      <c r="HDB1533" s="4"/>
      <c r="HDC1533" s="6"/>
      <c r="HDD1533" s="4"/>
      <c r="HDE1533" s="6"/>
      <c r="HDF1533" s="4"/>
      <c r="HDG1533" s="6"/>
      <c r="HDH1533" s="4"/>
      <c r="HDI1533" s="6"/>
      <c r="HDJ1533" s="4"/>
      <c r="HDK1533" s="6"/>
      <c r="HDL1533" s="4"/>
      <c r="HDM1533" s="6"/>
      <c r="HDN1533" s="4"/>
      <c r="HDO1533" s="6"/>
      <c r="HDP1533" s="4"/>
      <c r="HDQ1533" s="6"/>
      <c r="HDR1533" s="4"/>
      <c r="HDS1533" s="6"/>
      <c r="HDT1533" s="4"/>
      <c r="HDU1533" s="6"/>
      <c r="HDV1533" s="4"/>
      <c r="HDW1533" s="6"/>
      <c r="HDX1533" s="4"/>
      <c r="HDY1533" s="6"/>
      <c r="HDZ1533" s="4"/>
      <c r="HEA1533" s="6"/>
      <c r="HEB1533" s="4"/>
      <c r="HEC1533" s="6"/>
      <c r="HED1533" s="4"/>
      <c r="HEE1533" s="6"/>
      <c r="HEF1533" s="4"/>
      <c r="HEG1533" s="6"/>
      <c r="HEH1533" s="4"/>
      <c r="HEI1533" s="6"/>
      <c r="HEJ1533" s="4"/>
      <c r="HEK1533" s="6"/>
      <c r="HEL1533" s="4"/>
      <c r="HEM1533" s="6"/>
      <c r="HEN1533" s="4"/>
      <c r="HEO1533" s="6"/>
      <c r="HEP1533" s="4"/>
      <c r="HEQ1533" s="6"/>
      <c r="HER1533" s="4"/>
      <c r="HES1533" s="6"/>
      <c r="HET1533" s="4"/>
      <c r="HEU1533" s="6"/>
      <c r="HEV1533" s="4"/>
      <c r="HEW1533" s="6"/>
      <c r="HEX1533" s="4"/>
      <c r="HEY1533" s="6"/>
      <c r="HEZ1533" s="4"/>
      <c r="HFA1533" s="6"/>
      <c r="HFB1533" s="4"/>
      <c r="HFC1533" s="6"/>
      <c r="HFD1533" s="4"/>
      <c r="HFE1533" s="6"/>
      <c r="HFF1533" s="4"/>
      <c r="HFG1533" s="6"/>
      <c r="HFH1533" s="4"/>
      <c r="HFI1533" s="6"/>
      <c r="HFJ1533" s="4"/>
      <c r="HFK1533" s="6"/>
      <c r="HFL1533" s="4"/>
      <c r="HFM1533" s="6"/>
      <c r="HFN1533" s="4"/>
      <c r="HFO1533" s="6"/>
      <c r="HFP1533" s="4"/>
      <c r="HFQ1533" s="6"/>
      <c r="HFR1533" s="4"/>
      <c r="HFS1533" s="6"/>
      <c r="HFT1533" s="4"/>
      <c r="HFU1533" s="6"/>
      <c r="HFV1533" s="4"/>
      <c r="HFW1533" s="6"/>
      <c r="HFX1533" s="4"/>
      <c r="HFY1533" s="6"/>
      <c r="HFZ1533" s="4"/>
      <c r="HGA1533" s="6"/>
      <c r="HGB1533" s="4"/>
      <c r="HGC1533" s="6"/>
      <c r="HGD1533" s="4"/>
      <c r="HGE1533" s="6"/>
      <c r="HGF1533" s="4"/>
      <c r="HGG1533" s="6"/>
      <c r="HGH1533" s="4"/>
      <c r="HGI1533" s="6"/>
      <c r="HGJ1533" s="4"/>
      <c r="HGK1533" s="6"/>
      <c r="HGL1533" s="4"/>
      <c r="HGM1533" s="6"/>
      <c r="HGN1533" s="4"/>
      <c r="HGO1533" s="6"/>
      <c r="HGP1533" s="4"/>
      <c r="HGQ1533" s="6"/>
      <c r="HGR1533" s="4"/>
      <c r="HGS1533" s="6"/>
      <c r="HGT1533" s="4"/>
      <c r="HGU1533" s="6"/>
      <c r="HGV1533" s="4"/>
      <c r="HGW1533" s="6"/>
      <c r="HGX1533" s="4"/>
      <c r="HGY1533" s="6"/>
      <c r="HGZ1533" s="4"/>
      <c r="HHA1533" s="6"/>
      <c r="HHB1533" s="4"/>
      <c r="HHC1533" s="6"/>
      <c r="HHD1533" s="4"/>
      <c r="HHE1533" s="6"/>
      <c r="HHF1533" s="4"/>
      <c r="HHG1533" s="6"/>
      <c r="HHH1533" s="4"/>
      <c r="HHI1533" s="6"/>
      <c r="HHJ1533" s="4"/>
      <c r="HHK1533" s="6"/>
      <c r="HHL1533" s="4"/>
      <c r="HHM1533" s="6"/>
      <c r="HHN1533" s="4"/>
      <c r="HHO1533" s="6"/>
      <c r="HHP1533" s="4"/>
      <c r="HHQ1533" s="6"/>
      <c r="HHR1533" s="4"/>
      <c r="HHS1533" s="6"/>
      <c r="HHT1533" s="4"/>
      <c r="HHU1533" s="6"/>
      <c r="HHV1533" s="4"/>
      <c r="HHW1533" s="6"/>
      <c r="HHX1533" s="4"/>
      <c r="HHY1533" s="6"/>
      <c r="HHZ1533" s="4"/>
      <c r="HIA1533" s="6"/>
      <c r="HIB1533" s="4"/>
      <c r="HIC1533" s="6"/>
      <c r="HID1533" s="4"/>
      <c r="HIE1533" s="6"/>
      <c r="HIF1533" s="4"/>
      <c r="HIG1533" s="6"/>
      <c r="HIH1533" s="4"/>
      <c r="HII1533" s="6"/>
      <c r="HIJ1533" s="4"/>
      <c r="HIK1533" s="6"/>
      <c r="HIL1533" s="4"/>
      <c r="HIM1533" s="6"/>
      <c r="HIN1533" s="4"/>
      <c r="HIO1533" s="6"/>
      <c r="HIP1533" s="4"/>
      <c r="HIQ1533" s="6"/>
      <c r="HIR1533" s="4"/>
      <c r="HIS1533" s="6"/>
      <c r="HIT1533" s="4"/>
      <c r="HIU1533" s="6"/>
      <c r="HIV1533" s="4"/>
      <c r="HIW1533" s="6"/>
      <c r="HIX1533" s="4"/>
      <c r="HIY1533" s="6"/>
      <c r="HIZ1533" s="4"/>
      <c r="HJA1533" s="6"/>
      <c r="HJB1533" s="4"/>
      <c r="HJC1533" s="6"/>
      <c r="HJD1533" s="4"/>
      <c r="HJE1533" s="6"/>
      <c r="HJF1533" s="4"/>
      <c r="HJG1533" s="6"/>
      <c r="HJH1533" s="4"/>
      <c r="HJI1533" s="6"/>
      <c r="HJJ1533" s="4"/>
      <c r="HJK1533" s="6"/>
      <c r="HJL1533" s="4"/>
      <c r="HJM1533" s="6"/>
      <c r="HJN1533" s="4"/>
      <c r="HJO1533" s="6"/>
      <c r="HJP1533" s="4"/>
      <c r="HJQ1533" s="6"/>
      <c r="HJR1533" s="4"/>
      <c r="HJS1533" s="6"/>
      <c r="HJT1533" s="4"/>
      <c r="HJU1533" s="6"/>
      <c r="HJV1533" s="4"/>
      <c r="HJW1533" s="6"/>
      <c r="HJX1533" s="4"/>
      <c r="HJY1533" s="6"/>
      <c r="HJZ1533" s="4"/>
      <c r="HKA1533" s="6"/>
      <c r="HKB1533" s="4"/>
      <c r="HKC1533" s="6"/>
      <c r="HKD1533" s="4"/>
      <c r="HKE1533" s="6"/>
      <c r="HKF1533" s="4"/>
      <c r="HKG1533" s="6"/>
      <c r="HKH1533" s="4"/>
      <c r="HKI1533" s="6"/>
      <c r="HKJ1533" s="4"/>
      <c r="HKK1533" s="6"/>
      <c r="HKL1533" s="4"/>
      <c r="HKM1533" s="6"/>
      <c r="HKN1533" s="4"/>
      <c r="HKO1533" s="6"/>
      <c r="HKP1533" s="4"/>
      <c r="HKQ1533" s="6"/>
      <c r="HKR1533" s="4"/>
      <c r="HKS1533" s="6"/>
      <c r="HKT1533" s="4"/>
      <c r="HKU1533" s="6"/>
      <c r="HKV1533" s="4"/>
      <c r="HKW1533" s="6"/>
      <c r="HKX1533" s="4"/>
      <c r="HKY1533" s="6"/>
      <c r="HKZ1533" s="4"/>
      <c r="HLA1533" s="6"/>
      <c r="HLB1533" s="4"/>
      <c r="HLC1533" s="6"/>
      <c r="HLD1533" s="4"/>
      <c r="HLE1533" s="6"/>
      <c r="HLF1533" s="4"/>
      <c r="HLG1533" s="6"/>
      <c r="HLH1533" s="4"/>
      <c r="HLI1533" s="6"/>
      <c r="HLJ1533" s="4"/>
      <c r="HLK1533" s="6"/>
      <c r="HLL1533" s="4"/>
      <c r="HLM1533" s="6"/>
      <c r="HLN1533" s="4"/>
      <c r="HLO1533" s="6"/>
      <c r="HLP1533" s="4"/>
      <c r="HLQ1533" s="6"/>
      <c r="HLR1533" s="4"/>
      <c r="HLS1533" s="6"/>
      <c r="HLT1533" s="4"/>
      <c r="HLU1533" s="6"/>
      <c r="HLV1533" s="4"/>
      <c r="HLW1533" s="6"/>
      <c r="HLX1533" s="4"/>
      <c r="HLY1533" s="6"/>
      <c r="HLZ1533" s="4"/>
      <c r="HMA1533" s="6"/>
      <c r="HMB1533" s="4"/>
      <c r="HMC1533" s="6"/>
      <c r="HMD1533" s="4"/>
      <c r="HME1533" s="6"/>
      <c r="HMF1533" s="4"/>
      <c r="HMG1533" s="6"/>
      <c r="HMH1533" s="4"/>
      <c r="HMI1533" s="6"/>
      <c r="HMJ1533" s="4"/>
      <c r="HMK1533" s="6"/>
      <c r="HML1533" s="4"/>
      <c r="HMM1533" s="6"/>
      <c r="HMN1533" s="4"/>
      <c r="HMO1533" s="6"/>
      <c r="HMP1533" s="4"/>
      <c r="HMQ1533" s="6"/>
      <c r="HMR1533" s="4"/>
      <c r="HMS1533" s="6"/>
      <c r="HMT1533" s="4"/>
      <c r="HMU1533" s="6"/>
      <c r="HMV1533" s="4"/>
      <c r="HMW1533" s="6"/>
      <c r="HMX1533" s="4"/>
      <c r="HMY1533" s="6"/>
      <c r="HMZ1533" s="4"/>
      <c r="HNA1533" s="6"/>
      <c r="HNB1533" s="4"/>
      <c r="HNC1533" s="6"/>
      <c r="HND1533" s="4"/>
      <c r="HNE1533" s="6"/>
      <c r="HNF1533" s="4"/>
      <c r="HNG1533" s="6"/>
      <c r="HNH1533" s="4"/>
      <c r="HNI1533" s="6"/>
      <c r="HNJ1533" s="4"/>
      <c r="HNK1533" s="6"/>
      <c r="HNL1533" s="4"/>
      <c r="HNM1533" s="6"/>
      <c r="HNN1533" s="4"/>
      <c r="HNO1533" s="6"/>
      <c r="HNP1533" s="4"/>
      <c r="HNQ1533" s="6"/>
      <c r="HNR1533" s="4"/>
      <c r="HNS1533" s="6"/>
      <c r="HNT1533" s="4"/>
      <c r="HNU1533" s="6"/>
      <c r="HNV1533" s="4"/>
      <c r="HNW1533" s="6"/>
      <c r="HNX1533" s="4"/>
      <c r="HNY1533" s="6"/>
      <c r="HNZ1533" s="4"/>
      <c r="HOA1533" s="6"/>
      <c r="HOB1533" s="4"/>
      <c r="HOC1533" s="6"/>
      <c r="HOD1533" s="4"/>
      <c r="HOE1533" s="6"/>
      <c r="HOF1533" s="4"/>
      <c r="HOG1533" s="6"/>
      <c r="HOH1533" s="4"/>
      <c r="HOI1533" s="6"/>
      <c r="HOJ1533" s="4"/>
      <c r="HOK1533" s="6"/>
      <c r="HOL1533" s="4"/>
      <c r="HOM1533" s="6"/>
      <c r="HON1533" s="4"/>
      <c r="HOO1533" s="6"/>
      <c r="HOP1533" s="4"/>
      <c r="HOQ1533" s="6"/>
      <c r="HOR1533" s="4"/>
      <c r="HOS1533" s="6"/>
      <c r="HOT1533" s="4"/>
      <c r="HOU1533" s="6"/>
      <c r="HOV1533" s="4"/>
      <c r="HOW1533" s="6"/>
      <c r="HOX1533" s="4"/>
      <c r="HOY1533" s="6"/>
      <c r="HOZ1533" s="4"/>
      <c r="HPA1533" s="6"/>
      <c r="HPB1533" s="4"/>
      <c r="HPC1533" s="6"/>
      <c r="HPD1533" s="4"/>
      <c r="HPE1533" s="6"/>
      <c r="HPF1533" s="4"/>
      <c r="HPG1533" s="6"/>
      <c r="HPH1533" s="4"/>
      <c r="HPI1533" s="6"/>
      <c r="HPJ1533" s="4"/>
      <c r="HPK1533" s="6"/>
      <c r="HPL1533" s="4"/>
      <c r="HPM1533" s="6"/>
      <c r="HPN1533" s="4"/>
      <c r="HPO1533" s="6"/>
      <c r="HPP1533" s="4"/>
      <c r="HPQ1533" s="6"/>
      <c r="HPR1533" s="4"/>
      <c r="HPS1533" s="6"/>
      <c r="HPT1533" s="4"/>
      <c r="HPU1533" s="6"/>
      <c r="HPV1533" s="4"/>
      <c r="HPW1533" s="6"/>
      <c r="HPX1533" s="4"/>
      <c r="HPY1533" s="6"/>
      <c r="HPZ1533" s="4"/>
      <c r="HQA1533" s="6"/>
      <c r="HQB1533" s="4"/>
      <c r="HQC1533" s="6"/>
      <c r="HQD1533" s="4"/>
      <c r="HQE1533" s="6"/>
      <c r="HQF1533" s="4"/>
      <c r="HQG1533" s="6"/>
      <c r="HQH1533" s="4"/>
      <c r="HQI1533" s="6"/>
      <c r="HQJ1533" s="4"/>
      <c r="HQK1533" s="6"/>
      <c r="HQL1533" s="4"/>
      <c r="HQM1533" s="6"/>
      <c r="HQN1533" s="4"/>
      <c r="HQO1533" s="6"/>
      <c r="HQP1533" s="4"/>
      <c r="HQQ1533" s="6"/>
      <c r="HQR1533" s="4"/>
      <c r="HQS1533" s="6"/>
      <c r="HQT1533" s="4"/>
      <c r="HQU1533" s="6"/>
      <c r="HQV1533" s="4"/>
      <c r="HQW1533" s="6"/>
      <c r="HQX1533" s="4"/>
      <c r="HQY1533" s="6"/>
      <c r="HQZ1533" s="4"/>
      <c r="HRA1533" s="6"/>
      <c r="HRB1533" s="4"/>
      <c r="HRC1533" s="6"/>
      <c r="HRD1533" s="4"/>
      <c r="HRE1533" s="6"/>
      <c r="HRF1533" s="4"/>
      <c r="HRG1533" s="6"/>
      <c r="HRH1533" s="4"/>
      <c r="HRI1533" s="6"/>
      <c r="HRJ1533" s="4"/>
      <c r="HRK1533" s="6"/>
      <c r="HRL1533" s="4"/>
      <c r="HRM1533" s="6"/>
      <c r="HRN1533" s="4"/>
      <c r="HRO1533" s="6"/>
      <c r="HRP1533" s="4"/>
      <c r="HRQ1533" s="6"/>
      <c r="HRR1533" s="4"/>
      <c r="HRS1533" s="6"/>
      <c r="HRT1533" s="4"/>
      <c r="HRU1533" s="6"/>
      <c r="HRV1533" s="4"/>
      <c r="HRW1533" s="6"/>
      <c r="HRX1533" s="4"/>
      <c r="HRY1533" s="6"/>
      <c r="HRZ1533" s="4"/>
      <c r="HSA1533" s="6"/>
      <c r="HSB1533" s="4"/>
      <c r="HSC1533" s="6"/>
      <c r="HSD1533" s="4"/>
      <c r="HSE1533" s="6"/>
      <c r="HSF1533" s="4"/>
      <c r="HSG1533" s="6"/>
      <c r="HSH1533" s="4"/>
      <c r="HSI1533" s="6"/>
      <c r="HSJ1533" s="4"/>
      <c r="HSK1533" s="6"/>
      <c r="HSL1533" s="4"/>
      <c r="HSM1533" s="6"/>
      <c r="HSN1533" s="4"/>
      <c r="HSO1533" s="6"/>
      <c r="HSP1533" s="4"/>
      <c r="HSQ1533" s="6"/>
      <c r="HSR1533" s="4"/>
      <c r="HSS1533" s="6"/>
      <c r="HST1533" s="4"/>
      <c r="HSU1533" s="6"/>
      <c r="HSV1533" s="4"/>
      <c r="HSW1533" s="6"/>
      <c r="HSX1533" s="4"/>
      <c r="HSY1533" s="6"/>
      <c r="HSZ1533" s="4"/>
      <c r="HTA1533" s="6"/>
      <c r="HTB1533" s="4"/>
      <c r="HTC1533" s="6"/>
      <c r="HTD1533" s="4"/>
      <c r="HTE1533" s="6"/>
      <c r="HTF1533" s="4"/>
      <c r="HTG1533" s="6"/>
      <c r="HTH1533" s="4"/>
      <c r="HTI1533" s="6"/>
      <c r="HTJ1533" s="4"/>
      <c r="HTK1533" s="6"/>
      <c r="HTL1533" s="4"/>
      <c r="HTM1533" s="6"/>
      <c r="HTN1533" s="4"/>
      <c r="HTO1533" s="6"/>
      <c r="HTP1533" s="4"/>
      <c r="HTQ1533" s="6"/>
      <c r="HTR1533" s="4"/>
      <c r="HTS1533" s="6"/>
      <c r="HTT1533" s="4"/>
      <c r="HTU1533" s="6"/>
      <c r="HTV1533" s="4"/>
      <c r="HTW1533" s="6"/>
      <c r="HTX1533" s="4"/>
      <c r="HTY1533" s="6"/>
      <c r="HTZ1533" s="4"/>
      <c r="HUA1533" s="6"/>
      <c r="HUB1533" s="4"/>
      <c r="HUC1533" s="6"/>
      <c r="HUD1533" s="4"/>
      <c r="HUE1533" s="6"/>
      <c r="HUF1533" s="4"/>
      <c r="HUG1533" s="6"/>
      <c r="HUH1533" s="4"/>
      <c r="HUI1533" s="6"/>
      <c r="HUJ1533" s="4"/>
      <c r="HUK1533" s="6"/>
      <c r="HUL1533" s="4"/>
      <c r="HUM1533" s="6"/>
      <c r="HUN1533" s="4"/>
      <c r="HUO1533" s="6"/>
      <c r="HUP1533" s="4"/>
      <c r="HUQ1533" s="6"/>
      <c r="HUR1533" s="4"/>
      <c r="HUS1533" s="6"/>
      <c r="HUT1533" s="4"/>
      <c r="HUU1533" s="6"/>
      <c r="HUV1533" s="4"/>
      <c r="HUW1533" s="6"/>
      <c r="HUX1533" s="4"/>
      <c r="HUY1533" s="6"/>
      <c r="HUZ1533" s="4"/>
      <c r="HVA1533" s="6"/>
      <c r="HVB1533" s="4"/>
      <c r="HVC1533" s="6"/>
      <c r="HVD1533" s="4"/>
      <c r="HVE1533" s="6"/>
      <c r="HVF1533" s="4"/>
      <c r="HVG1533" s="6"/>
      <c r="HVH1533" s="4"/>
      <c r="HVI1533" s="6"/>
      <c r="HVJ1533" s="4"/>
      <c r="HVK1533" s="6"/>
      <c r="HVL1533" s="4"/>
      <c r="HVM1533" s="6"/>
      <c r="HVN1533" s="4"/>
      <c r="HVO1533" s="6"/>
      <c r="HVP1533" s="4"/>
      <c r="HVQ1533" s="6"/>
      <c r="HVR1533" s="4"/>
      <c r="HVS1533" s="6"/>
      <c r="HVT1533" s="4"/>
      <c r="HVU1533" s="6"/>
      <c r="HVV1533" s="4"/>
      <c r="HVW1533" s="6"/>
      <c r="HVX1533" s="4"/>
      <c r="HVY1533" s="6"/>
      <c r="HVZ1533" s="4"/>
      <c r="HWA1533" s="6"/>
      <c r="HWB1533" s="4"/>
      <c r="HWC1533" s="6"/>
      <c r="HWD1533" s="4"/>
      <c r="HWE1533" s="6"/>
      <c r="HWF1533" s="4"/>
      <c r="HWG1533" s="6"/>
      <c r="HWH1533" s="4"/>
      <c r="HWI1533" s="6"/>
      <c r="HWJ1533" s="4"/>
      <c r="HWK1533" s="6"/>
      <c r="HWL1533" s="4"/>
      <c r="HWM1533" s="6"/>
      <c r="HWN1533" s="4"/>
      <c r="HWO1533" s="6"/>
      <c r="HWP1533" s="4"/>
      <c r="HWQ1533" s="6"/>
      <c r="HWR1533" s="4"/>
      <c r="HWS1533" s="6"/>
      <c r="HWT1533" s="4"/>
      <c r="HWU1533" s="6"/>
      <c r="HWV1533" s="4"/>
      <c r="HWW1533" s="6"/>
      <c r="HWX1533" s="4"/>
      <c r="HWY1533" s="6"/>
      <c r="HWZ1533" s="4"/>
      <c r="HXA1533" s="6"/>
      <c r="HXB1533" s="4"/>
      <c r="HXC1533" s="6"/>
      <c r="HXD1533" s="4"/>
      <c r="HXE1533" s="6"/>
      <c r="HXF1533" s="4"/>
      <c r="HXG1533" s="6"/>
      <c r="HXH1533" s="4"/>
      <c r="HXI1533" s="6"/>
      <c r="HXJ1533" s="4"/>
      <c r="HXK1533" s="6"/>
      <c r="HXL1533" s="4"/>
      <c r="HXM1533" s="6"/>
      <c r="HXN1533" s="4"/>
      <c r="HXO1533" s="6"/>
      <c r="HXP1533" s="4"/>
      <c r="HXQ1533" s="6"/>
      <c r="HXR1533" s="4"/>
      <c r="HXS1533" s="6"/>
      <c r="HXT1533" s="4"/>
      <c r="HXU1533" s="6"/>
      <c r="HXV1533" s="4"/>
      <c r="HXW1533" s="6"/>
      <c r="HXX1533" s="4"/>
      <c r="HXY1533" s="6"/>
      <c r="HXZ1533" s="4"/>
      <c r="HYA1533" s="6"/>
      <c r="HYB1533" s="4"/>
      <c r="HYC1533" s="6"/>
      <c r="HYD1533" s="4"/>
      <c r="HYE1533" s="6"/>
      <c r="HYF1533" s="4"/>
      <c r="HYG1533" s="6"/>
      <c r="HYH1533" s="4"/>
      <c r="HYI1533" s="6"/>
      <c r="HYJ1533" s="4"/>
      <c r="HYK1533" s="6"/>
      <c r="HYL1533" s="4"/>
      <c r="HYM1533" s="6"/>
      <c r="HYN1533" s="4"/>
      <c r="HYO1533" s="6"/>
      <c r="HYP1533" s="4"/>
      <c r="HYQ1533" s="6"/>
      <c r="HYR1533" s="4"/>
      <c r="HYS1533" s="6"/>
      <c r="HYT1533" s="4"/>
      <c r="HYU1533" s="6"/>
      <c r="HYV1533" s="4"/>
      <c r="HYW1533" s="6"/>
      <c r="HYX1533" s="4"/>
      <c r="HYY1533" s="6"/>
      <c r="HYZ1533" s="4"/>
      <c r="HZA1533" s="6"/>
      <c r="HZB1533" s="4"/>
      <c r="HZC1533" s="6"/>
      <c r="HZD1533" s="4"/>
      <c r="HZE1533" s="6"/>
      <c r="HZF1533" s="4"/>
      <c r="HZG1533" s="6"/>
      <c r="HZH1533" s="4"/>
      <c r="HZI1533" s="6"/>
      <c r="HZJ1533" s="4"/>
      <c r="HZK1533" s="6"/>
      <c r="HZL1533" s="4"/>
      <c r="HZM1533" s="6"/>
      <c r="HZN1533" s="4"/>
      <c r="HZO1533" s="6"/>
      <c r="HZP1533" s="4"/>
      <c r="HZQ1533" s="6"/>
      <c r="HZR1533" s="4"/>
      <c r="HZS1533" s="6"/>
      <c r="HZT1533" s="4"/>
      <c r="HZU1533" s="6"/>
      <c r="HZV1533" s="4"/>
      <c r="HZW1533" s="6"/>
      <c r="HZX1533" s="4"/>
      <c r="HZY1533" s="6"/>
      <c r="HZZ1533" s="4"/>
      <c r="IAA1533" s="6"/>
      <c r="IAB1533" s="4"/>
      <c r="IAC1533" s="6"/>
      <c r="IAD1533" s="4"/>
      <c r="IAE1533" s="6"/>
      <c r="IAF1533" s="4"/>
      <c r="IAG1533" s="6"/>
      <c r="IAH1533" s="4"/>
      <c r="IAI1533" s="6"/>
      <c r="IAJ1533" s="4"/>
      <c r="IAK1533" s="6"/>
      <c r="IAL1533" s="4"/>
      <c r="IAM1533" s="6"/>
      <c r="IAN1533" s="4"/>
      <c r="IAO1533" s="6"/>
      <c r="IAP1533" s="4"/>
      <c r="IAQ1533" s="6"/>
      <c r="IAR1533" s="4"/>
      <c r="IAS1533" s="6"/>
      <c r="IAT1533" s="4"/>
      <c r="IAU1533" s="6"/>
      <c r="IAV1533" s="4"/>
      <c r="IAW1533" s="6"/>
      <c r="IAX1533" s="4"/>
      <c r="IAY1533" s="6"/>
      <c r="IAZ1533" s="4"/>
      <c r="IBA1533" s="6"/>
      <c r="IBB1533" s="4"/>
      <c r="IBC1533" s="6"/>
      <c r="IBD1533" s="4"/>
      <c r="IBE1533" s="6"/>
      <c r="IBF1533" s="4"/>
      <c r="IBG1533" s="6"/>
      <c r="IBH1533" s="4"/>
      <c r="IBI1533" s="6"/>
      <c r="IBJ1533" s="4"/>
      <c r="IBK1533" s="6"/>
      <c r="IBL1533" s="4"/>
      <c r="IBM1533" s="6"/>
      <c r="IBN1533" s="4"/>
      <c r="IBO1533" s="6"/>
      <c r="IBP1533" s="4"/>
      <c r="IBQ1533" s="6"/>
      <c r="IBR1533" s="4"/>
      <c r="IBS1533" s="6"/>
      <c r="IBT1533" s="4"/>
      <c r="IBU1533" s="6"/>
      <c r="IBV1533" s="4"/>
      <c r="IBW1533" s="6"/>
      <c r="IBX1533" s="4"/>
      <c r="IBY1533" s="6"/>
      <c r="IBZ1533" s="4"/>
      <c r="ICA1533" s="6"/>
      <c r="ICB1533" s="4"/>
      <c r="ICC1533" s="6"/>
      <c r="ICD1533" s="4"/>
      <c r="ICE1533" s="6"/>
      <c r="ICF1533" s="4"/>
      <c r="ICG1533" s="6"/>
      <c r="ICH1533" s="4"/>
      <c r="ICI1533" s="6"/>
      <c r="ICJ1533" s="4"/>
      <c r="ICK1533" s="6"/>
      <c r="ICL1533" s="4"/>
      <c r="ICM1533" s="6"/>
      <c r="ICN1533" s="4"/>
      <c r="ICO1533" s="6"/>
      <c r="ICP1533" s="4"/>
      <c r="ICQ1533" s="6"/>
      <c r="ICR1533" s="4"/>
      <c r="ICS1533" s="6"/>
      <c r="ICT1533" s="4"/>
      <c r="ICU1533" s="6"/>
      <c r="ICV1533" s="4"/>
      <c r="ICW1533" s="6"/>
      <c r="ICX1533" s="4"/>
      <c r="ICY1533" s="6"/>
      <c r="ICZ1533" s="4"/>
      <c r="IDA1533" s="6"/>
      <c r="IDB1533" s="4"/>
      <c r="IDC1533" s="6"/>
      <c r="IDD1533" s="4"/>
      <c r="IDE1533" s="6"/>
      <c r="IDF1533" s="4"/>
      <c r="IDG1533" s="6"/>
      <c r="IDH1533" s="4"/>
      <c r="IDI1533" s="6"/>
      <c r="IDJ1533" s="4"/>
      <c r="IDK1533" s="6"/>
      <c r="IDL1533" s="4"/>
      <c r="IDM1533" s="6"/>
      <c r="IDN1533" s="4"/>
      <c r="IDO1533" s="6"/>
      <c r="IDP1533" s="4"/>
      <c r="IDQ1533" s="6"/>
      <c r="IDR1533" s="4"/>
      <c r="IDS1533" s="6"/>
      <c r="IDT1533" s="4"/>
      <c r="IDU1533" s="6"/>
      <c r="IDV1533" s="4"/>
      <c r="IDW1533" s="6"/>
      <c r="IDX1533" s="4"/>
      <c r="IDY1533" s="6"/>
      <c r="IDZ1533" s="4"/>
      <c r="IEA1533" s="6"/>
      <c r="IEB1533" s="4"/>
      <c r="IEC1533" s="6"/>
      <c r="IED1533" s="4"/>
      <c r="IEE1533" s="6"/>
      <c r="IEF1533" s="4"/>
      <c r="IEG1533" s="6"/>
      <c r="IEH1533" s="4"/>
      <c r="IEI1533" s="6"/>
      <c r="IEJ1533" s="4"/>
      <c r="IEK1533" s="6"/>
      <c r="IEL1533" s="4"/>
      <c r="IEM1533" s="6"/>
      <c r="IEN1533" s="4"/>
      <c r="IEO1533" s="6"/>
      <c r="IEP1533" s="4"/>
      <c r="IEQ1533" s="6"/>
      <c r="IER1533" s="4"/>
      <c r="IES1533" s="6"/>
      <c r="IET1533" s="4"/>
      <c r="IEU1533" s="6"/>
      <c r="IEV1533" s="4"/>
      <c r="IEW1533" s="6"/>
      <c r="IEX1533" s="4"/>
      <c r="IEY1533" s="6"/>
      <c r="IEZ1533" s="4"/>
      <c r="IFA1533" s="6"/>
      <c r="IFB1533" s="4"/>
      <c r="IFC1533" s="6"/>
      <c r="IFD1533" s="4"/>
      <c r="IFE1533" s="6"/>
      <c r="IFF1533" s="4"/>
      <c r="IFG1533" s="6"/>
      <c r="IFH1533" s="4"/>
      <c r="IFI1533" s="6"/>
      <c r="IFJ1533" s="4"/>
      <c r="IFK1533" s="6"/>
      <c r="IFL1533" s="4"/>
      <c r="IFM1533" s="6"/>
      <c r="IFN1533" s="4"/>
      <c r="IFO1533" s="6"/>
      <c r="IFP1533" s="4"/>
      <c r="IFQ1533" s="6"/>
      <c r="IFR1533" s="4"/>
      <c r="IFS1533" s="6"/>
      <c r="IFT1533" s="4"/>
      <c r="IFU1533" s="6"/>
      <c r="IFV1533" s="4"/>
      <c r="IFW1533" s="6"/>
      <c r="IFX1533" s="4"/>
      <c r="IFY1533" s="6"/>
      <c r="IFZ1533" s="4"/>
      <c r="IGA1533" s="6"/>
      <c r="IGB1533" s="4"/>
      <c r="IGC1533" s="6"/>
      <c r="IGD1533" s="4"/>
      <c r="IGE1533" s="6"/>
      <c r="IGF1533" s="4"/>
      <c r="IGG1533" s="6"/>
      <c r="IGH1533" s="4"/>
      <c r="IGI1533" s="6"/>
      <c r="IGJ1533" s="4"/>
      <c r="IGK1533" s="6"/>
      <c r="IGL1533" s="4"/>
      <c r="IGM1533" s="6"/>
      <c r="IGN1533" s="4"/>
      <c r="IGO1533" s="6"/>
      <c r="IGP1533" s="4"/>
      <c r="IGQ1533" s="6"/>
      <c r="IGR1533" s="4"/>
      <c r="IGS1533" s="6"/>
      <c r="IGT1533" s="4"/>
      <c r="IGU1533" s="6"/>
      <c r="IGV1533" s="4"/>
      <c r="IGW1533" s="6"/>
      <c r="IGX1533" s="4"/>
      <c r="IGY1533" s="6"/>
      <c r="IGZ1533" s="4"/>
      <c r="IHA1533" s="6"/>
      <c r="IHB1533" s="4"/>
      <c r="IHC1533" s="6"/>
      <c r="IHD1533" s="4"/>
      <c r="IHE1533" s="6"/>
      <c r="IHF1533" s="4"/>
      <c r="IHG1533" s="6"/>
      <c r="IHH1533" s="4"/>
      <c r="IHI1533" s="6"/>
      <c r="IHJ1533" s="4"/>
      <c r="IHK1533" s="6"/>
      <c r="IHL1533" s="4"/>
      <c r="IHM1533" s="6"/>
      <c r="IHN1533" s="4"/>
      <c r="IHO1533" s="6"/>
      <c r="IHP1533" s="4"/>
      <c r="IHQ1533" s="6"/>
      <c r="IHR1533" s="4"/>
      <c r="IHS1533" s="6"/>
      <c r="IHT1533" s="4"/>
      <c r="IHU1533" s="6"/>
      <c r="IHV1533" s="4"/>
      <c r="IHW1533" s="6"/>
      <c r="IHX1533" s="4"/>
      <c r="IHY1533" s="6"/>
      <c r="IHZ1533" s="4"/>
      <c r="IIA1533" s="6"/>
      <c r="IIB1533" s="4"/>
      <c r="IIC1533" s="6"/>
      <c r="IID1533" s="4"/>
      <c r="IIE1533" s="6"/>
      <c r="IIF1533" s="4"/>
      <c r="IIG1533" s="6"/>
      <c r="IIH1533" s="4"/>
      <c r="III1533" s="6"/>
      <c r="IIJ1533" s="4"/>
      <c r="IIK1533" s="6"/>
      <c r="IIL1533" s="4"/>
      <c r="IIM1533" s="6"/>
      <c r="IIN1533" s="4"/>
      <c r="IIO1533" s="6"/>
      <c r="IIP1533" s="4"/>
      <c r="IIQ1533" s="6"/>
      <c r="IIR1533" s="4"/>
      <c r="IIS1533" s="6"/>
      <c r="IIT1533" s="4"/>
      <c r="IIU1533" s="6"/>
      <c r="IIV1533" s="4"/>
      <c r="IIW1533" s="6"/>
      <c r="IIX1533" s="4"/>
      <c r="IIY1533" s="6"/>
      <c r="IIZ1533" s="4"/>
      <c r="IJA1533" s="6"/>
      <c r="IJB1533" s="4"/>
      <c r="IJC1533" s="6"/>
      <c r="IJD1533" s="4"/>
      <c r="IJE1533" s="6"/>
      <c r="IJF1533" s="4"/>
      <c r="IJG1533" s="6"/>
      <c r="IJH1533" s="4"/>
      <c r="IJI1533" s="6"/>
      <c r="IJJ1533" s="4"/>
      <c r="IJK1533" s="6"/>
      <c r="IJL1533" s="4"/>
      <c r="IJM1533" s="6"/>
      <c r="IJN1533" s="4"/>
      <c r="IJO1533" s="6"/>
      <c r="IJP1533" s="4"/>
      <c r="IJQ1533" s="6"/>
      <c r="IJR1533" s="4"/>
      <c r="IJS1533" s="6"/>
      <c r="IJT1533" s="4"/>
      <c r="IJU1533" s="6"/>
      <c r="IJV1533" s="4"/>
      <c r="IJW1533" s="6"/>
      <c r="IJX1533" s="4"/>
      <c r="IJY1533" s="6"/>
      <c r="IJZ1533" s="4"/>
      <c r="IKA1533" s="6"/>
      <c r="IKB1533" s="4"/>
      <c r="IKC1533" s="6"/>
      <c r="IKD1533" s="4"/>
      <c r="IKE1533" s="6"/>
      <c r="IKF1533" s="4"/>
      <c r="IKG1533" s="6"/>
      <c r="IKH1533" s="4"/>
      <c r="IKI1533" s="6"/>
      <c r="IKJ1533" s="4"/>
      <c r="IKK1533" s="6"/>
      <c r="IKL1533" s="4"/>
      <c r="IKM1533" s="6"/>
      <c r="IKN1533" s="4"/>
      <c r="IKO1533" s="6"/>
      <c r="IKP1533" s="4"/>
      <c r="IKQ1533" s="6"/>
      <c r="IKR1533" s="4"/>
      <c r="IKS1533" s="6"/>
      <c r="IKT1533" s="4"/>
      <c r="IKU1533" s="6"/>
      <c r="IKV1533" s="4"/>
      <c r="IKW1533" s="6"/>
      <c r="IKX1533" s="4"/>
      <c r="IKY1533" s="6"/>
      <c r="IKZ1533" s="4"/>
      <c r="ILA1533" s="6"/>
      <c r="ILB1533" s="4"/>
      <c r="ILC1533" s="6"/>
      <c r="ILD1533" s="4"/>
      <c r="ILE1533" s="6"/>
      <c r="ILF1533" s="4"/>
      <c r="ILG1533" s="6"/>
      <c r="ILH1533" s="4"/>
      <c r="ILI1533" s="6"/>
      <c r="ILJ1533" s="4"/>
      <c r="ILK1533" s="6"/>
      <c r="ILL1533" s="4"/>
      <c r="ILM1533" s="6"/>
      <c r="ILN1533" s="4"/>
      <c r="ILO1533" s="6"/>
      <c r="ILP1533" s="4"/>
      <c r="ILQ1533" s="6"/>
      <c r="ILR1533" s="4"/>
      <c r="ILS1533" s="6"/>
      <c r="ILT1533" s="4"/>
      <c r="ILU1533" s="6"/>
      <c r="ILV1533" s="4"/>
      <c r="ILW1533" s="6"/>
      <c r="ILX1533" s="4"/>
      <c r="ILY1533" s="6"/>
      <c r="ILZ1533" s="4"/>
      <c r="IMA1533" s="6"/>
      <c r="IMB1533" s="4"/>
      <c r="IMC1533" s="6"/>
      <c r="IMD1533" s="4"/>
      <c r="IME1533" s="6"/>
      <c r="IMF1533" s="4"/>
      <c r="IMG1533" s="6"/>
      <c r="IMH1533" s="4"/>
      <c r="IMI1533" s="6"/>
      <c r="IMJ1533" s="4"/>
      <c r="IMK1533" s="6"/>
      <c r="IML1533" s="4"/>
      <c r="IMM1533" s="6"/>
      <c r="IMN1533" s="4"/>
      <c r="IMO1533" s="6"/>
      <c r="IMP1533" s="4"/>
      <c r="IMQ1533" s="6"/>
      <c r="IMR1533" s="4"/>
      <c r="IMS1533" s="6"/>
      <c r="IMT1533" s="4"/>
      <c r="IMU1533" s="6"/>
      <c r="IMV1533" s="4"/>
      <c r="IMW1533" s="6"/>
      <c r="IMX1533" s="4"/>
      <c r="IMY1533" s="6"/>
      <c r="IMZ1533" s="4"/>
      <c r="INA1533" s="6"/>
      <c r="INB1533" s="4"/>
      <c r="INC1533" s="6"/>
      <c r="IND1533" s="4"/>
      <c r="INE1533" s="6"/>
      <c r="INF1533" s="4"/>
      <c r="ING1533" s="6"/>
      <c r="INH1533" s="4"/>
      <c r="INI1533" s="6"/>
      <c r="INJ1533" s="4"/>
      <c r="INK1533" s="6"/>
      <c r="INL1533" s="4"/>
      <c r="INM1533" s="6"/>
      <c r="INN1533" s="4"/>
      <c r="INO1533" s="6"/>
      <c r="INP1533" s="4"/>
      <c r="INQ1533" s="6"/>
      <c r="INR1533" s="4"/>
      <c r="INS1533" s="6"/>
      <c r="INT1533" s="4"/>
      <c r="INU1533" s="6"/>
      <c r="INV1533" s="4"/>
      <c r="INW1533" s="6"/>
      <c r="INX1533" s="4"/>
      <c r="INY1533" s="6"/>
      <c r="INZ1533" s="4"/>
      <c r="IOA1533" s="6"/>
      <c r="IOB1533" s="4"/>
      <c r="IOC1533" s="6"/>
      <c r="IOD1533" s="4"/>
      <c r="IOE1533" s="6"/>
      <c r="IOF1533" s="4"/>
      <c r="IOG1533" s="6"/>
      <c r="IOH1533" s="4"/>
      <c r="IOI1533" s="6"/>
      <c r="IOJ1533" s="4"/>
      <c r="IOK1533" s="6"/>
      <c r="IOL1533" s="4"/>
      <c r="IOM1533" s="6"/>
      <c r="ION1533" s="4"/>
      <c r="IOO1533" s="6"/>
      <c r="IOP1533" s="4"/>
      <c r="IOQ1533" s="6"/>
      <c r="IOR1533" s="4"/>
      <c r="IOS1533" s="6"/>
      <c r="IOT1533" s="4"/>
      <c r="IOU1533" s="6"/>
      <c r="IOV1533" s="4"/>
      <c r="IOW1533" s="6"/>
      <c r="IOX1533" s="4"/>
      <c r="IOY1533" s="6"/>
      <c r="IOZ1533" s="4"/>
      <c r="IPA1533" s="6"/>
      <c r="IPB1533" s="4"/>
      <c r="IPC1533" s="6"/>
      <c r="IPD1533" s="4"/>
      <c r="IPE1533" s="6"/>
      <c r="IPF1533" s="4"/>
      <c r="IPG1533" s="6"/>
      <c r="IPH1533" s="4"/>
      <c r="IPI1533" s="6"/>
      <c r="IPJ1533" s="4"/>
      <c r="IPK1533" s="6"/>
      <c r="IPL1533" s="4"/>
      <c r="IPM1533" s="6"/>
      <c r="IPN1533" s="4"/>
      <c r="IPO1533" s="6"/>
      <c r="IPP1533" s="4"/>
      <c r="IPQ1533" s="6"/>
      <c r="IPR1533" s="4"/>
      <c r="IPS1533" s="6"/>
      <c r="IPT1533" s="4"/>
      <c r="IPU1533" s="6"/>
      <c r="IPV1533" s="4"/>
      <c r="IPW1533" s="6"/>
      <c r="IPX1533" s="4"/>
      <c r="IPY1533" s="6"/>
      <c r="IPZ1533" s="4"/>
      <c r="IQA1533" s="6"/>
      <c r="IQB1533" s="4"/>
      <c r="IQC1533" s="6"/>
      <c r="IQD1533" s="4"/>
      <c r="IQE1533" s="6"/>
      <c r="IQF1533" s="4"/>
      <c r="IQG1533" s="6"/>
      <c r="IQH1533" s="4"/>
      <c r="IQI1533" s="6"/>
      <c r="IQJ1533" s="4"/>
      <c r="IQK1533" s="6"/>
      <c r="IQL1533" s="4"/>
      <c r="IQM1533" s="6"/>
      <c r="IQN1533" s="4"/>
      <c r="IQO1533" s="6"/>
      <c r="IQP1533" s="4"/>
      <c r="IQQ1533" s="6"/>
      <c r="IQR1533" s="4"/>
      <c r="IQS1533" s="6"/>
      <c r="IQT1533" s="4"/>
      <c r="IQU1533" s="6"/>
      <c r="IQV1533" s="4"/>
      <c r="IQW1533" s="6"/>
      <c r="IQX1533" s="4"/>
      <c r="IQY1533" s="6"/>
      <c r="IQZ1533" s="4"/>
      <c r="IRA1533" s="6"/>
      <c r="IRB1533" s="4"/>
      <c r="IRC1533" s="6"/>
      <c r="IRD1533" s="4"/>
      <c r="IRE1533" s="6"/>
      <c r="IRF1533" s="4"/>
      <c r="IRG1533" s="6"/>
      <c r="IRH1533" s="4"/>
      <c r="IRI1533" s="6"/>
      <c r="IRJ1533" s="4"/>
      <c r="IRK1533" s="6"/>
      <c r="IRL1533" s="4"/>
      <c r="IRM1533" s="6"/>
      <c r="IRN1533" s="4"/>
      <c r="IRO1533" s="6"/>
      <c r="IRP1533" s="4"/>
      <c r="IRQ1533" s="6"/>
      <c r="IRR1533" s="4"/>
      <c r="IRS1533" s="6"/>
      <c r="IRT1533" s="4"/>
      <c r="IRU1533" s="6"/>
      <c r="IRV1533" s="4"/>
      <c r="IRW1533" s="6"/>
      <c r="IRX1533" s="4"/>
      <c r="IRY1533" s="6"/>
      <c r="IRZ1533" s="4"/>
      <c r="ISA1533" s="6"/>
      <c r="ISB1533" s="4"/>
      <c r="ISC1533" s="6"/>
      <c r="ISD1533" s="4"/>
      <c r="ISE1533" s="6"/>
      <c r="ISF1533" s="4"/>
      <c r="ISG1533" s="6"/>
      <c r="ISH1533" s="4"/>
      <c r="ISI1533" s="6"/>
      <c r="ISJ1533" s="4"/>
      <c r="ISK1533" s="6"/>
      <c r="ISL1533" s="4"/>
      <c r="ISM1533" s="6"/>
      <c r="ISN1533" s="4"/>
      <c r="ISO1533" s="6"/>
      <c r="ISP1533" s="4"/>
      <c r="ISQ1533" s="6"/>
      <c r="ISR1533" s="4"/>
      <c r="ISS1533" s="6"/>
      <c r="IST1533" s="4"/>
      <c r="ISU1533" s="6"/>
      <c r="ISV1533" s="4"/>
      <c r="ISW1533" s="6"/>
      <c r="ISX1533" s="4"/>
      <c r="ISY1533" s="6"/>
      <c r="ISZ1533" s="4"/>
      <c r="ITA1533" s="6"/>
      <c r="ITB1533" s="4"/>
      <c r="ITC1533" s="6"/>
      <c r="ITD1533" s="4"/>
      <c r="ITE1533" s="6"/>
      <c r="ITF1533" s="4"/>
      <c r="ITG1533" s="6"/>
      <c r="ITH1533" s="4"/>
      <c r="ITI1533" s="6"/>
      <c r="ITJ1533" s="4"/>
      <c r="ITK1533" s="6"/>
      <c r="ITL1533" s="4"/>
      <c r="ITM1533" s="6"/>
      <c r="ITN1533" s="4"/>
      <c r="ITO1533" s="6"/>
      <c r="ITP1533" s="4"/>
      <c r="ITQ1533" s="6"/>
      <c r="ITR1533" s="4"/>
      <c r="ITS1533" s="6"/>
      <c r="ITT1533" s="4"/>
      <c r="ITU1533" s="6"/>
      <c r="ITV1533" s="4"/>
      <c r="ITW1533" s="6"/>
      <c r="ITX1533" s="4"/>
      <c r="ITY1533" s="6"/>
      <c r="ITZ1533" s="4"/>
      <c r="IUA1533" s="6"/>
      <c r="IUB1533" s="4"/>
      <c r="IUC1533" s="6"/>
      <c r="IUD1533" s="4"/>
      <c r="IUE1533" s="6"/>
      <c r="IUF1533" s="4"/>
      <c r="IUG1533" s="6"/>
      <c r="IUH1533" s="4"/>
      <c r="IUI1533" s="6"/>
      <c r="IUJ1533" s="4"/>
      <c r="IUK1533" s="6"/>
      <c r="IUL1533" s="4"/>
      <c r="IUM1533" s="6"/>
      <c r="IUN1533" s="4"/>
      <c r="IUO1533" s="6"/>
      <c r="IUP1533" s="4"/>
      <c r="IUQ1533" s="6"/>
      <c r="IUR1533" s="4"/>
      <c r="IUS1533" s="6"/>
      <c r="IUT1533" s="4"/>
      <c r="IUU1533" s="6"/>
      <c r="IUV1533" s="4"/>
      <c r="IUW1533" s="6"/>
      <c r="IUX1533" s="4"/>
      <c r="IUY1533" s="6"/>
      <c r="IUZ1533" s="4"/>
      <c r="IVA1533" s="6"/>
      <c r="IVB1533" s="4"/>
      <c r="IVC1533" s="6"/>
      <c r="IVD1533" s="4"/>
      <c r="IVE1533" s="6"/>
      <c r="IVF1533" s="4"/>
      <c r="IVG1533" s="6"/>
      <c r="IVH1533" s="4"/>
      <c r="IVI1533" s="6"/>
      <c r="IVJ1533" s="4"/>
      <c r="IVK1533" s="6"/>
      <c r="IVL1533" s="4"/>
      <c r="IVM1533" s="6"/>
      <c r="IVN1533" s="4"/>
      <c r="IVO1533" s="6"/>
      <c r="IVP1533" s="4"/>
      <c r="IVQ1533" s="6"/>
      <c r="IVR1533" s="4"/>
      <c r="IVS1533" s="6"/>
      <c r="IVT1533" s="4"/>
      <c r="IVU1533" s="6"/>
      <c r="IVV1533" s="4"/>
      <c r="IVW1533" s="6"/>
      <c r="IVX1533" s="4"/>
      <c r="IVY1533" s="6"/>
      <c r="IVZ1533" s="4"/>
      <c r="IWA1533" s="6"/>
      <c r="IWB1533" s="4"/>
      <c r="IWC1533" s="6"/>
      <c r="IWD1533" s="4"/>
      <c r="IWE1533" s="6"/>
      <c r="IWF1533" s="4"/>
      <c r="IWG1533" s="6"/>
      <c r="IWH1533" s="4"/>
      <c r="IWI1533" s="6"/>
      <c r="IWJ1533" s="4"/>
      <c r="IWK1533" s="6"/>
      <c r="IWL1533" s="4"/>
      <c r="IWM1533" s="6"/>
      <c r="IWN1533" s="4"/>
      <c r="IWO1533" s="6"/>
      <c r="IWP1533" s="4"/>
      <c r="IWQ1533" s="6"/>
      <c r="IWR1533" s="4"/>
      <c r="IWS1533" s="6"/>
      <c r="IWT1533" s="4"/>
      <c r="IWU1533" s="6"/>
      <c r="IWV1533" s="4"/>
      <c r="IWW1533" s="6"/>
      <c r="IWX1533" s="4"/>
      <c r="IWY1533" s="6"/>
      <c r="IWZ1533" s="4"/>
      <c r="IXA1533" s="6"/>
      <c r="IXB1533" s="4"/>
      <c r="IXC1533" s="6"/>
      <c r="IXD1533" s="4"/>
      <c r="IXE1533" s="6"/>
      <c r="IXF1533" s="4"/>
      <c r="IXG1533" s="6"/>
      <c r="IXH1533" s="4"/>
      <c r="IXI1533" s="6"/>
      <c r="IXJ1533" s="4"/>
      <c r="IXK1533" s="6"/>
      <c r="IXL1533" s="4"/>
      <c r="IXM1533" s="6"/>
      <c r="IXN1533" s="4"/>
      <c r="IXO1533" s="6"/>
      <c r="IXP1533" s="4"/>
      <c r="IXQ1533" s="6"/>
      <c r="IXR1533" s="4"/>
      <c r="IXS1533" s="6"/>
      <c r="IXT1533" s="4"/>
      <c r="IXU1533" s="6"/>
      <c r="IXV1533" s="4"/>
      <c r="IXW1533" s="6"/>
      <c r="IXX1533" s="4"/>
      <c r="IXY1533" s="6"/>
      <c r="IXZ1533" s="4"/>
      <c r="IYA1533" s="6"/>
      <c r="IYB1533" s="4"/>
      <c r="IYC1533" s="6"/>
      <c r="IYD1533" s="4"/>
      <c r="IYE1533" s="6"/>
      <c r="IYF1533" s="4"/>
      <c r="IYG1533" s="6"/>
      <c r="IYH1533" s="4"/>
      <c r="IYI1533" s="6"/>
      <c r="IYJ1533" s="4"/>
      <c r="IYK1533" s="6"/>
      <c r="IYL1533" s="4"/>
      <c r="IYM1533" s="6"/>
      <c r="IYN1533" s="4"/>
      <c r="IYO1533" s="6"/>
      <c r="IYP1533" s="4"/>
      <c r="IYQ1533" s="6"/>
      <c r="IYR1533" s="4"/>
      <c r="IYS1533" s="6"/>
      <c r="IYT1533" s="4"/>
      <c r="IYU1533" s="6"/>
      <c r="IYV1533" s="4"/>
      <c r="IYW1533" s="6"/>
      <c r="IYX1533" s="4"/>
      <c r="IYY1533" s="6"/>
      <c r="IYZ1533" s="4"/>
      <c r="IZA1533" s="6"/>
      <c r="IZB1533" s="4"/>
      <c r="IZC1533" s="6"/>
      <c r="IZD1533" s="4"/>
      <c r="IZE1533" s="6"/>
      <c r="IZF1533" s="4"/>
      <c r="IZG1533" s="6"/>
      <c r="IZH1533" s="4"/>
      <c r="IZI1533" s="6"/>
      <c r="IZJ1533" s="4"/>
      <c r="IZK1533" s="6"/>
      <c r="IZL1533" s="4"/>
      <c r="IZM1533" s="6"/>
      <c r="IZN1533" s="4"/>
      <c r="IZO1533" s="6"/>
      <c r="IZP1533" s="4"/>
      <c r="IZQ1533" s="6"/>
      <c r="IZR1533" s="4"/>
      <c r="IZS1533" s="6"/>
      <c r="IZT1533" s="4"/>
      <c r="IZU1533" s="6"/>
      <c r="IZV1533" s="4"/>
      <c r="IZW1533" s="6"/>
      <c r="IZX1533" s="4"/>
      <c r="IZY1533" s="6"/>
      <c r="IZZ1533" s="4"/>
      <c r="JAA1533" s="6"/>
      <c r="JAB1533" s="4"/>
      <c r="JAC1533" s="6"/>
      <c r="JAD1533" s="4"/>
      <c r="JAE1533" s="6"/>
      <c r="JAF1533" s="4"/>
      <c r="JAG1533" s="6"/>
      <c r="JAH1533" s="4"/>
      <c r="JAI1533" s="6"/>
      <c r="JAJ1533" s="4"/>
      <c r="JAK1533" s="6"/>
      <c r="JAL1533" s="4"/>
      <c r="JAM1533" s="6"/>
      <c r="JAN1533" s="4"/>
      <c r="JAO1533" s="6"/>
      <c r="JAP1533" s="4"/>
      <c r="JAQ1533" s="6"/>
      <c r="JAR1533" s="4"/>
      <c r="JAS1533" s="6"/>
      <c r="JAT1533" s="4"/>
      <c r="JAU1533" s="6"/>
      <c r="JAV1533" s="4"/>
      <c r="JAW1533" s="6"/>
      <c r="JAX1533" s="4"/>
      <c r="JAY1533" s="6"/>
      <c r="JAZ1533" s="4"/>
      <c r="JBA1533" s="6"/>
      <c r="JBB1533" s="4"/>
      <c r="JBC1533" s="6"/>
      <c r="JBD1533" s="4"/>
      <c r="JBE1533" s="6"/>
      <c r="JBF1533" s="4"/>
      <c r="JBG1533" s="6"/>
      <c r="JBH1533" s="4"/>
      <c r="JBI1533" s="6"/>
      <c r="JBJ1533" s="4"/>
      <c r="JBK1533" s="6"/>
      <c r="JBL1533" s="4"/>
      <c r="JBM1533" s="6"/>
      <c r="JBN1533" s="4"/>
      <c r="JBO1533" s="6"/>
      <c r="JBP1533" s="4"/>
      <c r="JBQ1533" s="6"/>
      <c r="JBR1533" s="4"/>
      <c r="JBS1533" s="6"/>
      <c r="JBT1533" s="4"/>
      <c r="JBU1533" s="6"/>
      <c r="JBV1533" s="4"/>
      <c r="JBW1533" s="6"/>
      <c r="JBX1533" s="4"/>
      <c r="JBY1533" s="6"/>
      <c r="JBZ1533" s="4"/>
      <c r="JCA1533" s="6"/>
      <c r="JCB1533" s="4"/>
      <c r="JCC1533" s="6"/>
      <c r="JCD1533" s="4"/>
      <c r="JCE1533" s="6"/>
      <c r="JCF1533" s="4"/>
      <c r="JCG1533" s="6"/>
      <c r="JCH1533" s="4"/>
      <c r="JCI1533" s="6"/>
      <c r="JCJ1533" s="4"/>
      <c r="JCK1533" s="6"/>
      <c r="JCL1533" s="4"/>
      <c r="JCM1533" s="6"/>
      <c r="JCN1533" s="4"/>
      <c r="JCO1533" s="6"/>
      <c r="JCP1533" s="4"/>
      <c r="JCQ1533" s="6"/>
      <c r="JCR1533" s="4"/>
      <c r="JCS1533" s="6"/>
      <c r="JCT1533" s="4"/>
      <c r="JCU1533" s="6"/>
      <c r="JCV1533" s="4"/>
      <c r="JCW1533" s="6"/>
      <c r="JCX1533" s="4"/>
      <c r="JCY1533" s="6"/>
      <c r="JCZ1533" s="4"/>
      <c r="JDA1533" s="6"/>
      <c r="JDB1533" s="4"/>
      <c r="JDC1533" s="6"/>
      <c r="JDD1533" s="4"/>
      <c r="JDE1533" s="6"/>
      <c r="JDF1533" s="4"/>
      <c r="JDG1533" s="6"/>
      <c r="JDH1533" s="4"/>
      <c r="JDI1533" s="6"/>
      <c r="JDJ1533" s="4"/>
      <c r="JDK1533" s="6"/>
      <c r="JDL1533" s="4"/>
      <c r="JDM1533" s="6"/>
      <c r="JDN1533" s="4"/>
      <c r="JDO1533" s="6"/>
      <c r="JDP1533" s="4"/>
      <c r="JDQ1533" s="6"/>
      <c r="JDR1533" s="4"/>
      <c r="JDS1533" s="6"/>
      <c r="JDT1533" s="4"/>
      <c r="JDU1533" s="6"/>
      <c r="JDV1533" s="4"/>
      <c r="JDW1533" s="6"/>
      <c r="JDX1533" s="4"/>
      <c r="JDY1533" s="6"/>
      <c r="JDZ1533" s="4"/>
      <c r="JEA1533" s="6"/>
      <c r="JEB1533" s="4"/>
      <c r="JEC1533" s="6"/>
      <c r="JED1533" s="4"/>
      <c r="JEE1533" s="6"/>
      <c r="JEF1533" s="4"/>
      <c r="JEG1533" s="6"/>
      <c r="JEH1533" s="4"/>
      <c r="JEI1533" s="6"/>
      <c r="JEJ1533" s="4"/>
      <c r="JEK1533" s="6"/>
      <c r="JEL1533" s="4"/>
      <c r="JEM1533" s="6"/>
      <c r="JEN1533" s="4"/>
      <c r="JEO1533" s="6"/>
      <c r="JEP1533" s="4"/>
      <c r="JEQ1533" s="6"/>
      <c r="JER1533" s="4"/>
      <c r="JES1533" s="6"/>
      <c r="JET1533" s="4"/>
      <c r="JEU1533" s="6"/>
      <c r="JEV1533" s="4"/>
      <c r="JEW1533" s="6"/>
      <c r="JEX1533" s="4"/>
      <c r="JEY1533" s="6"/>
      <c r="JEZ1533" s="4"/>
      <c r="JFA1533" s="6"/>
      <c r="JFB1533" s="4"/>
      <c r="JFC1533" s="6"/>
      <c r="JFD1533" s="4"/>
      <c r="JFE1533" s="6"/>
      <c r="JFF1533" s="4"/>
      <c r="JFG1533" s="6"/>
      <c r="JFH1533" s="4"/>
      <c r="JFI1533" s="6"/>
      <c r="JFJ1533" s="4"/>
      <c r="JFK1533" s="6"/>
      <c r="JFL1533" s="4"/>
      <c r="JFM1533" s="6"/>
      <c r="JFN1533" s="4"/>
      <c r="JFO1533" s="6"/>
      <c r="JFP1533" s="4"/>
      <c r="JFQ1533" s="6"/>
      <c r="JFR1533" s="4"/>
      <c r="JFS1533" s="6"/>
      <c r="JFT1533" s="4"/>
      <c r="JFU1533" s="6"/>
      <c r="JFV1533" s="4"/>
      <c r="JFW1533" s="6"/>
      <c r="JFX1533" s="4"/>
      <c r="JFY1533" s="6"/>
      <c r="JFZ1533" s="4"/>
      <c r="JGA1533" s="6"/>
      <c r="JGB1533" s="4"/>
      <c r="JGC1533" s="6"/>
      <c r="JGD1533" s="4"/>
      <c r="JGE1533" s="6"/>
      <c r="JGF1533" s="4"/>
      <c r="JGG1533" s="6"/>
      <c r="JGH1533" s="4"/>
      <c r="JGI1533" s="6"/>
      <c r="JGJ1533" s="4"/>
      <c r="JGK1533" s="6"/>
      <c r="JGL1533" s="4"/>
      <c r="JGM1533" s="6"/>
      <c r="JGN1533" s="4"/>
      <c r="JGO1533" s="6"/>
      <c r="JGP1533" s="4"/>
      <c r="JGQ1533" s="6"/>
      <c r="JGR1533" s="4"/>
      <c r="JGS1533" s="6"/>
      <c r="JGT1533" s="4"/>
      <c r="JGU1533" s="6"/>
      <c r="JGV1533" s="4"/>
      <c r="JGW1533" s="6"/>
      <c r="JGX1533" s="4"/>
      <c r="JGY1533" s="6"/>
      <c r="JGZ1533" s="4"/>
      <c r="JHA1533" s="6"/>
      <c r="JHB1533" s="4"/>
      <c r="JHC1533" s="6"/>
      <c r="JHD1533" s="4"/>
      <c r="JHE1533" s="6"/>
      <c r="JHF1533" s="4"/>
      <c r="JHG1533" s="6"/>
      <c r="JHH1533" s="4"/>
      <c r="JHI1533" s="6"/>
      <c r="JHJ1533" s="4"/>
      <c r="JHK1533" s="6"/>
      <c r="JHL1533" s="4"/>
      <c r="JHM1533" s="6"/>
      <c r="JHN1533" s="4"/>
      <c r="JHO1533" s="6"/>
      <c r="JHP1533" s="4"/>
      <c r="JHQ1533" s="6"/>
      <c r="JHR1533" s="4"/>
      <c r="JHS1533" s="6"/>
      <c r="JHT1533" s="4"/>
      <c r="JHU1533" s="6"/>
      <c r="JHV1533" s="4"/>
      <c r="JHW1533" s="6"/>
      <c r="JHX1533" s="4"/>
      <c r="JHY1533" s="6"/>
      <c r="JHZ1533" s="4"/>
      <c r="JIA1533" s="6"/>
      <c r="JIB1533" s="4"/>
      <c r="JIC1533" s="6"/>
      <c r="JID1533" s="4"/>
      <c r="JIE1533" s="6"/>
      <c r="JIF1533" s="4"/>
      <c r="JIG1533" s="6"/>
      <c r="JIH1533" s="4"/>
      <c r="JII1533" s="6"/>
      <c r="JIJ1533" s="4"/>
      <c r="JIK1533" s="6"/>
      <c r="JIL1533" s="4"/>
      <c r="JIM1533" s="6"/>
      <c r="JIN1533" s="4"/>
      <c r="JIO1533" s="6"/>
      <c r="JIP1533" s="4"/>
      <c r="JIQ1533" s="6"/>
      <c r="JIR1533" s="4"/>
      <c r="JIS1533" s="6"/>
      <c r="JIT1533" s="4"/>
      <c r="JIU1533" s="6"/>
      <c r="JIV1533" s="4"/>
      <c r="JIW1533" s="6"/>
      <c r="JIX1533" s="4"/>
      <c r="JIY1533" s="6"/>
      <c r="JIZ1533" s="4"/>
      <c r="JJA1533" s="6"/>
      <c r="JJB1533" s="4"/>
      <c r="JJC1533" s="6"/>
      <c r="JJD1533" s="4"/>
      <c r="JJE1533" s="6"/>
      <c r="JJF1533" s="4"/>
      <c r="JJG1533" s="6"/>
      <c r="JJH1533" s="4"/>
      <c r="JJI1533" s="6"/>
      <c r="JJJ1533" s="4"/>
      <c r="JJK1533" s="6"/>
      <c r="JJL1533" s="4"/>
      <c r="JJM1533" s="6"/>
      <c r="JJN1533" s="4"/>
      <c r="JJO1533" s="6"/>
      <c r="JJP1533" s="4"/>
      <c r="JJQ1533" s="6"/>
      <c r="JJR1533" s="4"/>
      <c r="JJS1533" s="6"/>
      <c r="JJT1533" s="4"/>
      <c r="JJU1533" s="6"/>
      <c r="JJV1533" s="4"/>
      <c r="JJW1533" s="6"/>
      <c r="JJX1533" s="4"/>
      <c r="JJY1533" s="6"/>
      <c r="JJZ1533" s="4"/>
      <c r="JKA1533" s="6"/>
      <c r="JKB1533" s="4"/>
      <c r="JKC1533" s="6"/>
      <c r="JKD1533" s="4"/>
      <c r="JKE1533" s="6"/>
      <c r="JKF1533" s="4"/>
      <c r="JKG1533" s="6"/>
      <c r="JKH1533" s="4"/>
      <c r="JKI1533" s="6"/>
      <c r="JKJ1533" s="4"/>
      <c r="JKK1533" s="6"/>
      <c r="JKL1533" s="4"/>
      <c r="JKM1533" s="6"/>
      <c r="JKN1533" s="4"/>
      <c r="JKO1533" s="6"/>
      <c r="JKP1533" s="4"/>
      <c r="JKQ1533" s="6"/>
      <c r="JKR1533" s="4"/>
      <c r="JKS1533" s="6"/>
      <c r="JKT1533" s="4"/>
      <c r="JKU1533" s="6"/>
      <c r="JKV1533" s="4"/>
      <c r="JKW1533" s="6"/>
      <c r="JKX1533" s="4"/>
      <c r="JKY1533" s="6"/>
      <c r="JKZ1533" s="4"/>
      <c r="JLA1533" s="6"/>
      <c r="JLB1533" s="4"/>
      <c r="JLC1533" s="6"/>
      <c r="JLD1533" s="4"/>
      <c r="JLE1533" s="6"/>
      <c r="JLF1533" s="4"/>
      <c r="JLG1533" s="6"/>
      <c r="JLH1533" s="4"/>
      <c r="JLI1533" s="6"/>
      <c r="JLJ1533" s="4"/>
      <c r="JLK1533" s="6"/>
      <c r="JLL1533" s="4"/>
      <c r="JLM1533" s="6"/>
      <c r="JLN1533" s="4"/>
      <c r="JLO1533" s="6"/>
      <c r="JLP1533" s="4"/>
      <c r="JLQ1533" s="6"/>
      <c r="JLR1533" s="4"/>
      <c r="JLS1533" s="6"/>
      <c r="JLT1533" s="4"/>
      <c r="JLU1533" s="6"/>
      <c r="JLV1533" s="4"/>
      <c r="JLW1533" s="6"/>
      <c r="JLX1533" s="4"/>
      <c r="JLY1533" s="6"/>
      <c r="JLZ1533" s="4"/>
      <c r="JMA1533" s="6"/>
      <c r="JMB1533" s="4"/>
      <c r="JMC1533" s="6"/>
      <c r="JMD1533" s="4"/>
      <c r="JME1533" s="6"/>
      <c r="JMF1533" s="4"/>
      <c r="JMG1533" s="6"/>
      <c r="JMH1533" s="4"/>
      <c r="JMI1533" s="6"/>
      <c r="JMJ1533" s="4"/>
      <c r="JMK1533" s="6"/>
      <c r="JML1533" s="4"/>
      <c r="JMM1533" s="6"/>
      <c r="JMN1533" s="4"/>
      <c r="JMO1533" s="6"/>
      <c r="JMP1533" s="4"/>
      <c r="JMQ1533" s="6"/>
      <c r="JMR1533" s="4"/>
      <c r="JMS1533" s="6"/>
      <c r="JMT1533" s="4"/>
      <c r="JMU1533" s="6"/>
      <c r="JMV1533" s="4"/>
      <c r="JMW1533" s="6"/>
      <c r="JMX1533" s="4"/>
      <c r="JMY1533" s="6"/>
      <c r="JMZ1533" s="4"/>
      <c r="JNA1533" s="6"/>
      <c r="JNB1533" s="4"/>
      <c r="JNC1533" s="6"/>
      <c r="JND1533" s="4"/>
      <c r="JNE1533" s="6"/>
      <c r="JNF1533" s="4"/>
      <c r="JNG1533" s="6"/>
      <c r="JNH1533" s="4"/>
      <c r="JNI1533" s="6"/>
      <c r="JNJ1533" s="4"/>
      <c r="JNK1533" s="6"/>
      <c r="JNL1533" s="4"/>
      <c r="JNM1533" s="6"/>
      <c r="JNN1533" s="4"/>
      <c r="JNO1533" s="6"/>
      <c r="JNP1533" s="4"/>
      <c r="JNQ1533" s="6"/>
      <c r="JNR1533" s="4"/>
      <c r="JNS1533" s="6"/>
      <c r="JNT1533" s="4"/>
      <c r="JNU1533" s="6"/>
      <c r="JNV1533" s="4"/>
      <c r="JNW1533" s="6"/>
      <c r="JNX1533" s="4"/>
      <c r="JNY1533" s="6"/>
      <c r="JNZ1533" s="4"/>
      <c r="JOA1533" s="6"/>
      <c r="JOB1533" s="4"/>
      <c r="JOC1533" s="6"/>
      <c r="JOD1533" s="4"/>
      <c r="JOE1533" s="6"/>
      <c r="JOF1533" s="4"/>
      <c r="JOG1533" s="6"/>
      <c r="JOH1533" s="4"/>
      <c r="JOI1533" s="6"/>
      <c r="JOJ1533" s="4"/>
      <c r="JOK1533" s="6"/>
      <c r="JOL1533" s="4"/>
      <c r="JOM1533" s="6"/>
      <c r="JON1533" s="4"/>
      <c r="JOO1533" s="6"/>
      <c r="JOP1533" s="4"/>
      <c r="JOQ1533" s="6"/>
      <c r="JOR1533" s="4"/>
      <c r="JOS1533" s="6"/>
      <c r="JOT1533" s="4"/>
      <c r="JOU1533" s="6"/>
      <c r="JOV1533" s="4"/>
      <c r="JOW1533" s="6"/>
      <c r="JOX1533" s="4"/>
      <c r="JOY1533" s="6"/>
      <c r="JOZ1533" s="4"/>
      <c r="JPA1533" s="6"/>
      <c r="JPB1533" s="4"/>
      <c r="JPC1533" s="6"/>
      <c r="JPD1533" s="4"/>
      <c r="JPE1533" s="6"/>
      <c r="JPF1533" s="4"/>
      <c r="JPG1533" s="6"/>
      <c r="JPH1533" s="4"/>
      <c r="JPI1533" s="6"/>
      <c r="JPJ1533" s="4"/>
      <c r="JPK1533" s="6"/>
      <c r="JPL1533" s="4"/>
      <c r="JPM1533" s="6"/>
      <c r="JPN1533" s="4"/>
      <c r="JPO1533" s="6"/>
      <c r="JPP1533" s="4"/>
      <c r="JPQ1533" s="6"/>
      <c r="JPR1533" s="4"/>
      <c r="JPS1533" s="6"/>
      <c r="JPT1533" s="4"/>
      <c r="JPU1533" s="6"/>
      <c r="JPV1533" s="4"/>
      <c r="JPW1533" s="6"/>
      <c r="JPX1533" s="4"/>
      <c r="JPY1533" s="6"/>
      <c r="JPZ1533" s="4"/>
      <c r="JQA1533" s="6"/>
      <c r="JQB1533" s="4"/>
      <c r="JQC1533" s="6"/>
      <c r="JQD1533" s="4"/>
      <c r="JQE1533" s="6"/>
      <c r="JQF1533" s="4"/>
      <c r="JQG1533" s="6"/>
      <c r="JQH1533" s="4"/>
      <c r="JQI1533" s="6"/>
      <c r="JQJ1533" s="4"/>
      <c r="JQK1533" s="6"/>
      <c r="JQL1533" s="4"/>
      <c r="JQM1533" s="6"/>
      <c r="JQN1533" s="4"/>
      <c r="JQO1533" s="6"/>
      <c r="JQP1533" s="4"/>
      <c r="JQQ1533" s="6"/>
      <c r="JQR1533" s="4"/>
      <c r="JQS1533" s="6"/>
      <c r="JQT1533" s="4"/>
      <c r="JQU1533" s="6"/>
      <c r="JQV1533" s="4"/>
      <c r="JQW1533" s="6"/>
      <c r="JQX1533" s="4"/>
      <c r="JQY1533" s="6"/>
      <c r="JQZ1533" s="4"/>
      <c r="JRA1533" s="6"/>
      <c r="JRB1533" s="4"/>
      <c r="JRC1533" s="6"/>
      <c r="JRD1533" s="4"/>
      <c r="JRE1533" s="6"/>
      <c r="JRF1533" s="4"/>
      <c r="JRG1533" s="6"/>
      <c r="JRH1533" s="4"/>
      <c r="JRI1533" s="6"/>
      <c r="JRJ1533" s="4"/>
      <c r="JRK1533" s="6"/>
      <c r="JRL1533" s="4"/>
      <c r="JRM1533" s="6"/>
      <c r="JRN1533" s="4"/>
      <c r="JRO1533" s="6"/>
      <c r="JRP1533" s="4"/>
      <c r="JRQ1533" s="6"/>
      <c r="JRR1533" s="4"/>
      <c r="JRS1533" s="6"/>
      <c r="JRT1533" s="4"/>
      <c r="JRU1533" s="6"/>
      <c r="JRV1533" s="4"/>
      <c r="JRW1533" s="6"/>
      <c r="JRX1533" s="4"/>
      <c r="JRY1533" s="6"/>
      <c r="JRZ1533" s="4"/>
      <c r="JSA1533" s="6"/>
      <c r="JSB1533" s="4"/>
      <c r="JSC1533" s="6"/>
      <c r="JSD1533" s="4"/>
      <c r="JSE1533" s="6"/>
      <c r="JSF1533" s="4"/>
      <c r="JSG1533" s="6"/>
      <c r="JSH1533" s="4"/>
      <c r="JSI1533" s="6"/>
      <c r="JSJ1533" s="4"/>
      <c r="JSK1533" s="6"/>
      <c r="JSL1533" s="4"/>
      <c r="JSM1533" s="6"/>
      <c r="JSN1533" s="4"/>
      <c r="JSO1533" s="6"/>
      <c r="JSP1533" s="4"/>
      <c r="JSQ1533" s="6"/>
      <c r="JSR1533" s="4"/>
      <c r="JSS1533" s="6"/>
      <c r="JST1533" s="4"/>
      <c r="JSU1533" s="6"/>
      <c r="JSV1533" s="4"/>
      <c r="JSW1533" s="6"/>
      <c r="JSX1533" s="4"/>
      <c r="JSY1533" s="6"/>
      <c r="JSZ1533" s="4"/>
      <c r="JTA1533" s="6"/>
      <c r="JTB1533" s="4"/>
      <c r="JTC1533" s="6"/>
      <c r="JTD1533" s="4"/>
      <c r="JTE1533" s="6"/>
      <c r="JTF1533" s="4"/>
      <c r="JTG1533" s="6"/>
      <c r="JTH1533" s="4"/>
      <c r="JTI1533" s="6"/>
      <c r="JTJ1533" s="4"/>
      <c r="JTK1533" s="6"/>
      <c r="JTL1533" s="4"/>
      <c r="JTM1533" s="6"/>
      <c r="JTN1533" s="4"/>
      <c r="JTO1533" s="6"/>
      <c r="JTP1533" s="4"/>
      <c r="JTQ1533" s="6"/>
      <c r="JTR1533" s="4"/>
      <c r="JTS1533" s="6"/>
      <c r="JTT1533" s="4"/>
      <c r="JTU1533" s="6"/>
      <c r="JTV1533" s="4"/>
      <c r="JTW1533" s="6"/>
      <c r="JTX1533" s="4"/>
      <c r="JTY1533" s="6"/>
      <c r="JTZ1533" s="4"/>
      <c r="JUA1533" s="6"/>
      <c r="JUB1533" s="4"/>
      <c r="JUC1533" s="6"/>
      <c r="JUD1533" s="4"/>
      <c r="JUE1533" s="6"/>
      <c r="JUF1533" s="4"/>
      <c r="JUG1533" s="6"/>
      <c r="JUH1533" s="4"/>
      <c r="JUI1533" s="6"/>
      <c r="JUJ1533" s="4"/>
      <c r="JUK1533" s="6"/>
      <c r="JUL1533" s="4"/>
      <c r="JUM1533" s="6"/>
      <c r="JUN1533" s="4"/>
      <c r="JUO1533" s="6"/>
      <c r="JUP1533" s="4"/>
      <c r="JUQ1533" s="6"/>
      <c r="JUR1533" s="4"/>
      <c r="JUS1533" s="6"/>
      <c r="JUT1533" s="4"/>
      <c r="JUU1533" s="6"/>
      <c r="JUV1533" s="4"/>
      <c r="JUW1533" s="6"/>
      <c r="JUX1533" s="4"/>
      <c r="JUY1533" s="6"/>
      <c r="JUZ1533" s="4"/>
      <c r="JVA1533" s="6"/>
      <c r="JVB1533" s="4"/>
      <c r="JVC1533" s="6"/>
      <c r="JVD1533" s="4"/>
      <c r="JVE1533" s="6"/>
      <c r="JVF1533" s="4"/>
      <c r="JVG1533" s="6"/>
      <c r="JVH1533" s="4"/>
      <c r="JVI1533" s="6"/>
      <c r="JVJ1533" s="4"/>
      <c r="JVK1533" s="6"/>
      <c r="JVL1533" s="4"/>
      <c r="JVM1533" s="6"/>
      <c r="JVN1533" s="4"/>
      <c r="JVO1533" s="6"/>
      <c r="JVP1533" s="4"/>
      <c r="JVQ1533" s="6"/>
      <c r="JVR1533" s="4"/>
      <c r="JVS1533" s="6"/>
      <c r="JVT1533" s="4"/>
      <c r="JVU1533" s="6"/>
      <c r="JVV1533" s="4"/>
      <c r="JVW1533" s="6"/>
      <c r="JVX1533" s="4"/>
      <c r="JVY1533" s="6"/>
      <c r="JVZ1533" s="4"/>
      <c r="JWA1533" s="6"/>
      <c r="JWB1533" s="4"/>
      <c r="JWC1533" s="6"/>
      <c r="JWD1533" s="4"/>
      <c r="JWE1533" s="6"/>
      <c r="JWF1533" s="4"/>
      <c r="JWG1533" s="6"/>
      <c r="JWH1533" s="4"/>
      <c r="JWI1533" s="6"/>
      <c r="JWJ1533" s="4"/>
      <c r="JWK1533" s="6"/>
      <c r="JWL1533" s="4"/>
      <c r="JWM1533" s="6"/>
      <c r="JWN1533" s="4"/>
      <c r="JWO1533" s="6"/>
      <c r="JWP1533" s="4"/>
      <c r="JWQ1533" s="6"/>
      <c r="JWR1533" s="4"/>
      <c r="JWS1533" s="6"/>
      <c r="JWT1533" s="4"/>
      <c r="JWU1533" s="6"/>
      <c r="JWV1533" s="4"/>
      <c r="JWW1533" s="6"/>
      <c r="JWX1533" s="4"/>
      <c r="JWY1533" s="6"/>
      <c r="JWZ1533" s="4"/>
      <c r="JXA1533" s="6"/>
      <c r="JXB1533" s="4"/>
      <c r="JXC1533" s="6"/>
      <c r="JXD1533" s="4"/>
      <c r="JXE1533" s="6"/>
      <c r="JXF1533" s="4"/>
      <c r="JXG1533" s="6"/>
      <c r="JXH1533" s="4"/>
      <c r="JXI1533" s="6"/>
      <c r="JXJ1533" s="4"/>
      <c r="JXK1533" s="6"/>
      <c r="JXL1533" s="4"/>
      <c r="JXM1533" s="6"/>
      <c r="JXN1533" s="4"/>
      <c r="JXO1533" s="6"/>
      <c r="JXP1533" s="4"/>
      <c r="JXQ1533" s="6"/>
      <c r="JXR1533" s="4"/>
      <c r="JXS1533" s="6"/>
      <c r="JXT1533" s="4"/>
      <c r="JXU1533" s="6"/>
      <c r="JXV1533" s="4"/>
      <c r="JXW1533" s="6"/>
      <c r="JXX1533" s="4"/>
      <c r="JXY1533" s="6"/>
      <c r="JXZ1533" s="4"/>
      <c r="JYA1533" s="6"/>
      <c r="JYB1533" s="4"/>
      <c r="JYC1533" s="6"/>
      <c r="JYD1533" s="4"/>
      <c r="JYE1533" s="6"/>
      <c r="JYF1533" s="4"/>
      <c r="JYG1533" s="6"/>
      <c r="JYH1533" s="4"/>
      <c r="JYI1533" s="6"/>
      <c r="JYJ1533" s="4"/>
      <c r="JYK1533" s="6"/>
      <c r="JYL1533" s="4"/>
      <c r="JYM1533" s="6"/>
      <c r="JYN1533" s="4"/>
      <c r="JYO1533" s="6"/>
      <c r="JYP1533" s="4"/>
      <c r="JYQ1533" s="6"/>
      <c r="JYR1533" s="4"/>
      <c r="JYS1533" s="6"/>
      <c r="JYT1533" s="4"/>
      <c r="JYU1533" s="6"/>
      <c r="JYV1533" s="4"/>
      <c r="JYW1533" s="6"/>
      <c r="JYX1533" s="4"/>
      <c r="JYY1533" s="6"/>
      <c r="JYZ1533" s="4"/>
      <c r="JZA1533" s="6"/>
      <c r="JZB1533" s="4"/>
      <c r="JZC1533" s="6"/>
      <c r="JZD1533" s="4"/>
      <c r="JZE1533" s="6"/>
      <c r="JZF1533" s="4"/>
      <c r="JZG1533" s="6"/>
      <c r="JZH1533" s="4"/>
      <c r="JZI1533" s="6"/>
      <c r="JZJ1533" s="4"/>
      <c r="JZK1533" s="6"/>
      <c r="JZL1533" s="4"/>
      <c r="JZM1533" s="6"/>
      <c r="JZN1533" s="4"/>
      <c r="JZO1533" s="6"/>
      <c r="JZP1533" s="4"/>
      <c r="JZQ1533" s="6"/>
      <c r="JZR1533" s="4"/>
      <c r="JZS1533" s="6"/>
      <c r="JZT1533" s="4"/>
      <c r="JZU1533" s="6"/>
      <c r="JZV1533" s="4"/>
      <c r="JZW1533" s="6"/>
      <c r="JZX1533" s="4"/>
      <c r="JZY1533" s="6"/>
      <c r="JZZ1533" s="4"/>
      <c r="KAA1533" s="6"/>
      <c r="KAB1533" s="4"/>
      <c r="KAC1533" s="6"/>
      <c r="KAD1533" s="4"/>
      <c r="KAE1533" s="6"/>
      <c r="KAF1533" s="4"/>
      <c r="KAG1533" s="6"/>
      <c r="KAH1533" s="4"/>
      <c r="KAI1533" s="6"/>
      <c r="KAJ1533" s="4"/>
      <c r="KAK1533" s="6"/>
      <c r="KAL1533" s="4"/>
      <c r="KAM1533" s="6"/>
      <c r="KAN1533" s="4"/>
      <c r="KAO1533" s="6"/>
      <c r="KAP1533" s="4"/>
      <c r="KAQ1533" s="6"/>
      <c r="KAR1533" s="4"/>
      <c r="KAS1533" s="6"/>
      <c r="KAT1533" s="4"/>
      <c r="KAU1533" s="6"/>
      <c r="KAV1533" s="4"/>
      <c r="KAW1533" s="6"/>
      <c r="KAX1533" s="4"/>
      <c r="KAY1533" s="6"/>
      <c r="KAZ1533" s="4"/>
      <c r="KBA1533" s="6"/>
      <c r="KBB1533" s="4"/>
      <c r="KBC1533" s="6"/>
      <c r="KBD1533" s="4"/>
      <c r="KBE1533" s="6"/>
      <c r="KBF1533" s="4"/>
      <c r="KBG1533" s="6"/>
      <c r="KBH1533" s="4"/>
      <c r="KBI1533" s="6"/>
      <c r="KBJ1533" s="4"/>
      <c r="KBK1533" s="6"/>
      <c r="KBL1533" s="4"/>
      <c r="KBM1533" s="6"/>
      <c r="KBN1533" s="4"/>
      <c r="KBO1533" s="6"/>
      <c r="KBP1533" s="4"/>
      <c r="KBQ1533" s="6"/>
      <c r="KBR1533" s="4"/>
      <c r="KBS1533" s="6"/>
      <c r="KBT1533" s="4"/>
      <c r="KBU1533" s="6"/>
      <c r="KBV1533" s="4"/>
      <c r="KBW1533" s="6"/>
      <c r="KBX1533" s="4"/>
      <c r="KBY1533" s="6"/>
      <c r="KBZ1533" s="4"/>
      <c r="KCA1533" s="6"/>
      <c r="KCB1533" s="4"/>
      <c r="KCC1533" s="6"/>
      <c r="KCD1533" s="4"/>
      <c r="KCE1533" s="6"/>
      <c r="KCF1533" s="4"/>
      <c r="KCG1533" s="6"/>
      <c r="KCH1533" s="4"/>
      <c r="KCI1533" s="6"/>
      <c r="KCJ1533" s="4"/>
      <c r="KCK1533" s="6"/>
      <c r="KCL1533" s="4"/>
      <c r="KCM1533" s="6"/>
      <c r="KCN1533" s="4"/>
      <c r="KCO1533" s="6"/>
      <c r="KCP1533" s="4"/>
      <c r="KCQ1533" s="6"/>
      <c r="KCR1533" s="4"/>
      <c r="KCS1533" s="6"/>
      <c r="KCT1533" s="4"/>
      <c r="KCU1533" s="6"/>
      <c r="KCV1533" s="4"/>
      <c r="KCW1533" s="6"/>
      <c r="KCX1533" s="4"/>
      <c r="KCY1533" s="6"/>
      <c r="KCZ1533" s="4"/>
      <c r="KDA1533" s="6"/>
      <c r="KDB1533" s="4"/>
      <c r="KDC1533" s="6"/>
      <c r="KDD1533" s="4"/>
      <c r="KDE1533" s="6"/>
      <c r="KDF1533" s="4"/>
      <c r="KDG1533" s="6"/>
      <c r="KDH1533" s="4"/>
      <c r="KDI1533" s="6"/>
      <c r="KDJ1533" s="4"/>
      <c r="KDK1533" s="6"/>
      <c r="KDL1533" s="4"/>
      <c r="KDM1533" s="6"/>
      <c r="KDN1533" s="4"/>
      <c r="KDO1533" s="6"/>
      <c r="KDP1533" s="4"/>
      <c r="KDQ1533" s="6"/>
      <c r="KDR1533" s="4"/>
      <c r="KDS1533" s="6"/>
      <c r="KDT1533" s="4"/>
      <c r="KDU1533" s="6"/>
      <c r="KDV1533" s="4"/>
      <c r="KDW1533" s="6"/>
      <c r="KDX1533" s="4"/>
      <c r="KDY1533" s="6"/>
      <c r="KDZ1533" s="4"/>
      <c r="KEA1533" s="6"/>
      <c r="KEB1533" s="4"/>
      <c r="KEC1533" s="6"/>
      <c r="KED1533" s="4"/>
      <c r="KEE1533" s="6"/>
      <c r="KEF1533" s="4"/>
      <c r="KEG1533" s="6"/>
      <c r="KEH1533" s="4"/>
      <c r="KEI1533" s="6"/>
      <c r="KEJ1533" s="4"/>
      <c r="KEK1533" s="6"/>
      <c r="KEL1533" s="4"/>
      <c r="KEM1533" s="6"/>
      <c r="KEN1533" s="4"/>
      <c r="KEO1533" s="6"/>
      <c r="KEP1533" s="4"/>
      <c r="KEQ1533" s="6"/>
      <c r="KER1533" s="4"/>
      <c r="KES1533" s="6"/>
      <c r="KET1533" s="4"/>
      <c r="KEU1533" s="6"/>
      <c r="KEV1533" s="4"/>
      <c r="KEW1533" s="6"/>
      <c r="KEX1533" s="4"/>
      <c r="KEY1533" s="6"/>
      <c r="KEZ1533" s="4"/>
      <c r="KFA1533" s="6"/>
      <c r="KFB1533" s="4"/>
      <c r="KFC1533" s="6"/>
      <c r="KFD1533" s="4"/>
      <c r="KFE1533" s="6"/>
      <c r="KFF1533" s="4"/>
      <c r="KFG1533" s="6"/>
      <c r="KFH1533" s="4"/>
      <c r="KFI1533" s="6"/>
      <c r="KFJ1533" s="4"/>
      <c r="KFK1533" s="6"/>
      <c r="KFL1533" s="4"/>
      <c r="KFM1533" s="6"/>
      <c r="KFN1533" s="4"/>
      <c r="KFO1533" s="6"/>
      <c r="KFP1533" s="4"/>
      <c r="KFQ1533" s="6"/>
      <c r="KFR1533" s="4"/>
      <c r="KFS1533" s="6"/>
      <c r="KFT1533" s="4"/>
      <c r="KFU1533" s="6"/>
      <c r="KFV1533" s="4"/>
      <c r="KFW1533" s="6"/>
      <c r="KFX1533" s="4"/>
      <c r="KFY1533" s="6"/>
      <c r="KFZ1533" s="4"/>
      <c r="KGA1533" s="6"/>
      <c r="KGB1533" s="4"/>
      <c r="KGC1533" s="6"/>
      <c r="KGD1533" s="4"/>
      <c r="KGE1533" s="6"/>
      <c r="KGF1533" s="4"/>
      <c r="KGG1533" s="6"/>
      <c r="KGH1533" s="4"/>
      <c r="KGI1533" s="6"/>
      <c r="KGJ1533" s="4"/>
      <c r="KGK1533" s="6"/>
      <c r="KGL1533" s="4"/>
      <c r="KGM1533" s="6"/>
      <c r="KGN1533" s="4"/>
      <c r="KGO1533" s="6"/>
      <c r="KGP1533" s="4"/>
      <c r="KGQ1533" s="6"/>
      <c r="KGR1533" s="4"/>
      <c r="KGS1533" s="6"/>
      <c r="KGT1533" s="4"/>
      <c r="KGU1533" s="6"/>
      <c r="KGV1533" s="4"/>
      <c r="KGW1533" s="6"/>
      <c r="KGX1533" s="4"/>
      <c r="KGY1533" s="6"/>
      <c r="KGZ1533" s="4"/>
      <c r="KHA1533" s="6"/>
      <c r="KHB1533" s="4"/>
      <c r="KHC1533" s="6"/>
      <c r="KHD1533" s="4"/>
      <c r="KHE1533" s="6"/>
      <c r="KHF1533" s="4"/>
      <c r="KHG1533" s="6"/>
      <c r="KHH1533" s="4"/>
      <c r="KHI1533" s="6"/>
      <c r="KHJ1533" s="4"/>
      <c r="KHK1533" s="6"/>
      <c r="KHL1533" s="4"/>
      <c r="KHM1533" s="6"/>
      <c r="KHN1533" s="4"/>
      <c r="KHO1533" s="6"/>
      <c r="KHP1533" s="4"/>
      <c r="KHQ1533" s="6"/>
      <c r="KHR1533" s="4"/>
      <c r="KHS1533" s="6"/>
      <c r="KHT1533" s="4"/>
      <c r="KHU1533" s="6"/>
      <c r="KHV1533" s="4"/>
      <c r="KHW1533" s="6"/>
      <c r="KHX1533" s="4"/>
      <c r="KHY1533" s="6"/>
      <c r="KHZ1533" s="4"/>
      <c r="KIA1533" s="6"/>
      <c r="KIB1533" s="4"/>
      <c r="KIC1533" s="6"/>
      <c r="KID1533" s="4"/>
      <c r="KIE1533" s="6"/>
      <c r="KIF1533" s="4"/>
      <c r="KIG1533" s="6"/>
      <c r="KIH1533" s="4"/>
      <c r="KII1533" s="6"/>
      <c r="KIJ1533" s="4"/>
      <c r="KIK1533" s="6"/>
      <c r="KIL1533" s="4"/>
      <c r="KIM1533" s="6"/>
      <c r="KIN1533" s="4"/>
      <c r="KIO1533" s="6"/>
      <c r="KIP1533" s="4"/>
      <c r="KIQ1533" s="6"/>
      <c r="KIR1533" s="4"/>
      <c r="KIS1533" s="6"/>
      <c r="KIT1533" s="4"/>
      <c r="KIU1533" s="6"/>
      <c r="KIV1533" s="4"/>
      <c r="KIW1533" s="6"/>
      <c r="KIX1533" s="4"/>
      <c r="KIY1533" s="6"/>
      <c r="KIZ1533" s="4"/>
      <c r="KJA1533" s="6"/>
      <c r="KJB1533" s="4"/>
      <c r="KJC1533" s="6"/>
      <c r="KJD1533" s="4"/>
      <c r="KJE1533" s="6"/>
      <c r="KJF1533" s="4"/>
      <c r="KJG1533" s="6"/>
      <c r="KJH1533" s="4"/>
      <c r="KJI1533" s="6"/>
      <c r="KJJ1533" s="4"/>
      <c r="KJK1533" s="6"/>
      <c r="KJL1533" s="4"/>
      <c r="KJM1533" s="6"/>
      <c r="KJN1533" s="4"/>
      <c r="KJO1533" s="6"/>
      <c r="KJP1533" s="4"/>
      <c r="KJQ1533" s="6"/>
      <c r="KJR1533" s="4"/>
      <c r="KJS1533" s="6"/>
      <c r="KJT1533" s="4"/>
      <c r="KJU1533" s="6"/>
      <c r="KJV1533" s="4"/>
      <c r="KJW1533" s="6"/>
      <c r="KJX1533" s="4"/>
      <c r="KJY1533" s="6"/>
      <c r="KJZ1533" s="4"/>
      <c r="KKA1533" s="6"/>
      <c r="KKB1533" s="4"/>
      <c r="KKC1533" s="6"/>
      <c r="KKD1533" s="4"/>
      <c r="KKE1533" s="6"/>
      <c r="KKF1533" s="4"/>
      <c r="KKG1533" s="6"/>
      <c r="KKH1533" s="4"/>
      <c r="KKI1533" s="6"/>
      <c r="KKJ1533" s="4"/>
      <c r="KKK1533" s="6"/>
      <c r="KKL1533" s="4"/>
      <c r="KKM1533" s="6"/>
      <c r="KKN1533" s="4"/>
      <c r="KKO1533" s="6"/>
      <c r="KKP1533" s="4"/>
      <c r="KKQ1533" s="6"/>
      <c r="KKR1533" s="4"/>
      <c r="KKS1533" s="6"/>
      <c r="KKT1533" s="4"/>
      <c r="KKU1533" s="6"/>
      <c r="KKV1533" s="4"/>
      <c r="KKW1533" s="6"/>
      <c r="KKX1533" s="4"/>
      <c r="KKY1533" s="6"/>
      <c r="KKZ1533" s="4"/>
      <c r="KLA1533" s="6"/>
      <c r="KLB1533" s="4"/>
      <c r="KLC1533" s="6"/>
      <c r="KLD1533" s="4"/>
      <c r="KLE1533" s="6"/>
      <c r="KLF1533" s="4"/>
      <c r="KLG1533" s="6"/>
      <c r="KLH1533" s="4"/>
      <c r="KLI1533" s="6"/>
      <c r="KLJ1533" s="4"/>
      <c r="KLK1533" s="6"/>
      <c r="KLL1533" s="4"/>
      <c r="KLM1533" s="6"/>
      <c r="KLN1533" s="4"/>
      <c r="KLO1533" s="6"/>
      <c r="KLP1533" s="4"/>
      <c r="KLQ1533" s="6"/>
      <c r="KLR1533" s="4"/>
      <c r="KLS1533" s="6"/>
      <c r="KLT1533" s="4"/>
      <c r="KLU1533" s="6"/>
      <c r="KLV1533" s="4"/>
      <c r="KLW1533" s="6"/>
      <c r="KLX1533" s="4"/>
      <c r="KLY1533" s="6"/>
      <c r="KLZ1533" s="4"/>
      <c r="KMA1533" s="6"/>
      <c r="KMB1533" s="4"/>
      <c r="KMC1533" s="6"/>
      <c r="KMD1533" s="4"/>
      <c r="KME1533" s="6"/>
      <c r="KMF1533" s="4"/>
      <c r="KMG1533" s="6"/>
      <c r="KMH1533" s="4"/>
      <c r="KMI1533" s="6"/>
      <c r="KMJ1533" s="4"/>
      <c r="KMK1533" s="6"/>
      <c r="KML1533" s="4"/>
      <c r="KMM1533" s="6"/>
      <c r="KMN1533" s="4"/>
      <c r="KMO1533" s="6"/>
      <c r="KMP1533" s="4"/>
      <c r="KMQ1533" s="6"/>
      <c r="KMR1533" s="4"/>
      <c r="KMS1533" s="6"/>
      <c r="KMT1533" s="4"/>
      <c r="KMU1533" s="6"/>
      <c r="KMV1533" s="4"/>
      <c r="KMW1533" s="6"/>
      <c r="KMX1533" s="4"/>
      <c r="KMY1533" s="6"/>
      <c r="KMZ1533" s="4"/>
      <c r="KNA1533" s="6"/>
      <c r="KNB1533" s="4"/>
      <c r="KNC1533" s="6"/>
      <c r="KND1533" s="4"/>
      <c r="KNE1533" s="6"/>
      <c r="KNF1533" s="4"/>
      <c r="KNG1533" s="6"/>
      <c r="KNH1533" s="4"/>
      <c r="KNI1533" s="6"/>
      <c r="KNJ1533" s="4"/>
      <c r="KNK1533" s="6"/>
      <c r="KNL1533" s="4"/>
      <c r="KNM1533" s="6"/>
      <c r="KNN1533" s="4"/>
      <c r="KNO1533" s="6"/>
      <c r="KNP1533" s="4"/>
      <c r="KNQ1533" s="6"/>
      <c r="KNR1533" s="4"/>
      <c r="KNS1533" s="6"/>
      <c r="KNT1533" s="4"/>
      <c r="KNU1533" s="6"/>
      <c r="KNV1533" s="4"/>
      <c r="KNW1533" s="6"/>
      <c r="KNX1533" s="4"/>
      <c r="KNY1533" s="6"/>
      <c r="KNZ1533" s="4"/>
      <c r="KOA1533" s="6"/>
      <c r="KOB1533" s="4"/>
      <c r="KOC1533" s="6"/>
      <c r="KOD1533" s="4"/>
      <c r="KOE1533" s="6"/>
      <c r="KOF1533" s="4"/>
      <c r="KOG1533" s="6"/>
      <c r="KOH1533" s="4"/>
      <c r="KOI1533" s="6"/>
      <c r="KOJ1533" s="4"/>
      <c r="KOK1533" s="6"/>
      <c r="KOL1533" s="4"/>
      <c r="KOM1533" s="6"/>
      <c r="KON1533" s="4"/>
      <c r="KOO1533" s="6"/>
      <c r="KOP1533" s="4"/>
      <c r="KOQ1533" s="6"/>
      <c r="KOR1533" s="4"/>
      <c r="KOS1533" s="6"/>
      <c r="KOT1533" s="4"/>
      <c r="KOU1533" s="6"/>
      <c r="KOV1533" s="4"/>
      <c r="KOW1533" s="6"/>
      <c r="KOX1533" s="4"/>
      <c r="KOY1533" s="6"/>
      <c r="KOZ1533" s="4"/>
      <c r="KPA1533" s="6"/>
      <c r="KPB1533" s="4"/>
      <c r="KPC1533" s="6"/>
      <c r="KPD1533" s="4"/>
      <c r="KPE1533" s="6"/>
      <c r="KPF1533" s="4"/>
      <c r="KPG1533" s="6"/>
      <c r="KPH1533" s="4"/>
      <c r="KPI1533" s="6"/>
      <c r="KPJ1533" s="4"/>
      <c r="KPK1533" s="6"/>
      <c r="KPL1533" s="4"/>
      <c r="KPM1533" s="6"/>
      <c r="KPN1533" s="4"/>
      <c r="KPO1533" s="6"/>
      <c r="KPP1533" s="4"/>
      <c r="KPQ1533" s="6"/>
      <c r="KPR1533" s="4"/>
      <c r="KPS1533" s="6"/>
      <c r="KPT1533" s="4"/>
      <c r="KPU1533" s="6"/>
      <c r="KPV1533" s="4"/>
      <c r="KPW1533" s="6"/>
      <c r="KPX1533" s="4"/>
      <c r="KPY1533" s="6"/>
      <c r="KPZ1533" s="4"/>
      <c r="KQA1533" s="6"/>
      <c r="KQB1533" s="4"/>
      <c r="KQC1533" s="6"/>
      <c r="KQD1533" s="4"/>
      <c r="KQE1533" s="6"/>
      <c r="KQF1533" s="4"/>
      <c r="KQG1533" s="6"/>
      <c r="KQH1533" s="4"/>
      <c r="KQI1533" s="6"/>
      <c r="KQJ1533" s="4"/>
      <c r="KQK1533" s="6"/>
      <c r="KQL1533" s="4"/>
      <c r="KQM1533" s="6"/>
      <c r="KQN1533" s="4"/>
      <c r="KQO1533" s="6"/>
      <c r="KQP1533" s="4"/>
      <c r="KQQ1533" s="6"/>
      <c r="KQR1533" s="4"/>
      <c r="KQS1533" s="6"/>
      <c r="KQT1533" s="4"/>
      <c r="KQU1533" s="6"/>
      <c r="KQV1533" s="4"/>
      <c r="KQW1533" s="6"/>
      <c r="KQX1533" s="4"/>
      <c r="KQY1533" s="6"/>
      <c r="KQZ1533" s="4"/>
      <c r="KRA1533" s="6"/>
      <c r="KRB1533" s="4"/>
      <c r="KRC1533" s="6"/>
      <c r="KRD1533" s="4"/>
      <c r="KRE1533" s="6"/>
      <c r="KRF1533" s="4"/>
      <c r="KRG1533" s="6"/>
      <c r="KRH1533" s="4"/>
      <c r="KRI1533" s="6"/>
      <c r="KRJ1533" s="4"/>
      <c r="KRK1533" s="6"/>
      <c r="KRL1533" s="4"/>
      <c r="KRM1533" s="6"/>
      <c r="KRN1533" s="4"/>
      <c r="KRO1533" s="6"/>
      <c r="KRP1533" s="4"/>
      <c r="KRQ1533" s="6"/>
      <c r="KRR1533" s="4"/>
      <c r="KRS1533" s="6"/>
      <c r="KRT1533" s="4"/>
      <c r="KRU1533" s="6"/>
      <c r="KRV1533" s="4"/>
      <c r="KRW1533" s="6"/>
      <c r="KRX1533" s="4"/>
      <c r="KRY1533" s="6"/>
      <c r="KRZ1533" s="4"/>
      <c r="KSA1533" s="6"/>
      <c r="KSB1533" s="4"/>
      <c r="KSC1533" s="6"/>
      <c r="KSD1533" s="4"/>
      <c r="KSE1533" s="6"/>
      <c r="KSF1533" s="4"/>
      <c r="KSG1533" s="6"/>
      <c r="KSH1533" s="4"/>
      <c r="KSI1533" s="6"/>
      <c r="KSJ1533" s="4"/>
      <c r="KSK1533" s="6"/>
      <c r="KSL1533" s="4"/>
      <c r="KSM1533" s="6"/>
      <c r="KSN1533" s="4"/>
      <c r="KSO1533" s="6"/>
      <c r="KSP1533" s="4"/>
      <c r="KSQ1533" s="6"/>
      <c r="KSR1533" s="4"/>
      <c r="KSS1533" s="6"/>
      <c r="KST1533" s="4"/>
      <c r="KSU1533" s="6"/>
      <c r="KSV1533" s="4"/>
      <c r="KSW1533" s="6"/>
      <c r="KSX1533" s="4"/>
      <c r="KSY1533" s="6"/>
      <c r="KSZ1533" s="4"/>
      <c r="KTA1533" s="6"/>
      <c r="KTB1533" s="4"/>
      <c r="KTC1533" s="6"/>
      <c r="KTD1533" s="4"/>
      <c r="KTE1533" s="6"/>
      <c r="KTF1533" s="4"/>
      <c r="KTG1533" s="6"/>
      <c r="KTH1533" s="4"/>
      <c r="KTI1533" s="6"/>
      <c r="KTJ1533" s="4"/>
      <c r="KTK1533" s="6"/>
      <c r="KTL1533" s="4"/>
      <c r="KTM1533" s="6"/>
      <c r="KTN1533" s="4"/>
      <c r="KTO1533" s="6"/>
      <c r="KTP1533" s="4"/>
      <c r="KTQ1533" s="6"/>
      <c r="KTR1533" s="4"/>
      <c r="KTS1533" s="6"/>
      <c r="KTT1533" s="4"/>
      <c r="KTU1533" s="6"/>
      <c r="KTV1533" s="4"/>
      <c r="KTW1533" s="6"/>
      <c r="KTX1533" s="4"/>
      <c r="KTY1533" s="6"/>
      <c r="KTZ1533" s="4"/>
      <c r="KUA1533" s="6"/>
      <c r="KUB1533" s="4"/>
      <c r="KUC1533" s="6"/>
      <c r="KUD1533" s="4"/>
      <c r="KUE1533" s="6"/>
      <c r="KUF1533" s="4"/>
      <c r="KUG1533" s="6"/>
      <c r="KUH1533" s="4"/>
      <c r="KUI1533" s="6"/>
      <c r="KUJ1533" s="4"/>
      <c r="KUK1533" s="6"/>
      <c r="KUL1533" s="4"/>
      <c r="KUM1533" s="6"/>
      <c r="KUN1533" s="4"/>
      <c r="KUO1533" s="6"/>
      <c r="KUP1533" s="4"/>
      <c r="KUQ1533" s="6"/>
      <c r="KUR1533" s="4"/>
      <c r="KUS1533" s="6"/>
      <c r="KUT1533" s="4"/>
      <c r="KUU1533" s="6"/>
      <c r="KUV1533" s="4"/>
      <c r="KUW1533" s="6"/>
      <c r="KUX1533" s="4"/>
      <c r="KUY1533" s="6"/>
      <c r="KUZ1533" s="4"/>
      <c r="KVA1533" s="6"/>
      <c r="KVB1533" s="4"/>
      <c r="KVC1533" s="6"/>
      <c r="KVD1533" s="4"/>
      <c r="KVE1533" s="6"/>
      <c r="KVF1533" s="4"/>
      <c r="KVG1533" s="6"/>
      <c r="KVH1533" s="4"/>
      <c r="KVI1533" s="6"/>
      <c r="KVJ1533" s="4"/>
      <c r="KVK1533" s="6"/>
      <c r="KVL1533" s="4"/>
      <c r="KVM1533" s="6"/>
      <c r="KVN1533" s="4"/>
      <c r="KVO1533" s="6"/>
      <c r="KVP1533" s="4"/>
      <c r="KVQ1533" s="6"/>
      <c r="KVR1533" s="4"/>
      <c r="KVS1533" s="6"/>
      <c r="KVT1533" s="4"/>
      <c r="KVU1533" s="6"/>
      <c r="KVV1533" s="4"/>
      <c r="KVW1533" s="6"/>
      <c r="KVX1533" s="4"/>
      <c r="KVY1533" s="6"/>
      <c r="KVZ1533" s="4"/>
      <c r="KWA1533" s="6"/>
      <c r="KWB1533" s="4"/>
      <c r="KWC1533" s="6"/>
      <c r="KWD1533" s="4"/>
      <c r="KWE1533" s="6"/>
      <c r="KWF1533" s="4"/>
      <c r="KWG1533" s="6"/>
      <c r="KWH1533" s="4"/>
      <c r="KWI1533" s="6"/>
      <c r="KWJ1533" s="4"/>
      <c r="KWK1533" s="6"/>
      <c r="KWL1533" s="4"/>
      <c r="KWM1533" s="6"/>
      <c r="KWN1533" s="4"/>
      <c r="KWO1533" s="6"/>
      <c r="KWP1533" s="4"/>
      <c r="KWQ1533" s="6"/>
      <c r="KWR1533" s="4"/>
      <c r="KWS1533" s="6"/>
      <c r="KWT1533" s="4"/>
      <c r="KWU1533" s="6"/>
      <c r="KWV1533" s="4"/>
      <c r="KWW1533" s="6"/>
      <c r="KWX1533" s="4"/>
      <c r="KWY1533" s="6"/>
      <c r="KWZ1533" s="4"/>
      <c r="KXA1533" s="6"/>
      <c r="KXB1533" s="4"/>
      <c r="KXC1533" s="6"/>
      <c r="KXD1533" s="4"/>
      <c r="KXE1533" s="6"/>
      <c r="KXF1533" s="4"/>
      <c r="KXG1533" s="6"/>
      <c r="KXH1533" s="4"/>
      <c r="KXI1533" s="6"/>
      <c r="KXJ1533" s="4"/>
      <c r="KXK1533" s="6"/>
      <c r="KXL1533" s="4"/>
      <c r="KXM1533" s="6"/>
      <c r="KXN1533" s="4"/>
      <c r="KXO1533" s="6"/>
      <c r="KXP1533" s="4"/>
      <c r="KXQ1533" s="6"/>
      <c r="KXR1533" s="4"/>
      <c r="KXS1533" s="6"/>
      <c r="KXT1533" s="4"/>
      <c r="KXU1533" s="6"/>
      <c r="KXV1533" s="4"/>
      <c r="KXW1533" s="6"/>
      <c r="KXX1533" s="4"/>
      <c r="KXY1533" s="6"/>
      <c r="KXZ1533" s="4"/>
      <c r="KYA1533" s="6"/>
      <c r="KYB1533" s="4"/>
      <c r="KYC1533" s="6"/>
      <c r="KYD1533" s="4"/>
      <c r="KYE1533" s="6"/>
      <c r="KYF1533" s="4"/>
      <c r="KYG1533" s="6"/>
      <c r="KYH1533" s="4"/>
      <c r="KYI1533" s="6"/>
      <c r="KYJ1533" s="4"/>
      <c r="KYK1533" s="6"/>
      <c r="KYL1533" s="4"/>
      <c r="KYM1533" s="6"/>
      <c r="KYN1533" s="4"/>
      <c r="KYO1533" s="6"/>
      <c r="KYP1533" s="4"/>
      <c r="KYQ1533" s="6"/>
      <c r="KYR1533" s="4"/>
      <c r="KYS1533" s="6"/>
      <c r="KYT1533" s="4"/>
      <c r="KYU1533" s="6"/>
      <c r="KYV1533" s="4"/>
      <c r="KYW1533" s="6"/>
      <c r="KYX1533" s="4"/>
      <c r="KYY1533" s="6"/>
      <c r="KYZ1533" s="4"/>
      <c r="KZA1533" s="6"/>
      <c r="KZB1533" s="4"/>
      <c r="KZC1533" s="6"/>
      <c r="KZD1533" s="4"/>
      <c r="KZE1533" s="6"/>
      <c r="KZF1533" s="4"/>
      <c r="KZG1533" s="6"/>
      <c r="KZH1533" s="4"/>
      <c r="KZI1533" s="6"/>
      <c r="KZJ1533" s="4"/>
      <c r="KZK1533" s="6"/>
      <c r="KZL1533" s="4"/>
      <c r="KZM1533" s="6"/>
      <c r="KZN1533" s="4"/>
      <c r="KZO1533" s="6"/>
      <c r="KZP1533" s="4"/>
      <c r="KZQ1533" s="6"/>
      <c r="KZR1533" s="4"/>
      <c r="KZS1533" s="6"/>
      <c r="KZT1533" s="4"/>
      <c r="KZU1533" s="6"/>
      <c r="KZV1533" s="4"/>
      <c r="KZW1533" s="6"/>
      <c r="KZX1533" s="4"/>
      <c r="KZY1533" s="6"/>
      <c r="KZZ1533" s="4"/>
      <c r="LAA1533" s="6"/>
      <c r="LAB1533" s="4"/>
      <c r="LAC1533" s="6"/>
      <c r="LAD1533" s="4"/>
      <c r="LAE1533" s="6"/>
      <c r="LAF1533" s="4"/>
      <c r="LAG1533" s="6"/>
      <c r="LAH1533" s="4"/>
      <c r="LAI1533" s="6"/>
      <c r="LAJ1533" s="4"/>
      <c r="LAK1533" s="6"/>
      <c r="LAL1533" s="4"/>
      <c r="LAM1533" s="6"/>
      <c r="LAN1533" s="4"/>
      <c r="LAO1533" s="6"/>
      <c r="LAP1533" s="4"/>
      <c r="LAQ1533" s="6"/>
      <c r="LAR1533" s="4"/>
      <c r="LAS1533" s="6"/>
      <c r="LAT1533" s="4"/>
      <c r="LAU1533" s="6"/>
      <c r="LAV1533" s="4"/>
      <c r="LAW1533" s="6"/>
      <c r="LAX1533" s="4"/>
      <c r="LAY1533" s="6"/>
      <c r="LAZ1533" s="4"/>
      <c r="LBA1533" s="6"/>
      <c r="LBB1533" s="4"/>
      <c r="LBC1533" s="6"/>
      <c r="LBD1533" s="4"/>
      <c r="LBE1533" s="6"/>
      <c r="LBF1533" s="4"/>
      <c r="LBG1533" s="6"/>
      <c r="LBH1533" s="4"/>
      <c r="LBI1533" s="6"/>
      <c r="LBJ1533" s="4"/>
      <c r="LBK1533" s="6"/>
      <c r="LBL1533" s="4"/>
      <c r="LBM1533" s="6"/>
      <c r="LBN1533" s="4"/>
      <c r="LBO1533" s="6"/>
      <c r="LBP1533" s="4"/>
      <c r="LBQ1533" s="6"/>
      <c r="LBR1533" s="4"/>
      <c r="LBS1533" s="6"/>
      <c r="LBT1533" s="4"/>
      <c r="LBU1533" s="6"/>
      <c r="LBV1533" s="4"/>
      <c r="LBW1533" s="6"/>
      <c r="LBX1533" s="4"/>
      <c r="LBY1533" s="6"/>
      <c r="LBZ1533" s="4"/>
      <c r="LCA1533" s="6"/>
      <c r="LCB1533" s="4"/>
      <c r="LCC1533" s="6"/>
      <c r="LCD1533" s="4"/>
      <c r="LCE1533" s="6"/>
      <c r="LCF1533" s="4"/>
      <c r="LCG1533" s="6"/>
      <c r="LCH1533" s="4"/>
      <c r="LCI1533" s="6"/>
      <c r="LCJ1533" s="4"/>
      <c r="LCK1533" s="6"/>
      <c r="LCL1533" s="4"/>
      <c r="LCM1533" s="6"/>
      <c r="LCN1533" s="4"/>
      <c r="LCO1533" s="6"/>
      <c r="LCP1533" s="4"/>
      <c r="LCQ1533" s="6"/>
      <c r="LCR1533" s="4"/>
      <c r="LCS1533" s="6"/>
      <c r="LCT1533" s="4"/>
      <c r="LCU1533" s="6"/>
      <c r="LCV1533" s="4"/>
      <c r="LCW1533" s="6"/>
      <c r="LCX1533" s="4"/>
      <c r="LCY1533" s="6"/>
      <c r="LCZ1533" s="4"/>
      <c r="LDA1533" s="6"/>
      <c r="LDB1533" s="4"/>
      <c r="LDC1533" s="6"/>
      <c r="LDD1533" s="4"/>
      <c r="LDE1533" s="6"/>
      <c r="LDF1533" s="4"/>
      <c r="LDG1533" s="6"/>
      <c r="LDH1533" s="4"/>
      <c r="LDI1533" s="6"/>
      <c r="LDJ1533" s="4"/>
      <c r="LDK1533" s="6"/>
      <c r="LDL1533" s="4"/>
      <c r="LDM1533" s="6"/>
      <c r="LDN1533" s="4"/>
      <c r="LDO1533" s="6"/>
      <c r="LDP1533" s="4"/>
      <c r="LDQ1533" s="6"/>
      <c r="LDR1533" s="4"/>
      <c r="LDS1533" s="6"/>
      <c r="LDT1533" s="4"/>
      <c r="LDU1533" s="6"/>
      <c r="LDV1533" s="4"/>
      <c r="LDW1533" s="6"/>
      <c r="LDX1533" s="4"/>
      <c r="LDY1533" s="6"/>
      <c r="LDZ1533" s="4"/>
      <c r="LEA1533" s="6"/>
      <c r="LEB1533" s="4"/>
      <c r="LEC1533" s="6"/>
      <c r="LED1533" s="4"/>
      <c r="LEE1533" s="6"/>
      <c r="LEF1533" s="4"/>
      <c r="LEG1533" s="6"/>
      <c r="LEH1533" s="4"/>
      <c r="LEI1533" s="6"/>
      <c r="LEJ1533" s="4"/>
      <c r="LEK1533" s="6"/>
      <c r="LEL1533" s="4"/>
      <c r="LEM1533" s="6"/>
      <c r="LEN1533" s="4"/>
      <c r="LEO1533" s="6"/>
      <c r="LEP1533" s="4"/>
      <c r="LEQ1533" s="6"/>
      <c r="LER1533" s="4"/>
      <c r="LES1533" s="6"/>
      <c r="LET1533" s="4"/>
      <c r="LEU1533" s="6"/>
      <c r="LEV1533" s="4"/>
      <c r="LEW1533" s="6"/>
      <c r="LEX1533" s="4"/>
      <c r="LEY1533" s="6"/>
      <c r="LEZ1533" s="4"/>
      <c r="LFA1533" s="6"/>
      <c r="LFB1533" s="4"/>
      <c r="LFC1533" s="6"/>
      <c r="LFD1533" s="4"/>
      <c r="LFE1533" s="6"/>
      <c r="LFF1533" s="4"/>
      <c r="LFG1533" s="6"/>
      <c r="LFH1533" s="4"/>
      <c r="LFI1533" s="6"/>
      <c r="LFJ1533" s="4"/>
      <c r="LFK1533" s="6"/>
      <c r="LFL1533" s="4"/>
      <c r="LFM1533" s="6"/>
      <c r="LFN1533" s="4"/>
      <c r="LFO1533" s="6"/>
      <c r="LFP1533" s="4"/>
      <c r="LFQ1533" s="6"/>
      <c r="LFR1533" s="4"/>
      <c r="LFS1533" s="6"/>
      <c r="LFT1533" s="4"/>
      <c r="LFU1533" s="6"/>
      <c r="LFV1533" s="4"/>
      <c r="LFW1533" s="6"/>
      <c r="LFX1533" s="4"/>
      <c r="LFY1533" s="6"/>
      <c r="LFZ1533" s="4"/>
      <c r="LGA1533" s="6"/>
      <c r="LGB1533" s="4"/>
      <c r="LGC1533" s="6"/>
      <c r="LGD1533" s="4"/>
      <c r="LGE1533" s="6"/>
      <c r="LGF1533" s="4"/>
      <c r="LGG1533" s="6"/>
      <c r="LGH1533" s="4"/>
      <c r="LGI1533" s="6"/>
      <c r="LGJ1533" s="4"/>
      <c r="LGK1533" s="6"/>
      <c r="LGL1533" s="4"/>
      <c r="LGM1533" s="6"/>
      <c r="LGN1533" s="4"/>
      <c r="LGO1533" s="6"/>
      <c r="LGP1533" s="4"/>
      <c r="LGQ1533" s="6"/>
      <c r="LGR1533" s="4"/>
      <c r="LGS1533" s="6"/>
      <c r="LGT1533" s="4"/>
      <c r="LGU1533" s="6"/>
      <c r="LGV1533" s="4"/>
      <c r="LGW1533" s="6"/>
      <c r="LGX1533" s="4"/>
      <c r="LGY1533" s="6"/>
      <c r="LGZ1533" s="4"/>
      <c r="LHA1533" s="6"/>
      <c r="LHB1533" s="4"/>
      <c r="LHC1533" s="6"/>
      <c r="LHD1533" s="4"/>
      <c r="LHE1533" s="6"/>
      <c r="LHF1533" s="4"/>
      <c r="LHG1533" s="6"/>
      <c r="LHH1533" s="4"/>
      <c r="LHI1533" s="6"/>
      <c r="LHJ1533" s="4"/>
      <c r="LHK1533" s="6"/>
      <c r="LHL1533" s="4"/>
      <c r="LHM1533" s="6"/>
      <c r="LHN1533" s="4"/>
      <c r="LHO1533" s="6"/>
      <c r="LHP1533" s="4"/>
      <c r="LHQ1533" s="6"/>
      <c r="LHR1533" s="4"/>
      <c r="LHS1533" s="6"/>
      <c r="LHT1533" s="4"/>
      <c r="LHU1533" s="6"/>
      <c r="LHV1533" s="4"/>
      <c r="LHW1533" s="6"/>
      <c r="LHX1533" s="4"/>
      <c r="LHY1533" s="6"/>
      <c r="LHZ1533" s="4"/>
      <c r="LIA1533" s="6"/>
      <c r="LIB1533" s="4"/>
      <c r="LIC1533" s="6"/>
      <c r="LID1533" s="4"/>
      <c r="LIE1533" s="6"/>
      <c r="LIF1533" s="4"/>
      <c r="LIG1533" s="6"/>
      <c r="LIH1533" s="4"/>
      <c r="LII1533" s="6"/>
      <c r="LIJ1533" s="4"/>
      <c r="LIK1533" s="6"/>
      <c r="LIL1533" s="4"/>
      <c r="LIM1533" s="6"/>
      <c r="LIN1533" s="4"/>
      <c r="LIO1533" s="6"/>
      <c r="LIP1533" s="4"/>
      <c r="LIQ1533" s="6"/>
      <c r="LIR1533" s="4"/>
      <c r="LIS1533" s="6"/>
      <c r="LIT1533" s="4"/>
      <c r="LIU1533" s="6"/>
      <c r="LIV1533" s="4"/>
      <c r="LIW1533" s="6"/>
      <c r="LIX1533" s="4"/>
      <c r="LIY1533" s="6"/>
      <c r="LIZ1533" s="4"/>
      <c r="LJA1533" s="6"/>
      <c r="LJB1533" s="4"/>
      <c r="LJC1533" s="6"/>
      <c r="LJD1533" s="4"/>
      <c r="LJE1533" s="6"/>
      <c r="LJF1533" s="4"/>
      <c r="LJG1533" s="6"/>
      <c r="LJH1533" s="4"/>
      <c r="LJI1533" s="6"/>
      <c r="LJJ1533" s="4"/>
      <c r="LJK1533" s="6"/>
      <c r="LJL1533" s="4"/>
      <c r="LJM1533" s="6"/>
      <c r="LJN1533" s="4"/>
      <c r="LJO1533" s="6"/>
      <c r="LJP1533" s="4"/>
      <c r="LJQ1533" s="6"/>
      <c r="LJR1533" s="4"/>
      <c r="LJS1533" s="6"/>
      <c r="LJT1533" s="4"/>
      <c r="LJU1533" s="6"/>
      <c r="LJV1533" s="4"/>
      <c r="LJW1533" s="6"/>
      <c r="LJX1533" s="4"/>
      <c r="LJY1533" s="6"/>
      <c r="LJZ1533" s="4"/>
      <c r="LKA1533" s="6"/>
      <c r="LKB1533" s="4"/>
      <c r="LKC1533" s="6"/>
      <c r="LKD1533" s="4"/>
      <c r="LKE1533" s="6"/>
      <c r="LKF1533" s="4"/>
      <c r="LKG1533" s="6"/>
      <c r="LKH1533" s="4"/>
      <c r="LKI1533" s="6"/>
      <c r="LKJ1533" s="4"/>
      <c r="LKK1533" s="6"/>
      <c r="LKL1533" s="4"/>
      <c r="LKM1533" s="6"/>
      <c r="LKN1533" s="4"/>
      <c r="LKO1533" s="6"/>
      <c r="LKP1533" s="4"/>
      <c r="LKQ1533" s="6"/>
      <c r="LKR1533" s="4"/>
      <c r="LKS1533" s="6"/>
      <c r="LKT1533" s="4"/>
      <c r="LKU1533" s="6"/>
      <c r="LKV1533" s="4"/>
      <c r="LKW1533" s="6"/>
      <c r="LKX1533" s="4"/>
      <c r="LKY1533" s="6"/>
      <c r="LKZ1533" s="4"/>
      <c r="LLA1533" s="6"/>
      <c r="LLB1533" s="4"/>
      <c r="LLC1533" s="6"/>
      <c r="LLD1533" s="4"/>
      <c r="LLE1533" s="6"/>
      <c r="LLF1533" s="4"/>
      <c r="LLG1533" s="6"/>
      <c r="LLH1533" s="4"/>
      <c r="LLI1533" s="6"/>
      <c r="LLJ1533" s="4"/>
      <c r="LLK1533" s="6"/>
      <c r="LLL1533" s="4"/>
      <c r="LLM1533" s="6"/>
      <c r="LLN1533" s="4"/>
      <c r="LLO1533" s="6"/>
      <c r="LLP1533" s="4"/>
      <c r="LLQ1533" s="6"/>
      <c r="LLR1533" s="4"/>
      <c r="LLS1533" s="6"/>
      <c r="LLT1533" s="4"/>
      <c r="LLU1533" s="6"/>
      <c r="LLV1533" s="4"/>
      <c r="LLW1533" s="6"/>
      <c r="LLX1533" s="4"/>
      <c r="LLY1533" s="6"/>
      <c r="LLZ1533" s="4"/>
      <c r="LMA1533" s="6"/>
      <c r="LMB1533" s="4"/>
      <c r="LMC1533" s="6"/>
      <c r="LMD1533" s="4"/>
      <c r="LME1533" s="6"/>
      <c r="LMF1533" s="4"/>
      <c r="LMG1533" s="6"/>
      <c r="LMH1533" s="4"/>
      <c r="LMI1533" s="6"/>
      <c r="LMJ1533" s="4"/>
      <c r="LMK1533" s="6"/>
      <c r="LML1533" s="4"/>
      <c r="LMM1533" s="6"/>
      <c r="LMN1533" s="4"/>
      <c r="LMO1533" s="6"/>
      <c r="LMP1533" s="4"/>
      <c r="LMQ1533" s="6"/>
      <c r="LMR1533" s="4"/>
      <c r="LMS1533" s="6"/>
      <c r="LMT1533" s="4"/>
      <c r="LMU1533" s="6"/>
      <c r="LMV1533" s="4"/>
      <c r="LMW1533" s="6"/>
      <c r="LMX1533" s="4"/>
      <c r="LMY1533" s="6"/>
      <c r="LMZ1533" s="4"/>
      <c r="LNA1533" s="6"/>
      <c r="LNB1533" s="4"/>
      <c r="LNC1533" s="6"/>
      <c r="LND1533" s="4"/>
      <c r="LNE1533" s="6"/>
      <c r="LNF1533" s="4"/>
      <c r="LNG1533" s="6"/>
      <c r="LNH1533" s="4"/>
      <c r="LNI1533" s="6"/>
      <c r="LNJ1533" s="4"/>
      <c r="LNK1533" s="6"/>
      <c r="LNL1533" s="4"/>
      <c r="LNM1533" s="6"/>
      <c r="LNN1533" s="4"/>
      <c r="LNO1533" s="6"/>
      <c r="LNP1533" s="4"/>
      <c r="LNQ1533" s="6"/>
      <c r="LNR1533" s="4"/>
      <c r="LNS1533" s="6"/>
      <c r="LNT1533" s="4"/>
      <c r="LNU1533" s="6"/>
      <c r="LNV1533" s="4"/>
      <c r="LNW1533" s="6"/>
      <c r="LNX1533" s="4"/>
      <c r="LNY1533" s="6"/>
      <c r="LNZ1533" s="4"/>
      <c r="LOA1533" s="6"/>
      <c r="LOB1533" s="4"/>
      <c r="LOC1533" s="6"/>
      <c r="LOD1533" s="4"/>
      <c r="LOE1533" s="6"/>
      <c r="LOF1533" s="4"/>
      <c r="LOG1533" s="6"/>
      <c r="LOH1533" s="4"/>
      <c r="LOI1533" s="6"/>
      <c r="LOJ1533" s="4"/>
      <c r="LOK1533" s="6"/>
      <c r="LOL1533" s="4"/>
      <c r="LOM1533" s="6"/>
      <c r="LON1533" s="4"/>
      <c r="LOO1533" s="6"/>
      <c r="LOP1533" s="4"/>
      <c r="LOQ1533" s="6"/>
      <c r="LOR1533" s="4"/>
      <c r="LOS1533" s="6"/>
      <c r="LOT1533" s="4"/>
      <c r="LOU1533" s="6"/>
      <c r="LOV1533" s="4"/>
      <c r="LOW1533" s="6"/>
      <c r="LOX1533" s="4"/>
      <c r="LOY1533" s="6"/>
      <c r="LOZ1533" s="4"/>
      <c r="LPA1533" s="6"/>
      <c r="LPB1533" s="4"/>
      <c r="LPC1533" s="6"/>
      <c r="LPD1533" s="4"/>
      <c r="LPE1533" s="6"/>
      <c r="LPF1533" s="4"/>
      <c r="LPG1533" s="6"/>
      <c r="LPH1533" s="4"/>
      <c r="LPI1533" s="6"/>
      <c r="LPJ1533" s="4"/>
      <c r="LPK1533" s="6"/>
      <c r="LPL1533" s="4"/>
      <c r="LPM1533" s="6"/>
      <c r="LPN1533" s="4"/>
      <c r="LPO1533" s="6"/>
      <c r="LPP1533" s="4"/>
      <c r="LPQ1533" s="6"/>
      <c r="LPR1533" s="4"/>
      <c r="LPS1533" s="6"/>
      <c r="LPT1533" s="4"/>
      <c r="LPU1533" s="6"/>
      <c r="LPV1533" s="4"/>
      <c r="LPW1533" s="6"/>
      <c r="LPX1533" s="4"/>
      <c r="LPY1533" s="6"/>
      <c r="LPZ1533" s="4"/>
      <c r="LQA1533" s="6"/>
      <c r="LQB1533" s="4"/>
      <c r="LQC1533" s="6"/>
      <c r="LQD1533" s="4"/>
      <c r="LQE1533" s="6"/>
      <c r="LQF1533" s="4"/>
      <c r="LQG1533" s="6"/>
      <c r="LQH1533" s="4"/>
      <c r="LQI1533" s="6"/>
      <c r="LQJ1533" s="4"/>
      <c r="LQK1533" s="6"/>
      <c r="LQL1533" s="4"/>
      <c r="LQM1533" s="6"/>
      <c r="LQN1533" s="4"/>
      <c r="LQO1533" s="6"/>
      <c r="LQP1533" s="4"/>
      <c r="LQQ1533" s="6"/>
      <c r="LQR1533" s="4"/>
      <c r="LQS1533" s="6"/>
      <c r="LQT1533" s="4"/>
      <c r="LQU1533" s="6"/>
      <c r="LQV1533" s="4"/>
      <c r="LQW1533" s="6"/>
      <c r="LQX1533" s="4"/>
      <c r="LQY1533" s="6"/>
      <c r="LQZ1533" s="4"/>
      <c r="LRA1533" s="6"/>
      <c r="LRB1533" s="4"/>
      <c r="LRC1533" s="6"/>
      <c r="LRD1533" s="4"/>
      <c r="LRE1533" s="6"/>
      <c r="LRF1533" s="4"/>
      <c r="LRG1533" s="6"/>
      <c r="LRH1533" s="4"/>
      <c r="LRI1533" s="6"/>
      <c r="LRJ1533" s="4"/>
      <c r="LRK1533" s="6"/>
      <c r="LRL1533" s="4"/>
      <c r="LRM1533" s="6"/>
      <c r="LRN1533" s="4"/>
      <c r="LRO1533" s="6"/>
      <c r="LRP1533" s="4"/>
      <c r="LRQ1533" s="6"/>
      <c r="LRR1533" s="4"/>
      <c r="LRS1533" s="6"/>
      <c r="LRT1533" s="4"/>
      <c r="LRU1533" s="6"/>
      <c r="LRV1533" s="4"/>
      <c r="LRW1533" s="6"/>
      <c r="LRX1533" s="4"/>
      <c r="LRY1533" s="6"/>
      <c r="LRZ1533" s="4"/>
      <c r="LSA1533" s="6"/>
      <c r="LSB1533" s="4"/>
      <c r="LSC1533" s="6"/>
      <c r="LSD1533" s="4"/>
      <c r="LSE1533" s="6"/>
      <c r="LSF1533" s="4"/>
      <c r="LSG1533" s="6"/>
      <c r="LSH1533" s="4"/>
      <c r="LSI1533" s="6"/>
      <c r="LSJ1533" s="4"/>
      <c r="LSK1533" s="6"/>
      <c r="LSL1533" s="4"/>
      <c r="LSM1533" s="6"/>
      <c r="LSN1533" s="4"/>
      <c r="LSO1533" s="6"/>
      <c r="LSP1533" s="4"/>
      <c r="LSQ1533" s="6"/>
      <c r="LSR1533" s="4"/>
      <c r="LSS1533" s="6"/>
      <c r="LST1533" s="4"/>
      <c r="LSU1533" s="6"/>
      <c r="LSV1533" s="4"/>
      <c r="LSW1533" s="6"/>
      <c r="LSX1533" s="4"/>
      <c r="LSY1533" s="6"/>
      <c r="LSZ1533" s="4"/>
      <c r="LTA1533" s="6"/>
      <c r="LTB1533" s="4"/>
      <c r="LTC1533" s="6"/>
      <c r="LTD1533" s="4"/>
      <c r="LTE1533" s="6"/>
      <c r="LTF1533" s="4"/>
      <c r="LTG1533" s="6"/>
      <c r="LTH1533" s="4"/>
      <c r="LTI1533" s="6"/>
      <c r="LTJ1533" s="4"/>
      <c r="LTK1533" s="6"/>
      <c r="LTL1533" s="4"/>
      <c r="LTM1533" s="6"/>
      <c r="LTN1533" s="4"/>
      <c r="LTO1533" s="6"/>
      <c r="LTP1533" s="4"/>
      <c r="LTQ1533" s="6"/>
      <c r="LTR1533" s="4"/>
      <c r="LTS1533" s="6"/>
      <c r="LTT1533" s="4"/>
      <c r="LTU1533" s="6"/>
      <c r="LTV1533" s="4"/>
      <c r="LTW1533" s="6"/>
      <c r="LTX1533" s="4"/>
      <c r="LTY1533" s="6"/>
      <c r="LTZ1533" s="4"/>
      <c r="LUA1533" s="6"/>
      <c r="LUB1533" s="4"/>
      <c r="LUC1533" s="6"/>
      <c r="LUD1533" s="4"/>
      <c r="LUE1533" s="6"/>
      <c r="LUF1533" s="4"/>
      <c r="LUG1533" s="6"/>
      <c r="LUH1533" s="4"/>
      <c r="LUI1533" s="6"/>
      <c r="LUJ1533" s="4"/>
      <c r="LUK1533" s="6"/>
      <c r="LUL1533" s="4"/>
      <c r="LUM1533" s="6"/>
      <c r="LUN1533" s="4"/>
      <c r="LUO1533" s="6"/>
      <c r="LUP1533" s="4"/>
      <c r="LUQ1533" s="6"/>
      <c r="LUR1533" s="4"/>
      <c r="LUS1533" s="6"/>
      <c r="LUT1533" s="4"/>
      <c r="LUU1533" s="6"/>
      <c r="LUV1533" s="4"/>
      <c r="LUW1533" s="6"/>
      <c r="LUX1533" s="4"/>
      <c r="LUY1533" s="6"/>
      <c r="LUZ1533" s="4"/>
      <c r="LVA1533" s="6"/>
      <c r="LVB1533" s="4"/>
      <c r="LVC1533" s="6"/>
      <c r="LVD1533" s="4"/>
      <c r="LVE1533" s="6"/>
      <c r="LVF1533" s="4"/>
      <c r="LVG1533" s="6"/>
      <c r="LVH1533" s="4"/>
      <c r="LVI1533" s="6"/>
      <c r="LVJ1533" s="4"/>
      <c r="LVK1533" s="6"/>
      <c r="LVL1533" s="4"/>
      <c r="LVM1533" s="6"/>
      <c r="LVN1533" s="4"/>
      <c r="LVO1533" s="6"/>
      <c r="LVP1533" s="4"/>
      <c r="LVQ1533" s="6"/>
      <c r="LVR1533" s="4"/>
      <c r="LVS1533" s="6"/>
      <c r="LVT1533" s="4"/>
      <c r="LVU1533" s="6"/>
      <c r="LVV1533" s="4"/>
      <c r="LVW1533" s="6"/>
      <c r="LVX1533" s="4"/>
      <c r="LVY1533" s="6"/>
      <c r="LVZ1533" s="4"/>
      <c r="LWA1533" s="6"/>
      <c r="LWB1533" s="4"/>
      <c r="LWC1533" s="6"/>
      <c r="LWD1533" s="4"/>
      <c r="LWE1533" s="6"/>
      <c r="LWF1533" s="4"/>
      <c r="LWG1533" s="6"/>
      <c r="LWH1533" s="4"/>
      <c r="LWI1533" s="6"/>
      <c r="LWJ1533" s="4"/>
      <c r="LWK1533" s="6"/>
      <c r="LWL1533" s="4"/>
      <c r="LWM1533" s="6"/>
      <c r="LWN1533" s="4"/>
      <c r="LWO1533" s="6"/>
      <c r="LWP1533" s="4"/>
      <c r="LWQ1533" s="6"/>
      <c r="LWR1533" s="4"/>
      <c r="LWS1533" s="6"/>
      <c r="LWT1533" s="4"/>
      <c r="LWU1533" s="6"/>
      <c r="LWV1533" s="4"/>
      <c r="LWW1533" s="6"/>
      <c r="LWX1533" s="4"/>
      <c r="LWY1533" s="6"/>
      <c r="LWZ1533" s="4"/>
      <c r="LXA1533" s="6"/>
      <c r="LXB1533" s="4"/>
      <c r="LXC1533" s="6"/>
      <c r="LXD1533" s="4"/>
      <c r="LXE1533" s="6"/>
      <c r="LXF1533" s="4"/>
      <c r="LXG1533" s="6"/>
      <c r="LXH1533" s="4"/>
      <c r="LXI1533" s="6"/>
      <c r="LXJ1533" s="4"/>
      <c r="LXK1533" s="6"/>
      <c r="LXL1533" s="4"/>
      <c r="LXM1533" s="6"/>
      <c r="LXN1533" s="4"/>
      <c r="LXO1533" s="6"/>
      <c r="LXP1533" s="4"/>
      <c r="LXQ1533" s="6"/>
      <c r="LXR1533" s="4"/>
      <c r="LXS1533" s="6"/>
      <c r="LXT1533" s="4"/>
      <c r="LXU1533" s="6"/>
      <c r="LXV1533" s="4"/>
      <c r="LXW1533" s="6"/>
      <c r="LXX1533" s="4"/>
      <c r="LXY1533" s="6"/>
      <c r="LXZ1533" s="4"/>
      <c r="LYA1533" s="6"/>
      <c r="LYB1533" s="4"/>
      <c r="LYC1533" s="6"/>
      <c r="LYD1533" s="4"/>
      <c r="LYE1533" s="6"/>
      <c r="LYF1533" s="4"/>
      <c r="LYG1533" s="6"/>
      <c r="LYH1533" s="4"/>
      <c r="LYI1533" s="6"/>
      <c r="LYJ1533" s="4"/>
      <c r="LYK1533" s="6"/>
      <c r="LYL1533" s="4"/>
      <c r="LYM1533" s="6"/>
      <c r="LYN1533" s="4"/>
      <c r="LYO1533" s="6"/>
      <c r="LYP1533" s="4"/>
      <c r="LYQ1533" s="6"/>
      <c r="LYR1533" s="4"/>
      <c r="LYS1533" s="6"/>
      <c r="LYT1533" s="4"/>
      <c r="LYU1533" s="6"/>
      <c r="LYV1533" s="4"/>
      <c r="LYW1533" s="6"/>
      <c r="LYX1533" s="4"/>
      <c r="LYY1533" s="6"/>
      <c r="LYZ1533" s="4"/>
      <c r="LZA1533" s="6"/>
      <c r="LZB1533" s="4"/>
      <c r="LZC1533" s="6"/>
      <c r="LZD1533" s="4"/>
      <c r="LZE1533" s="6"/>
      <c r="LZF1533" s="4"/>
      <c r="LZG1533" s="6"/>
      <c r="LZH1533" s="4"/>
      <c r="LZI1533" s="6"/>
      <c r="LZJ1533" s="4"/>
      <c r="LZK1533" s="6"/>
      <c r="LZL1533" s="4"/>
      <c r="LZM1533" s="6"/>
      <c r="LZN1533" s="4"/>
      <c r="LZO1533" s="6"/>
      <c r="LZP1533" s="4"/>
      <c r="LZQ1533" s="6"/>
      <c r="LZR1533" s="4"/>
      <c r="LZS1533" s="6"/>
      <c r="LZT1533" s="4"/>
      <c r="LZU1533" s="6"/>
      <c r="LZV1533" s="4"/>
      <c r="LZW1533" s="6"/>
      <c r="LZX1533" s="4"/>
      <c r="LZY1533" s="6"/>
      <c r="LZZ1533" s="4"/>
      <c r="MAA1533" s="6"/>
      <c r="MAB1533" s="4"/>
      <c r="MAC1533" s="6"/>
      <c r="MAD1533" s="4"/>
      <c r="MAE1533" s="6"/>
      <c r="MAF1533" s="4"/>
      <c r="MAG1533" s="6"/>
      <c r="MAH1533" s="4"/>
      <c r="MAI1533" s="6"/>
      <c r="MAJ1533" s="4"/>
      <c r="MAK1533" s="6"/>
      <c r="MAL1533" s="4"/>
      <c r="MAM1533" s="6"/>
      <c r="MAN1533" s="4"/>
      <c r="MAO1533" s="6"/>
      <c r="MAP1533" s="4"/>
      <c r="MAQ1533" s="6"/>
      <c r="MAR1533" s="4"/>
      <c r="MAS1533" s="6"/>
      <c r="MAT1533" s="4"/>
      <c r="MAU1533" s="6"/>
      <c r="MAV1533" s="4"/>
      <c r="MAW1533" s="6"/>
      <c r="MAX1533" s="4"/>
      <c r="MAY1533" s="6"/>
      <c r="MAZ1533" s="4"/>
      <c r="MBA1533" s="6"/>
      <c r="MBB1533" s="4"/>
      <c r="MBC1533" s="6"/>
      <c r="MBD1533" s="4"/>
      <c r="MBE1533" s="6"/>
      <c r="MBF1533" s="4"/>
      <c r="MBG1533" s="6"/>
      <c r="MBH1533" s="4"/>
      <c r="MBI1533" s="6"/>
      <c r="MBJ1533" s="4"/>
      <c r="MBK1533" s="6"/>
      <c r="MBL1533" s="4"/>
      <c r="MBM1533" s="6"/>
      <c r="MBN1533" s="4"/>
      <c r="MBO1533" s="6"/>
      <c r="MBP1533" s="4"/>
      <c r="MBQ1533" s="6"/>
      <c r="MBR1533" s="4"/>
      <c r="MBS1533" s="6"/>
      <c r="MBT1533" s="4"/>
      <c r="MBU1533" s="6"/>
      <c r="MBV1533" s="4"/>
      <c r="MBW1533" s="6"/>
      <c r="MBX1533" s="4"/>
      <c r="MBY1533" s="6"/>
      <c r="MBZ1533" s="4"/>
      <c r="MCA1533" s="6"/>
      <c r="MCB1533" s="4"/>
      <c r="MCC1533" s="6"/>
      <c r="MCD1533" s="4"/>
      <c r="MCE1533" s="6"/>
      <c r="MCF1533" s="4"/>
      <c r="MCG1533" s="6"/>
      <c r="MCH1533" s="4"/>
      <c r="MCI1533" s="6"/>
      <c r="MCJ1533" s="4"/>
      <c r="MCK1533" s="6"/>
      <c r="MCL1533" s="4"/>
      <c r="MCM1533" s="6"/>
      <c r="MCN1533" s="4"/>
      <c r="MCO1533" s="6"/>
      <c r="MCP1533" s="4"/>
      <c r="MCQ1533" s="6"/>
      <c r="MCR1533" s="4"/>
      <c r="MCS1533" s="6"/>
      <c r="MCT1533" s="4"/>
      <c r="MCU1533" s="6"/>
      <c r="MCV1533" s="4"/>
      <c r="MCW1533" s="6"/>
      <c r="MCX1533" s="4"/>
      <c r="MCY1533" s="6"/>
      <c r="MCZ1533" s="4"/>
      <c r="MDA1533" s="6"/>
      <c r="MDB1533" s="4"/>
      <c r="MDC1533" s="6"/>
      <c r="MDD1533" s="4"/>
      <c r="MDE1533" s="6"/>
      <c r="MDF1533" s="4"/>
      <c r="MDG1533" s="6"/>
      <c r="MDH1533" s="4"/>
      <c r="MDI1533" s="6"/>
      <c r="MDJ1533" s="4"/>
      <c r="MDK1533" s="6"/>
      <c r="MDL1533" s="4"/>
      <c r="MDM1533" s="6"/>
      <c r="MDN1533" s="4"/>
      <c r="MDO1533" s="6"/>
      <c r="MDP1533" s="4"/>
      <c r="MDQ1533" s="6"/>
      <c r="MDR1533" s="4"/>
      <c r="MDS1533" s="6"/>
      <c r="MDT1533" s="4"/>
      <c r="MDU1533" s="6"/>
      <c r="MDV1533" s="4"/>
      <c r="MDW1533" s="6"/>
      <c r="MDX1533" s="4"/>
      <c r="MDY1533" s="6"/>
      <c r="MDZ1533" s="4"/>
      <c r="MEA1533" s="6"/>
      <c r="MEB1533" s="4"/>
      <c r="MEC1533" s="6"/>
      <c r="MED1533" s="4"/>
      <c r="MEE1533" s="6"/>
      <c r="MEF1533" s="4"/>
      <c r="MEG1533" s="6"/>
      <c r="MEH1533" s="4"/>
      <c r="MEI1533" s="6"/>
      <c r="MEJ1533" s="4"/>
      <c r="MEK1533" s="6"/>
      <c r="MEL1533" s="4"/>
      <c r="MEM1533" s="6"/>
      <c r="MEN1533" s="4"/>
      <c r="MEO1533" s="6"/>
      <c r="MEP1533" s="4"/>
      <c r="MEQ1533" s="6"/>
      <c r="MER1533" s="4"/>
      <c r="MES1533" s="6"/>
      <c r="MET1533" s="4"/>
      <c r="MEU1533" s="6"/>
      <c r="MEV1533" s="4"/>
      <c r="MEW1533" s="6"/>
      <c r="MEX1533" s="4"/>
      <c r="MEY1533" s="6"/>
      <c r="MEZ1533" s="4"/>
      <c r="MFA1533" s="6"/>
      <c r="MFB1533" s="4"/>
      <c r="MFC1533" s="6"/>
      <c r="MFD1533" s="4"/>
      <c r="MFE1533" s="6"/>
      <c r="MFF1533" s="4"/>
      <c r="MFG1533" s="6"/>
      <c r="MFH1533" s="4"/>
      <c r="MFI1533" s="6"/>
      <c r="MFJ1533" s="4"/>
      <c r="MFK1533" s="6"/>
      <c r="MFL1533" s="4"/>
      <c r="MFM1533" s="6"/>
      <c r="MFN1533" s="4"/>
      <c r="MFO1533" s="6"/>
      <c r="MFP1533" s="4"/>
      <c r="MFQ1533" s="6"/>
      <c r="MFR1533" s="4"/>
      <c r="MFS1533" s="6"/>
      <c r="MFT1533" s="4"/>
      <c r="MFU1533" s="6"/>
      <c r="MFV1533" s="4"/>
      <c r="MFW1533" s="6"/>
      <c r="MFX1533" s="4"/>
      <c r="MFY1533" s="6"/>
      <c r="MFZ1533" s="4"/>
      <c r="MGA1533" s="6"/>
      <c r="MGB1533" s="4"/>
      <c r="MGC1533" s="6"/>
      <c r="MGD1533" s="4"/>
      <c r="MGE1533" s="6"/>
      <c r="MGF1533" s="4"/>
      <c r="MGG1533" s="6"/>
      <c r="MGH1533" s="4"/>
      <c r="MGI1533" s="6"/>
      <c r="MGJ1533" s="4"/>
      <c r="MGK1533" s="6"/>
      <c r="MGL1533" s="4"/>
      <c r="MGM1533" s="6"/>
      <c r="MGN1533" s="4"/>
      <c r="MGO1533" s="6"/>
      <c r="MGP1533" s="4"/>
      <c r="MGQ1533" s="6"/>
      <c r="MGR1533" s="4"/>
      <c r="MGS1533" s="6"/>
      <c r="MGT1533" s="4"/>
      <c r="MGU1533" s="6"/>
      <c r="MGV1533" s="4"/>
      <c r="MGW1533" s="6"/>
      <c r="MGX1533" s="4"/>
      <c r="MGY1533" s="6"/>
      <c r="MGZ1533" s="4"/>
      <c r="MHA1533" s="6"/>
      <c r="MHB1533" s="4"/>
      <c r="MHC1533" s="6"/>
      <c r="MHD1533" s="4"/>
      <c r="MHE1533" s="6"/>
      <c r="MHF1533" s="4"/>
      <c r="MHG1533" s="6"/>
      <c r="MHH1533" s="4"/>
      <c r="MHI1533" s="6"/>
      <c r="MHJ1533" s="4"/>
      <c r="MHK1533" s="6"/>
      <c r="MHL1533" s="4"/>
      <c r="MHM1533" s="6"/>
      <c r="MHN1533" s="4"/>
      <c r="MHO1533" s="6"/>
      <c r="MHP1533" s="4"/>
      <c r="MHQ1533" s="6"/>
      <c r="MHR1533" s="4"/>
      <c r="MHS1533" s="6"/>
      <c r="MHT1533" s="4"/>
      <c r="MHU1533" s="6"/>
      <c r="MHV1533" s="4"/>
      <c r="MHW1533" s="6"/>
      <c r="MHX1533" s="4"/>
      <c r="MHY1533" s="6"/>
      <c r="MHZ1533" s="4"/>
      <c r="MIA1533" s="6"/>
      <c r="MIB1533" s="4"/>
      <c r="MIC1533" s="6"/>
      <c r="MID1533" s="4"/>
      <c r="MIE1533" s="6"/>
      <c r="MIF1533" s="4"/>
      <c r="MIG1533" s="6"/>
      <c r="MIH1533" s="4"/>
      <c r="MII1533" s="6"/>
      <c r="MIJ1533" s="4"/>
      <c r="MIK1533" s="6"/>
      <c r="MIL1533" s="4"/>
      <c r="MIM1533" s="6"/>
      <c r="MIN1533" s="4"/>
      <c r="MIO1533" s="6"/>
      <c r="MIP1533" s="4"/>
      <c r="MIQ1533" s="6"/>
      <c r="MIR1533" s="4"/>
      <c r="MIS1533" s="6"/>
      <c r="MIT1533" s="4"/>
      <c r="MIU1533" s="6"/>
      <c r="MIV1533" s="4"/>
      <c r="MIW1533" s="6"/>
      <c r="MIX1533" s="4"/>
      <c r="MIY1533" s="6"/>
      <c r="MIZ1533" s="4"/>
      <c r="MJA1533" s="6"/>
      <c r="MJB1533" s="4"/>
      <c r="MJC1533" s="6"/>
      <c r="MJD1533" s="4"/>
      <c r="MJE1533" s="6"/>
      <c r="MJF1533" s="4"/>
      <c r="MJG1533" s="6"/>
      <c r="MJH1533" s="4"/>
      <c r="MJI1533" s="6"/>
      <c r="MJJ1533" s="4"/>
      <c r="MJK1533" s="6"/>
      <c r="MJL1533" s="4"/>
      <c r="MJM1533" s="6"/>
      <c r="MJN1533" s="4"/>
      <c r="MJO1533" s="6"/>
      <c r="MJP1533" s="4"/>
      <c r="MJQ1533" s="6"/>
      <c r="MJR1533" s="4"/>
      <c r="MJS1533" s="6"/>
      <c r="MJT1533" s="4"/>
      <c r="MJU1533" s="6"/>
      <c r="MJV1533" s="4"/>
      <c r="MJW1533" s="6"/>
      <c r="MJX1533" s="4"/>
      <c r="MJY1533" s="6"/>
      <c r="MJZ1533" s="4"/>
      <c r="MKA1533" s="6"/>
      <c r="MKB1533" s="4"/>
      <c r="MKC1533" s="6"/>
      <c r="MKD1533" s="4"/>
      <c r="MKE1533" s="6"/>
      <c r="MKF1533" s="4"/>
      <c r="MKG1533" s="6"/>
      <c r="MKH1533" s="4"/>
      <c r="MKI1533" s="6"/>
      <c r="MKJ1533" s="4"/>
      <c r="MKK1533" s="6"/>
      <c r="MKL1533" s="4"/>
      <c r="MKM1533" s="6"/>
      <c r="MKN1533" s="4"/>
      <c r="MKO1533" s="6"/>
      <c r="MKP1533" s="4"/>
      <c r="MKQ1533" s="6"/>
      <c r="MKR1533" s="4"/>
      <c r="MKS1533" s="6"/>
      <c r="MKT1533" s="4"/>
      <c r="MKU1533" s="6"/>
      <c r="MKV1533" s="4"/>
      <c r="MKW1533" s="6"/>
      <c r="MKX1533" s="4"/>
      <c r="MKY1533" s="6"/>
      <c r="MKZ1533" s="4"/>
      <c r="MLA1533" s="6"/>
      <c r="MLB1533" s="4"/>
      <c r="MLC1533" s="6"/>
      <c r="MLD1533" s="4"/>
      <c r="MLE1533" s="6"/>
      <c r="MLF1533" s="4"/>
      <c r="MLG1533" s="6"/>
      <c r="MLH1533" s="4"/>
      <c r="MLI1533" s="6"/>
      <c r="MLJ1533" s="4"/>
      <c r="MLK1533" s="6"/>
      <c r="MLL1533" s="4"/>
      <c r="MLM1533" s="6"/>
      <c r="MLN1533" s="4"/>
      <c r="MLO1533" s="6"/>
      <c r="MLP1533" s="4"/>
      <c r="MLQ1533" s="6"/>
      <c r="MLR1533" s="4"/>
      <c r="MLS1533" s="6"/>
      <c r="MLT1533" s="4"/>
      <c r="MLU1533" s="6"/>
      <c r="MLV1533" s="4"/>
      <c r="MLW1533" s="6"/>
      <c r="MLX1533" s="4"/>
      <c r="MLY1533" s="6"/>
      <c r="MLZ1533" s="4"/>
      <c r="MMA1533" s="6"/>
      <c r="MMB1533" s="4"/>
      <c r="MMC1533" s="6"/>
      <c r="MMD1533" s="4"/>
      <c r="MME1533" s="6"/>
      <c r="MMF1533" s="4"/>
      <c r="MMG1533" s="6"/>
      <c r="MMH1533" s="4"/>
      <c r="MMI1533" s="6"/>
      <c r="MMJ1533" s="4"/>
      <c r="MMK1533" s="6"/>
      <c r="MML1533" s="4"/>
      <c r="MMM1533" s="6"/>
      <c r="MMN1533" s="4"/>
      <c r="MMO1533" s="6"/>
      <c r="MMP1533" s="4"/>
      <c r="MMQ1533" s="6"/>
      <c r="MMR1533" s="4"/>
      <c r="MMS1533" s="6"/>
      <c r="MMT1533" s="4"/>
      <c r="MMU1533" s="6"/>
      <c r="MMV1533" s="4"/>
      <c r="MMW1533" s="6"/>
      <c r="MMX1533" s="4"/>
      <c r="MMY1533" s="6"/>
      <c r="MMZ1533" s="4"/>
      <c r="MNA1533" s="6"/>
      <c r="MNB1533" s="4"/>
      <c r="MNC1533" s="6"/>
      <c r="MND1533" s="4"/>
      <c r="MNE1533" s="6"/>
      <c r="MNF1533" s="4"/>
      <c r="MNG1533" s="6"/>
      <c r="MNH1533" s="4"/>
      <c r="MNI1533" s="6"/>
      <c r="MNJ1533" s="4"/>
      <c r="MNK1533" s="6"/>
      <c r="MNL1533" s="4"/>
      <c r="MNM1533" s="6"/>
      <c r="MNN1533" s="4"/>
      <c r="MNO1533" s="6"/>
      <c r="MNP1533" s="4"/>
      <c r="MNQ1533" s="6"/>
      <c r="MNR1533" s="4"/>
      <c r="MNS1533" s="6"/>
      <c r="MNT1533" s="4"/>
      <c r="MNU1533" s="6"/>
      <c r="MNV1533" s="4"/>
      <c r="MNW1533" s="6"/>
      <c r="MNX1533" s="4"/>
      <c r="MNY1533" s="6"/>
      <c r="MNZ1533" s="4"/>
      <c r="MOA1533" s="6"/>
      <c r="MOB1533" s="4"/>
      <c r="MOC1533" s="6"/>
      <c r="MOD1533" s="4"/>
      <c r="MOE1533" s="6"/>
      <c r="MOF1533" s="4"/>
      <c r="MOG1533" s="6"/>
      <c r="MOH1533" s="4"/>
      <c r="MOI1533" s="6"/>
      <c r="MOJ1533" s="4"/>
      <c r="MOK1533" s="6"/>
      <c r="MOL1533" s="4"/>
      <c r="MOM1533" s="6"/>
      <c r="MON1533" s="4"/>
      <c r="MOO1533" s="6"/>
      <c r="MOP1533" s="4"/>
      <c r="MOQ1533" s="6"/>
      <c r="MOR1533" s="4"/>
      <c r="MOS1533" s="6"/>
      <c r="MOT1533" s="4"/>
      <c r="MOU1533" s="6"/>
      <c r="MOV1533" s="4"/>
      <c r="MOW1533" s="6"/>
      <c r="MOX1533" s="4"/>
      <c r="MOY1533" s="6"/>
      <c r="MOZ1533" s="4"/>
      <c r="MPA1533" s="6"/>
      <c r="MPB1533" s="4"/>
      <c r="MPC1533" s="6"/>
      <c r="MPD1533" s="4"/>
      <c r="MPE1533" s="6"/>
      <c r="MPF1533" s="4"/>
      <c r="MPG1533" s="6"/>
      <c r="MPH1533" s="4"/>
      <c r="MPI1533" s="6"/>
      <c r="MPJ1533" s="4"/>
      <c r="MPK1533" s="6"/>
      <c r="MPL1533" s="4"/>
      <c r="MPM1533" s="6"/>
      <c r="MPN1533" s="4"/>
      <c r="MPO1533" s="6"/>
      <c r="MPP1533" s="4"/>
      <c r="MPQ1533" s="6"/>
      <c r="MPR1533" s="4"/>
      <c r="MPS1533" s="6"/>
      <c r="MPT1533" s="4"/>
      <c r="MPU1533" s="6"/>
      <c r="MPV1533" s="4"/>
      <c r="MPW1533" s="6"/>
      <c r="MPX1533" s="4"/>
      <c r="MPY1533" s="6"/>
      <c r="MPZ1533" s="4"/>
      <c r="MQA1533" s="6"/>
      <c r="MQB1533" s="4"/>
      <c r="MQC1533" s="6"/>
      <c r="MQD1533" s="4"/>
      <c r="MQE1533" s="6"/>
      <c r="MQF1533" s="4"/>
      <c r="MQG1533" s="6"/>
      <c r="MQH1533" s="4"/>
      <c r="MQI1533" s="6"/>
      <c r="MQJ1533" s="4"/>
      <c r="MQK1533" s="6"/>
      <c r="MQL1533" s="4"/>
      <c r="MQM1533" s="6"/>
      <c r="MQN1533" s="4"/>
      <c r="MQO1533" s="6"/>
      <c r="MQP1533" s="4"/>
      <c r="MQQ1533" s="6"/>
      <c r="MQR1533" s="4"/>
      <c r="MQS1533" s="6"/>
      <c r="MQT1533" s="4"/>
      <c r="MQU1533" s="6"/>
      <c r="MQV1533" s="4"/>
      <c r="MQW1533" s="6"/>
      <c r="MQX1533" s="4"/>
      <c r="MQY1533" s="6"/>
      <c r="MQZ1533" s="4"/>
      <c r="MRA1533" s="6"/>
      <c r="MRB1533" s="4"/>
      <c r="MRC1533" s="6"/>
      <c r="MRD1533" s="4"/>
      <c r="MRE1533" s="6"/>
      <c r="MRF1533" s="4"/>
      <c r="MRG1533" s="6"/>
      <c r="MRH1533" s="4"/>
      <c r="MRI1533" s="6"/>
      <c r="MRJ1533" s="4"/>
      <c r="MRK1533" s="6"/>
      <c r="MRL1533" s="4"/>
      <c r="MRM1533" s="6"/>
      <c r="MRN1533" s="4"/>
      <c r="MRO1533" s="6"/>
      <c r="MRP1533" s="4"/>
      <c r="MRQ1533" s="6"/>
      <c r="MRR1533" s="4"/>
      <c r="MRS1533" s="6"/>
      <c r="MRT1533" s="4"/>
      <c r="MRU1533" s="6"/>
      <c r="MRV1533" s="4"/>
      <c r="MRW1533" s="6"/>
      <c r="MRX1533" s="4"/>
      <c r="MRY1533" s="6"/>
      <c r="MRZ1533" s="4"/>
      <c r="MSA1533" s="6"/>
      <c r="MSB1533" s="4"/>
      <c r="MSC1533" s="6"/>
      <c r="MSD1533" s="4"/>
      <c r="MSE1533" s="6"/>
      <c r="MSF1533" s="4"/>
      <c r="MSG1533" s="6"/>
      <c r="MSH1533" s="4"/>
      <c r="MSI1533" s="6"/>
      <c r="MSJ1533" s="4"/>
      <c r="MSK1533" s="6"/>
      <c r="MSL1533" s="4"/>
      <c r="MSM1533" s="6"/>
      <c r="MSN1533" s="4"/>
      <c r="MSO1533" s="6"/>
      <c r="MSP1533" s="4"/>
      <c r="MSQ1533" s="6"/>
      <c r="MSR1533" s="4"/>
      <c r="MSS1533" s="6"/>
      <c r="MST1533" s="4"/>
      <c r="MSU1533" s="6"/>
      <c r="MSV1533" s="4"/>
      <c r="MSW1533" s="6"/>
      <c r="MSX1533" s="4"/>
      <c r="MSY1533" s="6"/>
      <c r="MSZ1533" s="4"/>
      <c r="MTA1533" s="6"/>
      <c r="MTB1533" s="4"/>
      <c r="MTC1533" s="6"/>
      <c r="MTD1533" s="4"/>
      <c r="MTE1533" s="6"/>
      <c r="MTF1533" s="4"/>
      <c r="MTG1533" s="6"/>
      <c r="MTH1533" s="4"/>
      <c r="MTI1533" s="6"/>
      <c r="MTJ1533" s="4"/>
      <c r="MTK1533" s="6"/>
      <c r="MTL1533" s="4"/>
      <c r="MTM1533" s="6"/>
      <c r="MTN1533" s="4"/>
      <c r="MTO1533" s="6"/>
      <c r="MTP1533" s="4"/>
      <c r="MTQ1533" s="6"/>
      <c r="MTR1533" s="4"/>
      <c r="MTS1533" s="6"/>
      <c r="MTT1533" s="4"/>
      <c r="MTU1533" s="6"/>
      <c r="MTV1533" s="4"/>
      <c r="MTW1533" s="6"/>
      <c r="MTX1533" s="4"/>
      <c r="MTY1533" s="6"/>
      <c r="MTZ1533" s="4"/>
      <c r="MUA1533" s="6"/>
      <c r="MUB1533" s="4"/>
      <c r="MUC1533" s="6"/>
      <c r="MUD1533" s="4"/>
      <c r="MUE1533" s="6"/>
      <c r="MUF1533" s="4"/>
      <c r="MUG1533" s="6"/>
      <c r="MUH1533" s="4"/>
      <c r="MUI1533" s="6"/>
      <c r="MUJ1533" s="4"/>
      <c r="MUK1533" s="6"/>
      <c r="MUL1533" s="4"/>
      <c r="MUM1533" s="6"/>
      <c r="MUN1533" s="4"/>
      <c r="MUO1533" s="6"/>
      <c r="MUP1533" s="4"/>
      <c r="MUQ1533" s="6"/>
      <c r="MUR1533" s="4"/>
      <c r="MUS1533" s="6"/>
      <c r="MUT1533" s="4"/>
      <c r="MUU1533" s="6"/>
      <c r="MUV1533" s="4"/>
      <c r="MUW1533" s="6"/>
      <c r="MUX1533" s="4"/>
      <c r="MUY1533" s="6"/>
      <c r="MUZ1533" s="4"/>
      <c r="MVA1533" s="6"/>
      <c r="MVB1533" s="4"/>
      <c r="MVC1533" s="6"/>
      <c r="MVD1533" s="4"/>
      <c r="MVE1533" s="6"/>
      <c r="MVF1533" s="4"/>
      <c r="MVG1533" s="6"/>
      <c r="MVH1533" s="4"/>
      <c r="MVI1533" s="6"/>
      <c r="MVJ1533" s="4"/>
      <c r="MVK1533" s="6"/>
      <c r="MVL1533" s="4"/>
      <c r="MVM1533" s="6"/>
      <c r="MVN1533" s="4"/>
      <c r="MVO1533" s="6"/>
      <c r="MVP1533" s="4"/>
      <c r="MVQ1533" s="6"/>
      <c r="MVR1533" s="4"/>
      <c r="MVS1533" s="6"/>
      <c r="MVT1533" s="4"/>
      <c r="MVU1533" s="6"/>
      <c r="MVV1533" s="4"/>
      <c r="MVW1533" s="6"/>
      <c r="MVX1533" s="4"/>
      <c r="MVY1533" s="6"/>
      <c r="MVZ1533" s="4"/>
      <c r="MWA1533" s="6"/>
      <c r="MWB1533" s="4"/>
      <c r="MWC1533" s="6"/>
      <c r="MWD1533" s="4"/>
      <c r="MWE1533" s="6"/>
      <c r="MWF1533" s="4"/>
      <c r="MWG1533" s="6"/>
      <c r="MWH1533" s="4"/>
      <c r="MWI1533" s="6"/>
      <c r="MWJ1533" s="4"/>
      <c r="MWK1533" s="6"/>
      <c r="MWL1533" s="4"/>
      <c r="MWM1533" s="6"/>
      <c r="MWN1533" s="4"/>
      <c r="MWO1533" s="6"/>
      <c r="MWP1533" s="4"/>
      <c r="MWQ1533" s="6"/>
      <c r="MWR1533" s="4"/>
      <c r="MWS1533" s="6"/>
      <c r="MWT1533" s="4"/>
      <c r="MWU1533" s="6"/>
      <c r="MWV1533" s="4"/>
      <c r="MWW1533" s="6"/>
      <c r="MWX1533" s="4"/>
      <c r="MWY1533" s="6"/>
      <c r="MWZ1533" s="4"/>
      <c r="MXA1533" s="6"/>
      <c r="MXB1533" s="4"/>
      <c r="MXC1533" s="6"/>
      <c r="MXD1533" s="4"/>
      <c r="MXE1533" s="6"/>
      <c r="MXF1533" s="4"/>
      <c r="MXG1533" s="6"/>
      <c r="MXH1533" s="4"/>
      <c r="MXI1533" s="6"/>
      <c r="MXJ1533" s="4"/>
      <c r="MXK1533" s="6"/>
      <c r="MXL1533" s="4"/>
      <c r="MXM1533" s="6"/>
      <c r="MXN1533" s="4"/>
      <c r="MXO1533" s="6"/>
      <c r="MXP1533" s="4"/>
      <c r="MXQ1533" s="6"/>
      <c r="MXR1533" s="4"/>
      <c r="MXS1533" s="6"/>
      <c r="MXT1533" s="4"/>
      <c r="MXU1533" s="6"/>
      <c r="MXV1533" s="4"/>
      <c r="MXW1533" s="6"/>
      <c r="MXX1533" s="4"/>
      <c r="MXY1533" s="6"/>
      <c r="MXZ1533" s="4"/>
      <c r="MYA1533" s="6"/>
      <c r="MYB1533" s="4"/>
      <c r="MYC1533" s="6"/>
      <c r="MYD1533" s="4"/>
      <c r="MYE1533" s="6"/>
      <c r="MYF1533" s="4"/>
      <c r="MYG1533" s="6"/>
      <c r="MYH1533" s="4"/>
      <c r="MYI1533" s="6"/>
      <c r="MYJ1533" s="4"/>
      <c r="MYK1533" s="6"/>
      <c r="MYL1533" s="4"/>
      <c r="MYM1533" s="6"/>
      <c r="MYN1533" s="4"/>
      <c r="MYO1533" s="6"/>
      <c r="MYP1533" s="4"/>
      <c r="MYQ1533" s="6"/>
      <c r="MYR1533" s="4"/>
      <c r="MYS1533" s="6"/>
      <c r="MYT1533" s="4"/>
      <c r="MYU1533" s="6"/>
      <c r="MYV1533" s="4"/>
      <c r="MYW1533" s="6"/>
      <c r="MYX1533" s="4"/>
      <c r="MYY1533" s="6"/>
      <c r="MYZ1533" s="4"/>
      <c r="MZA1533" s="6"/>
      <c r="MZB1533" s="4"/>
      <c r="MZC1533" s="6"/>
      <c r="MZD1533" s="4"/>
      <c r="MZE1533" s="6"/>
      <c r="MZF1533" s="4"/>
      <c r="MZG1533" s="6"/>
      <c r="MZH1533" s="4"/>
      <c r="MZI1533" s="6"/>
      <c r="MZJ1533" s="4"/>
      <c r="MZK1533" s="6"/>
      <c r="MZL1533" s="4"/>
      <c r="MZM1533" s="6"/>
      <c r="MZN1533" s="4"/>
      <c r="MZO1533" s="6"/>
      <c r="MZP1533" s="4"/>
      <c r="MZQ1533" s="6"/>
      <c r="MZR1533" s="4"/>
      <c r="MZS1533" s="6"/>
      <c r="MZT1533" s="4"/>
      <c r="MZU1533" s="6"/>
      <c r="MZV1533" s="4"/>
      <c r="MZW1533" s="6"/>
      <c r="MZX1533" s="4"/>
      <c r="MZY1533" s="6"/>
      <c r="MZZ1533" s="4"/>
      <c r="NAA1533" s="6"/>
      <c r="NAB1533" s="4"/>
      <c r="NAC1533" s="6"/>
      <c r="NAD1533" s="4"/>
      <c r="NAE1533" s="6"/>
      <c r="NAF1533" s="4"/>
      <c r="NAG1533" s="6"/>
      <c r="NAH1533" s="4"/>
      <c r="NAI1533" s="6"/>
      <c r="NAJ1533" s="4"/>
      <c r="NAK1533" s="6"/>
      <c r="NAL1533" s="4"/>
      <c r="NAM1533" s="6"/>
      <c r="NAN1533" s="4"/>
      <c r="NAO1533" s="6"/>
      <c r="NAP1533" s="4"/>
      <c r="NAQ1533" s="6"/>
      <c r="NAR1533" s="4"/>
      <c r="NAS1533" s="6"/>
      <c r="NAT1533" s="4"/>
      <c r="NAU1533" s="6"/>
      <c r="NAV1533" s="4"/>
      <c r="NAW1533" s="6"/>
      <c r="NAX1533" s="4"/>
      <c r="NAY1533" s="6"/>
      <c r="NAZ1533" s="4"/>
      <c r="NBA1533" s="6"/>
      <c r="NBB1533" s="4"/>
      <c r="NBC1533" s="6"/>
      <c r="NBD1533" s="4"/>
      <c r="NBE1533" s="6"/>
      <c r="NBF1533" s="4"/>
      <c r="NBG1533" s="6"/>
      <c r="NBH1533" s="4"/>
      <c r="NBI1533" s="6"/>
      <c r="NBJ1533" s="4"/>
      <c r="NBK1533" s="6"/>
      <c r="NBL1533" s="4"/>
      <c r="NBM1533" s="6"/>
      <c r="NBN1533" s="4"/>
      <c r="NBO1533" s="6"/>
      <c r="NBP1533" s="4"/>
      <c r="NBQ1533" s="6"/>
      <c r="NBR1533" s="4"/>
      <c r="NBS1533" s="6"/>
      <c r="NBT1533" s="4"/>
      <c r="NBU1533" s="6"/>
      <c r="NBV1533" s="4"/>
      <c r="NBW1533" s="6"/>
      <c r="NBX1533" s="4"/>
      <c r="NBY1533" s="6"/>
      <c r="NBZ1533" s="4"/>
      <c r="NCA1533" s="6"/>
      <c r="NCB1533" s="4"/>
      <c r="NCC1533" s="6"/>
      <c r="NCD1533" s="4"/>
      <c r="NCE1533" s="6"/>
      <c r="NCF1533" s="4"/>
      <c r="NCG1533" s="6"/>
      <c r="NCH1533" s="4"/>
      <c r="NCI1533" s="6"/>
      <c r="NCJ1533" s="4"/>
      <c r="NCK1533" s="6"/>
      <c r="NCL1533" s="4"/>
      <c r="NCM1533" s="6"/>
      <c r="NCN1533" s="4"/>
      <c r="NCO1533" s="6"/>
      <c r="NCP1533" s="4"/>
      <c r="NCQ1533" s="6"/>
      <c r="NCR1533" s="4"/>
      <c r="NCS1533" s="6"/>
      <c r="NCT1533" s="4"/>
      <c r="NCU1533" s="6"/>
      <c r="NCV1533" s="4"/>
      <c r="NCW1533" s="6"/>
      <c r="NCX1533" s="4"/>
      <c r="NCY1533" s="6"/>
      <c r="NCZ1533" s="4"/>
      <c r="NDA1533" s="6"/>
      <c r="NDB1533" s="4"/>
      <c r="NDC1533" s="6"/>
      <c r="NDD1533" s="4"/>
      <c r="NDE1533" s="6"/>
      <c r="NDF1533" s="4"/>
      <c r="NDG1533" s="6"/>
      <c r="NDH1533" s="4"/>
      <c r="NDI1533" s="6"/>
      <c r="NDJ1533" s="4"/>
      <c r="NDK1533" s="6"/>
      <c r="NDL1533" s="4"/>
      <c r="NDM1533" s="6"/>
      <c r="NDN1533" s="4"/>
      <c r="NDO1533" s="6"/>
      <c r="NDP1533" s="4"/>
      <c r="NDQ1533" s="6"/>
      <c r="NDR1533" s="4"/>
      <c r="NDS1533" s="6"/>
      <c r="NDT1533" s="4"/>
      <c r="NDU1533" s="6"/>
      <c r="NDV1533" s="4"/>
      <c r="NDW1533" s="6"/>
      <c r="NDX1533" s="4"/>
      <c r="NDY1533" s="6"/>
      <c r="NDZ1533" s="4"/>
      <c r="NEA1533" s="6"/>
      <c r="NEB1533" s="4"/>
      <c r="NEC1533" s="6"/>
      <c r="NED1533" s="4"/>
      <c r="NEE1533" s="6"/>
      <c r="NEF1533" s="4"/>
      <c r="NEG1533" s="6"/>
      <c r="NEH1533" s="4"/>
      <c r="NEI1533" s="6"/>
      <c r="NEJ1533" s="4"/>
      <c r="NEK1533" s="6"/>
      <c r="NEL1533" s="4"/>
      <c r="NEM1533" s="6"/>
      <c r="NEN1533" s="4"/>
      <c r="NEO1533" s="6"/>
      <c r="NEP1533" s="4"/>
      <c r="NEQ1533" s="6"/>
      <c r="NER1533" s="4"/>
      <c r="NES1533" s="6"/>
      <c r="NET1533" s="4"/>
      <c r="NEU1533" s="6"/>
      <c r="NEV1533" s="4"/>
      <c r="NEW1533" s="6"/>
      <c r="NEX1533" s="4"/>
      <c r="NEY1533" s="6"/>
      <c r="NEZ1533" s="4"/>
      <c r="NFA1533" s="6"/>
      <c r="NFB1533" s="4"/>
      <c r="NFC1533" s="6"/>
      <c r="NFD1533" s="4"/>
      <c r="NFE1533" s="6"/>
      <c r="NFF1533" s="4"/>
      <c r="NFG1533" s="6"/>
      <c r="NFH1533" s="4"/>
      <c r="NFI1533" s="6"/>
      <c r="NFJ1533" s="4"/>
      <c r="NFK1533" s="6"/>
      <c r="NFL1533" s="4"/>
      <c r="NFM1533" s="6"/>
      <c r="NFN1533" s="4"/>
      <c r="NFO1533" s="6"/>
      <c r="NFP1533" s="4"/>
      <c r="NFQ1533" s="6"/>
      <c r="NFR1533" s="4"/>
      <c r="NFS1533" s="6"/>
      <c r="NFT1533" s="4"/>
      <c r="NFU1533" s="6"/>
      <c r="NFV1533" s="4"/>
      <c r="NFW1533" s="6"/>
      <c r="NFX1533" s="4"/>
      <c r="NFY1533" s="6"/>
      <c r="NFZ1533" s="4"/>
      <c r="NGA1533" s="6"/>
      <c r="NGB1533" s="4"/>
      <c r="NGC1533" s="6"/>
      <c r="NGD1533" s="4"/>
      <c r="NGE1533" s="6"/>
      <c r="NGF1533" s="4"/>
      <c r="NGG1533" s="6"/>
      <c r="NGH1533" s="4"/>
      <c r="NGI1533" s="6"/>
      <c r="NGJ1533" s="4"/>
      <c r="NGK1533" s="6"/>
      <c r="NGL1533" s="4"/>
      <c r="NGM1533" s="6"/>
      <c r="NGN1533" s="4"/>
      <c r="NGO1533" s="6"/>
      <c r="NGP1533" s="4"/>
      <c r="NGQ1533" s="6"/>
      <c r="NGR1533" s="4"/>
      <c r="NGS1533" s="6"/>
      <c r="NGT1533" s="4"/>
      <c r="NGU1533" s="6"/>
      <c r="NGV1533" s="4"/>
      <c r="NGW1533" s="6"/>
      <c r="NGX1533" s="4"/>
      <c r="NGY1533" s="6"/>
      <c r="NGZ1533" s="4"/>
      <c r="NHA1533" s="6"/>
      <c r="NHB1533" s="4"/>
      <c r="NHC1533" s="6"/>
      <c r="NHD1533" s="4"/>
      <c r="NHE1533" s="6"/>
      <c r="NHF1533" s="4"/>
      <c r="NHG1533" s="6"/>
      <c r="NHH1533" s="4"/>
      <c r="NHI1533" s="6"/>
      <c r="NHJ1533" s="4"/>
      <c r="NHK1533" s="6"/>
      <c r="NHL1533" s="4"/>
      <c r="NHM1533" s="6"/>
      <c r="NHN1533" s="4"/>
      <c r="NHO1533" s="6"/>
      <c r="NHP1533" s="4"/>
      <c r="NHQ1533" s="6"/>
      <c r="NHR1533" s="4"/>
      <c r="NHS1533" s="6"/>
      <c r="NHT1533" s="4"/>
      <c r="NHU1533" s="6"/>
      <c r="NHV1533" s="4"/>
      <c r="NHW1533" s="6"/>
      <c r="NHX1533" s="4"/>
      <c r="NHY1533" s="6"/>
      <c r="NHZ1533" s="4"/>
      <c r="NIA1533" s="6"/>
      <c r="NIB1533" s="4"/>
      <c r="NIC1533" s="6"/>
      <c r="NID1533" s="4"/>
      <c r="NIE1533" s="6"/>
      <c r="NIF1533" s="4"/>
      <c r="NIG1533" s="6"/>
      <c r="NIH1533" s="4"/>
      <c r="NII1533" s="6"/>
      <c r="NIJ1533" s="4"/>
      <c r="NIK1533" s="6"/>
      <c r="NIL1533" s="4"/>
      <c r="NIM1533" s="6"/>
      <c r="NIN1533" s="4"/>
      <c r="NIO1533" s="6"/>
      <c r="NIP1533" s="4"/>
      <c r="NIQ1533" s="6"/>
      <c r="NIR1533" s="4"/>
      <c r="NIS1533" s="6"/>
      <c r="NIT1533" s="4"/>
      <c r="NIU1533" s="6"/>
      <c r="NIV1533" s="4"/>
      <c r="NIW1533" s="6"/>
      <c r="NIX1533" s="4"/>
      <c r="NIY1533" s="6"/>
      <c r="NIZ1533" s="4"/>
      <c r="NJA1533" s="6"/>
      <c r="NJB1533" s="4"/>
      <c r="NJC1533" s="6"/>
      <c r="NJD1533" s="4"/>
      <c r="NJE1533" s="6"/>
      <c r="NJF1533" s="4"/>
      <c r="NJG1533" s="6"/>
      <c r="NJH1533" s="4"/>
      <c r="NJI1533" s="6"/>
      <c r="NJJ1533" s="4"/>
      <c r="NJK1533" s="6"/>
      <c r="NJL1533" s="4"/>
      <c r="NJM1533" s="6"/>
      <c r="NJN1533" s="4"/>
      <c r="NJO1533" s="6"/>
      <c r="NJP1533" s="4"/>
      <c r="NJQ1533" s="6"/>
      <c r="NJR1533" s="4"/>
      <c r="NJS1533" s="6"/>
      <c r="NJT1533" s="4"/>
      <c r="NJU1533" s="6"/>
      <c r="NJV1533" s="4"/>
      <c r="NJW1533" s="6"/>
      <c r="NJX1533" s="4"/>
      <c r="NJY1533" s="6"/>
      <c r="NJZ1533" s="4"/>
      <c r="NKA1533" s="6"/>
      <c r="NKB1533" s="4"/>
      <c r="NKC1533" s="6"/>
      <c r="NKD1533" s="4"/>
      <c r="NKE1533" s="6"/>
      <c r="NKF1533" s="4"/>
      <c r="NKG1533" s="6"/>
      <c r="NKH1533" s="4"/>
      <c r="NKI1533" s="6"/>
      <c r="NKJ1533" s="4"/>
      <c r="NKK1533" s="6"/>
      <c r="NKL1533" s="4"/>
      <c r="NKM1533" s="6"/>
      <c r="NKN1533" s="4"/>
      <c r="NKO1533" s="6"/>
      <c r="NKP1533" s="4"/>
      <c r="NKQ1533" s="6"/>
      <c r="NKR1533" s="4"/>
      <c r="NKS1533" s="6"/>
      <c r="NKT1533" s="4"/>
      <c r="NKU1533" s="6"/>
      <c r="NKV1533" s="4"/>
      <c r="NKW1533" s="6"/>
      <c r="NKX1533" s="4"/>
      <c r="NKY1533" s="6"/>
      <c r="NKZ1533" s="4"/>
      <c r="NLA1533" s="6"/>
      <c r="NLB1533" s="4"/>
      <c r="NLC1533" s="6"/>
      <c r="NLD1533" s="4"/>
      <c r="NLE1533" s="6"/>
      <c r="NLF1533" s="4"/>
      <c r="NLG1533" s="6"/>
      <c r="NLH1533" s="4"/>
      <c r="NLI1533" s="6"/>
      <c r="NLJ1533" s="4"/>
      <c r="NLK1533" s="6"/>
      <c r="NLL1533" s="4"/>
      <c r="NLM1533" s="6"/>
      <c r="NLN1533" s="4"/>
      <c r="NLO1533" s="6"/>
      <c r="NLP1533" s="4"/>
      <c r="NLQ1533" s="6"/>
      <c r="NLR1533" s="4"/>
      <c r="NLS1533" s="6"/>
      <c r="NLT1533" s="4"/>
      <c r="NLU1533" s="6"/>
      <c r="NLV1533" s="4"/>
      <c r="NLW1533" s="6"/>
      <c r="NLX1533" s="4"/>
      <c r="NLY1533" s="6"/>
      <c r="NLZ1533" s="4"/>
      <c r="NMA1533" s="6"/>
      <c r="NMB1533" s="4"/>
      <c r="NMC1533" s="6"/>
      <c r="NMD1533" s="4"/>
      <c r="NME1533" s="6"/>
      <c r="NMF1533" s="4"/>
      <c r="NMG1533" s="6"/>
      <c r="NMH1533" s="4"/>
      <c r="NMI1533" s="6"/>
      <c r="NMJ1533" s="4"/>
      <c r="NMK1533" s="6"/>
      <c r="NML1533" s="4"/>
      <c r="NMM1533" s="6"/>
      <c r="NMN1533" s="4"/>
      <c r="NMO1533" s="6"/>
      <c r="NMP1533" s="4"/>
      <c r="NMQ1533" s="6"/>
      <c r="NMR1533" s="4"/>
      <c r="NMS1533" s="6"/>
      <c r="NMT1533" s="4"/>
      <c r="NMU1533" s="6"/>
      <c r="NMV1533" s="4"/>
      <c r="NMW1533" s="6"/>
      <c r="NMX1533" s="4"/>
      <c r="NMY1533" s="6"/>
      <c r="NMZ1533" s="4"/>
      <c r="NNA1533" s="6"/>
      <c r="NNB1533" s="4"/>
      <c r="NNC1533" s="6"/>
      <c r="NND1533" s="4"/>
      <c r="NNE1533" s="6"/>
      <c r="NNF1533" s="4"/>
      <c r="NNG1533" s="6"/>
      <c r="NNH1533" s="4"/>
      <c r="NNI1533" s="6"/>
      <c r="NNJ1533" s="4"/>
      <c r="NNK1533" s="6"/>
      <c r="NNL1533" s="4"/>
      <c r="NNM1533" s="6"/>
      <c r="NNN1533" s="4"/>
      <c r="NNO1533" s="6"/>
      <c r="NNP1533" s="4"/>
      <c r="NNQ1533" s="6"/>
      <c r="NNR1533" s="4"/>
      <c r="NNS1533" s="6"/>
      <c r="NNT1533" s="4"/>
      <c r="NNU1533" s="6"/>
      <c r="NNV1533" s="4"/>
      <c r="NNW1533" s="6"/>
      <c r="NNX1533" s="4"/>
      <c r="NNY1533" s="6"/>
      <c r="NNZ1533" s="4"/>
      <c r="NOA1533" s="6"/>
      <c r="NOB1533" s="4"/>
      <c r="NOC1533" s="6"/>
      <c r="NOD1533" s="4"/>
      <c r="NOE1533" s="6"/>
      <c r="NOF1533" s="4"/>
      <c r="NOG1533" s="6"/>
      <c r="NOH1533" s="4"/>
      <c r="NOI1533" s="6"/>
      <c r="NOJ1533" s="4"/>
      <c r="NOK1533" s="6"/>
      <c r="NOL1533" s="4"/>
      <c r="NOM1533" s="6"/>
      <c r="NON1533" s="4"/>
      <c r="NOO1533" s="6"/>
      <c r="NOP1533" s="4"/>
      <c r="NOQ1533" s="6"/>
      <c r="NOR1533" s="4"/>
      <c r="NOS1533" s="6"/>
      <c r="NOT1533" s="4"/>
      <c r="NOU1533" s="6"/>
      <c r="NOV1533" s="4"/>
      <c r="NOW1533" s="6"/>
      <c r="NOX1533" s="4"/>
      <c r="NOY1533" s="6"/>
      <c r="NOZ1533" s="4"/>
      <c r="NPA1533" s="6"/>
      <c r="NPB1533" s="4"/>
      <c r="NPC1533" s="6"/>
      <c r="NPD1533" s="4"/>
      <c r="NPE1533" s="6"/>
      <c r="NPF1533" s="4"/>
      <c r="NPG1533" s="6"/>
      <c r="NPH1533" s="4"/>
      <c r="NPI1533" s="6"/>
      <c r="NPJ1533" s="4"/>
      <c r="NPK1533" s="6"/>
      <c r="NPL1533" s="4"/>
      <c r="NPM1533" s="6"/>
      <c r="NPN1533" s="4"/>
      <c r="NPO1533" s="6"/>
      <c r="NPP1533" s="4"/>
      <c r="NPQ1533" s="6"/>
      <c r="NPR1533" s="4"/>
      <c r="NPS1533" s="6"/>
      <c r="NPT1533" s="4"/>
      <c r="NPU1533" s="6"/>
      <c r="NPV1533" s="4"/>
      <c r="NPW1533" s="6"/>
      <c r="NPX1533" s="4"/>
      <c r="NPY1533" s="6"/>
      <c r="NPZ1533" s="4"/>
      <c r="NQA1533" s="6"/>
      <c r="NQB1533" s="4"/>
      <c r="NQC1533" s="6"/>
      <c r="NQD1533" s="4"/>
      <c r="NQE1533" s="6"/>
      <c r="NQF1533" s="4"/>
      <c r="NQG1533" s="6"/>
      <c r="NQH1533" s="4"/>
      <c r="NQI1533" s="6"/>
      <c r="NQJ1533" s="4"/>
      <c r="NQK1533" s="6"/>
      <c r="NQL1533" s="4"/>
      <c r="NQM1533" s="6"/>
      <c r="NQN1533" s="4"/>
      <c r="NQO1533" s="6"/>
      <c r="NQP1533" s="4"/>
      <c r="NQQ1533" s="6"/>
      <c r="NQR1533" s="4"/>
      <c r="NQS1533" s="6"/>
      <c r="NQT1533" s="4"/>
      <c r="NQU1533" s="6"/>
      <c r="NQV1533" s="4"/>
      <c r="NQW1533" s="6"/>
      <c r="NQX1533" s="4"/>
      <c r="NQY1533" s="6"/>
      <c r="NQZ1533" s="4"/>
      <c r="NRA1533" s="6"/>
      <c r="NRB1533" s="4"/>
      <c r="NRC1533" s="6"/>
      <c r="NRD1533" s="4"/>
      <c r="NRE1533" s="6"/>
      <c r="NRF1533" s="4"/>
      <c r="NRG1533" s="6"/>
      <c r="NRH1533" s="4"/>
      <c r="NRI1533" s="6"/>
      <c r="NRJ1533" s="4"/>
      <c r="NRK1533" s="6"/>
      <c r="NRL1533" s="4"/>
      <c r="NRM1533" s="6"/>
      <c r="NRN1533" s="4"/>
      <c r="NRO1533" s="6"/>
      <c r="NRP1533" s="4"/>
      <c r="NRQ1533" s="6"/>
      <c r="NRR1533" s="4"/>
      <c r="NRS1533" s="6"/>
      <c r="NRT1533" s="4"/>
      <c r="NRU1533" s="6"/>
      <c r="NRV1533" s="4"/>
      <c r="NRW1533" s="6"/>
      <c r="NRX1533" s="4"/>
      <c r="NRY1533" s="6"/>
      <c r="NRZ1533" s="4"/>
      <c r="NSA1533" s="6"/>
      <c r="NSB1533" s="4"/>
      <c r="NSC1533" s="6"/>
      <c r="NSD1533" s="4"/>
      <c r="NSE1533" s="6"/>
      <c r="NSF1533" s="4"/>
      <c r="NSG1533" s="6"/>
      <c r="NSH1533" s="4"/>
      <c r="NSI1533" s="6"/>
      <c r="NSJ1533" s="4"/>
      <c r="NSK1533" s="6"/>
      <c r="NSL1533" s="4"/>
      <c r="NSM1533" s="6"/>
      <c r="NSN1533" s="4"/>
      <c r="NSO1533" s="6"/>
      <c r="NSP1533" s="4"/>
      <c r="NSQ1533" s="6"/>
      <c r="NSR1533" s="4"/>
      <c r="NSS1533" s="6"/>
      <c r="NST1533" s="4"/>
      <c r="NSU1533" s="6"/>
      <c r="NSV1533" s="4"/>
      <c r="NSW1533" s="6"/>
      <c r="NSX1533" s="4"/>
      <c r="NSY1533" s="6"/>
      <c r="NSZ1533" s="4"/>
      <c r="NTA1533" s="6"/>
      <c r="NTB1533" s="4"/>
      <c r="NTC1533" s="6"/>
      <c r="NTD1533" s="4"/>
      <c r="NTE1533" s="6"/>
      <c r="NTF1533" s="4"/>
      <c r="NTG1533" s="6"/>
      <c r="NTH1533" s="4"/>
      <c r="NTI1533" s="6"/>
      <c r="NTJ1533" s="4"/>
      <c r="NTK1533" s="6"/>
      <c r="NTL1533" s="4"/>
      <c r="NTM1533" s="6"/>
      <c r="NTN1533" s="4"/>
      <c r="NTO1533" s="6"/>
      <c r="NTP1533" s="4"/>
      <c r="NTQ1533" s="6"/>
      <c r="NTR1533" s="4"/>
      <c r="NTS1533" s="6"/>
      <c r="NTT1533" s="4"/>
      <c r="NTU1533" s="6"/>
      <c r="NTV1533" s="4"/>
      <c r="NTW1533" s="6"/>
      <c r="NTX1533" s="4"/>
      <c r="NTY1533" s="6"/>
      <c r="NTZ1533" s="4"/>
      <c r="NUA1533" s="6"/>
      <c r="NUB1533" s="4"/>
      <c r="NUC1533" s="6"/>
      <c r="NUD1533" s="4"/>
      <c r="NUE1533" s="6"/>
      <c r="NUF1533" s="4"/>
      <c r="NUG1533" s="6"/>
      <c r="NUH1533" s="4"/>
      <c r="NUI1533" s="6"/>
      <c r="NUJ1533" s="4"/>
      <c r="NUK1533" s="6"/>
      <c r="NUL1533" s="4"/>
      <c r="NUM1533" s="6"/>
      <c r="NUN1533" s="4"/>
      <c r="NUO1533" s="6"/>
      <c r="NUP1533" s="4"/>
      <c r="NUQ1533" s="6"/>
      <c r="NUR1533" s="4"/>
      <c r="NUS1533" s="6"/>
      <c r="NUT1533" s="4"/>
      <c r="NUU1533" s="6"/>
      <c r="NUV1533" s="4"/>
      <c r="NUW1533" s="6"/>
      <c r="NUX1533" s="4"/>
      <c r="NUY1533" s="6"/>
      <c r="NUZ1533" s="4"/>
      <c r="NVA1533" s="6"/>
      <c r="NVB1533" s="4"/>
      <c r="NVC1533" s="6"/>
      <c r="NVD1533" s="4"/>
      <c r="NVE1533" s="6"/>
      <c r="NVF1533" s="4"/>
      <c r="NVG1533" s="6"/>
      <c r="NVH1533" s="4"/>
      <c r="NVI1533" s="6"/>
      <c r="NVJ1533" s="4"/>
      <c r="NVK1533" s="6"/>
      <c r="NVL1533" s="4"/>
      <c r="NVM1533" s="6"/>
      <c r="NVN1533" s="4"/>
      <c r="NVO1533" s="6"/>
      <c r="NVP1533" s="4"/>
      <c r="NVQ1533" s="6"/>
      <c r="NVR1533" s="4"/>
      <c r="NVS1533" s="6"/>
      <c r="NVT1533" s="4"/>
      <c r="NVU1533" s="6"/>
      <c r="NVV1533" s="4"/>
      <c r="NVW1533" s="6"/>
      <c r="NVX1533" s="4"/>
      <c r="NVY1533" s="6"/>
      <c r="NVZ1533" s="4"/>
      <c r="NWA1533" s="6"/>
      <c r="NWB1533" s="4"/>
      <c r="NWC1533" s="6"/>
      <c r="NWD1533" s="4"/>
      <c r="NWE1533" s="6"/>
      <c r="NWF1533" s="4"/>
      <c r="NWG1533" s="6"/>
      <c r="NWH1533" s="4"/>
      <c r="NWI1533" s="6"/>
      <c r="NWJ1533" s="4"/>
      <c r="NWK1533" s="6"/>
      <c r="NWL1533" s="4"/>
      <c r="NWM1533" s="6"/>
      <c r="NWN1533" s="4"/>
      <c r="NWO1533" s="6"/>
      <c r="NWP1533" s="4"/>
      <c r="NWQ1533" s="6"/>
      <c r="NWR1533" s="4"/>
      <c r="NWS1533" s="6"/>
      <c r="NWT1533" s="4"/>
      <c r="NWU1533" s="6"/>
      <c r="NWV1533" s="4"/>
      <c r="NWW1533" s="6"/>
      <c r="NWX1533" s="4"/>
      <c r="NWY1533" s="6"/>
      <c r="NWZ1533" s="4"/>
      <c r="NXA1533" s="6"/>
      <c r="NXB1533" s="4"/>
      <c r="NXC1533" s="6"/>
      <c r="NXD1533" s="4"/>
      <c r="NXE1533" s="6"/>
      <c r="NXF1533" s="4"/>
      <c r="NXG1533" s="6"/>
      <c r="NXH1533" s="4"/>
      <c r="NXI1533" s="6"/>
      <c r="NXJ1533" s="4"/>
      <c r="NXK1533" s="6"/>
      <c r="NXL1533" s="4"/>
      <c r="NXM1533" s="6"/>
      <c r="NXN1533" s="4"/>
      <c r="NXO1533" s="6"/>
      <c r="NXP1533" s="4"/>
      <c r="NXQ1533" s="6"/>
      <c r="NXR1533" s="4"/>
      <c r="NXS1533" s="6"/>
      <c r="NXT1533" s="4"/>
      <c r="NXU1533" s="6"/>
      <c r="NXV1533" s="4"/>
      <c r="NXW1533" s="6"/>
      <c r="NXX1533" s="4"/>
      <c r="NXY1533" s="6"/>
      <c r="NXZ1533" s="4"/>
      <c r="NYA1533" s="6"/>
      <c r="NYB1533" s="4"/>
      <c r="NYC1533" s="6"/>
      <c r="NYD1533" s="4"/>
      <c r="NYE1533" s="6"/>
      <c r="NYF1533" s="4"/>
      <c r="NYG1533" s="6"/>
      <c r="NYH1533" s="4"/>
      <c r="NYI1533" s="6"/>
      <c r="NYJ1533" s="4"/>
      <c r="NYK1533" s="6"/>
      <c r="NYL1533" s="4"/>
      <c r="NYM1533" s="6"/>
      <c r="NYN1533" s="4"/>
      <c r="NYO1533" s="6"/>
      <c r="NYP1533" s="4"/>
      <c r="NYQ1533" s="6"/>
      <c r="NYR1533" s="4"/>
      <c r="NYS1533" s="6"/>
      <c r="NYT1533" s="4"/>
      <c r="NYU1533" s="6"/>
      <c r="NYV1533" s="4"/>
      <c r="NYW1533" s="6"/>
      <c r="NYX1533" s="4"/>
      <c r="NYY1533" s="6"/>
      <c r="NYZ1533" s="4"/>
      <c r="NZA1533" s="6"/>
      <c r="NZB1533" s="4"/>
      <c r="NZC1533" s="6"/>
      <c r="NZD1533" s="4"/>
      <c r="NZE1533" s="6"/>
      <c r="NZF1533" s="4"/>
      <c r="NZG1533" s="6"/>
      <c r="NZH1533" s="4"/>
      <c r="NZI1533" s="6"/>
      <c r="NZJ1533" s="4"/>
      <c r="NZK1533" s="6"/>
      <c r="NZL1533" s="4"/>
      <c r="NZM1533" s="6"/>
      <c r="NZN1533" s="4"/>
      <c r="NZO1533" s="6"/>
      <c r="NZP1533" s="4"/>
      <c r="NZQ1533" s="6"/>
      <c r="NZR1533" s="4"/>
      <c r="NZS1533" s="6"/>
      <c r="NZT1533" s="4"/>
      <c r="NZU1533" s="6"/>
      <c r="NZV1533" s="4"/>
      <c r="NZW1533" s="6"/>
      <c r="NZX1533" s="4"/>
      <c r="NZY1533" s="6"/>
      <c r="NZZ1533" s="4"/>
      <c r="OAA1533" s="6"/>
      <c r="OAB1533" s="4"/>
      <c r="OAC1533" s="6"/>
      <c r="OAD1533" s="4"/>
      <c r="OAE1533" s="6"/>
      <c r="OAF1533" s="4"/>
      <c r="OAG1533" s="6"/>
      <c r="OAH1533" s="4"/>
      <c r="OAI1533" s="6"/>
      <c r="OAJ1533" s="4"/>
      <c r="OAK1533" s="6"/>
      <c r="OAL1533" s="4"/>
      <c r="OAM1533" s="6"/>
      <c r="OAN1533" s="4"/>
      <c r="OAO1533" s="6"/>
      <c r="OAP1533" s="4"/>
      <c r="OAQ1533" s="6"/>
      <c r="OAR1533" s="4"/>
      <c r="OAS1533" s="6"/>
      <c r="OAT1533" s="4"/>
      <c r="OAU1533" s="6"/>
      <c r="OAV1533" s="4"/>
      <c r="OAW1533" s="6"/>
      <c r="OAX1533" s="4"/>
      <c r="OAY1533" s="6"/>
      <c r="OAZ1533" s="4"/>
      <c r="OBA1533" s="6"/>
      <c r="OBB1533" s="4"/>
      <c r="OBC1533" s="6"/>
      <c r="OBD1533" s="4"/>
      <c r="OBE1533" s="6"/>
      <c r="OBF1533" s="4"/>
      <c r="OBG1533" s="6"/>
      <c r="OBH1533" s="4"/>
      <c r="OBI1533" s="6"/>
      <c r="OBJ1533" s="4"/>
      <c r="OBK1533" s="6"/>
      <c r="OBL1533" s="4"/>
      <c r="OBM1533" s="6"/>
      <c r="OBN1533" s="4"/>
      <c r="OBO1533" s="6"/>
      <c r="OBP1533" s="4"/>
      <c r="OBQ1533" s="6"/>
      <c r="OBR1533" s="4"/>
      <c r="OBS1533" s="6"/>
      <c r="OBT1533" s="4"/>
      <c r="OBU1533" s="6"/>
      <c r="OBV1533" s="4"/>
      <c r="OBW1533" s="6"/>
      <c r="OBX1533" s="4"/>
      <c r="OBY1533" s="6"/>
      <c r="OBZ1533" s="4"/>
      <c r="OCA1533" s="6"/>
      <c r="OCB1533" s="4"/>
      <c r="OCC1533" s="6"/>
      <c r="OCD1533" s="4"/>
      <c r="OCE1533" s="6"/>
      <c r="OCF1533" s="4"/>
      <c r="OCG1533" s="6"/>
      <c r="OCH1533" s="4"/>
      <c r="OCI1533" s="6"/>
      <c r="OCJ1533" s="4"/>
      <c r="OCK1533" s="6"/>
      <c r="OCL1533" s="4"/>
      <c r="OCM1533" s="6"/>
      <c r="OCN1533" s="4"/>
      <c r="OCO1533" s="6"/>
      <c r="OCP1533" s="4"/>
      <c r="OCQ1533" s="6"/>
      <c r="OCR1533" s="4"/>
      <c r="OCS1533" s="6"/>
      <c r="OCT1533" s="4"/>
      <c r="OCU1533" s="6"/>
      <c r="OCV1533" s="4"/>
      <c r="OCW1533" s="6"/>
      <c r="OCX1533" s="4"/>
      <c r="OCY1533" s="6"/>
      <c r="OCZ1533" s="4"/>
      <c r="ODA1533" s="6"/>
      <c r="ODB1533" s="4"/>
      <c r="ODC1533" s="6"/>
      <c r="ODD1533" s="4"/>
      <c r="ODE1533" s="6"/>
      <c r="ODF1533" s="4"/>
      <c r="ODG1533" s="6"/>
      <c r="ODH1533" s="4"/>
      <c r="ODI1533" s="6"/>
      <c r="ODJ1533" s="4"/>
      <c r="ODK1533" s="6"/>
      <c r="ODL1533" s="4"/>
      <c r="ODM1533" s="6"/>
      <c r="ODN1533" s="4"/>
      <c r="ODO1533" s="6"/>
      <c r="ODP1533" s="4"/>
      <c r="ODQ1533" s="6"/>
      <c r="ODR1533" s="4"/>
      <c r="ODS1533" s="6"/>
      <c r="ODT1533" s="4"/>
      <c r="ODU1533" s="6"/>
      <c r="ODV1533" s="4"/>
      <c r="ODW1533" s="6"/>
      <c r="ODX1533" s="4"/>
      <c r="ODY1533" s="6"/>
      <c r="ODZ1533" s="4"/>
      <c r="OEA1533" s="6"/>
      <c r="OEB1533" s="4"/>
      <c r="OEC1533" s="6"/>
      <c r="OED1533" s="4"/>
      <c r="OEE1533" s="6"/>
      <c r="OEF1533" s="4"/>
      <c r="OEG1533" s="6"/>
      <c r="OEH1533" s="4"/>
      <c r="OEI1533" s="6"/>
      <c r="OEJ1533" s="4"/>
      <c r="OEK1533" s="6"/>
      <c r="OEL1533" s="4"/>
      <c r="OEM1533" s="6"/>
      <c r="OEN1533" s="4"/>
      <c r="OEO1533" s="6"/>
      <c r="OEP1533" s="4"/>
      <c r="OEQ1533" s="6"/>
      <c r="OER1533" s="4"/>
      <c r="OES1533" s="6"/>
      <c r="OET1533" s="4"/>
      <c r="OEU1533" s="6"/>
      <c r="OEV1533" s="4"/>
      <c r="OEW1533" s="6"/>
      <c r="OEX1533" s="4"/>
      <c r="OEY1533" s="6"/>
      <c r="OEZ1533" s="4"/>
      <c r="OFA1533" s="6"/>
      <c r="OFB1533" s="4"/>
      <c r="OFC1533" s="6"/>
      <c r="OFD1533" s="4"/>
      <c r="OFE1533" s="6"/>
      <c r="OFF1533" s="4"/>
      <c r="OFG1533" s="6"/>
      <c r="OFH1533" s="4"/>
      <c r="OFI1533" s="6"/>
      <c r="OFJ1533" s="4"/>
      <c r="OFK1533" s="6"/>
      <c r="OFL1533" s="4"/>
      <c r="OFM1533" s="6"/>
      <c r="OFN1533" s="4"/>
      <c r="OFO1533" s="6"/>
      <c r="OFP1533" s="4"/>
      <c r="OFQ1533" s="6"/>
      <c r="OFR1533" s="4"/>
      <c r="OFS1533" s="6"/>
      <c r="OFT1533" s="4"/>
      <c r="OFU1533" s="6"/>
      <c r="OFV1533" s="4"/>
      <c r="OFW1533" s="6"/>
      <c r="OFX1533" s="4"/>
      <c r="OFY1533" s="6"/>
      <c r="OFZ1533" s="4"/>
      <c r="OGA1533" s="6"/>
      <c r="OGB1533" s="4"/>
      <c r="OGC1533" s="6"/>
      <c r="OGD1533" s="4"/>
      <c r="OGE1533" s="6"/>
      <c r="OGF1533" s="4"/>
      <c r="OGG1533" s="6"/>
      <c r="OGH1533" s="4"/>
      <c r="OGI1533" s="6"/>
      <c r="OGJ1533" s="4"/>
      <c r="OGK1533" s="6"/>
      <c r="OGL1533" s="4"/>
      <c r="OGM1533" s="6"/>
      <c r="OGN1533" s="4"/>
      <c r="OGO1533" s="6"/>
      <c r="OGP1533" s="4"/>
      <c r="OGQ1533" s="6"/>
      <c r="OGR1533" s="4"/>
      <c r="OGS1533" s="6"/>
      <c r="OGT1533" s="4"/>
      <c r="OGU1533" s="6"/>
      <c r="OGV1533" s="4"/>
      <c r="OGW1533" s="6"/>
      <c r="OGX1533" s="4"/>
      <c r="OGY1533" s="6"/>
      <c r="OGZ1533" s="4"/>
      <c r="OHA1533" s="6"/>
      <c r="OHB1533" s="4"/>
      <c r="OHC1533" s="6"/>
      <c r="OHD1533" s="4"/>
      <c r="OHE1533" s="6"/>
      <c r="OHF1533" s="4"/>
      <c r="OHG1533" s="6"/>
      <c r="OHH1533" s="4"/>
      <c r="OHI1533" s="6"/>
      <c r="OHJ1533" s="4"/>
      <c r="OHK1533" s="6"/>
      <c r="OHL1533" s="4"/>
      <c r="OHM1533" s="6"/>
      <c r="OHN1533" s="4"/>
      <c r="OHO1533" s="6"/>
      <c r="OHP1533" s="4"/>
      <c r="OHQ1533" s="6"/>
      <c r="OHR1533" s="4"/>
      <c r="OHS1533" s="6"/>
      <c r="OHT1533" s="4"/>
      <c r="OHU1533" s="6"/>
      <c r="OHV1533" s="4"/>
      <c r="OHW1533" s="6"/>
      <c r="OHX1533" s="4"/>
      <c r="OHY1533" s="6"/>
      <c r="OHZ1533" s="4"/>
      <c r="OIA1533" s="6"/>
      <c r="OIB1533" s="4"/>
      <c r="OIC1533" s="6"/>
      <c r="OID1533" s="4"/>
      <c r="OIE1533" s="6"/>
      <c r="OIF1533" s="4"/>
      <c r="OIG1533" s="6"/>
      <c r="OIH1533" s="4"/>
      <c r="OII1533" s="6"/>
      <c r="OIJ1533" s="4"/>
      <c r="OIK1533" s="6"/>
      <c r="OIL1533" s="4"/>
      <c r="OIM1533" s="6"/>
      <c r="OIN1533" s="4"/>
      <c r="OIO1533" s="6"/>
      <c r="OIP1533" s="4"/>
      <c r="OIQ1533" s="6"/>
      <c r="OIR1533" s="4"/>
      <c r="OIS1533" s="6"/>
      <c r="OIT1533" s="4"/>
      <c r="OIU1533" s="6"/>
      <c r="OIV1533" s="4"/>
      <c r="OIW1533" s="6"/>
      <c r="OIX1533" s="4"/>
      <c r="OIY1533" s="6"/>
      <c r="OIZ1533" s="4"/>
      <c r="OJA1533" s="6"/>
      <c r="OJB1533" s="4"/>
      <c r="OJC1533" s="6"/>
      <c r="OJD1533" s="4"/>
      <c r="OJE1533" s="6"/>
      <c r="OJF1533" s="4"/>
      <c r="OJG1533" s="6"/>
      <c r="OJH1533" s="4"/>
      <c r="OJI1533" s="6"/>
      <c r="OJJ1533" s="4"/>
      <c r="OJK1533" s="6"/>
      <c r="OJL1533" s="4"/>
      <c r="OJM1533" s="6"/>
      <c r="OJN1533" s="4"/>
      <c r="OJO1533" s="6"/>
      <c r="OJP1533" s="4"/>
      <c r="OJQ1533" s="6"/>
      <c r="OJR1533" s="4"/>
      <c r="OJS1533" s="6"/>
      <c r="OJT1533" s="4"/>
      <c r="OJU1533" s="6"/>
      <c r="OJV1533" s="4"/>
      <c r="OJW1533" s="6"/>
      <c r="OJX1533" s="4"/>
      <c r="OJY1533" s="6"/>
      <c r="OJZ1533" s="4"/>
      <c r="OKA1533" s="6"/>
      <c r="OKB1533" s="4"/>
      <c r="OKC1533" s="6"/>
      <c r="OKD1533" s="4"/>
      <c r="OKE1533" s="6"/>
      <c r="OKF1533" s="4"/>
      <c r="OKG1533" s="6"/>
      <c r="OKH1533" s="4"/>
      <c r="OKI1533" s="6"/>
      <c r="OKJ1533" s="4"/>
      <c r="OKK1533" s="6"/>
      <c r="OKL1533" s="4"/>
      <c r="OKM1533" s="6"/>
      <c r="OKN1533" s="4"/>
      <c r="OKO1533" s="6"/>
      <c r="OKP1533" s="4"/>
      <c r="OKQ1533" s="6"/>
      <c r="OKR1533" s="4"/>
      <c r="OKS1533" s="6"/>
      <c r="OKT1533" s="4"/>
      <c r="OKU1533" s="6"/>
      <c r="OKV1533" s="4"/>
      <c r="OKW1533" s="6"/>
      <c r="OKX1533" s="4"/>
      <c r="OKY1533" s="6"/>
      <c r="OKZ1533" s="4"/>
      <c r="OLA1533" s="6"/>
      <c r="OLB1533" s="4"/>
      <c r="OLC1533" s="6"/>
      <c r="OLD1533" s="4"/>
      <c r="OLE1533" s="6"/>
      <c r="OLF1533" s="4"/>
      <c r="OLG1533" s="6"/>
      <c r="OLH1533" s="4"/>
      <c r="OLI1533" s="6"/>
      <c r="OLJ1533" s="4"/>
      <c r="OLK1533" s="6"/>
      <c r="OLL1533" s="4"/>
      <c r="OLM1533" s="6"/>
      <c r="OLN1533" s="4"/>
      <c r="OLO1533" s="6"/>
      <c r="OLP1533" s="4"/>
      <c r="OLQ1533" s="6"/>
      <c r="OLR1533" s="4"/>
      <c r="OLS1533" s="6"/>
      <c r="OLT1533" s="4"/>
      <c r="OLU1533" s="6"/>
      <c r="OLV1533" s="4"/>
      <c r="OLW1533" s="6"/>
      <c r="OLX1533" s="4"/>
      <c r="OLY1533" s="6"/>
      <c r="OLZ1533" s="4"/>
      <c r="OMA1533" s="6"/>
      <c r="OMB1533" s="4"/>
      <c r="OMC1533" s="6"/>
      <c r="OMD1533" s="4"/>
      <c r="OME1533" s="6"/>
      <c r="OMF1533" s="4"/>
      <c r="OMG1533" s="6"/>
      <c r="OMH1533" s="4"/>
      <c r="OMI1533" s="6"/>
      <c r="OMJ1533" s="4"/>
      <c r="OMK1533" s="6"/>
      <c r="OML1533" s="4"/>
      <c r="OMM1533" s="6"/>
      <c r="OMN1533" s="4"/>
      <c r="OMO1533" s="6"/>
      <c r="OMP1533" s="4"/>
      <c r="OMQ1533" s="6"/>
      <c r="OMR1533" s="4"/>
      <c r="OMS1533" s="6"/>
      <c r="OMT1533" s="4"/>
      <c r="OMU1533" s="6"/>
      <c r="OMV1533" s="4"/>
      <c r="OMW1533" s="6"/>
      <c r="OMX1533" s="4"/>
      <c r="OMY1533" s="6"/>
      <c r="OMZ1533" s="4"/>
      <c r="ONA1533" s="6"/>
      <c r="ONB1533" s="4"/>
      <c r="ONC1533" s="6"/>
      <c r="OND1533" s="4"/>
      <c r="ONE1533" s="6"/>
      <c r="ONF1533" s="4"/>
      <c r="ONG1533" s="6"/>
      <c r="ONH1533" s="4"/>
      <c r="ONI1533" s="6"/>
      <c r="ONJ1533" s="4"/>
      <c r="ONK1533" s="6"/>
      <c r="ONL1533" s="4"/>
      <c r="ONM1533" s="6"/>
      <c r="ONN1533" s="4"/>
      <c r="ONO1533" s="6"/>
      <c r="ONP1533" s="4"/>
      <c r="ONQ1533" s="6"/>
      <c r="ONR1533" s="4"/>
      <c r="ONS1533" s="6"/>
      <c r="ONT1533" s="4"/>
      <c r="ONU1533" s="6"/>
      <c r="ONV1533" s="4"/>
      <c r="ONW1533" s="6"/>
      <c r="ONX1533" s="4"/>
      <c r="ONY1533" s="6"/>
      <c r="ONZ1533" s="4"/>
      <c r="OOA1533" s="6"/>
      <c r="OOB1533" s="4"/>
      <c r="OOC1533" s="6"/>
      <c r="OOD1533" s="4"/>
      <c r="OOE1533" s="6"/>
      <c r="OOF1533" s="4"/>
      <c r="OOG1533" s="6"/>
      <c r="OOH1533" s="4"/>
      <c r="OOI1533" s="6"/>
      <c r="OOJ1533" s="4"/>
      <c r="OOK1533" s="6"/>
      <c r="OOL1533" s="4"/>
      <c r="OOM1533" s="6"/>
      <c r="OON1533" s="4"/>
      <c r="OOO1533" s="6"/>
      <c r="OOP1533" s="4"/>
      <c r="OOQ1533" s="6"/>
      <c r="OOR1533" s="4"/>
      <c r="OOS1533" s="6"/>
      <c r="OOT1533" s="4"/>
      <c r="OOU1533" s="6"/>
      <c r="OOV1533" s="4"/>
      <c r="OOW1533" s="6"/>
      <c r="OOX1533" s="4"/>
      <c r="OOY1533" s="6"/>
      <c r="OOZ1533" s="4"/>
      <c r="OPA1533" s="6"/>
      <c r="OPB1533" s="4"/>
      <c r="OPC1533" s="6"/>
      <c r="OPD1533" s="4"/>
      <c r="OPE1533" s="6"/>
      <c r="OPF1533" s="4"/>
      <c r="OPG1533" s="6"/>
      <c r="OPH1533" s="4"/>
      <c r="OPI1533" s="6"/>
      <c r="OPJ1533" s="4"/>
      <c r="OPK1533" s="6"/>
      <c r="OPL1533" s="4"/>
      <c r="OPM1533" s="6"/>
      <c r="OPN1533" s="4"/>
      <c r="OPO1533" s="6"/>
      <c r="OPP1533" s="4"/>
      <c r="OPQ1533" s="6"/>
      <c r="OPR1533" s="4"/>
      <c r="OPS1533" s="6"/>
      <c r="OPT1533" s="4"/>
      <c r="OPU1533" s="6"/>
      <c r="OPV1533" s="4"/>
      <c r="OPW1533" s="6"/>
      <c r="OPX1533" s="4"/>
      <c r="OPY1533" s="6"/>
      <c r="OPZ1533" s="4"/>
      <c r="OQA1533" s="6"/>
      <c r="OQB1533" s="4"/>
      <c r="OQC1533" s="6"/>
      <c r="OQD1533" s="4"/>
      <c r="OQE1533" s="6"/>
      <c r="OQF1533" s="4"/>
      <c r="OQG1533" s="6"/>
      <c r="OQH1533" s="4"/>
      <c r="OQI1533" s="6"/>
      <c r="OQJ1533" s="4"/>
      <c r="OQK1533" s="6"/>
      <c r="OQL1533" s="4"/>
      <c r="OQM1533" s="6"/>
      <c r="OQN1533" s="4"/>
      <c r="OQO1533" s="6"/>
      <c r="OQP1533" s="4"/>
      <c r="OQQ1533" s="6"/>
      <c r="OQR1533" s="4"/>
      <c r="OQS1533" s="6"/>
      <c r="OQT1533" s="4"/>
      <c r="OQU1533" s="6"/>
      <c r="OQV1533" s="4"/>
      <c r="OQW1533" s="6"/>
      <c r="OQX1533" s="4"/>
      <c r="OQY1533" s="6"/>
      <c r="OQZ1533" s="4"/>
      <c r="ORA1533" s="6"/>
      <c r="ORB1533" s="4"/>
      <c r="ORC1533" s="6"/>
      <c r="ORD1533" s="4"/>
      <c r="ORE1533" s="6"/>
      <c r="ORF1533" s="4"/>
      <c r="ORG1533" s="6"/>
      <c r="ORH1533" s="4"/>
      <c r="ORI1533" s="6"/>
      <c r="ORJ1533" s="4"/>
      <c r="ORK1533" s="6"/>
      <c r="ORL1533" s="4"/>
      <c r="ORM1533" s="6"/>
      <c r="ORN1533" s="4"/>
      <c r="ORO1533" s="6"/>
      <c r="ORP1533" s="4"/>
      <c r="ORQ1533" s="6"/>
      <c r="ORR1533" s="4"/>
      <c r="ORS1533" s="6"/>
      <c r="ORT1533" s="4"/>
      <c r="ORU1533" s="6"/>
      <c r="ORV1533" s="4"/>
      <c r="ORW1533" s="6"/>
      <c r="ORX1533" s="4"/>
      <c r="ORY1533" s="6"/>
      <c r="ORZ1533" s="4"/>
      <c r="OSA1533" s="6"/>
      <c r="OSB1533" s="4"/>
      <c r="OSC1533" s="6"/>
      <c r="OSD1533" s="4"/>
      <c r="OSE1533" s="6"/>
      <c r="OSF1533" s="4"/>
      <c r="OSG1533" s="6"/>
      <c r="OSH1533" s="4"/>
      <c r="OSI1533" s="6"/>
      <c r="OSJ1533" s="4"/>
      <c r="OSK1533" s="6"/>
      <c r="OSL1533" s="4"/>
      <c r="OSM1533" s="6"/>
      <c r="OSN1533" s="4"/>
      <c r="OSO1533" s="6"/>
      <c r="OSP1533" s="4"/>
      <c r="OSQ1533" s="6"/>
      <c r="OSR1533" s="4"/>
      <c r="OSS1533" s="6"/>
      <c r="OST1533" s="4"/>
      <c r="OSU1533" s="6"/>
      <c r="OSV1533" s="4"/>
      <c r="OSW1533" s="6"/>
      <c r="OSX1533" s="4"/>
      <c r="OSY1533" s="6"/>
      <c r="OSZ1533" s="4"/>
      <c r="OTA1533" s="6"/>
      <c r="OTB1533" s="4"/>
      <c r="OTC1533" s="6"/>
      <c r="OTD1533" s="4"/>
      <c r="OTE1533" s="6"/>
      <c r="OTF1533" s="4"/>
      <c r="OTG1533" s="6"/>
      <c r="OTH1533" s="4"/>
      <c r="OTI1533" s="6"/>
      <c r="OTJ1533" s="4"/>
      <c r="OTK1533" s="6"/>
      <c r="OTL1533" s="4"/>
      <c r="OTM1533" s="6"/>
      <c r="OTN1533" s="4"/>
      <c r="OTO1533" s="6"/>
      <c r="OTP1533" s="4"/>
      <c r="OTQ1533" s="6"/>
      <c r="OTR1533" s="4"/>
      <c r="OTS1533" s="6"/>
      <c r="OTT1533" s="4"/>
      <c r="OTU1533" s="6"/>
      <c r="OTV1533" s="4"/>
      <c r="OTW1533" s="6"/>
      <c r="OTX1533" s="4"/>
      <c r="OTY1533" s="6"/>
      <c r="OTZ1533" s="4"/>
      <c r="OUA1533" s="6"/>
      <c r="OUB1533" s="4"/>
      <c r="OUC1533" s="6"/>
      <c r="OUD1533" s="4"/>
      <c r="OUE1533" s="6"/>
      <c r="OUF1533" s="4"/>
      <c r="OUG1533" s="6"/>
      <c r="OUH1533" s="4"/>
      <c r="OUI1533" s="6"/>
      <c r="OUJ1533" s="4"/>
      <c r="OUK1533" s="6"/>
      <c r="OUL1533" s="4"/>
      <c r="OUM1533" s="6"/>
      <c r="OUN1533" s="4"/>
      <c r="OUO1533" s="6"/>
      <c r="OUP1533" s="4"/>
      <c r="OUQ1533" s="6"/>
      <c r="OUR1533" s="4"/>
      <c r="OUS1533" s="6"/>
      <c r="OUT1533" s="4"/>
      <c r="OUU1533" s="6"/>
      <c r="OUV1533" s="4"/>
      <c r="OUW1533" s="6"/>
      <c r="OUX1533" s="4"/>
      <c r="OUY1533" s="6"/>
      <c r="OUZ1533" s="4"/>
      <c r="OVA1533" s="6"/>
      <c r="OVB1533" s="4"/>
      <c r="OVC1533" s="6"/>
      <c r="OVD1533" s="4"/>
      <c r="OVE1533" s="6"/>
      <c r="OVF1533" s="4"/>
      <c r="OVG1533" s="6"/>
      <c r="OVH1533" s="4"/>
      <c r="OVI1533" s="6"/>
      <c r="OVJ1533" s="4"/>
      <c r="OVK1533" s="6"/>
      <c r="OVL1533" s="4"/>
      <c r="OVM1533" s="6"/>
      <c r="OVN1533" s="4"/>
      <c r="OVO1533" s="6"/>
      <c r="OVP1533" s="4"/>
      <c r="OVQ1533" s="6"/>
      <c r="OVR1533" s="4"/>
      <c r="OVS1533" s="6"/>
      <c r="OVT1533" s="4"/>
      <c r="OVU1533" s="6"/>
      <c r="OVV1533" s="4"/>
      <c r="OVW1533" s="6"/>
      <c r="OVX1533" s="4"/>
      <c r="OVY1533" s="6"/>
      <c r="OVZ1533" s="4"/>
      <c r="OWA1533" s="6"/>
      <c r="OWB1533" s="4"/>
      <c r="OWC1533" s="6"/>
      <c r="OWD1533" s="4"/>
      <c r="OWE1533" s="6"/>
      <c r="OWF1533" s="4"/>
      <c r="OWG1533" s="6"/>
      <c r="OWH1533" s="4"/>
      <c r="OWI1533" s="6"/>
      <c r="OWJ1533" s="4"/>
      <c r="OWK1533" s="6"/>
      <c r="OWL1533" s="4"/>
      <c r="OWM1533" s="6"/>
      <c r="OWN1533" s="4"/>
      <c r="OWO1533" s="6"/>
      <c r="OWP1533" s="4"/>
      <c r="OWQ1533" s="6"/>
      <c r="OWR1533" s="4"/>
      <c r="OWS1533" s="6"/>
      <c r="OWT1533" s="4"/>
      <c r="OWU1533" s="6"/>
      <c r="OWV1533" s="4"/>
      <c r="OWW1533" s="6"/>
      <c r="OWX1533" s="4"/>
      <c r="OWY1533" s="6"/>
      <c r="OWZ1533" s="4"/>
      <c r="OXA1533" s="6"/>
      <c r="OXB1533" s="4"/>
      <c r="OXC1533" s="6"/>
      <c r="OXD1533" s="4"/>
      <c r="OXE1533" s="6"/>
      <c r="OXF1533" s="4"/>
      <c r="OXG1533" s="6"/>
      <c r="OXH1533" s="4"/>
      <c r="OXI1533" s="6"/>
      <c r="OXJ1533" s="4"/>
      <c r="OXK1533" s="6"/>
      <c r="OXL1533" s="4"/>
      <c r="OXM1533" s="6"/>
      <c r="OXN1533" s="4"/>
      <c r="OXO1533" s="6"/>
      <c r="OXP1533" s="4"/>
      <c r="OXQ1533" s="6"/>
      <c r="OXR1533" s="4"/>
      <c r="OXS1533" s="6"/>
      <c r="OXT1533" s="4"/>
      <c r="OXU1533" s="6"/>
      <c r="OXV1533" s="4"/>
      <c r="OXW1533" s="6"/>
      <c r="OXX1533" s="4"/>
      <c r="OXY1533" s="6"/>
      <c r="OXZ1533" s="4"/>
      <c r="OYA1533" s="6"/>
      <c r="OYB1533" s="4"/>
      <c r="OYC1533" s="6"/>
      <c r="OYD1533" s="4"/>
      <c r="OYE1533" s="6"/>
      <c r="OYF1533" s="4"/>
      <c r="OYG1533" s="6"/>
      <c r="OYH1533" s="4"/>
      <c r="OYI1533" s="6"/>
      <c r="OYJ1533" s="4"/>
      <c r="OYK1533" s="6"/>
      <c r="OYL1533" s="4"/>
      <c r="OYM1533" s="6"/>
      <c r="OYN1533" s="4"/>
      <c r="OYO1533" s="6"/>
      <c r="OYP1533" s="4"/>
      <c r="OYQ1533" s="6"/>
      <c r="OYR1533" s="4"/>
      <c r="OYS1533" s="6"/>
      <c r="OYT1533" s="4"/>
      <c r="OYU1533" s="6"/>
      <c r="OYV1533" s="4"/>
      <c r="OYW1533" s="6"/>
      <c r="OYX1533" s="4"/>
      <c r="OYY1533" s="6"/>
      <c r="OYZ1533" s="4"/>
      <c r="OZA1533" s="6"/>
      <c r="OZB1533" s="4"/>
      <c r="OZC1533" s="6"/>
      <c r="OZD1533" s="4"/>
      <c r="OZE1533" s="6"/>
      <c r="OZF1533" s="4"/>
      <c r="OZG1533" s="6"/>
      <c r="OZH1533" s="4"/>
      <c r="OZI1533" s="6"/>
      <c r="OZJ1533" s="4"/>
      <c r="OZK1533" s="6"/>
      <c r="OZL1533" s="4"/>
      <c r="OZM1533" s="6"/>
      <c r="OZN1533" s="4"/>
      <c r="OZO1533" s="6"/>
      <c r="OZP1533" s="4"/>
      <c r="OZQ1533" s="6"/>
      <c r="OZR1533" s="4"/>
      <c r="OZS1533" s="6"/>
      <c r="OZT1533" s="4"/>
      <c r="OZU1533" s="6"/>
      <c r="OZV1533" s="4"/>
      <c r="OZW1533" s="6"/>
      <c r="OZX1533" s="4"/>
      <c r="OZY1533" s="6"/>
      <c r="OZZ1533" s="4"/>
      <c r="PAA1533" s="6"/>
      <c r="PAB1533" s="4"/>
      <c r="PAC1533" s="6"/>
      <c r="PAD1533" s="4"/>
      <c r="PAE1533" s="6"/>
      <c r="PAF1533" s="4"/>
      <c r="PAG1533" s="6"/>
      <c r="PAH1533" s="4"/>
      <c r="PAI1533" s="6"/>
      <c r="PAJ1533" s="4"/>
      <c r="PAK1533" s="6"/>
      <c r="PAL1533" s="4"/>
      <c r="PAM1533" s="6"/>
      <c r="PAN1533" s="4"/>
      <c r="PAO1533" s="6"/>
      <c r="PAP1533" s="4"/>
      <c r="PAQ1533" s="6"/>
      <c r="PAR1533" s="4"/>
      <c r="PAS1533" s="6"/>
      <c r="PAT1533" s="4"/>
      <c r="PAU1533" s="6"/>
      <c r="PAV1533" s="4"/>
      <c r="PAW1533" s="6"/>
      <c r="PAX1533" s="4"/>
      <c r="PAY1533" s="6"/>
      <c r="PAZ1533" s="4"/>
      <c r="PBA1533" s="6"/>
      <c r="PBB1533" s="4"/>
      <c r="PBC1533" s="6"/>
      <c r="PBD1533" s="4"/>
      <c r="PBE1533" s="6"/>
      <c r="PBF1533" s="4"/>
      <c r="PBG1533" s="6"/>
      <c r="PBH1533" s="4"/>
      <c r="PBI1533" s="6"/>
      <c r="PBJ1533" s="4"/>
      <c r="PBK1533" s="6"/>
      <c r="PBL1533" s="4"/>
      <c r="PBM1533" s="6"/>
      <c r="PBN1533" s="4"/>
      <c r="PBO1533" s="6"/>
      <c r="PBP1533" s="4"/>
      <c r="PBQ1533" s="6"/>
      <c r="PBR1533" s="4"/>
      <c r="PBS1533" s="6"/>
      <c r="PBT1533" s="4"/>
      <c r="PBU1533" s="6"/>
      <c r="PBV1533" s="4"/>
      <c r="PBW1533" s="6"/>
      <c r="PBX1533" s="4"/>
      <c r="PBY1533" s="6"/>
      <c r="PBZ1533" s="4"/>
      <c r="PCA1533" s="6"/>
      <c r="PCB1533" s="4"/>
      <c r="PCC1533" s="6"/>
      <c r="PCD1533" s="4"/>
      <c r="PCE1533" s="6"/>
      <c r="PCF1533" s="4"/>
      <c r="PCG1533" s="6"/>
      <c r="PCH1533" s="4"/>
      <c r="PCI1533" s="6"/>
      <c r="PCJ1533" s="4"/>
      <c r="PCK1533" s="6"/>
      <c r="PCL1533" s="4"/>
      <c r="PCM1533" s="6"/>
      <c r="PCN1533" s="4"/>
      <c r="PCO1533" s="6"/>
      <c r="PCP1533" s="4"/>
      <c r="PCQ1533" s="6"/>
      <c r="PCR1533" s="4"/>
      <c r="PCS1533" s="6"/>
      <c r="PCT1533" s="4"/>
      <c r="PCU1533" s="6"/>
      <c r="PCV1533" s="4"/>
      <c r="PCW1533" s="6"/>
      <c r="PCX1533" s="4"/>
      <c r="PCY1533" s="6"/>
      <c r="PCZ1533" s="4"/>
      <c r="PDA1533" s="6"/>
      <c r="PDB1533" s="4"/>
      <c r="PDC1533" s="6"/>
      <c r="PDD1533" s="4"/>
      <c r="PDE1533" s="6"/>
      <c r="PDF1533" s="4"/>
      <c r="PDG1533" s="6"/>
      <c r="PDH1533" s="4"/>
      <c r="PDI1533" s="6"/>
      <c r="PDJ1533" s="4"/>
      <c r="PDK1533" s="6"/>
      <c r="PDL1533" s="4"/>
      <c r="PDM1533" s="6"/>
      <c r="PDN1533" s="4"/>
      <c r="PDO1533" s="6"/>
      <c r="PDP1533" s="4"/>
      <c r="PDQ1533" s="6"/>
      <c r="PDR1533" s="4"/>
      <c r="PDS1533" s="6"/>
      <c r="PDT1533" s="4"/>
      <c r="PDU1533" s="6"/>
      <c r="PDV1533" s="4"/>
      <c r="PDW1533" s="6"/>
      <c r="PDX1533" s="4"/>
      <c r="PDY1533" s="6"/>
      <c r="PDZ1533" s="4"/>
      <c r="PEA1533" s="6"/>
      <c r="PEB1533" s="4"/>
      <c r="PEC1533" s="6"/>
      <c r="PED1533" s="4"/>
      <c r="PEE1533" s="6"/>
      <c r="PEF1533" s="4"/>
      <c r="PEG1533" s="6"/>
      <c r="PEH1533" s="4"/>
      <c r="PEI1533" s="6"/>
      <c r="PEJ1533" s="4"/>
      <c r="PEK1533" s="6"/>
      <c r="PEL1533" s="4"/>
      <c r="PEM1533" s="6"/>
      <c r="PEN1533" s="4"/>
      <c r="PEO1533" s="6"/>
      <c r="PEP1533" s="4"/>
      <c r="PEQ1533" s="6"/>
      <c r="PER1533" s="4"/>
      <c r="PES1533" s="6"/>
      <c r="PET1533" s="4"/>
      <c r="PEU1533" s="6"/>
      <c r="PEV1533" s="4"/>
      <c r="PEW1533" s="6"/>
      <c r="PEX1533" s="4"/>
      <c r="PEY1533" s="6"/>
      <c r="PEZ1533" s="4"/>
      <c r="PFA1533" s="6"/>
      <c r="PFB1533" s="4"/>
      <c r="PFC1533" s="6"/>
      <c r="PFD1533" s="4"/>
      <c r="PFE1533" s="6"/>
      <c r="PFF1533" s="4"/>
      <c r="PFG1533" s="6"/>
      <c r="PFH1533" s="4"/>
      <c r="PFI1533" s="6"/>
      <c r="PFJ1533" s="4"/>
      <c r="PFK1533" s="6"/>
      <c r="PFL1533" s="4"/>
      <c r="PFM1533" s="6"/>
      <c r="PFN1533" s="4"/>
      <c r="PFO1533" s="6"/>
      <c r="PFP1533" s="4"/>
      <c r="PFQ1533" s="6"/>
      <c r="PFR1533" s="4"/>
      <c r="PFS1533" s="6"/>
      <c r="PFT1533" s="4"/>
      <c r="PFU1533" s="6"/>
      <c r="PFV1533" s="4"/>
      <c r="PFW1533" s="6"/>
      <c r="PFX1533" s="4"/>
      <c r="PFY1533" s="6"/>
      <c r="PFZ1533" s="4"/>
      <c r="PGA1533" s="6"/>
      <c r="PGB1533" s="4"/>
      <c r="PGC1533" s="6"/>
      <c r="PGD1533" s="4"/>
      <c r="PGE1533" s="6"/>
      <c r="PGF1533" s="4"/>
      <c r="PGG1533" s="6"/>
      <c r="PGH1533" s="4"/>
      <c r="PGI1533" s="6"/>
      <c r="PGJ1533" s="4"/>
      <c r="PGK1533" s="6"/>
      <c r="PGL1533" s="4"/>
      <c r="PGM1533" s="6"/>
      <c r="PGN1533" s="4"/>
      <c r="PGO1533" s="6"/>
      <c r="PGP1533" s="4"/>
      <c r="PGQ1533" s="6"/>
      <c r="PGR1533" s="4"/>
      <c r="PGS1533" s="6"/>
      <c r="PGT1533" s="4"/>
      <c r="PGU1533" s="6"/>
      <c r="PGV1533" s="4"/>
      <c r="PGW1533" s="6"/>
      <c r="PGX1533" s="4"/>
      <c r="PGY1533" s="6"/>
      <c r="PGZ1533" s="4"/>
      <c r="PHA1533" s="6"/>
      <c r="PHB1533" s="4"/>
      <c r="PHC1533" s="6"/>
      <c r="PHD1533" s="4"/>
      <c r="PHE1533" s="6"/>
      <c r="PHF1533" s="4"/>
      <c r="PHG1533" s="6"/>
      <c r="PHH1533" s="4"/>
      <c r="PHI1533" s="6"/>
      <c r="PHJ1533" s="4"/>
      <c r="PHK1533" s="6"/>
      <c r="PHL1533" s="4"/>
      <c r="PHM1533" s="6"/>
      <c r="PHN1533" s="4"/>
      <c r="PHO1533" s="6"/>
      <c r="PHP1533" s="4"/>
      <c r="PHQ1533" s="6"/>
      <c r="PHR1533" s="4"/>
      <c r="PHS1533" s="6"/>
      <c r="PHT1533" s="4"/>
      <c r="PHU1533" s="6"/>
      <c r="PHV1533" s="4"/>
      <c r="PHW1533" s="6"/>
      <c r="PHX1533" s="4"/>
      <c r="PHY1533" s="6"/>
      <c r="PHZ1533" s="4"/>
      <c r="PIA1533" s="6"/>
      <c r="PIB1533" s="4"/>
      <c r="PIC1533" s="6"/>
      <c r="PID1533" s="4"/>
      <c r="PIE1533" s="6"/>
      <c r="PIF1533" s="4"/>
      <c r="PIG1533" s="6"/>
      <c r="PIH1533" s="4"/>
      <c r="PII1533" s="6"/>
      <c r="PIJ1533" s="4"/>
      <c r="PIK1533" s="6"/>
      <c r="PIL1533" s="4"/>
      <c r="PIM1533" s="6"/>
      <c r="PIN1533" s="4"/>
      <c r="PIO1533" s="6"/>
      <c r="PIP1533" s="4"/>
      <c r="PIQ1533" s="6"/>
      <c r="PIR1533" s="4"/>
      <c r="PIS1533" s="6"/>
      <c r="PIT1533" s="4"/>
      <c r="PIU1533" s="6"/>
      <c r="PIV1533" s="4"/>
      <c r="PIW1533" s="6"/>
      <c r="PIX1533" s="4"/>
      <c r="PIY1533" s="6"/>
      <c r="PIZ1533" s="4"/>
      <c r="PJA1533" s="6"/>
      <c r="PJB1533" s="4"/>
      <c r="PJC1533" s="6"/>
      <c r="PJD1533" s="4"/>
      <c r="PJE1533" s="6"/>
      <c r="PJF1533" s="4"/>
      <c r="PJG1533" s="6"/>
      <c r="PJH1533" s="4"/>
      <c r="PJI1533" s="6"/>
      <c r="PJJ1533" s="4"/>
      <c r="PJK1533" s="6"/>
      <c r="PJL1533" s="4"/>
      <c r="PJM1533" s="6"/>
      <c r="PJN1533" s="4"/>
      <c r="PJO1533" s="6"/>
      <c r="PJP1533" s="4"/>
      <c r="PJQ1533" s="6"/>
      <c r="PJR1533" s="4"/>
      <c r="PJS1533" s="6"/>
      <c r="PJT1533" s="4"/>
      <c r="PJU1533" s="6"/>
      <c r="PJV1533" s="4"/>
      <c r="PJW1533" s="6"/>
      <c r="PJX1533" s="4"/>
      <c r="PJY1533" s="6"/>
      <c r="PJZ1533" s="4"/>
      <c r="PKA1533" s="6"/>
      <c r="PKB1533" s="4"/>
      <c r="PKC1533" s="6"/>
      <c r="PKD1533" s="4"/>
      <c r="PKE1533" s="6"/>
      <c r="PKF1533" s="4"/>
      <c r="PKG1533" s="6"/>
      <c r="PKH1533" s="4"/>
      <c r="PKI1533" s="6"/>
      <c r="PKJ1533" s="4"/>
      <c r="PKK1533" s="6"/>
      <c r="PKL1533" s="4"/>
      <c r="PKM1533" s="6"/>
      <c r="PKN1533" s="4"/>
      <c r="PKO1533" s="6"/>
      <c r="PKP1533" s="4"/>
      <c r="PKQ1533" s="6"/>
      <c r="PKR1533" s="4"/>
      <c r="PKS1533" s="6"/>
      <c r="PKT1533" s="4"/>
      <c r="PKU1533" s="6"/>
      <c r="PKV1533" s="4"/>
      <c r="PKW1533" s="6"/>
      <c r="PKX1533" s="4"/>
      <c r="PKY1533" s="6"/>
      <c r="PKZ1533" s="4"/>
      <c r="PLA1533" s="6"/>
      <c r="PLB1533" s="4"/>
      <c r="PLC1533" s="6"/>
      <c r="PLD1533" s="4"/>
      <c r="PLE1533" s="6"/>
      <c r="PLF1533" s="4"/>
      <c r="PLG1533" s="6"/>
      <c r="PLH1533" s="4"/>
      <c r="PLI1533" s="6"/>
      <c r="PLJ1533" s="4"/>
      <c r="PLK1533" s="6"/>
      <c r="PLL1533" s="4"/>
      <c r="PLM1533" s="6"/>
      <c r="PLN1533" s="4"/>
      <c r="PLO1533" s="6"/>
      <c r="PLP1533" s="4"/>
      <c r="PLQ1533" s="6"/>
      <c r="PLR1533" s="4"/>
      <c r="PLS1533" s="6"/>
      <c r="PLT1533" s="4"/>
      <c r="PLU1533" s="6"/>
      <c r="PLV1533" s="4"/>
      <c r="PLW1533" s="6"/>
      <c r="PLX1533" s="4"/>
      <c r="PLY1533" s="6"/>
      <c r="PLZ1533" s="4"/>
      <c r="PMA1533" s="6"/>
      <c r="PMB1533" s="4"/>
      <c r="PMC1533" s="6"/>
      <c r="PMD1533" s="4"/>
      <c r="PME1533" s="6"/>
      <c r="PMF1533" s="4"/>
      <c r="PMG1533" s="6"/>
      <c r="PMH1533" s="4"/>
      <c r="PMI1533" s="6"/>
      <c r="PMJ1533" s="4"/>
      <c r="PMK1533" s="6"/>
      <c r="PML1533" s="4"/>
      <c r="PMM1533" s="6"/>
      <c r="PMN1533" s="4"/>
      <c r="PMO1533" s="6"/>
      <c r="PMP1533" s="4"/>
      <c r="PMQ1533" s="6"/>
      <c r="PMR1533" s="4"/>
      <c r="PMS1533" s="6"/>
      <c r="PMT1533" s="4"/>
      <c r="PMU1533" s="6"/>
      <c r="PMV1533" s="4"/>
      <c r="PMW1533" s="6"/>
      <c r="PMX1533" s="4"/>
      <c r="PMY1533" s="6"/>
      <c r="PMZ1533" s="4"/>
      <c r="PNA1533" s="6"/>
      <c r="PNB1533" s="4"/>
      <c r="PNC1533" s="6"/>
      <c r="PND1533" s="4"/>
      <c r="PNE1533" s="6"/>
      <c r="PNF1533" s="4"/>
      <c r="PNG1533" s="6"/>
      <c r="PNH1533" s="4"/>
      <c r="PNI1533" s="6"/>
      <c r="PNJ1533" s="4"/>
      <c r="PNK1533" s="6"/>
      <c r="PNL1533" s="4"/>
      <c r="PNM1533" s="6"/>
      <c r="PNN1533" s="4"/>
      <c r="PNO1533" s="6"/>
      <c r="PNP1533" s="4"/>
      <c r="PNQ1533" s="6"/>
      <c r="PNR1533" s="4"/>
      <c r="PNS1533" s="6"/>
      <c r="PNT1533" s="4"/>
      <c r="PNU1533" s="6"/>
      <c r="PNV1533" s="4"/>
      <c r="PNW1533" s="6"/>
      <c r="PNX1533" s="4"/>
      <c r="PNY1533" s="6"/>
      <c r="PNZ1533" s="4"/>
      <c r="POA1533" s="6"/>
      <c r="POB1533" s="4"/>
      <c r="POC1533" s="6"/>
      <c r="POD1533" s="4"/>
      <c r="POE1533" s="6"/>
      <c r="POF1533" s="4"/>
      <c r="POG1533" s="6"/>
      <c r="POH1533" s="4"/>
      <c r="POI1533" s="6"/>
      <c r="POJ1533" s="4"/>
      <c r="POK1533" s="6"/>
      <c r="POL1533" s="4"/>
      <c r="POM1533" s="6"/>
      <c r="PON1533" s="4"/>
      <c r="POO1533" s="6"/>
      <c r="POP1533" s="4"/>
      <c r="POQ1533" s="6"/>
      <c r="POR1533" s="4"/>
      <c r="POS1533" s="6"/>
      <c r="POT1533" s="4"/>
      <c r="POU1533" s="6"/>
      <c r="POV1533" s="4"/>
      <c r="POW1533" s="6"/>
      <c r="POX1533" s="4"/>
      <c r="POY1533" s="6"/>
      <c r="POZ1533" s="4"/>
      <c r="PPA1533" s="6"/>
      <c r="PPB1533" s="4"/>
      <c r="PPC1533" s="6"/>
      <c r="PPD1533" s="4"/>
      <c r="PPE1533" s="6"/>
      <c r="PPF1533" s="4"/>
      <c r="PPG1533" s="6"/>
      <c r="PPH1533" s="4"/>
      <c r="PPI1533" s="6"/>
      <c r="PPJ1533" s="4"/>
      <c r="PPK1533" s="6"/>
      <c r="PPL1533" s="4"/>
      <c r="PPM1533" s="6"/>
      <c r="PPN1533" s="4"/>
      <c r="PPO1533" s="6"/>
      <c r="PPP1533" s="4"/>
      <c r="PPQ1533" s="6"/>
      <c r="PPR1533" s="4"/>
      <c r="PPS1533" s="6"/>
      <c r="PPT1533" s="4"/>
      <c r="PPU1533" s="6"/>
      <c r="PPV1533" s="4"/>
      <c r="PPW1533" s="6"/>
      <c r="PPX1533" s="4"/>
      <c r="PPY1533" s="6"/>
      <c r="PPZ1533" s="4"/>
      <c r="PQA1533" s="6"/>
      <c r="PQB1533" s="4"/>
      <c r="PQC1533" s="6"/>
      <c r="PQD1533" s="4"/>
      <c r="PQE1533" s="6"/>
      <c r="PQF1533" s="4"/>
      <c r="PQG1533" s="6"/>
      <c r="PQH1533" s="4"/>
      <c r="PQI1533" s="6"/>
      <c r="PQJ1533" s="4"/>
      <c r="PQK1533" s="6"/>
      <c r="PQL1533" s="4"/>
      <c r="PQM1533" s="6"/>
      <c r="PQN1533" s="4"/>
      <c r="PQO1533" s="6"/>
      <c r="PQP1533" s="4"/>
      <c r="PQQ1533" s="6"/>
      <c r="PQR1533" s="4"/>
      <c r="PQS1533" s="6"/>
      <c r="PQT1533" s="4"/>
      <c r="PQU1533" s="6"/>
      <c r="PQV1533" s="4"/>
      <c r="PQW1533" s="6"/>
      <c r="PQX1533" s="4"/>
      <c r="PQY1533" s="6"/>
      <c r="PQZ1533" s="4"/>
      <c r="PRA1533" s="6"/>
      <c r="PRB1533" s="4"/>
      <c r="PRC1533" s="6"/>
      <c r="PRD1533" s="4"/>
      <c r="PRE1533" s="6"/>
      <c r="PRF1533" s="4"/>
      <c r="PRG1533" s="6"/>
      <c r="PRH1533" s="4"/>
      <c r="PRI1533" s="6"/>
      <c r="PRJ1533" s="4"/>
      <c r="PRK1533" s="6"/>
      <c r="PRL1533" s="4"/>
      <c r="PRM1533" s="6"/>
      <c r="PRN1533" s="4"/>
      <c r="PRO1533" s="6"/>
      <c r="PRP1533" s="4"/>
      <c r="PRQ1533" s="6"/>
      <c r="PRR1533" s="4"/>
      <c r="PRS1533" s="6"/>
      <c r="PRT1533" s="4"/>
      <c r="PRU1533" s="6"/>
      <c r="PRV1533" s="4"/>
      <c r="PRW1533" s="6"/>
      <c r="PRX1533" s="4"/>
      <c r="PRY1533" s="6"/>
      <c r="PRZ1533" s="4"/>
      <c r="PSA1533" s="6"/>
      <c r="PSB1533" s="4"/>
      <c r="PSC1533" s="6"/>
      <c r="PSD1533" s="4"/>
      <c r="PSE1533" s="6"/>
      <c r="PSF1533" s="4"/>
      <c r="PSG1533" s="6"/>
      <c r="PSH1533" s="4"/>
      <c r="PSI1533" s="6"/>
      <c r="PSJ1533" s="4"/>
      <c r="PSK1533" s="6"/>
      <c r="PSL1533" s="4"/>
      <c r="PSM1533" s="6"/>
      <c r="PSN1533" s="4"/>
      <c r="PSO1533" s="6"/>
      <c r="PSP1533" s="4"/>
      <c r="PSQ1533" s="6"/>
      <c r="PSR1533" s="4"/>
      <c r="PSS1533" s="6"/>
      <c r="PST1533" s="4"/>
      <c r="PSU1533" s="6"/>
      <c r="PSV1533" s="4"/>
      <c r="PSW1533" s="6"/>
      <c r="PSX1533" s="4"/>
      <c r="PSY1533" s="6"/>
      <c r="PSZ1533" s="4"/>
      <c r="PTA1533" s="6"/>
      <c r="PTB1533" s="4"/>
      <c r="PTC1533" s="6"/>
      <c r="PTD1533" s="4"/>
      <c r="PTE1533" s="6"/>
      <c r="PTF1533" s="4"/>
      <c r="PTG1533" s="6"/>
      <c r="PTH1533" s="4"/>
      <c r="PTI1533" s="6"/>
      <c r="PTJ1533" s="4"/>
      <c r="PTK1533" s="6"/>
      <c r="PTL1533" s="4"/>
      <c r="PTM1533" s="6"/>
      <c r="PTN1533" s="4"/>
      <c r="PTO1533" s="6"/>
      <c r="PTP1533" s="4"/>
      <c r="PTQ1533" s="6"/>
      <c r="PTR1533" s="4"/>
      <c r="PTS1533" s="6"/>
      <c r="PTT1533" s="4"/>
      <c r="PTU1533" s="6"/>
      <c r="PTV1533" s="4"/>
      <c r="PTW1533" s="6"/>
      <c r="PTX1533" s="4"/>
      <c r="PTY1533" s="6"/>
      <c r="PTZ1533" s="4"/>
      <c r="PUA1533" s="6"/>
      <c r="PUB1533" s="4"/>
      <c r="PUC1533" s="6"/>
      <c r="PUD1533" s="4"/>
      <c r="PUE1533" s="6"/>
      <c r="PUF1533" s="4"/>
      <c r="PUG1533" s="6"/>
      <c r="PUH1533" s="4"/>
      <c r="PUI1533" s="6"/>
      <c r="PUJ1533" s="4"/>
      <c r="PUK1533" s="6"/>
      <c r="PUL1533" s="4"/>
      <c r="PUM1533" s="6"/>
      <c r="PUN1533" s="4"/>
      <c r="PUO1533" s="6"/>
      <c r="PUP1533" s="4"/>
      <c r="PUQ1533" s="6"/>
      <c r="PUR1533" s="4"/>
      <c r="PUS1533" s="6"/>
      <c r="PUT1533" s="4"/>
      <c r="PUU1533" s="6"/>
      <c r="PUV1533" s="4"/>
      <c r="PUW1533" s="6"/>
      <c r="PUX1533" s="4"/>
      <c r="PUY1533" s="6"/>
      <c r="PUZ1533" s="4"/>
      <c r="PVA1533" s="6"/>
      <c r="PVB1533" s="4"/>
      <c r="PVC1533" s="6"/>
      <c r="PVD1533" s="4"/>
      <c r="PVE1533" s="6"/>
      <c r="PVF1533" s="4"/>
      <c r="PVG1533" s="6"/>
      <c r="PVH1533" s="4"/>
      <c r="PVI1533" s="6"/>
      <c r="PVJ1533" s="4"/>
      <c r="PVK1533" s="6"/>
      <c r="PVL1533" s="4"/>
      <c r="PVM1533" s="6"/>
      <c r="PVN1533" s="4"/>
      <c r="PVO1533" s="6"/>
      <c r="PVP1533" s="4"/>
      <c r="PVQ1533" s="6"/>
      <c r="PVR1533" s="4"/>
      <c r="PVS1533" s="6"/>
      <c r="PVT1533" s="4"/>
      <c r="PVU1533" s="6"/>
      <c r="PVV1533" s="4"/>
      <c r="PVW1533" s="6"/>
      <c r="PVX1533" s="4"/>
      <c r="PVY1533" s="6"/>
      <c r="PVZ1533" s="4"/>
      <c r="PWA1533" s="6"/>
      <c r="PWB1533" s="4"/>
      <c r="PWC1533" s="6"/>
      <c r="PWD1533" s="4"/>
      <c r="PWE1533" s="6"/>
      <c r="PWF1533" s="4"/>
      <c r="PWG1533" s="6"/>
      <c r="PWH1533" s="4"/>
      <c r="PWI1533" s="6"/>
      <c r="PWJ1533" s="4"/>
      <c r="PWK1533" s="6"/>
      <c r="PWL1533" s="4"/>
      <c r="PWM1533" s="6"/>
      <c r="PWN1533" s="4"/>
      <c r="PWO1533" s="6"/>
      <c r="PWP1533" s="4"/>
      <c r="PWQ1533" s="6"/>
      <c r="PWR1533" s="4"/>
      <c r="PWS1533" s="6"/>
      <c r="PWT1533" s="4"/>
      <c r="PWU1533" s="6"/>
      <c r="PWV1533" s="4"/>
      <c r="PWW1533" s="6"/>
      <c r="PWX1533" s="4"/>
      <c r="PWY1533" s="6"/>
      <c r="PWZ1533" s="4"/>
      <c r="PXA1533" s="6"/>
      <c r="PXB1533" s="4"/>
      <c r="PXC1533" s="6"/>
      <c r="PXD1533" s="4"/>
      <c r="PXE1533" s="6"/>
      <c r="PXF1533" s="4"/>
      <c r="PXG1533" s="6"/>
      <c r="PXH1533" s="4"/>
      <c r="PXI1533" s="6"/>
      <c r="PXJ1533" s="4"/>
      <c r="PXK1533" s="6"/>
      <c r="PXL1533" s="4"/>
      <c r="PXM1533" s="6"/>
      <c r="PXN1533" s="4"/>
      <c r="PXO1533" s="6"/>
      <c r="PXP1533" s="4"/>
      <c r="PXQ1533" s="6"/>
      <c r="PXR1533" s="4"/>
      <c r="PXS1533" s="6"/>
      <c r="PXT1533" s="4"/>
      <c r="PXU1533" s="6"/>
      <c r="PXV1533" s="4"/>
      <c r="PXW1533" s="6"/>
      <c r="PXX1533" s="4"/>
      <c r="PXY1533" s="6"/>
      <c r="PXZ1533" s="4"/>
      <c r="PYA1533" s="6"/>
      <c r="PYB1533" s="4"/>
      <c r="PYC1533" s="6"/>
      <c r="PYD1533" s="4"/>
      <c r="PYE1533" s="6"/>
      <c r="PYF1533" s="4"/>
      <c r="PYG1533" s="6"/>
      <c r="PYH1533" s="4"/>
      <c r="PYI1533" s="6"/>
      <c r="PYJ1533" s="4"/>
      <c r="PYK1533" s="6"/>
      <c r="PYL1533" s="4"/>
      <c r="PYM1533" s="6"/>
      <c r="PYN1533" s="4"/>
      <c r="PYO1533" s="6"/>
      <c r="PYP1533" s="4"/>
      <c r="PYQ1533" s="6"/>
      <c r="PYR1533" s="4"/>
      <c r="PYS1533" s="6"/>
      <c r="PYT1533" s="4"/>
      <c r="PYU1533" s="6"/>
      <c r="PYV1533" s="4"/>
      <c r="PYW1533" s="6"/>
      <c r="PYX1533" s="4"/>
      <c r="PYY1533" s="6"/>
      <c r="PYZ1533" s="4"/>
      <c r="PZA1533" s="6"/>
      <c r="PZB1533" s="4"/>
      <c r="PZC1533" s="6"/>
      <c r="PZD1533" s="4"/>
      <c r="PZE1533" s="6"/>
      <c r="PZF1533" s="4"/>
      <c r="PZG1533" s="6"/>
      <c r="PZH1533" s="4"/>
      <c r="PZI1533" s="6"/>
      <c r="PZJ1533" s="4"/>
      <c r="PZK1533" s="6"/>
      <c r="PZL1533" s="4"/>
      <c r="PZM1533" s="6"/>
      <c r="PZN1533" s="4"/>
      <c r="PZO1533" s="6"/>
      <c r="PZP1533" s="4"/>
      <c r="PZQ1533" s="6"/>
      <c r="PZR1533" s="4"/>
      <c r="PZS1533" s="6"/>
      <c r="PZT1533" s="4"/>
      <c r="PZU1533" s="6"/>
      <c r="PZV1533" s="4"/>
      <c r="PZW1533" s="6"/>
      <c r="PZX1533" s="4"/>
      <c r="PZY1533" s="6"/>
      <c r="PZZ1533" s="4"/>
      <c r="QAA1533" s="6"/>
      <c r="QAB1533" s="4"/>
      <c r="QAC1533" s="6"/>
      <c r="QAD1533" s="4"/>
      <c r="QAE1533" s="6"/>
      <c r="QAF1533" s="4"/>
      <c r="QAG1533" s="6"/>
      <c r="QAH1533" s="4"/>
      <c r="QAI1533" s="6"/>
      <c r="QAJ1533" s="4"/>
      <c r="QAK1533" s="6"/>
      <c r="QAL1533" s="4"/>
      <c r="QAM1533" s="6"/>
      <c r="QAN1533" s="4"/>
      <c r="QAO1533" s="6"/>
      <c r="QAP1533" s="4"/>
      <c r="QAQ1533" s="6"/>
      <c r="QAR1533" s="4"/>
      <c r="QAS1533" s="6"/>
      <c r="QAT1533" s="4"/>
      <c r="QAU1533" s="6"/>
      <c r="QAV1533" s="4"/>
      <c r="QAW1533" s="6"/>
      <c r="QAX1533" s="4"/>
      <c r="QAY1533" s="6"/>
      <c r="QAZ1533" s="4"/>
      <c r="QBA1533" s="6"/>
      <c r="QBB1533" s="4"/>
      <c r="QBC1533" s="6"/>
      <c r="QBD1533" s="4"/>
      <c r="QBE1533" s="6"/>
      <c r="QBF1533" s="4"/>
      <c r="QBG1533" s="6"/>
      <c r="QBH1533" s="4"/>
      <c r="QBI1533" s="6"/>
      <c r="QBJ1533" s="4"/>
      <c r="QBK1533" s="6"/>
      <c r="QBL1533" s="4"/>
      <c r="QBM1533" s="6"/>
      <c r="QBN1533" s="4"/>
      <c r="QBO1533" s="6"/>
      <c r="QBP1533" s="4"/>
      <c r="QBQ1533" s="6"/>
      <c r="QBR1533" s="4"/>
      <c r="QBS1533" s="6"/>
      <c r="QBT1533" s="4"/>
      <c r="QBU1533" s="6"/>
      <c r="QBV1533" s="4"/>
      <c r="QBW1533" s="6"/>
      <c r="QBX1533" s="4"/>
      <c r="QBY1533" s="6"/>
      <c r="QBZ1533" s="4"/>
      <c r="QCA1533" s="6"/>
      <c r="QCB1533" s="4"/>
      <c r="QCC1533" s="6"/>
      <c r="QCD1533" s="4"/>
      <c r="QCE1533" s="6"/>
      <c r="QCF1533" s="4"/>
      <c r="QCG1533" s="6"/>
      <c r="QCH1533" s="4"/>
      <c r="QCI1533" s="6"/>
      <c r="QCJ1533" s="4"/>
      <c r="QCK1533" s="6"/>
      <c r="QCL1533" s="4"/>
      <c r="QCM1533" s="6"/>
      <c r="QCN1533" s="4"/>
      <c r="QCO1533" s="6"/>
      <c r="QCP1533" s="4"/>
      <c r="QCQ1533" s="6"/>
      <c r="QCR1533" s="4"/>
      <c r="QCS1533" s="6"/>
      <c r="QCT1533" s="4"/>
      <c r="QCU1533" s="6"/>
      <c r="QCV1533" s="4"/>
      <c r="QCW1533" s="6"/>
      <c r="QCX1533" s="4"/>
      <c r="QCY1533" s="6"/>
      <c r="QCZ1533" s="4"/>
      <c r="QDA1533" s="6"/>
      <c r="QDB1533" s="4"/>
      <c r="QDC1533" s="6"/>
      <c r="QDD1533" s="4"/>
      <c r="QDE1533" s="6"/>
      <c r="QDF1533" s="4"/>
      <c r="QDG1533" s="6"/>
      <c r="QDH1533" s="4"/>
      <c r="QDI1533" s="6"/>
      <c r="QDJ1533" s="4"/>
      <c r="QDK1533" s="6"/>
      <c r="QDL1533" s="4"/>
      <c r="QDM1533" s="6"/>
      <c r="QDN1533" s="4"/>
      <c r="QDO1533" s="6"/>
      <c r="QDP1533" s="4"/>
      <c r="QDQ1533" s="6"/>
      <c r="QDR1533" s="4"/>
      <c r="QDS1533" s="6"/>
      <c r="QDT1533" s="4"/>
      <c r="QDU1533" s="6"/>
      <c r="QDV1533" s="4"/>
      <c r="QDW1533" s="6"/>
      <c r="QDX1533" s="4"/>
      <c r="QDY1533" s="6"/>
      <c r="QDZ1533" s="4"/>
      <c r="QEA1533" s="6"/>
      <c r="QEB1533" s="4"/>
      <c r="QEC1533" s="6"/>
      <c r="QED1533" s="4"/>
      <c r="QEE1533" s="6"/>
      <c r="QEF1533" s="4"/>
      <c r="QEG1533" s="6"/>
      <c r="QEH1533" s="4"/>
      <c r="QEI1533" s="6"/>
      <c r="QEJ1533" s="4"/>
      <c r="QEK1533" s="6"/>
      <c r="QEL1533" s="4"/>
      <c r="QEM1533" s="6"/>
      <c r="QEN1533" s="4"/>
      <c r="QEO1533" s="6"/>
      <c r="QEP1533" s="4"/>
      <c r="QEQ1533" s="6"/>
      <c r="QER1533" s="4"/>
      <c r="QES1533" s="6"/>
      <c r="QET1533" s="4"/>
      <c r="QEU1533" s="6"/>
      <c r="QEV1533" s="4"/>
      <c r="QEW1533" s="6"/>
      <c r="QEX1533" s="4"/>
      <c r="QEY1533" s="6"/>
      <c r="QEZ1533" s="4"/>
      <c r="QFA1533" s="6"/>
      <c r="QFB1533" s="4"/>
      <c r="QFC1533" s="6"/>
      <c r="QFD1533" s="4"/>
      <c r="QFE1533" s="6"/>
      <c r="QFF1533" s="4"/>
      <c r="QFG1533" s="6"/>
      <c r="QFH1533" s="4"/>
      <c r="QFI1533" s="6"/>
      <c r="QFJ1533" s="4"/>
      <c r="QFK1533" s="6"/>
      <c r="QFL1533" s="4"/>
      <c r="QFM1533" s="6"/>
      <c r="QFN1533" s="4"/>
      <c r="QFO1533" s="6"/>
      <c r="QFP1533" s="4"/>
      <c r="QFQ1533" s="6"/>
      <c r="QFR1533" s="4"/>
      <c r="QFS1533" s="6"/>
      <c r="QFT1533" s="4"/>
      <c r="QFU1533" s="6"/>
      <c r="QFV1533" s="4"/>
      <c r="QFW1533" s="6"/>
      <c r="QFX1533" s="4"/>
      <c r="QFY1533" s="6"/>
      <c r="QFZ1533" s="4"/>
      <c r="QGA1533" s="6"/>
      <c r="QGB1533" s="4"/>
      <c r="QGC1533" s="6"/>
      <c r="QGD1533" s="4"/>
      <c r="QGE1533" s="6"/>
      <c r="QGF1533" s="4"/>
      <c r="QGG1533" s="6"/>
      <c r="QGH1533" s="4"/>
      <c r="QGI1533" s="6"/>
      <c r="QGJ1533" s="4"/>
      <c r="QGK1533" s="6"/>
      <c r="QGL1533" s="4"/>
      <c r="QGM1533" s="6"/>
      <c r="QGN1533" s="4"/>
      <c r="QGO1533" s="6"/>
      <c r="QGP1533" s="4"/>
      <c r="QGQ1533" s="6"/>
      <c r="QGR1533" s="4"/>
      <c r="QGS1533" s="6"/>
      <c r="QGT1533" s="4"/>
      <c r="QGU1533" s="6"/>
      <c r="QGV1533" s="4"/>
      <c r="QGW1533" s="6"/>
      <c r="QGX1533" s="4"/>
      <c r="QGY1533" s="6"/>
      <c r="QGZ1533" s="4"/>
      <c r="QHA1533" s="6"/>
      <c r="QHB1533" s="4"/>
      <c r="QHC1533" s="6"/>
      <c r="QHD1533" s="4"/>
      <c r="QHE1533" s="6"/>
      <c r="QHF1533" s="4"/>
      <c r="QHG1533" s="6"/>
      <c r="QHH1533" s="4"/>
      <c r="QHI1533" s="6"/>
      <c r="QHJ1533" s="4"/>
      <c r="QHK1533" s="6"/>
      <c r="QHL1533" s="4"/>
      <c r="QHM1533" s="6"/>
      <c r="QHN1533" s="4"/>
      <c r="QHO1533" s="6"/>
      <c r="QHP1533" s="4"/>
      <c r="QHQ1533" s="6"/>
      <c r="QHR1533" s="4"/>
      <c r="QHS1533" s="6"/>
      <c r="QHT1533" s="4"/>
      <c r="QHU1533" s="6"/>
      <c r="QHV1533" s="4"/>
      <c r="QHW1533" s="6"/>
      <c r="QHX1533" s="4"/>
      <c r="QHY1533" s="6"/>
      <c r="QHZ1533" s="4"/>
      <c r="QIA1533" s="6"/>
      <c r="QIB1533" s="4"/>
      <c r="QIC1533" s="6"/>
      <c r="QID1533" s="4"/>
      <c r="QIE1533" s="6"/>
      <c r="QIF1533" s="4"/>
      <c r="QIG1533" s="6"/>
      <c r="QIH1533" s="4"/>
      <c r="QII1533" s="6"/>
      <c r="QIJ1533" s="4"/>
      <c r="QIK1533" s="6"/>
      <c r="QIL1533" s="4"/>
      <c r="QIM1533" s="6"/>
      <c r="QIN1533" s="4"/>
      <c r="QIO1533" s="6"/>
      <c r="QIP1533" s="4"/>
      <c r="QIQ1533" s="6"/>
      <c r="QIR1533" s="4"/>
      <c r="QIS1533" s="6"/>
      <c r="QIT1533" s="4"/>
      <c r="QIU1533" s="6"/>
      <c r="QIV1533" s="4"/>
      <c r="QIW1533" s="6"/>
      <c r="QIX1533" s="4"/>
      <c r="QIY1533" s="6"/>
      <c r="QIZ1533" s="4"/>
      <c r="QJA1533" s="6"/>
      <c r="QJB1533" s="4"/>
      <c r="QJC1533" s="6"/>
      <c r="QJD1533" s="4"/>
      <c r="QJE1533" s="6"/>
      <c r="QJF1533" s="4"/>
      <c r="QJG1533" s="6"/>
      <c r="QJH1533" s="4"/>
      <c r="QJI1533" s="6"/>
      <c r="QJJ1533" s="4"/>
      <c r="QJK1533" s="6"/>
      <c r="QJL1533" s="4"/>
      <c r="QJM1533" s="6"/>
      <c r="QJN1533" s="4"/>
      <c r="QJO1533" s="6"/>
      <c r="QJP1533" s="4"/>
      <c r="QJQ1533" s="6"/>
      <c r="QJR1533" s="4"/>
      <c r="QJS1533" s="6"/>
      <c r="QJT1533" s="4"/>
      <c r="QJU1533" s="6"/>
      <c r="QJV1533" s="4"/>
      <c r="QJW1533" s="6"/>
      <c r="QJX1533" s="4"/>
      <c r="QJY1533" s="6"/>
      <c r="QJZ1533" s="4"/>
      <c r="QKA1533" s="6"/>
      <c r="QKB1533" s="4"/>
      <c r="QKC1533" s="6"/>
      <c r="QKD1533" s="4"/>
      <c r="QKE1533" s="6"/>
      <c r="QKF1533" s="4"/>
      <c r="QKG1533" s="6"/>
      <c r="QKH1533" s="4"/>
      <c r="QKI1533" s="6"/>
      <c r="QKJ1533" s="4"/>
      <c r="QKK1533" s="6"/>
      <c r="QKL1533" s="4"/>
      <c r="QKM1533" s="6"/>
      <c r="QKN1533" s="4"/>
      <c r="QKO1533" s="6"/>
      <c r="QKP1533" s="4"/>
      <c r="QKQ1533" s="6"/>
      <c r="QKR1533" s="4"/>
      <c r="QKS1533" s="6"/>
      <c r="QKT1533" s="4"/>
      <c r="QKU1533" s="6"/>
      <c r="QKV1533" s="4"/>
      <c r="QKW1533" s="6"/>
      <c r="QKX1533" s="4"/>
      <c r="QKY1533" s="6"/>
      <c r="QKZ1533" s="4"/>
      <c r="QLA1533" s="6"/>
      <c r="QLB1533" s="4"/>
      <c r="QLC1533" s="6"/>
      <c r="QLD1533" s="4"/>
      <c r="QLE1533" s="6"/>
      <c r="QLF1533" s="4"/>
      <c r="QLG1533" s="6"/>
      <c r="QLH1533" s="4"/>
      <c r="QLI1533" s="6"/>
      <c r="QLJ1533" s="4"/>
      <c r="QLK1533" s="6"/>
      <c r="QLL1533" s="4"/>
      <c r="QLM1533" s="6"/>
      <c r="QLN1533" s="4"/>
      <c r="QLO1533" s="6"/>
      <c r="QLP1533" s="4"/>
      <c r="QLQ1533" s="6"/>
      <c r="QLR1533" s="4"/>
      <c r="QLS1533" s="6"/>
      <c r="QLT1533" s="4"/>
      <c r="QLU1533" s="6"/>
      <c r="QLV1533" s="4"/>
      <c r="QLW1533" s="6"/>
      <c r="QLX1533" s="4"/>
      <c r="QLY1533" s="6"/>
      <c r="QLZ1533" s="4"/>
      <c r="QMA1533" s="6"/>
      <c r="QMB1533" s="4"/>
      <c r="QMC1533" s="6"/>
      <c r="QMD1533" s="4"/>
      <c r="QME1533" s="6"/>
      <c r="QMF1533" s="4"/>
      <c r="QMG1533" s="6"/>
      <c r="QMH1533" s="4"/>
      <c r="QMI1533" s="6"/>
      <c r="QMJ1533" s="4"/>
      <c r="QMK1533" s="6"/>
      <c r="QML1533" s="4"/>
      <c r="QMM1533" s="6"/>
      <c r="QMN1533" s="4"/>
      <c r="QMO1533" s="6"/>
      <c r="QMP1533" s="4"/>
      <c r="QMQ1533" s="6"/>
      <c r="QMR1533" s="4"/>
      <c r="QMS1533" s="6"/>
      <c r="QMT1533" s="4"/>
      <c r="QMU1533" s="6"/>
      <c r="QMV1533" s="4"/>
      <c r="QMW1533" s="6"/>
      <c r="QMX1533" s="4"/>
      <c r="QMY1533" s="6"/>
      <c r="QMZ1533" s="4"/>
      <c r="QNA1533" s="6"/>
      <c r="QNB1533" s="4"/>
      <c r="QNC1533" s="6"/>
      <c r="QND1533" s="4"/>
      <c r="QNE1533" s="6"/>
      <c r="QNF1533" s="4"/>
      <c r="QNG1533" s="6"/>
      <c r="QNH1533" s="4"/>
      <c r="QNI1533" s="6"/>
      <c r="QNJ1533" s="4"/>
      <c r="QNK1533" s="6"/>
      <c r="QNL1533" s="4"/>
      <c r="QNM1533" s="6"/>
      <c r="QNN1533" s="4"/>
      <c r="QNO1533" s="6"/>
      <c r="QNP1533" s="4"/>
      <c r="QNQ1533" s="6"/>
      <c r="QNR1533" s="4"/>
      <c r="QNS1533" s="6"/>
      <c r="QNT1533" s="4"/>
      <c r="QNU1533" s="6"/>
      <c r="QNV1533" s="4"/>
      <c r="QNW1533" s="6"/>
      <c r="QNX1533" s="4"/>
      <c r="QNY1533" s="6"/>
      <c r="QNZ1533" s="4"/>
      <c r="QOA1533" s="6"/>
      <c r="QOB1533" s="4"/>
      <c r="QOC1533" s="6"/>
      <c r="QOD1533" s="4"/>
      <c r="QOE1533" s="6"/>
      <c r="QOF1533" s="4"/>
      <c r="QOG1533" s="6"/>
      <c r="QOH1533" s="4"/>
      <c r="QOI1533" s="6"/>
      <c r="QOJ1533" s="4"/>
      <c r="QOK1533" s="6"/>
      <c r="QOL1533" s="4"/>
      <c r="QOM1533" s="6"/>
      <c r="QON1533" s="4"/>
      <c r="QOO1533" s="6"/>
      <c r="QOP1533" s="4"/>
      <c r="QOQ1533" s="6"/>
      <c r="QOR1533" s="4"/>
      <c r="QOS1533" s="6"/>
      <c r="QOT1533" s="4"/>
      <c r="QOU1533" s="6"/>
      <c r="QOV1533" s="4"/>
      <c r="QOW1533" s="6"/>
      <c r="QOX1533" s="4"/>
      <c r="QOY1533" s="6"/>
      <c r="QOZ1533" s="4"/>
      <c r="QPA1533" s="6"/>
      <c r="QPB1533" s="4"/>
      <c r="QPC1533" s="6"/>
      <c r="QPD1533" s="4"/>
      <c r="QPE1533" s="6"/>
      <c r="QPF1533" s="4"/>
      <c r="QPG1533" s="6"/>
      <c r="QPH1533" s="4"/>
      <c r="QPI1533" s="6"/>
      <c r="QPJ1533" s="4"/>
      <c r="QPK1533" s="6"/>
      <c r="QPL1533" s="4"/>
      <c r="QPM1533" s="6"/>
      <c r="QPN1533" s="4"/>
      <c r="QPO1533" s="6"/>
      <c r="QPP1533" s="4"/>
      <c r="QPQ1533" s="6"/>
      <c r="QPR1533" s="4"/>
      <c r="QPS1533" s="6"/>
      <c r="QPT1533" s="4"/>
      <c r="QPU1533" s="6"/>
      <c r="QPV1533" s="4"/>
      <c r="QPW1533" s="6"/>
      <c r="QPX1533" s="4"/>
      <c r="QPY1533" s="6"/>
      <c r="QPZ1533" s="4"/>
      <c r="QQA1533" s="6"/>
      <c r="QQB1533" s="4"/>
      <c r="QQC1533" s="6"/>
      <c r="QQD1533" s="4"/>
      <c r="QQE1533" s="6"/>
      <c r="QQF1533" s="4"/>
      <c r="QQG1533" s="6"/>
      <c r="QQH1533" s="4"/>
      <c r="QQI1533" s="6"/>
      <c r="QQJ1533" s="4"/>
      <c r="QQK1533" s="6"/>
      <c r="QQL1533" s="4"/>
      <c r="QQM1533" s="6"/>
      <c r="QQN1533" s="4"/>
      <c r="QQO1533" s="6"/>
      <c r="QQP1533" s="4"/>
      <c r="QQQ1533" s="6"/>
      <c r="QQR1533" s="4"/>
      <c r="QQS1533" s="6"/>
      <c r="QQT1533" s="4"/>
      <c r="QQU1533" s="6"/>
      <c r="QQV1533" s="4"/>
      <c r="QQW1533" s="6"/>
      <c r="QQX1533" s="4"/>
      <c r="QQY1533" s="6"/>
      <c r="QQZ1533" s="4"/>
      <c r="QRA1533" s="6"/>
      <c r="QRB1533" s="4"/>
      <c r="QRC1533" s="6"/>
      <c r="QRD1533" s="4"/>
      <c r="QRE1533" s="6"/>
      <c r="QRF1533" s="4"/>
      <c r="QRG1533" s="6"/>
      <c r="QRH1533" s="4"/>
      <c r="QRI1533" s="6"/>
      <c r="QRJ1533" s="4"/>
      <c r="QRK1533" s="6"/>
      <c r="QRL1533" s="4"/>
      <c r="QRM1533" s="6"/>
      <c r="QRN1533" s="4"/>
      <c r="QRO1533" s="6"/>
      <c r="QRP1533" s="4"/>
      <c r="QRQ1533" s="6"/>
      <c r="QRR1533" s="4"/>
      <c r="QRS1533" s="6"/>
      <c r="QRT1533" s="4"/>
      <c r="QRU1533" s="6"/>
      <c r="QRV1533" s="4"/>
      <c r="QRW1533" s="6"/>
      <c r="QRX1533" s="4"/>
      <c r="QRY1533" s="6"/>
      <c r="QRZ1533" s="4"/>
      <c r="QSA1533" s="6"/>
      <c r="QSB1533" s="4"/>
      <c r="QSC1533" s="6"/>
      <c r="QSD1533" s="4"/>
      <c r="QSE1533" s="6"/>
      <c r="QSF1533" s="4"/>
      <c r="QSG1533" s="6"/>
      <c r="QSH1533" s="4"/>
      <c r="QSI1533" s="6"/>
      <c r="QSJ1533" s="4"/>
      <c r="QSK1533" s="6"/>
      <c r="QSL1533" s="4"/>
      <c r="QSM1533" s="6"/>
      <c r="QSN1533" s="4"/>
      <c r="QSO1533" s="6"/>
      <c r="QSP1533" s="4"/>
      <c r="QSQ1533" s="6"/>
      <c r="QSR1533" s="4"/>
      <c r="QSS1533" s="6"/>
      <c r="QST1533" s="4"/>
      <c r="QSU1533" s="6"/>
      <c r="QSV1533" s="4"/>
      <c r="QSW1533" s="6"/>
      <c r="QSX1533" s="4"/>
      <c r="QSY1533" s="6"/>
      <c r="QSZ1533" s="4"/>
      <c r="QTA1533" s="6"/>
      <c r="QTB1533" s="4"/>
      <c r="QTC1533" s="6"/>
      <c r="QTD1533" s="4"/>
      <c r="QTE1533" s="6"/>
      <c r="QTF1533" s="4"/>
      <c r="QTG1533" s="6"/>
      <c r="QTH1533" s="4"/>
      <c r="QTI1533" s="6"/>
      <c r="QTJ1533" s="4"/>
      <c r="QTK1533" s="6"/>
      <c r="QTL1533" s="4"/>
      <c r="QTM1533" s="6"/>
      <c r="QTN1533" s="4"/>
      <c r="QTO1533" s="6"/>
      <c r="QTP1533" s="4"/>
      <c r="QTQ1533" s="6"/>
      <c r="QTR1533" s="4"/>
      <c r="QTS1533" s="6"/>
      <c r="QTT1533" s="4"/>
      <c r="QTU1533" s="6"/>
      <c r="QTV1533" s="4"/>
      <c r="QTW1533" s="6"/>
      <c r="QTX1533" s="4"/>
      <c r="QTY1533" s="6"/>
      <c r="QTZ1533" s="4"/>
      <c r="QUA1533" s="6"/>
      <c r="QUB1533" s="4"/>
      <c r="QUC1533" s="6"/>
      <c r="QUD1533" s="4"/>
      <c r="QUE1533" s="6"/>
      <c r="QUF1533" s="4"/>
      <c r="QUG1533" s="6"/>
      <c r="QUH1533" s="4"/>
      <c r="QUI1533" s="6"/>
      <c r="QUJ1533" s="4"/>
      <c r="QUK1533" s="6"/>
      <c r="QUL1533" s="4"/>
      <c r="QUM1533" s="6"/>
      <c r="QUN1533" s="4"/>
      <c r="QUO1533" s="6"/>
      <c r="QUP1533" s="4"/>
      <c r="QUQ1533" s="6"/>
      <c r="QUR1533" s="4"/>
      <c r="QUS1533" s="6"/>
      <c r="QUT1533" s="4"/>
      <c r="QUU1533" s="6"/>
      <c r="QUV1533" s="4"/>
      <c r="QUW1533" s="6"/>
      <c r="QUX1533" s="4"/>
      <c r="QUY1533" s="6"/>
      <c r="QUZ1533" s="4"/>
      <c r="QVA1533" s="6"/>
      <c r="QVB1533" s="4"/>
      <c r="QVC1533" s="6"/>
      <c r="QVD1533" s="4"/>
      <c r="QVE1533" s="6"/>
      <c r="QVF1533" s="4"/>
      <c r="QVG1533" s="6"/>
      <c r="QVH1533" s="4"/>
      <c r="QVI1533" s="6"/>
      <c r="QVJ1533" s="4"/>
      <c r="QVK1533" s="6"/>
      <c r="QVL1533" s="4"/>
      <c r="QVM1533" s="6"/>
      <c r="QVN1533" s="4"/>
      <c r="QVO1533" s="6"/>
      <c r="QVP1533" s="4"/>
      <c r="QVQ1533" s="6"/>
      <c r="QVR1533" s="4"/>
      <c r="QVS1533" s="6"/>
      <c r="QVT1533" s="4"/>
      <c r="QVU1533" s="6"/>
      <c r="QVV1533" s="4"/>
      <c r="QVW1533" s="6"/>
      <c r="QVX1533" s="4"/>
      <c r="QVY1533" s="6"/>
      <c r="QVZ1533" s="4"/>
      <c r="QWA1533" s="6"/>
      <c r="QWB1533" s="4"/>
      <c r="QWC1533" s="6"/>
      <c r="QWD1533" s="4"/>
      <c r="QWE1533" s="6"/>
      <c r="QWF1533" s="4"/>
      <c r="QWG1533" s="6"/>
      <c r="QWH1533" s="4"/>
      <c r="QWI1533" s="6"/>
      <c r="QWJ1533" s="4"/>
      <c r="QWK1533" s="6"/>
      <c r="QWL1533" s="4"/>
      <c r="QWM1533" s="6"/>
      <c r="QWN1533" s="4"/>
      <c r="QWO1533" s="6"/>
      <c r="QWP1533" s="4"/>
      <c r="QWQ1533" s="6"/>
      <c r="QWR1533" s="4"/>
      <c r="QWS1533" s="6"/>
      <c r="QWT1533" s="4"/>
      <c r="QWU1533" s="6"/>
      <c r="QWV1533" s="4"/>
      <c r="QWW1533" s="6"/>
      <c r="QWX1533" s="4"/>
      <c r="QWY1533" s="6"/>
      <c r="QWZ1533" s="4"/>
      <c r="QXA1533" s="6"/>
      <c r="QXB1533" s="4"/>
      <c r="QXC1533" s="6"/>
      <c r="QXD1533" s="4"/>
      <c r="QXE1533" s="6"/>
      <c r="QXF1533" s="4"/>
      <c r="QXG1533" s="6"/>
      <c r="QXH1533" s="4"/>
      <c r="QXI1533" s="6"/>
      <c r="QXJ1533" s="4"/>
      <c r="QXK1533" s="6"/>
      <c r="QXL1533" s="4"/>
      <c r="QXM1533" s="6"/>
      <c r="QXN1533" s="4"/>
      <c r="QXO1533" s="6"/>
      <c r="QXP1533" s="4"/>
      <c r="QXQ1533" s="6"/>
      <c r="QXR1533" s="4"/>
      <c r="QXS1533" s="6"/>
      <c r="QXT1533" s="4"/>
      <c r="QXU1533" s="6"/>
      <c r="QXV1533" s="4"/>
      <c r="QXW1533" s="6"/>
      <c r="QXX1533" s="4"/>
      <c r="QXY1533" s="6"/>
      <c r="QXZ1533" s="4"/>
      <c r="QYA1533" s="6"/>
      <c r="QYB1533" s="4"/>
      <c r="QYC1533" s="6"/>
      <c r="QYD1533" s="4"/>
      <c r="QYE1533" s="6"/>
      <c r="QYF1533" s="4"/>
      <c r="QYG1533" s="6"/>
      <c r="QYH1533" s="4"/>
      <c r="QYI1533" s="6"/>
      <c r="QYJ1533" s="4"/>
      <c r="QYK1533" s="6"/>
      <c r="QYL1533" s="4"/>
      <c r="QYM1533" s="6"/>
      <c r="QYN1533" s="4"/>
      <c r="QYO1533" s="6"/>
      <c r="QYP1533" s="4"/>
      <c r="QYQ1533" s="6"/>
      <c r="QYR1533" s="4"/>
      <c r="QYS1533" s="6"/>
      <c r="QYT1533" s="4"/>
      <c r="QYU1533" s="6"/>
      <c r="QYV1533" s="4"/>
      <c r="QYW1533" s="6"/>
      <c r="QYX1533" s="4"/>
      <c r="QYY1533" s="6"/>
      <c r="QYZ1533" s="4"/>
      <c r="QZA1533" s="6"/>
      <c r="QZB1533" s="4"/>
      <c r="QZC1533" s="6"/>
      <c r="QZD1533" s="4"/>
      <c r="QZE1533" s="6"/>
      <c r="QZF1533" s="4"/>
      <c r="QZG1533" s="6"/>
      <c r="QZH1533" s="4"/>
      <c r="QZI1533" s="6"/>
      <c r="QZJ1533" s="4"/>
      <c r="QZK1533" s="6"/>
      <c r="QZL1533" s="4"/>
      <c r="QZM1533" s="6"/>
      <c r="QZN1533" s="4"/>
      <c r="QZO1533" s="6"/>
      <c r="QZP1533" s="4"/>
      <c r="QZQ1533" s="6"/>
      <c r="QZR1533" s="4"/>
      <c r="QZS1533" s="6"/>
      <c r="QZT1533" s="4"/>
      <c r="QZU1533" s="6"/>
      <c r="QZV1533" s="4"/>
      <c r="QZW1533" s="6"/>
      <c r="QZX1533" s="4"/>
      <c r="QZY1533" s="6"/>
      <c r="QZZ1533" s="4"/>
      <c r="RAA1533" s="6"/>
      <c r="RAB1533" s="4"/>
      <c r="RAC1533" s="6"/>
      <c r="RAD1533" s="4"/>
      <c r="RAE1533" s="6"/>
      <c r="RAF1533" s="4"/>
      <c r="RAG1533" s="6"/>
      <c r="RAH1533" s="4"/>
      <c r="RAI1533" s="6"/>
      <c r="RAJ1533" s="4"/>
      <c r="RAK1533" s="6"/>
      <c r="RAL1533" s="4"/>
      <c r="RAM1533" s="6"/>
      <c r="RAN1533" s="4"/>
      <c r="RAO1533" s="6"/>
      <c r="RAP1533" s="4"/>
      <c r="RAQ1533" s="6"/>
      <c r="RAR1533" s="4"/>
      <c r="RAS1533" s="6"/>
      <c r="RAT1533" s="4"/>
      <c r="RAU1533" s="6"/>
      <c r="RAV1533" s="4"/>
      <c r="RAW1533" s="6"/>
      <c r="RAX1533" s="4"/>
      <c r="RAY1533" s="6"/>
      <c r="RAZ1533" s="4"/>
      <c r="RBA1533" s="6"/>
      <c r="RBB1533" s="4"/>
      <c r="RBC1533" s="6"/>
      <c r="RBD1533" s="4"/>
      <c r="RBE1533" s="6"/>
      <c r="RBF1533" s="4"/>
      <c r="RBG1533" s="6"/>
      <c r="RBH1533" s="4"/>
      <c r="RBI1533" s="6"/>
      <c r="RBJ1533" s="4"/>
      <c r="RBK1533" s="6"/>
      <c r="RBL1533" s="4"/>
      <c r="RBM1533" s="6"/>
      <c r="RBN1533" s="4"/>
      <c r="RBO1533" s="6"/>
      <c r="RBP1533" s="4"/>
      <c r="RBQ1533" s="6"/>
      <c r="RBR1533" s="4"/>
      <c r="RBS1533" s="6"/>
      <c r="RBT1533" s="4"/>
      <c r="RBU1533" s="6"/>
      <c r="RBV1533" s="4"/>
      <c r="RBW1533" s="6"/>
      <c r="RBX1533" s="4"/>
      <c r="RBY1533" s="6"/>
      <c r="RBZ1533" s="4"/>
      <c r="RCA1533" s="6"/>
      <c r="RCB1533" s="4"/>
      <c r="RCC1533" s="6"/>
      <c r="RCD1533" s="4"/>
      <c r="RCE1533" s="6"/>
      <c r="RCF1533" s="4"/>
      <c r="RCG1533" s="6"/>
      <c r="RCH1533" s="4"/>
      <c r="RCI1533" s="6"/>
      <c r="RCJ1533" s="4"/>
      <c r="RCK1533" s="6"/>
      <c r="RCL1533" s="4"/>
      <c r="RCM1533" s="6"/>
      <c r="RCN1533" s="4"/>
      <c r="RCO1533" s="6"/>
      <c r="RCP1533" s="4"/>
      <c r="RCQ1533" s="6"/>
      <c r="RCR1533" s="4"/>
      <c r="RCS1533" s="6"/>
      <c r="RCT1533" s="4"/>
      <c r="RCU1533" s="6"/>
      <c r="RCV1533" s="4"/>
      <c r="RCW1533" s="6"/>
      <c r="RCX1533" s="4"/>
      <c r="RCY1533" s="6"/>
      <c r="RCZ1533" s="4"/>
      <c r="RDA1533" s="6"/>
      <c r="RDB1533" s="4"/>
      <c r="RDC1533" s="6"/>
      <c r="RDD1533" s="4"/>
      <c r="RDE1533" s="6"/>
      <c r="RDF1533" s="4"/>
      <c r="RDG1533" s="6"/>
      <c r="RDH1533" s="4"/>
      <c r="RDI1533" s="6"/>
      <c r="RDJ1533" s="4"/>
      <c r="RDK1533" s="6"/>
      <c r="RDL1533" s="4"/>
      <c r="RDM1533" s="6"/>
      <c r="RDN1533" s="4"/>
      <c r="RDO1533" s="6"/>
      <c r="RDP1533" s="4"/>
      <c r="RDQ1533" s="6"/>
      <c r="RDR1533" s="4"/>
      <c r="RDS1533" s="6"/>
      <c r="RDT1533" s="4"/>
      <c r="RDU1533" s="6"/>
      <c r="RDV1533" s="4"/>
      <c r="RDW1533" s="6"/>
      <c r="RDX1533" s="4"/>
      <c r="RDY1533" s="6"/>
      <c r="RDZ1533" s="4"/>
      <c r="REA1533" s="6"/>
      <c r="REB1533" s="4"/>
      <c r="REC1533" s="6"/>
      <c r="RED1533" s="4"/>
      <c r="REE1533" s="6"/>
      <c r="REF1533" s="4"/>
      <c r="REG1533" s="6"/>
      <c r="REH1533" s="4"/>
      <c r="REI1533" s="6"/>
      <c r="REJ1533" s="4"/>
      <c r="REK1533" s="6"/>
      <c r="REL1533" s="4"/>
      <c r="REM1533" s="6"/>
      <c r="REN1533" s="4"/>
      <c r="REO1533" s="6"/>
      <c r="REP1533" s="4"/>
      <c r="REQ1533" s="6"/>
      <c r="RER1533" s="4"/>
      <c r="RES1533" s="6"/>
      <c r="RET1533" s="4"/>
      <c r="REU1533" s="6"/>
      <c r="REV1533" s="4"/>
      <c r="REW1533" s="6"/>
      <c r="REX1533" s="4"/>
      <c r="REY1533" s="6"/>
      <c r="REZ1533" s="4"/>
      <c r="RFA1533" s="6"/>
      <c r="RFB1533" s="4"/>
      <c r="RFC1533" s="6"/>
      <c r="RFD1533" s="4"/>
      <c r="RFE1533" s="6"/>
      <c r="RFF1533" s="4"/>
      <c r="RFG1533" s="6"/>
      <c r="RFH1533" s="4"/>
      <c r="RFI1533" s="6"/>
      <c r="RFJ1533" s="4"/>
      <c r="RFK1533" s="6"/>
      <c r="RFL1533" s="4"/>
      <c r="RFM1533" s="6"/>
      <c r="RFN1533" s="4"/>
      <c r="RFO1533" s="6"/>
      <c r="RFP1533" s="4"/>
      <c r="RFQ1533" s="6"/>
      <c r="RFR1533" s="4"/>
      <c r="RFS1533" s="6"/>
      <c r="RFT1533" s="4"/>
      <c r="RFU1533" s="6"/>
      <c r="RFV1533" s="4"/>
      <c r="RFW1533" s="6"/>
      <c r="RFX1533" s="4"/>
      <c r="RFY1533" s="6"/>
      <c r="RFZ1533" s="4"/>
      <c r="RGA1533" s="6"/>
      <c r="RGB1533" s="4"/>
      <c r="RGC1533" s="6"/>
      <c r="RGD1533" s="4"/>
      <c r="RGE1533" s="6"/>
      <c r="RGF1533" s="4"/>
      <c r="RGG1533" s="6"/>
      <c r="RGH1533" s="4"/>
      <c r="RGI1533" s="6"/>
      <c r="RGJ1533" s="4"/>
      <c r="RGK1533" s="6"/>
      <c r="RGL1533" s="4"/>
      <c r="RGM1533" s="6"/>
      <c r="RGN1533" s="4"/>
      <c r="RGO1533" s="6"/>
      <c r="RGP1533" s="4"/>
      <c r="RGQ1533" s="6"/>
      <c r="RGR1533" s="4"/>
      <c r="RGS1533" s="6"/>
      <c r="RGT1533" s="4"/>
      <c r="RGU1533" s="6"/>
      <c r="RGV1533" s="4"/>
      <c r="RGW1533" s="6"/>
      <c r="RGX1533" s="4"/>
      <c r="RGY1533" s="6"/>
      <c r="RGZ1533" s="4"/>
      <c r="RHA1533" s="6"/>
      <c r="RHB1533" s="4"/>
      <c r="RHC1533" s="6"/>
      <c r="RHD1533" s="4"/>
      <c r="RHE1533" s="6"/>
      <c r="RHF1533" s="4"/>
      <c r="RHG1533" s="6"/>
      <c r="RHH1533" s="4"/>
      <c r="RHI1533" s="6"/>
      <c r="RHJ1533" s="4"/>
      <c r="RHK1533" s="6"/>
      <c r="RHL1533" s="4"/>
      <c r="RHM1533" s="6"/>
      <c r="RHN1533" s="4"/>
      <c r="RHO1533" s="6"/>
      <c r="RHP1533" s="4"/>
      <c r="RHQ1533" s="6"/>
      <c r="RHR1533" s="4"/>
      <c r="RHS1533" s="6"/>
      <c r="RHT1533" s="4"/>
      <c r="RHU1533" s="6"/>
      <c r="RHV1533" s="4"/>
      <c r="RHW1533" s="6"/>
      <c r="RHX1533" s="4"/>
      <c r="RHY1533" s="6"/>
      <c r="RHZ1533" s="4"/>
      <c r="RIA1533" s="6"/>
      <c r="RIB1533" s="4"/>
      <c r="RIC1533" s="6"/>
      <c r="RID1533" s="4"/>
      <c r="RIE1533" s="6"/>
      <c r="RIF1533" s="4"/>
      <c r="RIG1533" s="6"/>
      <c r="RIH1533" s="4"/>
      <c r="RII1533" s="6"/>
      <c r="RIJ1533" s="4"/>
      <c r="RIK1533" s="6"/>
      <c r="RIL1533" s="4"/>
      <c r="RIM1533" s="6"/>
      <c r="RIN1533" s="4"/>
      <c r="RIO1533" s="6"/>
      <c r="RIP1533" s="4"/>
      <c r="RIQ1533" s="6"/>
      <c r="RIR1533" s="4"/>
      <c r="RIS1533" s="6"/>
      <c r="RIT1533" s="4"/>
      <c r="RIU1533" s="6"/>
      <c r="RIV1533" s="4"/>
      <c r="RIW1533" s="6"/>
      <c r="RIX1533" s="4"/>
      <c r="RIY1533" s="6"/>
      <c r="RIZ1533" s="4"/>
      <c r="RJA1533" s="6"/>
      <c r="RJB1533" s="4"/>
      <c r="RJC1533" s="6"/>
      <c r="RJD1533" s="4"/>
      <c r="RJE1533" s="6"/>
      <c r="RJF1533" s="4"/>
      <c r="RJG1533" s="6"/>
      <c r="RJH1533" s="4"/>
      <c r="RJI1533" s="6"/>
      <c r="RJJ1533" s="4"/>
      <c r="RJK1533" s="6"/>
      <c r="RJL1533" s="4"/>
      <c r="RJM1533" s="6"/>
      <c r="RJN1533" s="4"/>
      <c r="RJO1533" s="6"/>
      <c r="RJP1533" s="4"/>
      <c r="RJQ1533" s="6"/>
      <c r="RJR1533" s="4"/>
      <c r="RJS1533" s="6"/>
      <c r="RJT1533" s="4"/>
      <c r="RJU1533" s="6"/>
      <c r="RJV1533" s="4"/>
      <c r="RJW1533" s="6"/>
      <c r="RJX1533" s="4"/>
      <c r="RJY1533" s="6"/>
      <c r="RJZ1533" s="4"/>
      <c r="RKA1533" s="6"/>
      <c r="RKB1533" s="4"/>
      <c r="RKC1533" s="6"/>
      <c r="RKD1533" s="4"/>
      <c r="RKE1533" s="6"/>
      <c r="RKF1533" s="4"/>
      <c r="RKG1533" s="6"/>
      <c r="RKH1533" s="4"/>
      <c r="RKI1533" s="6"/>
      <c r="RKJ1533" s="4"/>
      <c r="RKK1533" s="6"/>
      <c r="RKL1533" s="4"/>
      <c r="RKM1533" s="6"/>
      <c r="RKN1533" s="4"/>
      <c r="RKO1533" s="6"/>
      <c r="RKP1533" s="4"/>
      <c r="RKQ1533" s="6"/>
      <c r="RKR1533" s="4"/>
      <c r="RKS1533" s="6"/>
      <c r="RKT1533" s="4"/>
      <c r="RKU1533" s="6"/>
      <c r="RKV1533" s="4"/>
      <c r="RKW1533" s="6"/>
      <c r="RKX1533" s="4"/>
      <c r="RKY1533" s="6"/>
      <c r="RKZ1533" s="4"/>
      <c r="RLA1533" s="6"/>
      <c r="RLB1533" s="4"/>
      <c r="RLC1533" s="6"/>
      <c r="RLD1533" s="4"/>
      <c r="RLE1533" s="6"/>
      <c r="RLF1533" s="4"/>
      <c r="RLG1533" s="6"/>
      <c r="RLH1533" s="4"/>
      <c r="RLI1533" s="6"/>
      <c r="RLJ1533" s="4"/>
      <c r="RLK1533" s="6"/>
      <c r="RLL1533" s="4"/>
      <c r="RLM1533" s="6"/>
      <c r="RLN1533" s="4"/>
      <c r="RLO1533" s="6"/>
      <c r="RLP1533" s="4"/>
      <c r="RLQ1533" s="6"/>
      <c r="RLR1533" s="4"/>
      <c r="RLS1533" s="6"/>
      <c r="RLT1533" s="4"/>
      <c r="RLU1533" s="6"/>
      <c r="RLV1533" s="4"/>
      <c r="RLW1533" s="6"/>
      <c r="RLX1533" s="4"/>
      <c r="RLY1533" s="6"/>
      <c r="RLZ1533" s="4"/>
      <c r="RMA1533" s="6"/>
      <c r="RMB1533" s="4"/>
      <c r="RMC1533" s="6"/>
      <c r="RMD1533" s="4"/>
      <c r="RME1533" s="6"/>
      <c r="RMF1533" s="4"/>
      <c r="RMG1533" s="6"/>
      <c r="RMH1533" s="4"/>
      <c r="RMI1533" s="6"/>
      <c r="RMJ1533" s="4"/>
      <c r="RMK1533" s="6"/>
      <c r="RML1533" s="4"/>
      <c r="RMM1533" s="6"/>
      <c r="RMN1533" s="4"/>
      <c r="RMO1533" s="6"/>
      <c r="RMP1533" s="4"/>
      <c r="RMQ1533" s="6"/>
      <c r="RMR1533" s="4"/>
      <c r="RMS1533" s="6"/>
      <c r="RMT1533" s="4"/>
      <c r="RMU1533" s="6"/>
      <c r="RMV1533" s="4"/>
      <c r="RMW1533" s="6"/>
      <c r="RMX1533" s="4"/>
      <c r="RMY1533" s="6"/>
      <c r="RMZ1533" s="4"/>
      <c r="RNA1533" s="6"/>
      <c r="RNB1533" s="4"/>
      <c r="RNC1533" s="6"/>
      <c r="RND1533" s="4"/>
      <c r="RNE1533" s="6"/>
      <c r="RNF1533" s="4"/>
      <c r="RNG1533" s="6"/>
      <c r="RNH1533" s="4"/>
      <c r="RNI1533" s="6"/>
      <c r="RNJ1533" s="4"/>
      <c r="RNK1533" s="6"/>
      <c r="RNL1533" s="4"/>
      <c r="RNM1533" s="6"/>
      <c r="RNN1533" s="4"/>
      <c r="RNO1533" s="6"/>
      <c r="RNP1533" s="4"/>
      <c r="RNQ1533" s="6"/>
      <c r="RNR1533" s="4"/>
      <c r="RNS1533" s="6"/>
      <c r="RNT1533" s="4"/>
      <c r="RNU1533" s="6"/>
      <c r="RNV1533" s="4"/>
      <c r="RNW1533" s="6"/>
      <c r="RNX1533" s="4"/>
      <c r="RNY1533" s="6"/>
      <c r="RNZ1533" s="4"/>
      <c r="ROA1533" s="6"/>
      <c r="ROB1533" s="4"/>
      <c r="ROC1533" s="6"/>
      <c r="ROD1533" s="4"/>
      <c r="ROE1533" s="6"/>
      <c r="ROF1533" s="4"/>
      <c r="ROG1533" s="6"/>
      <c r="ROH1533" s="4"/>
      <c r="ROI1533" s="6"/>
      <c r="ROJ1533" s="4"/>
      <c r="ROK1533" s="6"/>
      <c r="ROL1533" s="4"/>
      <c r="ROM1533" s="6"/>
      <c r="RON1533" s="4"/>
      <c r="ROO1533" s="6"/>
      <c r="ROP1533" s="4"/>
      <c r="ROQ1533" s="6"/>
      <c r="ROR1533" s="4"/>
      <c r="ROS1533" s="6"/>
      <c r="ROT1533" s="4"/>
      <c r="ROU1533" s="6"/>
      <c r="ROV1533" s="4"/>
      <c r="ROW1533" s="6"/>
      <c r="ROX1533" s="4"/>
      <c r="ROY1533" s="6"/>
      <c r="ROZ1533" s="4"/>
      <c r="RPA1533" s="6"/>
      <c r="RPB1533" s="4"/>
      <c r="RPC1533" s="6"/>
      <c r="RPD1533" s="4"/>
      <c r="RPE1533" s="6"/>
      <c r="RPF1533" s="4"/>
      <c r="RPG1533" s="6"/>
      <c r="RPH1533" s="4"/>
      <c r="RPI1533" s="6"/>
      <c r="RPJ1533" s="4"/>
      <c r="RPK1533" s="6"/>
      <c r="RPL1533" s="4"/>
      <c r="RPM1533" s="6"/>
      <c r="RPN1533" s="4"/>
      <c r="RPO1533" s="6"/>
      <c r="RPP1533" s="4"/>
      <c r="RPQ1533" s="6"/>
      <c r="RPR1533" s="4"/>
      <c r="RPS1533" s="6"/>
      <c r="RPT1533" s="4"/>
      <c r="RPU1533" s="6"/>
      <c r="RPV1533" s="4"/>
      <c r="RPW1533" s="6"/>
      <c r="RPX1533" s="4"/>
      <c r="RPY1533" s="6"/>
      <c r="RPZ1533" s="4"/>
      <c r="RQA1533" s="6"/>
      <c r="RQB1533" s="4"/>
      <c r="RQC1533" s="6"/>
      <c r="RQD1533" s="4"/>
      <c r="RQE1533" s="6"/>
      <c r="RQF1533" s="4"/>
      <c r="RQG1533" s="6"/>
      <c r="RQH1533" s="4"/>
      <c r="RQI1533" s="6"/>
      <c r="RQJ1533" s="4"/>
      <c r="RQK1533" s="6"/>
      <c r="RQL1533" s="4"/>
      <c r="RQM1533" s="6"/>
      <c r="RQN1533" s="4"/>
      <c r="RQO1533" s="6"/>
      <c r="RQP1533" s="4"/>
      <c r="RQQ1533" s="6"/>
      <c r="RQR1533" s="4"/>
      <c r="RQS1533" s="6"/>
      <c r="RQT1533" s="4"/>
      <c r="RQU1533" s="6"/>
      <c r="RQV1533" s="4"/>
      <c r="RQW1533" s="6"/>
      <c r="RQX1533" s="4"/>
      <c r="RQY1533" s="6"/>
      <c r="RQZ1533" s="4"/>
      <c r="RRA1533" s="6"/>
      <c r="RRB1533" s="4"/>
      <c r="RRC1533" s="6"/>
      <c r="RRD1533" s="4"/>
      <c r="RRE1533" s="6"/>
      <c r="RRF1533" s="4"/>
      <c r="RRG1533" s="6"/>
      <c r="RRH1533" s="4"/>
      <c r="RRI1533" s="6"/>
      <c r="RRJ1533" s="4"/>
      <c r="RRK1533" s="6"/>
      <c r="RRL1533" s="4"/>
      <c r="RRM1533" s="6"/>
      <c r="RRN1533" s="4"/>
      <c r="RRO1533" s="6"/>
      <c r="RRP1533" s="4"/>
      <c r="RRQ1533" s="6"/>
      <c r="RRR1533" s="4"/>
      <c r="RRS1533" s="6"/>
      <c r="RRT1533" s="4"/>
      <c r="RRU1533" s="6"/>
      <c r="RRV1533" s="4"/>
      <c r="RRW1533" s="6"/>
      <c r="RRX1533" s="4"/>
      <c r="RRY1533" s="6"/>
      <c r="RRZ1533" s="4"/>
      <c r="RSA1533" s="6"/>
      <c r="RSB1533" s="4"/>
      <c r="RSC1533" s="6"/>
      <c r="RSD1533" s="4"/>
      <c r="RSE1533" s="6"/>
      <c r="RSF1533" s="4"/>
      <c r="RSG1533" s="6"/>
      <c r="RSH1533" s="4"/>
      <c r="RSI1533" s="6"/>
      <c r="RSJ1533" s="4"/>
      <c r="RSK1533" s="6"/>
      <c r="RSL1533" s="4"/>
      <c r="RSM1533" s="6"/>
      <c r="RSN1533" s="4"/>
      <c r="RSO1533" s="6"/>
      <c r="RSP1533" s="4"/>
      <c r="RSQ1533" s="6"/>
      <c r="RSR1533" s="4"/>
      <c r="RSS1533" s="6"/>
      <c r="RST1533" s="4"/>
      <c r="RSU1533" s="6"/>
      <c r="RSV1533" s="4"/>
      <c r="RSW1533" s="6"/>
      <c r="RSX1533" s="4"/>
      <c r="RSY1533" s="6"/>
      <c r="RSZ1533" s="4"/>
      <c r="RTA1533" s="6"/>
      <c r="RTB1533" s="4"/>
      <c r="RTC1533" s="6"/>
      <c r="RTD1533" s="4"/>
      <c r="RTE1533" s="6"/>
      <c r="RTF1533" s="4"/>
      <c r="RTG1533" s="6"/>
      <c r="RTH1533" s="4"/>
      <c r="RTI1533" s="6"/>
      <c r="RTJ1533" s="4"/>
      <c r="RTK1533" s="6"/>
      <c r="RTL1533" s="4"/>
      <c r="RTM1533" s="6"/>
      <c r="RTN1533" s="4"/>
      <c r="RTO1533" s="6"/>
      <c r="RTP1533" s="4"/>
      <c r="RTQ1533" s="6"/>
      <c r="RTR1533" s="4"/>
      <c r="RTS1533" s="6"/>
      <c r="RTT1533" s="4"/>
      <c r="RTU1533" s="6"/>
      <c r="RTV1533" s="4"/>
      <c r="RTW1533" s="6"/>
      <c r="RTX1533" s="4"/>
      <c r="RTY1533" s="6"/>
      <c r="RTZ1533" s="4"/>
      <c r="RUA1533" s="6"/>
      <c r="RUB1533" s="4"/>
      <c r="RUC1533" s="6"/>
      <c r="RUD1533" s="4"/>
      <c r="RUE1533" s="6"/>
      <c r="RUF1533" s="4"/>
      <c r="RUG1533" s="6"/>
      <c r="RUH1533" s="4"/>
      <c r="RUI1533" s="6"/>
      <c r="RUJ1533" s="4"/>
      <c r="RUK1533" s="6"/>
      <c r="RUL1533" s="4"/>
      <c r="RUM1533" s="6"/>
      <c r="RUN1533" s="4"/>
      <c r="RUO1533" s="6"/>
      <c r="RUP1533" s="4"/>
      <c r="RUQ1533" s="6"/>
      <c r="RUR1533" s="4"/>
      <c r="RUS1533" s="6"/>
      <c r="RUT1533" s="4"/>
      <c r="RUU1533" s="6"/>
      <c r="RUV1533" s="4"/>
      <c r="RUW1533" s="6"/>
      <c r="RUX1533" s="4"/>
      <c r="RUY1533" s="6"/>
      <c r="RUZ1533" s="4"/>
      <c r="RVA1533" s="6"/>
      <c r="RVB1533" s="4"/>
      <c r="RVC1533" s="6"/>
      <c r="RVD1533" s="4"/>
      <c r="RVE1533" s="6"/>
      <c r="RVF1533" s="4"/>
      <c r="RVG1533" s="6"/>
      <c r="RVH1533" s="4"/>
      <c r="RVI1533" s="6"/>
      <c r="RVJ1533" s="4"/>
      <c r="RVK1533" s="6"/>
      <c r="RVL1533" s="4"/>
      <c r="RVM1533" s="6"/>
      <c r="RVN1533" s="4"/>
      <c r="RVO1533" s="6"/>
      <c r="RVP1533" s="4"/>
      <c r="RVQ1533" s="6"/>
      <c r="RVR1533" s="4"/>
      <c r="RVS1533" s="6"/>
      <c r="RVT1533" s="4"/>
      <c r="RVU1533" s="6"/>
      <c r="RVV1533" s="4"/>
      <c r="RVW1533" s="6"/>
      <c r="RVX1533" s="4"/>
      <c r="RVY1533" s="6"/>
      <c r="RVZ1533" s="4"/>
      <c r="RWA1533" s="6"/>
      <c r="RWB1533" s="4"/>
      <c r="RWC1533" s="6"/>
      <c r="RWD1533" s="4"/>
      <c r="RWE1533" s="6"/>
      <c r="RWF1533" s="4"/>
      <c r="RWG1533" s="6"/>
      <c r="RWH1533" s="4"/>
      <c r="RWI1533" s="6"/>
      <c r="RWJ1533" s="4"/>
      <c r="RWK1533" s="6"/>
      <c r="RWL1533" s="4"/>
      <c r="RWM1533" s="6"/>
      <c r="RWN1533" s="4"/>
      <c r="RWO1533" s="6"/>
      <c r="RWP1533" s="4"/>
      <c r="RWQ1533" s="6"/>
      <c r="RWR1533" s="4"/>
      <c r="RWS1533" s="6"/>
      <c r="RWT1533" s="4"/>
      <c r="RWU1533" s="6"/>
      <c r="RWV1533" s="4"/>
      <c r="RWW1533" s="6"/>
      <c r="RWX1533" s="4"/>
      <c r="RWY1533" s="6"/>
      <c r="RWZ1533" s="4"/>
      <c r="RXA1533" s="6"/>
      <c r="RXB1533" s="4"/>
      <c r="RXC1533" s="6"/>
      <c r="RXD1533" s="4"/>
      <c r="RXE1533" s="6"/>
      <c r="RXF1533" s="4"/>
      <c r="RXG1533" s="6"/>
      <c r="RXH1533" s="4"/>
      <c r="RXI1533" s="6"/>
      <c r="RXJ1533" s="4"/>
      <c r="RXK1533" s="6"/>
      <c r="RXL1533" s="4"/>
      <c r="RXM1533" s="6"/>
      <c r="RXN1533" s="4"/>
      <c r="RXO1533" s="6"/>
      <c r="RXP1533" s="4"/>
      <c r="RXQ1533" s="6"/>
      <c r="RXR1533" s="4"/>
      <c r="RXS1533" s="6"/>
      <c r="RXT1533" s="4"/>
      <c r="RXU1533" s="6"/>
      <c r="RXV1533" s="4"/>
      <c r="RXW1533" s="6"/>
      <c r="RXX1533" s="4"/>
      <c r="RXY1533" s="6"/>
      <c r="RXZ1533" s="4"/>
      <c r="RYA1533" s="6"/>
      <c r="RYB1533" s="4"/>
      <c r="RYC1533" s="6"/>
      <c r="RYD1533" s="4"/>
      <c r="RYE1533" s="6"/>
      <c r="RYF1533" s="4"/>
      <c r="RYG1533" s="6"/>
      <c r="RYH1533" s="4"/>
      <c r="RYI1533" s="6"/>
      <c r="RYJ1533" s="4"/>
      <c r="RYK1533" s="6"/>
      <c r="RYL1533" s="4"/>
      <c r="RYM1533" s="6"/>
      <c r="RYN1533" s="4"/>
      <c r="RYO1533" s="6"/>
      <c r="RYP1533" s="4"/>
      <c r="RYQ1533" s="6"/>
      <c r="RYR1533" s="4"/>
      <c r="RYS1533" s="6"/>
      <c r="RYT1533" s="4"/>
      <c r="RYU1533" s="6"/>
      <c r="RYV1533" s="4"/>
      <c r="RYW1533" s="6"/>
      <c r="RYX1533" s="4"/>
      <c r="RYY1533" s="6"/>
      <c r="RYZ1533" s="4"/>
      <c r="RZA1533" s="6"/>
      <c r="RZB1533" s="4"/>
      <c r="RZC1533" s="6"/>
      <c r="RZD1533" s="4"/>
      <c r="RZE1533" s="6"/>
      <c r="RZF1533" s="4"/>
      <c r="RZG1533" s="6"/>
      <c r="RZH1533" s="4"/>
      <c r="RZI1533" s="6"/>
      <c r="RZJ1533" s="4"/>
      <c r="RZK1533" s="6"/>
      <c r="RZL1533" s="4"/>
      <c r="RZM1533" s="6"/>
      <c r="RZN1533" s="4"/>
      <c r="RZO1533" s="6"/>
      <c r="RZP1533" s="4"/>
      <c r="RZQ1533" s="6"/>
      <c r="RZR1533" s="4"/>
      <c r="RZS1533" s="6"/>
      <c r="RZT1533" s="4"/>
      <c r="RZU1533" s="6"/>
      <c r="RZV1533" s="4"/>
      <c r="RZW1533" s="6"/>
      <c r="RZX1533" s="4"/>
      <c r="RZY1533" s="6"/>
      <c r="RZZ1533" s="4"/>
      <c r="SAA1533" s="6"/>
      <c r="SAB1533" s="4"/>
      <c r="SAC1533" s="6"/>
      <c r="SAD1533" s="4"/>
      <c r="SAE1533" s="6"/>
      <c r="SAF1533" s="4"/>
      <c r="SAG1533" s="6"/>
      <c r="SAH1533" s="4"/>
      <c r="SAI1533" s="6"/>
      <c r="SAJ1533" s="4"/>
      <c r="SAK1533" s="6"/>
      <c r="SAL1533" s="4"/>
      <c r="SAM1533" s="6"/>
      <c r="SAN1533" s="4"/>
      <c r="SAO1533" s="6"/>
      <c r="SAP1533" s="4"/>
      <c r="SAQ1533" s="6"/>
      <c r="SAR1533" s="4"/>
      <c r="SAS1533" s="6"/>
      <c r="SAT1533" s="4"/>
      <c r="SAU1533" s="6"/>
      <c r="SAV1533" s="4"/>
      <c r="SAW1533" s="6"/>
      <c r="SAX1533" s="4"/>
      <c r="SAY1533" s="6"/>
      <c r="SAZ1533" s="4"/>
      <c r="SBA1533" s="6"/>
      <c r="SBB1533" s="4"/>
      <c r="SBC1533" s="6"/>
      <c r="SBD1533" s="4"/>
      <c r="SBE1533" s="6"/>
      <c r="SBF1533" s="4"/>
      <c r="SBG1533" s="6"/>
      <c r="SBH1533" s="4"/>
      <c r="SBI1533" s="6"/>
      <c r="SBJ1533" s="4"/>
      <c r="SBK1533" s="6"/>
      <c r="SBL1533" s="4"/>
      <c r="SBM1533" s="6"/>
      <c r="SBN1533" s="4"/>
      <c r="SBO1533" s="6"/>
      <c r="SBP1533" s="4"/>
      <c r="SBQ1533" s="6"/>
      <c r="SBR1533" s="4"/>
      <c r="SBS1533" s="6"/>
      <c r="SBT1533" s="4"/>
      <c r="SBU1533" s="6"/>
      <c r="SBV1533" s="4"/>
      <c r="SBW1533" s="6"/>
      <c r="SBX1533" s="4"/>
      <c r="SBY1533" s="6"/>
      <c r="SBZ1533" s="4"/>
      <c r="SCA1533" s="6"/>
      <c r="SCB1533" s="4"/>
      <c r="SCC1533" s="6"/>
      <c r="SCD1533" s="4"/>
      <c r="SCE1533" s="6"/>
      <c r="SCF1533" s="4"/>
      <c r="SCG1533" s="6"/>
      <c r="SCH1533" s="4"/>
      <c r="SCI1533" s="6"/>
      <c r="SCJ1533" s="4"/>
      <c r="SCK1533" s="6"/>
      <c r="SCL1533" s="4"/>
      <c r="SCM1533" s="6"/>
      <c r="SCN1533" s="4"/>
      <c r="SCO1533" s="6"/>
      <c r="SCP1533" s="4"/>
      <c r="SCQ1533" s="6"/>
      <c r="SCR1533" s="4"/>
      <c r="SCS1533" s="6"/>
      <c r="SCT1533" s="4"/>
      <c r="SCU1533" s="6"/>
      <c r="SCV1533" s="4"/>
      <c r="SCW1533" s="6"/>
      <c r="SCX1533" s="4"/>
      <c r="SCY1533" s="6"/>
      <c r="SCZ1533" s="4"/>
      <c r="SDA1533" s="6"/>
      <c r="SDB1533" s="4"/>
      <c r="SDC1533" s="6"/>
      <c r="SDD1533" s="4"/>
      <c r="SDE1533" s="6"/>
      <c r="SDF1533" s="4"/>
      <c r="SDG1533" s="6"/>
      <c r="SDH1533" s="4"/>
      <c r="SDI1533" s="6"/>
      <c r="SDJ1533" s="4"/>
      <c r="SDK1533" s="6"/>
      <c r="SDL1533" s="4"/>
      <c r="SDM1533" s="6"/>
      <c r="SDN1533" s="4"/>
      <c r="SDO1533" s="6"/>
      <c r="SDP1533" s="4"/>
      <c r="SDQ1533" s="6"/>
      <c r="SDR1533" s="4"/>
      <c r="SDS1533" s="6"/>
      <c r="SDT1533" s="4"/>
      <c r="SDU1533" s="6"/>
      <c r="SDV1533" s="4"/>
      <c r="SDW1533" s="6"/>
      <c r="SDX1533" s="4"/>
      <c r="SDY1533" s="6"/>
      <c r="SDZ1533" s="4"/>
      <c r="SEA1533" s="6"/>
      <c r="SEB1533" s="4"/>
      <c r="SEC1533" s="6"/>
      <c r="SED1533" s="4"/>
      <c r="SEE1533" s="6"/>
      <c r="SEF1533" s="4"/>
      <c r="SEG1533" s="6"/>
      <c r="SEH1533" s="4"/>
      <c r="SEI1533" s="6"/>
      <c r="SEJ1533" s="4"/>
      <c r="SEK1533" s="6"/>
      <c r="SEL1533" s="4"/>
      <c r="SEM1533" s="6"/>
      <c r="SEN1533" s="4"/>
      <c r="SEO1533" s="6"/>
      <c r="SEP1533" s="4"/>
      <c r="SEQ1533" s="6"/>
      <c r="SER1533" s="4"/>
      <c r="SES1533" s="6"/>
      <c r="SET1533" s="4"/>
      <c r="SEU1533" s="6"/>
      <c r="SEV1533" s="4"/>
      <c r="SEW1533" s="6"/>
      <c r="SEX1533" s="4"/>
      <c r="SEY1533" s="6"/>
      <c r="SEZ1533" s="4"/>
      <c r="SFA1533" s="6"/>
      <c r="SFB1533" s="4"/>
      <c r="SFC1533" s="6"/>
      <c r="SFD1533" s="4"/>
      <c r="SFE1533" s="6"/>
      <c r="SFF1533" s="4"/>
      <c r="SFG1533" s="6"/>
      <c r="SFH1533" s="4"/>
      <c r="SFI1533" s="6"/>
      <c r="SFJ1533" s="4"/>
      <c r="SFK1533" s="6"/>
      <c r="SFL1533" s="4"/>
      <c r="SFM1533" s="6"/>
      <c r="SFN1533" s="4"/>
      <c r="SFO1533" s="6"/>
      <c r="SFP1533" s="4"/>
      <c r="SFQ1533" s="6"/>
      <c r="SFR1533" s="4"/>
      <c r="SFS1533" s="6"/>
      <c r="SFT1533" s="4"/>
      <c r="SFU1533" s="6"/>
      <c r="SFV1533" s="4"/>
      <c r="SFW1533" s="6"/>
      <c r="SFX1533" s="4"/>
      <c r="SFY1533" s="6"/>
      <c r="SFZ1533" s="4"/>
      <c r="SGA1533" s="6"/>
      <c r="SGB1533" s="4"/>
      <c r="SGC1533" s="6"/>
      <c r="SGD1533" s="4"/>
      <c r="SGE1533" s="6"/>
      <c r="SGF1533" s="4"/>
      <c r="SGG1533" s="6"/>
      <c r="SGH1533" s="4"/>
      <c r="SGI1533" s="6"/>
      <c r="SGJ1533" s="4"/>
      <c r="SGK1533" s="6"/>
      <c r="SGL1533" s="4"/>
      <c r="SGM1533" s="6"/>
      <c r="SGN1533" s="4"/>
      <c r="SGO1533" s="6"/>
      <c r="SGP1533" s="4"/>
      <c r="SGQ1533" s="6"/>
      <c r="SGR1533" s="4"/>
      <c r="SGS1533" s="6"/>
      <c r="SGT1533" s="4"/>
      <c r="SGU1533" s="6"/>
      <c r="SGV1533" s="4"/>
      <c r="SGW1533" s="6"/>
      <c r="SGX1533" s="4"/>
      <c r="SGY1533" s="6"/>
      <c r="SGZ1533" s="4"/>
      <c r="SHA1533" s="6"/>
      <c r="SHB1533" s="4"/>
      <c r="SHC1533" s="6"/>
      <c r="SHD1533" s="4"/>
      <c r="SHE1533" s="6"/>
      <c r="SHF1533" s="4"/>
      <c r="SHG1533" s="6"/>
      <c r="SHH1533" s="4"/>
      <c r="SHI1533" s="6"/>
      <c r="SHJ1533" s="4"/>
      <c r="SHK1533" s="6"/>
      <c r="SHL1533" s="4"/>
      <c r="SHM1533" s="6"/>
      <c r="SHN1533" s="4"/>
      <c r="SHO1533" s="6"/>
      <c r="SHP1533" s="4"/>
      <c r="SHQ1533" s="6"/>
      <c r="SHR1533" s="4"/>
      <c r="SHS1533" s="6"/>
      <c r="SHT1533" s="4"/>
      <c r="SHU1533" s="6"/>
      <c r="SHV1533" s="4"/>
      <c r="SHW1533" s="6"/>
      <c r="SHX1533" s="4"/>
      <c r="SHY1533" s="6"/>
      <c r="SHZ1533" s="4"/>
      <c r="SIA1533" s="6"/>
      <c r="SIB1533" s="4"/>
      <c r="SIC1533" s="6"/>
      <c r="SID1533" s="4"/>
      <c r="SIE1533" s="6"/>
      <c r="SIF1533" s="4"/>
      <c r="SIG1533" s="6"/>
      <c r="SIH1533" s="4"/>
      <c r="SII1533" s="6"/>
      <c r="SIJ1533" s="4"/>
      <c r="SIK1533" s="6"/>
      <c r="SIL1533" s="4"/>
      <c r="SIM1533" s="6"/>
      <c r="SIN1533" s="4"/>
      <c r="SIO1533" s="6"/>
      <c r="SIP1533" s="4"/>
      <c r="SIQ1533" s="6"/>
      <c r="SIR1533" s="4"/>
      <c r="SIS1533" s="6"/>
      <c r="SIT1533" s="4"/>
      <c r="SIU1533" s="6"/>
      <c r="SIV1533" s="4"/>
      <c r="SIW1533" s="6"/>
      <c r="SIX1533" s="4"/>
      <c r="SIY1533" s="6"/>
      <c r="SIZ1533" s="4"/>
      <c r="SJA1533" s="6"/>
      <c r="SJB1533" s="4"/>
      <c r="SJC1533" s="6"/>
      <c r="SJD1533" s="4"/>
      <c r="SJE1533" s="6"/>
      <c r="SJF1533" s="4"/>
      <c r="SJG1533" s="6"/>
      <c r="SJH1533" s="4"/>
      <c r="SJI1533" s="6"/>
      <c r="SJJ1533" s="4"/>
      <c r="SJK1533" s="6"/>
      <c r="SJL1533" s="4"/>
      <c r="SJM1533" s="6"/>
      <c r="SJN1533" s="4"/>
      <c r="SJO1533" s="6"/>
      <c r="SJP1533" s="4"/>
      <c r="SJQ1533" s="6"/>
      <c r="SJR1533" s="4"/>
      <c r="SJS1533" s="6"/>
      <c r="SJT1533" s="4"/>
      <c r="SJU1533" s="6"/>
      <c r="SJV1533" s="4"/>
      <c r="SJW1533" s="6"/>
      <c r="SJX1533" s="4"/>
      <c r="SJY1533" s="6"/>
      <c r="SJZ1533" s="4"/>
      <c r="SKA1533" s="6"/>
      <c r="SKB1533" s="4"/>
      <c r="SKC1533" s="6"/>
      <c r="SKD1533" s="4"/>
      <c r="SKE1533" s="6"/>
      <c r="SKF1533" s="4"/>
      <c r="SKG1533" s="6"/>
      <c r="SKH1533" s="4"/>
      <c r="SKI1533" s="6"/>
      <c r="SKJ1533" s="4"/>
      <c r="SKK1533" s="6"/>
      <c r="SKL1533" s="4"/>
      <c r="SKM1533" s="6"/>
      <c r="SKN1533" s="4"/>
      <c r="SKO1533" s="6"/>
      <c r="SKP1533" s="4"/>
      <c r="SKQ1533" s="6"/>
      <c r="SKR1533" s="4"/>
      <c r="SKS1533" s="6"/>
      <c r="SKT1533" s="4"/>
      <c r="SKU1533" s="6"/>
      <c r="SKV1533" s="4"/>
      <c r="SKW1533" s="6"/>
      <c r="SKX1533" s="4"/>
      <c r="SKY1533" s="6"/>
      <c r="SKZ1533" s="4"/>
      <c r="SLA1533" s="6"/>
      <c r="SLB1533" s="4"/>
      <c r="SLC1533" s="6"/>
      <c r="SLD1533" s="4"/>
      <c r="SLE1533" s="6"/>
      <c r="SLF1533" s="4"/>
      <c r="SLG1533" s="6"/>
      <c r="SLH1533" s="4"/>
      <c r="SLI1533" s="6"/>
      <c r="SLJ1533" s="4"/>
      <c r="SLK1533" s="6"/>
      <c r="SLL1533" s="4"/>
      <c r="SLM1533" s="6"/>
      <c r="SLN1533" s="4"/>
      <c r="SLO1533" s="6"/>
      <c r="SLP1533" s="4"/>
      <c r="SLQ1533" s="6"/>
      <c r="SLR1533" s="4"/>
      <c r="SLS1533" s="6"/>
      <c r="SLT1533" s="4"/>
      <c r="SLU1533" s="6"/>
      <c r="SLV1533" s="4"/>
      <c r="SLW1533" s="6"/>
      <c r="SLX1533" s="4"/>
      <c r="SLY1533" s="6"/>
      <c r="SLZ1533" s="4"/>
      <c r="SMA1533" s="6"/>
      <c r="SMB1533" s="4"/>
      <c r="SMC1533" s="6"/>
      <c r="SMD1533" s="4"/>
      <c r="SME1533" s="6"/>
      <c r="SMF1533" s="4"/>
      <c r="SMG1533" s="6"/>
      <c r="SMH1533" s="4"/>
      <c r="SMI1533" s="6"/>
      <c r="SMJ1533" s="4"/>
      <c r="SMK1533" s="6"/>
      <c r="SML1533" s="4"/>
      <c r="SMM1533" s="6"/>
      <c r="SMN1533" s="4"/>
      <c r="SMO1533" s="6"/>
      <c r="SMP1533" s="4"/>
      <c r="SMQ1533" s="6"/>
      <c r="SMR1533" s="4"/>
      <c r="SMS1533" s="6"/>
      <c r="SMT1533" s="4"/>
      <c r="SMU1533" s="6"/>
      <c r="SMV1533" s="4"/>
      <c r="SMW1533" s="6"/>
      <c r="SMX1533" s="4"/>
      <c r="SMY1533" s="6"/>
      <c r="SMZ1533" s="4"/>
      <c r="SNA1533" s="6"/>
      <c r="SNB1533" s="4"/>
      <c r="SNC1533" s="6"/>
      <c r="SND1533" s="4"/>
      <c r="SNE1533" s="6"/>
      <c r="SNF1533" s="4"/>
      <c r="SNG1533" s="6"/>
      <c r="SNH1533" s="4"/>
      <c r="SNI1533" s="6"/>
      <c r="SNJ1533" s="4"/>
      <c r="SNK1533" s="6"/>
      <c r="SNL1533" s="4"/>
      <c r="SNM1533" s="6"/>
      <c r="SNN1533" s="4"/>
      <c r="SNO1533" s="6"/>
      <c r="SNP1533" s="4"/>
      <c r="SNQ1533" s="6"/>
      <c r="SNR1533" s="4"/>
      <c r="SNS1533" s="6"/>
      <c r="SNT1533" s="4"/>
      <c r="SNU1533" s="6"/>
      <c r="SNV1533" s="4"/>
      <c r="SNW1533" s="6"/>
      <c r="SNX1533" s="4"/>
      <c r="SNY1533" s="6"/>
      <c r="SNZ1533" s="4"/>
      <c r="SOA1533" s="6"/>
      <c r="SOB1533" s="4"/>
      <c r="SOC1533" s="6"/>
      <c r="SOD1533" s="4"/>
      <c r="SOE1533" s="6"/>
      <c r="SOF1533" s="4"/>
      <c r="SOG1533" s="6"/>
      <c r="SOH1533" s="4"/>
      <c r="SOI1533" s="6"/>
      <c r="SOJ1533" s="4"/>
      <c r="SOK1533" s="6"/>
      <c r="SOL1533" s="4"/>
      <c r="SOM1533" s="6"/>
      <c r="SON1533" s="4"/>
      <c r="SOO1533" s="6"/>
      <c r="SOP1533" s="4"/>
      <c r="SOQ1533" s="6"/>
      <c r="SOR1533" s="4"/>
      <c r="SOS1533" s="6"/>
      <c r="SOT1533" s="4"/>
      <c r="SOU1533" s="6"/>
      <c r="SOV1533" s="4"/>
      <c r="SOW1533" s="6"/>
      <c r="SOX1533" s="4"/>
      <c r="SOY1533" s="6"/>
      <c r="SOZ1533" s="4"/>
      <c r="SPA1533" s="6"/>
      <c r="SPB1533" s="4"/>
      <c r="SPC1533" s="6"/>
      <c r="SPD1533" s="4"/>
      <c r="SPE1533" s="6"/>
      <c r="SPF1533" s="4"/>
      <c r="SPG1533" s="6"/>
      <c r="SPH1533" s="4"/>
      <c r="SPI1533" s="6"/>
      <c r="SPJ1533" s="4"/>
      <c r="SPK1533" s="6"/>
      <c r="SPL1533" s="4"/>
      <c r="SPM1533" s="6"/>
      <c r="SPN1533" s="4"/>
      <c r="SPO1533" s="6"/>
      <c r="SPP1533" s="4"/>
      <c r="SPQ1533" s="6"/>
      <c r="SPR1533" s="4"/>
      <c r="SPS1533" s="6"/>
      <c r="SPT1533" s="4"/>
      <c r="SPU1533" s="6"/>
      <c r="SPV1533" s="4"/>
      <c r="SPW1533" s="6"/>
      <c r="SPX1533" s="4"/>
      <c r="SPY1533" s="6"/>
      <c r="SPZ1533" s="4"/>
      <c r="SQA1533" s="6"/>
      <c r="SQB1533" s="4"/>
      <c r="SQC1533" s="6"/>
      <c r="SQD1533" s="4"/>
      <c r="SQE1533" s="6"/>
      <c r="SQF1533" s="4"/>
      <c r="SQG1533" s="6"/>
      <c r="SQH1533" s="4"/>
      <c r="SQI1533" s="6"/>
      <c r="SQJ1533" s="4"/>
      <c r="SQK1533" s="6"/>
      <c r="SQL1533" s="4"/>
      <c r="SQM1533" s="6"/>
      <c r="SQN1533" s="4"/>
      <c r="SQO1533" s="6"/>
      <c r="SQP1533" s="4"/>
      <c r="SQQ1533" s="6"/>
      <c r="SQR1533" s="4"/>
      <c r="SQS1533" s="6"/>
      <c r="SQT1533" s="4"/>
      <c r="SQU1533" s="6"/>
      <c r="SQV1533" s="4"/>
      <c r="SQW1533" s="6"/>
      <c r="SQX1533" s="4"/>
      <c r="SQY1533" s="6"/>
      <c r="SQZ1533" s="4"/>
      <c r="SRA1533" s="6"/>
      <c r="SRB1533" s="4"/>
      <c r="SRC1533" s="6"/>
      <c r="SRD1533" s="4"/>
      <c r="SRE1533" s="6"/>
      <c r="SRF1533" s="4"/>
      <c r="SRG1533" s="6"/>
      <c r="SRH1533" s="4"/>
      <c r="SRI1533" s="6"/>
      <c r="SRJ1533" s="4"/>
      <c r="SRK1533" s="6"/>
      <c r="SRL1533" s="4"/>
      <c r="SRM1533" s="6"/>
      <c r="SRN1533" s="4"/>
      <c r="SRO1533" s="6"/>
      <c r="SRP1533" s="4"/>
      <c r="SRQ1533" s="6"/>
      <c r="SRR1533" s="4"/>
      <c r="SRS1533" s="6"/>
      <c r="SRT1533" s="4"/>
      <c r="SRU1533" s="6"/>
      <c r="SRV1533" s="4"/>
      <c r="SRW1533" s="6"/>
      <c r="SRX1533" s="4"/>
      <c r="SRY1533" s="6"/>
      <c r="SRZ1533" s="4"/>
      <c r="SSA1533" s="6"/>
      <c r="SSB1533" s="4"/>
      <c r="SSC1533" s="6"/>
      <c r="SSD1533" s="4"/>
      <c r="SSE1533" s="6"/>
      <c r="SSF1533" s="4"/>
      <c r="SSG1533" s="6"/>
      <c r="SSH1533" s="4"/>
      <c r="SSI1533" s="6"/>
      <c r="SSJ1533" s="4"/>
      <c r="SSK1533" s="6"/>
      <c r="SSL1533" s="4"/>
      <c r="SSM1533" s="6"/>
      <c r="SSN1533" s="4"/>
      <c r="SSO1533" s="6"/>
      <c r="SSP1533" s="4"/>
      <c r="SSQ1533" s="6"/>
      <c r="SSR1533" s="4"/>
      <c r="SSS1533" s="6"/>
      <c r="SST1533" s="4"/>
      <c r="SSU1533" s="6"/>
      <c r="SSV1533" s="4"/>
      <c r="SSW1533" s="6"/>
      <c r="SSX1533" s="4"/>
      <c r="SSY1533" s="6"/>
      <c r="SSZ1533" s="4"/>
      <c r="STA1533" s="6"/>
      <c r="STB1533" s="4"/>
      <c r="STC1533" s="6"/>
      <c r="STD1533" s="4"/>
      <c r="STE1533" s="6"/>
      <c r="STF1533" s="4"/>
      <c r="STG1533" s="6"/>
      <c r="STH1533" s="4"/>
      <c r="STI1533" s="6"/>
      <c r="STJ1533" s="4"/>
      <c r="STK1533" s="6"/>
      <c r="STL1533" s="4"/>
      <c r="STM1533" s="6"/>
      <c r="STN1533" s="4"/>
      <c r="STO1533" s="6"/>
      <c r="STP1533" s="4"/>
      <c r="STQ1533" s="6"/>
      <c r="STR1533" s="4"/>
      <c r="STS1533" s="6"/>
      <c r="STT1533" s="4"/>
      <c r="STU1533" s="6"/>
      <c r="STV1533" s="4"/>
      <c r="STW1533" s="6"/>
      <c r="STX1533" s="4"/>
      <c r="STY1533" s="6"/>
      <c r="STZ1533" s="4"/>
      <c r="SUA1533" s="6"/>
      <c r="SUB1533" s="4"/>
      <c r="SUC1533" s="6"/>
      <c r="SUD1533" s="4"/>
      <c r="SUE1533" s="6"/>
      <c r="SUF1533" s="4"/>
      <c r="SUG1533" s="6"/>
      <c r="SUH1533" s="4"/>
      <c r="SUI1533" s="6"/>
      <c r="SUJ1533" s="4"/>
      <c r="SUK1533" s="6"/>
      <c r="SUL1533" s="4"/>
      <c r="SUM1533" s="6"/>
      <c r="SUN1533" s="4"/>
      <c r="SUO1533" s="6"/>
      <c r="SUP1533" s="4"/>
      <c r="SUQ1533" s="6"/>
      <c r="SUR1533" s="4"/>
      <c r="SUS1533" s="6"/>
      <c r="SUT1533" s="4"/>
      <c r="SUU1533" s="6"/>
      <c r="SUV1533" s="4"/>
      <c r="SUW1533" s="6"/>
      <c r="SUX1533" s="4"/>
      <c r="SUY1533" s="6"/>
      <c r="SUZ1533" s="4"/>
      <c r="SVA1533" s="6"/>
      <c r="SVB1533" s="4"/>
      <c r="SVC1533" s="6"/>
      <c r="SVD1533" s="4"/>
      <c r="SVE1533" s="6"/>
      <c r="SVF1533" s="4"/>
      <c r="SVG1533" s="6"/>
      <c r="SVH1533" s="4"/>
      <c r="SVI1533" s="6"/>
      <c r="SVJ1533" s="4"/>
      <c r="SVK1533" s="6"/>
      <c r="SVL1533" s="4"/>
      <c r="SVM1533" s="6"/>
      <c r="SVN1533" s="4"/>
      <c r="SVO1533" s="6"/>
      <c r="SVP1533" s="4"/>
      <c r="SVQ1533" s="6"/>
      <c r="SVR1533" s="4"/>
      <c r="SVS1533" s="6"/>
      <c r="SVT1533" s="4"/>
      <c r="SVU1533" s="6"/>
      <c r="SVV1533" s="4"/>
      <c r="SVW1533" s="6"/>
      <c r="SVX1533" s="4"/>
      <c r="SVY1533" s="6"/>
      <c r="SVZ1533" s="4"/>
      <c r="SWA1533" s="6"/>
      <c r="SWB1533" s="4"/>
      <c r="SWC1533" s="6"/>
      <c r="SWD1533" s="4"/>
      <c r="SWE1533" s="6"/>
      <c r="SWF1533" s="4"/>
      <c r="SWG1533" s="6"/>
      <c r="SWH1533" s="4"/>
      <c r="SWI1533" s="6"/>
      <c r="SWJ1533" s="4"/>
      <c r="SWK1533" s="6"/>
      <c r="SWL1533" s="4"/>
      <c r="SWM1533" s="6"/>
      <c r="SWN1533" s="4"/>
      <c r="SWO1533" s="6"/>
      <c r="SWP1533" s="4"/>
      <c r="SWQ1533" s="6"/>
      <c r="SWR1533" s="4"/>
      <c r="SWS1533" s="6"/>
      <c r="SWT1533" s="4"/>
      <c r="SWU1533" s="6"/>
      <c r="SWV1533" s="4"/>
      <c r="SWW1533" s="6"/>
      <c r="SWX1533" s="4"/>
      <c r="SWY1533" s="6"/>
      <c r="SWZ1533" s="4"/>
      <c r="SXA1533" s="6"/>
      <c r="SXB1533" s="4"/>
      <c r="SXC1533" s="6"/>
      <c r="SXD1533" s="4"/>
      <c r="SXE1533" s="6"/>
      <c r="SXF1533" s="4"/>
      <c r="SXG1533" s="6"/>
      <c r="SXH1533" s="4"/>
      <c r="SXI1533" s="6"/>
      <c r="SXJ1533" s="4"/>
      <c r="SXK1533" s="6"/>
      <c r="SXL1533" s="4"/>
      <c r="SXM1533" s="6"/>
      <c r="SXN1533" s="4"/>
      <c r="SXO1533" s="6"/>
      <c r="SXP1533" s="4"/>
      <c r="SXQ1533" s="6"/>
      <c r="SXR1533" s="4"/>
      <c r="SXS1533" s="6"/>
      <c r="SXT1533" s="4"/>
      <c r="SXU1533" s="6"/>
      <c r="SXV1533" s="4"/>
      <c r="SXW1533" s="6"/>
      <c r="SXX1533" s="4"/>
      <c r="SXY1533" s="6"/>
      <c r="SXZ1533" s="4"/>
      <c r="SYA1533" s="6"/>
      <c r="SYB1533" s="4"/>
      <c r="SYC1533" s="6"/>
      <c r="SYD1533" s="4"/>
      <c r="SYE1533" s="6"/>
      <c r="SYF1533" s="4"/>
      <c r="SYG1533" s="6"/>
      <c r="SYH1533" s="4"/>
      <c r="SYI1533" s="6"/>
      <c r="SYJ1533" s="4"/>
      <c r="SYK1533" s="6"/>
      <c r="SYL1533" s="4"/>
      <c r="SYM1533" s="6"/>
      <c r="SYN1533" s="4"/>
      <c r="SYO1533" s="6"/>
      <c r="SYP1533" s="4"/>
      <c r="SYQ1533" s="6"/>
      <c r="SYR1533" s="4"/>
      <c r="SYS1533" s="6"/>
      <c r="SYT1533" s="4"/>
      <c r="SYU1533" s="6"/>
      <c r="SYV1533" s="4"/>
      <c r="SYW1533" s="6"/>
      <c r="SYX1533" s="4"/>
      <c r="SYY1533" s="6"/>
      <c r="SYZ1533" s="4"/>
      <c r="SZA1533" s="6"/>
      <c r="SZB1533" s="4"/>
      <c r="SZC1533" s="6"/>
      <c r="SZD1533" s="4"/>
      <c r="SZE1533" s="6"/>
      <c r="SZF1533" s="4"/>
      <c r="SZG1533" s="6"/>
      <c r="SZH1533" s="4"/>
      <c r="SZI1533" s="6"/>
      <c r="SZJ1533" s="4"/>
      <c r="SZK1533" s="6"/>
      <c r="SZL1533" s="4"/>
      <c r="SZM1533" s="6"/>
      <c r="SZN1533" s="4"/>
      <c r="SZO1533" s="6"/>
      <c r="SZP1533" s="4"/>
      <c r="SZQ1533" s="6"/>
      <c r="SZR1533" s="4"/>
      <c r="SZS1533" s="6"/>
      <c r="SZT1533" s="4"/>
      <c r="SZU1533" s="6"/>
      <c r="SZV1533" s="4"/>
      <c r="SZW1533" s="6"/>
      <c r="SZX1533" s="4"/>
      <c r="SZY1533" s="6"/>
      <c r="SZZ1533" s="4"/>
      <c r="TAA1533" s="6"/>
      <c r="TAB1533" s="4"/>
      <c r="TAC1533" s="6"/>
      <c r="TAD1533" s="4"/>
      <c r="TAE1533" s="6"/>
      <c r="TAF1533" s="4"/>
      <c r="TAG1533" s="6"/>
      <c r="TAH1533" s="4"/>
      <c r="TAI1533" s="6"/>
      <c r="TAJ1533" s="4"/>
      <c r="TAK1533" s="6"/>
      <c r="TAL1533" s="4"/>
      <c r="TAM1533" s="6"/>
      <c r="TAN1533" s="4"/>
      <c r="TAO1533" s="6"/>
      <c r="TAP1533" s="4"/>
      <c r="TAQ1533" s="6"/>
      <c r="TAR1533" s="4"/>
      <c r="TAS1533" s="6"/>
      <c r="TAT1533" s="4"/>
      <c r="TAU1533" s="6"/>
      <c r="TAV1533" s="4"/>
      <c r="TAW1533" s="6"/>
      <c r="TAX1533" s="4"/>
      <c r="TAY1533" s="6"/>
      <c r="TAZ1533" s="4"/>
      <c r="TBA1533" s="6"/>
      <c r="TBB1533" s="4"/>
      <c r="TBC1533" s="6"/>
      <c r="TBD1533" s="4"/>
      <c r="TBE1533" s="6"/>
      <c r="TBF1533" s="4"/>
      <c r="TBG1533" s="6"/>
      <c r="TBH1533" s="4"/>
      <c r="TBI1533" s="6"/>
      <c r="TBJ1533" s="4"/>
      <c r="TBK1533" s="6"/>
      <c r="TBL1533" s="4"/>
      <c r="TBM1533" s="6"/>
      <c r="TBN1533" s="4"/>
      <c r="TBO1533" s="6"/>
      <c r="TBP1533" s="4"/>
      <c r="TBQ1533" s="6"/>
      <c r="TBR1533" s="4"/>
      <c r="TBS1533" s="6"/>
      <c r="TBT1533" s="4"/>
      <c r="TBU1533" s="6"/>
      <c r="TBV1533" s="4"/>
      <c r="TBW1533" s="6"/>
      <c r="TBX1533" s="4"/>
      <c r="TBY1533" s="6"/>
      <c r="TBZ1533" s="4"/>
      <c r="TCA1533" s="6"/>
      <c r="TCB1533" s="4"/>
      <c r="TCC1533" s="6"/>
      <c r="TCD1533" s="4"/>
      <c r="TCE1533" s="6"/>
      <c r="TCF1533" s="4"/>
      <c r="TCG1533" s="6"/>
      <c r="TCH1533" s="4"/>
      <c r="TCI1533" s="6"/>
      <c r="TCJ1533" s="4"/>
      <c r="TCK1533" s="6"/>
      <c r="TCL1533" s="4"/>
      <c r="TCM1533" s="6"/>
      <c r="TCN1533" s="4"/>
      <c r="TCO1533" s="6"/>
      <c r="TCP1533" s="4"/>
      <c r="TCQ1533" s="6"/>
      <c r="TCR1533" s="4"/>
      <c r="TCS1533" s="6"/>
      <c r="TCT1533" s="4"/>
      <c r="TCU1533" s="6"/>
      <c r="TCV1533" s="4"/>
      <c r="TCW1533" s="6"/>
      <c r="TCX1533" s="4"/>
      <c r="TCY1533" s="6"/>
      <c r="TCZ1533" s="4"/>
      <c r="TDA1533" s="6"/>
      <c r="TDB1533" s="4"/>
      <c r="TDC1533" s="6"/>
      <c r="TDD1533" s="4"/>
      <c r="TDE1533" s="6"/>
      <c r="TDF1533" s="4"/>
      <c r="TDG1533" s="6"/>
      <c r="TDH1533" s="4"/>
      <c r="TDI1533" s="6"/>
      <c r="TDJ1533" s="4"/>
      <c r="TDK1533" s="6"/>
      <c r="TDL1533" s="4"/>
      <c r="TDM1533" s="6"/>
      <c r="TDN1533" s="4"/>
      <c r="TDO1533" s="6"/>
      <c r="TDP1533" s="4"/>
      <c r="TDQ1533" s="6"/>
      <c r="TDR1533" s="4"/>
      <c r="TDS1533" s="6"/>
      <c r="TDT1533" s="4"/>
      <c r="TDU1533" s="6"/>
      <c r="TDV1533" s="4"/>
      <c r="TDW1533" s="6"/>
      <c r="TDX1533" s="4"/>
      <c r="TDY1533" s="6"/>
      <c r="TDZ1533" s="4"/>
      <c r="TEA1533" s="6"/>
      <c r="TEB1533" s="4"/>
      <c r="TEC1533" s="6"/>
      <c r="TED1533" s="4"/>
      <c r="TEE1533" s="6"/>
      <c r="TEF1533" s="4"/>
      <c r="TEG1533" s="6"/>
      <c r="TEH1533" s="4"/>
      <c r="TEI1533" s="6"/>
      <c r="TEJ1533" s="4"/>
      <c r="TEK1533" s="6"/>
      <c r="TEL1533" s="4"/>
      <c r="TEM1533" s="6"/>
      <c r="TEN1533" s="4"/>
      <c r="TEO1533" s="6"/>
      <c r="TEP1533" s="4"/>
      <c r="TEQ1533" s="6"/>
      <c r="TER1533" s="4"/>
      <c r="TES1533" s="6"/>
      <c r="TET1533" s="4"/>
      <c r="TEU1533" s="6"/>
      <c r="TEV1533" s="4"/>
      <c r="TEW1533" s="6"/>
      <c r="TEX1533" s="4"/>
      <c r="TEY1533" s="6"/>
      <c r="TEZ1533" s="4"/>
      <c r="TFA1533" s="6"/>
      <c r="TFB1533" s="4"/>
      <c r="TFC1533" s="6"/>
      <c r="TFD1533" s="4"/>
      <c r="TFE1533" s="6"/>
      <c r="TFF1533" s="4"/>
      <c r="TFG1533" s="6"/>
      <c r="TFH1533" s="4"/>
      <c r="TFI1533" s="6"/>
      <c r="TFJ1533" s="4"/>
      <c r="TFK1533" s="6"/>
      <c r="TFL1533" s="4"/>
      <c r="TFM1533" s="6"/>
      <c r="TFN1533" s="4"/>
      <c r="TFO1533" s="6"/>
      <c r="TFP1533" s="4"/>
      <c r="TFQ1533" s="6"/>
      <c r="TFR1533" s="4"/>
      <c r="TFS1533" s="6"/>
      <c r="TFT1533" s="4"/>
      <c r="TFU1533" s="6"/>
      <c r="TFV1533" s="4"/>
      <c r="TFW1533" s="6"/>
      <c r="TFX1533" s="4"/>
      <c r="TFY1533" s="6"/>
      <c r="TFZ1533" s="4"/>
      <c r="TGA1533" s="6"/>
      <c r="TGB1533" s="4"/>
      <c r="TGC1533" s="6"/>
      <c r="TGD1533" s="4"/>
      <c r="TGE1533" s="6"/>
      <c r="TGF1533" s="4"/>
      <c r="TGG1533" s="6"/>
      <c r="TGH1533" s="4"/>
      <c r="TGI1533" s="6"/>
      <c r="TGJ1533" s="4"/>
      <c r="TGK1533" s="6"/>
      <c r="TGL1533" s="4"/>
      <c r="TGM1533" s="6"/>
      <c r="TGN1533" s="4"/>
      <c r="TGO1533" s="6"/>
      <c r="TGP1533" s="4"/>
      <c r="TGQ1533" s="6"/>
      <c r="TGR1533" s="4"/>
      <c r="TGS1533" s="6"/>
      <c r="TGT1533" s="4"/>
      <c r="TGU1533" s="6"/>
      <c r="TGV1533" s="4"/>
      <c r="TGW1533" s="6"/>
      <c r="TGX1533" s="4"/>
      <c r="TGY1533" s="6"/>
      <c r="TGZ1533" s="4"/>
      <c r="THA1533" s="6"/>
      <c r="THB1533" s="4"/>
      <c r="THC1533" s="6"/>
      <c r="THD1533" s="4"/>
      <c r="THE1533" s="6"/>
      <c r="THF1533" s="4"/>
      <c r="THG1533" s="6"/>
      <c r="THH1533" s="4"/>
      <c r="THI1533" s="6"/>
      <c r="THJ1533" s="4"/>
      <c r="THK1533" s="6"/>
      <c r="THL1533" s="4"/>
      <c r="THM1533" s="6"/>
      <c r="THN1533" s="4"/>
      <c r="THO1533" s="6"/>
      <c r="THP1533" s="4"/>
      <c r="THQ1533" s="6"/>
      <c r="THR1533" s="4"/>
      <c r="THS1533" s="6"/>
      <c r="THT1533" s="4"/>
      <c r="THU1533" s="6"/>
      <c r="THV1533" s="4"/>
      <c r="THW1533" s="6"/>
      <c r="THX1533" s="4"/>
      <c r="THY1533" s="6"/>
      <c r="THZ1533" s="4"/>
      <c r="TIA1533" s="6"/>
      <c r="TIB1533" s="4"/>
      <c r="TIC1533" s="6"/>
      <c r="TID1533" s="4"/>
      <c r="TIE1533" s="6"/>
      <c r="TIF1533" s="4"/>
      <c r="TIG1533" s="6"/>
      <c r="TIH1533" s="4"/>
      <c r="TII1533" s="6"/>
      <c r="TIJ1533" s="4"/>
      <c r="TIK1533" s="6"/>
      <c r="TIL1533" s="4"/>
      <c r="TIM1533" s="6"/>
      <c r="TIN1533" s="4"/>
      <c r="TIO1533" s="6"/>
      <c r="TIP1533" s="4"/>
      <c r="TIQ1533" s="6"/>
      <c r="TIR1533" s="4"/>
      <c r="TIS1533" s="6"/>
      <c r="TIT1533" s="4"/>
      <c r="TIU1533" s="6"/>
      <c r="TIV1533" s="4"/>
      <c r="TIW1533" s="6"/>
      <c r="TIX1533" s="4"/>
      <c r="TIY1533" s="6"/>
      <c r="TIZ1533" s="4"/>
      <c r="TJA1533" s="6"/>
      <c r="TJB1533" s="4"/>
      <c r="TJC1533" s="6"/>
      <c r="TJD1533" s="4"/>
      <c r="TJE1533" s="6"/>
      <c r="TJF1533" s="4"/>
      <c r="TJG1533" s="6"/>
      <c r="TJH1533" s="4"/>
      <c r="TJI1533" s="6"/>
      <c r="TJJ1533" s="4"/>
      <c r="TJK1533" s="6"/>
      <c r="TJL1533" s="4"/>
      <c r="TJM1533" s="6"/>
      <c r="TJN1533" s="4"/>
      <c r="TJO1533" s="6"/>
      <c r="TJP1533" s="4"/>
      <c r="TJQ1533" s="6"/>
      <c r="TJR1533" s="4"/>
      <c r="TJS1533" s="6"/>
      <c r="TJT1533" s="4"/>
      <c r="TJU1533" s="6"/>
      <c r="TJV1533" s="4"/>
      <c r="TJW1533" s="6"/>
      <c r="TJX1533" s="4"/>
      <c r="TJY1533" s="6"/>
      <c r="TJZ1533" s="4"/>
      <c r="TKA1533" s="6"/>
      <c r="TKB1533" s="4"/>
      <c r="TKC1533" s="6"/>
      <c r="TKD1533" s="4"/>
      <c r="TKE1533" s="6"/>
      <c r="TKF1533" s="4"/>
      <c r="TKG1533" s="6"/>
      <c r="TKH1533" s="4"/>
      <c r="TKI1533" s="6"/>
      <c r="TKJ1533" s="4"/>
      <c r="TKK1533" s="6"/>
      <c r="TKL1533" s="4"/>
      <c r="TKM1533" s="6"/>
      <c r="TKN1533" s="4"/>
      <c r="TKO1533" s="6"/>
      <c r="TKP1533" s="4"/>
      <c r="TKQ1533" s="6"/>
      <c r="TKR1533" s="4"/>
      <c r="TKS1533" s="6"/>
      <c r="TKT1533" s="4"/>
      <c r="TKU1533" s="6"/>
      <c r="TKV1533" s="4"/>
      <c r="TKW1533" s="6"/>
      <c r="TKX1533" s="4"/>
      <c r="TKY1533" s="6"/>
      <c r="TKZ1533" s="4"/>
      <c r="TLA1533" s="6"/>
      <c r="TLB1533" s="4"/>
      <c r="TLC1533" s="6"/>
      <c r="TLD1533" s="4"/>
      <c r="TLE1533" s="6"/>
      <c r="TLF1533" s="4"/>
      <c r="TLG1533" s="6"/>
      <c r="TLH1533" s="4"/>
      <c r="TLI1533" s="6"/>
      <c r="TLJ1533" s="4"/>
      <c r="TLK1533" s="6"/>
      <c r="TLL1533" s="4"/>
      <c r="TLM1533" s="6"/>
      <c r="TLN1533" s="4"/>
      <c r="TLO1533" s="6"/>
      <c r="TLP1533" s="4"/>
      <c r="TLQ1533" s="6"/>
      <c r="TLR1533" s="4"/>
      <c r="TLS1533" s="6"/>
      <c r="TLT1533" s="4"/>
      <c r="TLU1533" s="6"/>
      <c r="TLV1533" s="4"/>
      <c r="TLW1533" s="6"/>
      <c r="TLX1533" s="4"/>
      <c r="TLY1533" s="6"/>
      <c r="TLZ1533" s="4"/>
      <c r="TMA1533" s="6"/>
      <c r="TMB1533" s="4"/>
      <c r="TMC1533" s="6"/>
      <c r="TMD1533" s="4"/>
      <c r="TME1533" s="6"/>
      <c r="TMF1533" s="4"/>
      <c r="TMG1533" s="6"/>
      <c r="TMH1533" s="4"/>
      <c r="TMI1533" s="6"/>
      <c r="TMJ1533" s="4"/>
      <c r="TMK1533" s="6"/>
      <c r="TML1533" s="4"/>
      <c r="TMM1533" s="6"/>
      <c r="TMN1533" s="4"/>
      <c r="TMO1533" s="6"/>
      <c r="TMP1533" s="4"/>
      <c r="TMQ1533" s="6"/>
      <c r="TMR1533" s="4"/>
      <c r="TMS1533" s="6"/>
      <c r="TMT1533" s="4"/>
      <c r="TMU1533" s="6"/>
      <c r="TMV1533" s="4"/>
      <c r="TMW1533" s="6"/>
      <c r="TMX1533" s="4"/>
      <c r="TMY1533" s="6"/>
      <c r="TMZ1533" s="4"/>
      <c r="TNA1533" s="6"/>
      <c r="TNB1533" s="4"/>
      <c r="TNC1533" s="6"/>
      <c r="TND1533" s="4"/>
      <c r="TNE1533" s="6"/>
      <c r="TNF1533" s="4"/>
      <c r="TNG1533" s="6"/>
      <c r="TNH1533" s="4"/>
      <c r="TNI1533" s="6"/>
      <c r="TNJ1533" s="4"/>
      <c r="TNK1533" s="6"/>
      <c r="TNL1533" s="4"/>
      <c r="TNM1533" s="6"/>
      <c r="TNN1533" s="4"/>
      <c r="TNO1533" s="6"/>
      <c r="TNP1533" s="4"/>
      <c r="TNQ1533" s="6"/>
      <c r="TNR1533" s="4"/>
      <c r="TNS1533" s="6"/>
      <c r="TNT1533" s="4"/>
      <c r="TNU1533" s="6"/>
      <c r="TNV1533" s="4"/>
      <c r="TNW1533" s="6"/>
      <c r="TNX1533" s="4"/>
      <c r="TNY1533" s="6"/>
      <c r="TNZ1533" s="4"/>
      <c r="TOA1533" s="6"/>
      <c r="TOB1533" s="4"/>
      <c r="TOC1533" s="6"/>
      <c r="TOD1533" s="4"/>
      <c r="TOE1533" s="6"/>
      <c r="TOF1533" s="4"/>
      <c r="TOG1533" s="6"/>
      <c r="TOH1533" s="4"/>
      <c r="TOI1533" s="6"/>
      <c r="TOJ1533" s="4"/>
      <c r="TOK1533" s="6"/>
      <c r="TOL1533" s="4"/>
      <c r="TOM1533" s="6"/>
      <c r="TON1533" s="4"/>
      <c r="TOO1533" s="6"/>
      <c r="TOP1533" s="4"/>
      <c r="TOQ1533" s="6"/>
      <c r="TOR1533" s="4"/>
      <c r="TOS1533" s="6"/>
      <c r="TOT1533" s="4"/>
      <c r="TOU1533" s="6"/>
      <c r="TOV1533" s="4"/>
      <c r="TOW1533" s="6"/>
      <c r="TOX1533" s="4"/>
      <c r="TOY1533" s="6"/>
      <c r="TOZ1533" s="4"/>
      <c r="TPA1533" s="6"/>
      <c r="TPB1533" s="4"/>
      <c r="TPC1533" s="6"/>
      <c r="TPD1533" s="4"/>
      <c r="TPE1533" s="6"/>
      <c r="TPF1533" s="4"/>
      <c r="TPG1533" s="6"/>
      <c r="TPH1533" s="4"/>
      <c r="TPI1533" s="6"/>
      <c r="TPJ1533" s="4"/>
      <c r="TPK1533" s="6"/>
      <c r="TPL1533" s="4"/>
      <c r="TPM1533" s="6"/>
      <c r="TPN1533" s="4"/>
      <c r="TPO1533" s="6"/>
      <c r="TPP1533" s="4"/>
      <c r="TPQ1533" s="6"/>
      <c r="TPR1533" s="4"/>
      <c r="TPS1533" s="6"/>
      <c r="TPT1533" s="4"/>
      <c r="TPU1533" s="6"/>
      <c r="TPV1533" s="4"/>
      <c r="TPW1533" s="6"/>
      <c r="TPX1533" s="4"/>
      <c r="TPY1533" s="6"/>
      <c r="TPZ1533" s="4"/>
      <c r="TQA1533" s="6"/>
      <c r="TQB1533" s="4"/>
      <c r="TQC1533" s="6"/>
      <c r="TQD1533" s="4"/>
      <c r="TQE1533" s="6"/>
      <c r="TQF1533" s="4"/>
      <c r="TQG1533" s="6"/>
      <c r="TQH1533" s="4"/>
      <c r="TQI1533" s="6"/>
      <c r="TQJ1533" s="4"/>
      <c r="TQK1533" s="6"/>
      <c r="TQL1533" s="4"/>
      <c r="TQM1533" s="6"/>
      <c r="TQN1533" s="4"/>
      <c r="TQO1533" s="6"/>
      <c r="TQP1533" s="4"/>
      <c r="TQQ1533" s="6"/>
      <c r="TQR1533" s="4"/>
      <c r="TQS1533" s="6"/>
      <c r="TQT1533" s="4"/>
      <c r="TQU1533" s="6"/>
      <c r="TQV1533" s="4"/>
      <c r="TQW1533" s="6"/>
      <c r="TQX1533" s="4"/>
      <c r="TQY1533" s="6"/>
      <c r="TQZ1533" s="4"/>
      <c r="TRA1533" s="6"/>
      <c r="TRB1533" s="4"/>
      <c r="TRC1533" s="6"/>
      <c r="TRD1533" s="4"/>
      <c r="TRE1533" s="6"/>
      <c r="TRF1533" s="4"/>
      <c r="TRG1533" s="6"/>
      <c r="TRH1533" s="4"/>
      <c r="TRI1533" s="6"/>
      <c r="TRJ1533" s="4"/>
      <c r="TRK1533" s="6"/>
      <c r="TRL1533" s="4"/>
      <c r="TRM1533" s="6"/>
      <c r="TRN1533" s="4"/>
      <c r="TRO1533" s="6"/>
      <c r="TRP1533" s="4"/>
      <c r="TRQ1533" s="6"/>
      <c r="TRR1533" s="4"/>
      <c r="TRS1533" s="6"/>
      <c r="TRT1533" s="4"/>
      <c r="TRU1533" s="6"/>
      <c r="TRV1533" s="4"/>
      <c r="TRW1533" s="6"/>
      <c r="TRX1533" s="4"/>
      <c r="TRY1533" s="6"/>
      <c r="TRZ1533" s="4"/>
      <c r="TSA1533" s="6"/>
      <c r="TSB1533" s="4"/>
      <c r="TSC1533" s="6"/>
      <c r="TSD1533" s="4"/>
      <c r="TSE1533" s="6"/>
      <c r="TSF1533" s="4"/>
      <c r="TSG1533" s="6"/>
      <c r="TSH1533" s="4"/>
      <c r="TSI1533" s="6"/>
      <c r="TSJ1533" s="4"/>
      <c r="TSK1533" s="6"/>
      <c r="TSL1533" s="4"/>
      <c r="TSM1533" s="6"/>
      <c r="TSN1533" s="4"/>
      <c r="TSO1533" s="6"/>
      <c r="TSP1533" s="4"/>
      <c r="TSQ1533" s="6"/>
      <c r="TSR1533" s="4"/>
      <c r="TSS1533" s="6"/>
      <c r="TST1533" s="4"/>
      <c r="TSU1533" s="6"/>
      <c r="TSV1533" s="4"/>
      <c r="TSW1533" s="6"/>
      <c r="TSX1533" s="4"/>
      <c r="TSY1533" s="6"/>
      <c r="TSZ1533" s="4"/>
      <c r="TTA1533" s="6"/>
      <c r="TTB1533" s="4"/>
      <c r="TTC1533" s="6"/>
      <c r="TTD1533" s="4"/>
      <c r="TTE1533" s="6"/>
      <c r="TTF1533" s="4"/>
      <c r="TTG1533" s="6"/>
      <c r="TTH1533" s="4"/>
      <c r="TTI1533" s="6"/>
      <c r="TTJ1533" s="4"/>
      <c r="TTK1533" s="6"/>
      <c r="TTL1533" s="4"/>
      <c r="TTM1533" s="6"/>
      <c r="TTN1533" s="4"/>
      <c r="TTO1533" s="6"/>
      <c r="TTP1533" s="4"/>
      <c r="TTQ1533" s="6"/>
      <c r="TTR1533" s="4"/>
      <c r="TTS1533" s="6"/>
      <c r="TTT1533" s="4"/>
      <c r="TTU1533" s="6"/>
      <c r="TTV1533" s="4"/>
      <c r="TTW1533" s="6"/>
      <c r="TTX1533" s="4"/>
      <c r="TTY1533" s="6"/>
      <c r="TTZ1533" s="4"/>
      <c r="TUA1533" s="6"/>
      <c r="TUB1533" s="4"/>
      <c r="TUC1533" s="6"/>
      <c r="TUD1533" s="4"/>
      <c r="TUE1533" s="6"/>
      <c r="TUF1533" s="4"/>
      <c r="TUG1533" s="6"/>
      <c r="TUH1533" s="4"/>
      <c r="TUI1533" s="6"/>
      <c r="TUJ1533" s="4"/>
      <c r="TUK1533" s="6"/>
      <c r="TUL1533" s="4"/>
      <c r="TUM1533" s="6"/>
      <c r="TUN1533" s="4"/>
      <c r="TUO1533" s="6"/>
      <c r="TUP1533" s="4"/>
      <c r="TUQ1533" s="6"/>
      <c r="TUR1533" s="4"/>
      <c r="TUS1533" s="6"/>
      <c r="TUT1533" s="4"/>
      <c r="TUU1533" s="6"/>
      <c r="TUV1533" s="4"/>
      <c r="TUW1533" s="6"/>
      <c r="TUX1533" s="4"/>
      <c r="TUY1533" s="6"/>
      <c r="TUZ1533" s="4"/>
      <c r="TVA1533" s="6"/>
      <c r="TVB1533" s="4"/>
      <c r="TVC1533" s="6"/>
      <c r="TVD1533" s="4"/>
      <c r="TVE1533" s="6"/>
      <c r="TVF1533" s="4"/>
      <c r="TVG1533" s="6"/>
      <c r="TVH1533" s="4"/>
      <c r="TVI1533" s="6"/>
      <c r="TVJ1533" s="4"/>
      <c r="TVK1533" s="6"/>
      <c r="TVL1533" s="4"/>
      <c r="TVM1533" s="6"/>
      <c r="TVN1533" s="4"/>
      <c r="TVO1533" s="6"/>
      <c r="TVP1533" s="4"/>
      <c r="TVQ1533" s="6"/>
      <c r="TVR1533" s="4"/>
      <c r="TVS1533" s="6"/>
      <c r="TVT1533" s="4"/>
      <c r="TVU1533" s="6"/>
      <c r="TVV1533" s="4"/>
      <c r="TVW1533" s="6"/>
      <c r="TVX1533" s="4"/>
      <c r="TVY1533" s="6"/>
      <c r="TVZ1533" s="4"/>
      <c r="TWA1533" s="6"/>
      <c r="TWB1533" s="4"/>
      <c r="TWC1533" s="6"/>
      <c r="TWD1533" s="4"/>
      <c r="TWE1533" s="6"/>
      <c r="TWF1533" s="4"/>
      <c r="TWG1533" s="6"/>
      <c r="TWH1533" s="4"/>
      <c r="TWI1533" s="6"/>
      <c r="TWJ1533" s="4"/>
      <c r="TWK1533" s="6"/>
      <c r="TWL1533" s="4"/>
      <c r="TWM1533" s="6"/>
      <c r="TWN1533" s="4"/>
      <c r="TWO1533" s="6"/>
      <c r="TWP1533" s="4"/>
      <c r="TWQ1533" s="6"/>
      <c r="TWR1533" s="4"/>
      <c r="TWS1533" s="6"/>
      <c r="TWT1533" s="4"/>
      <c r="TWU1533" s="6"/>
      <c r="TWV1533" s="4"/>
      <c r="TWW1533" s="6"/>
      <c r="TWX1533" s="4"/>
      <c r="TWY1533" s="6"/>
      <c r="TWZ1533" s="4"/>
      <c r="TXA1533" s="6"/>
      <c r="TXB1533" s="4"/>
      <c r="TXC1533" s="6"/>
      <c r="TXD1533" s="4"/>
      <c r="TXE1533" s="6"/>
      <c r="TXF1533" s="4"/>
      <c r="TXG1533" s="6"/>
      <c r="TXH1533" s="4"/>
      <c r="TXI1533" s="6"/>
      <c r="TXJ1533" s="4"/>
      <c r="TXK1533" s="6"/>
      <c r="TXL1533" s="4"/>
      <c r="TXM1533" s="6"/>
      <c r="TXN1533" s="4"/>
      <c r="TXO1533" s="6"/>
      <c r="TXP1533" s="4"/>
      <c r="TXQ1533" s="6"/>
      <c r="TXR1533" s="4"/>
      <c r="TXS1533" s="6"/>
      <c r="TXT1533" s="4"/>
      <c r="TXU1533" s="6"/>
      <c r="TXV1533" s="4"/>
      <c r="TXW1533" s="6"/>
      <c r="TXX1533" s="4"/>
      <c r="TXY1533" s="6"/>
      <c r="TXZ1533" s="4"/>
      <c r="TYA1533" s="6"/>
      <c r="TYB1533" s="4"/>
      <c r="TYC1533" s="6"/>
      <c r="TYD1533" s="4"/>
      <c r="TYE1533" s="6"/>
      <c r="TYF1533" s="4"/>
      <c r="TYG1533" s="6"/>
      <c r="TYH1533" s="4"/>
      <c r="TYI1533" s="6"/>
      <c r="TYJ1533" s="4"/>
      <c r="TYK1533" s="6"/>
      <c r="TYL1533" s="4"/>
      <c r="TYM1533" s="6"/>
      <c r="TYN1533" s="4"/>
      <c r="TYO1533" s="6"/>
      <c r="TYP1533" s="4"/>
      <c r="TYQ1533" s="6"/>
      <c r="TYR1533" s="4"/>
      <c r="TYS1533" s="6"/>
      <c r="TYT1533" s="4"/>
      <c r="TYU1533" s="6"/>
      <c r="TYV1533" s="4"/>
      <c r="TYW1533" s="6"/>
      <c r="TYX1533" s="4"/>
      <c r="TYY1533" s="6"/>
      <c r="TYZ1533" s="4"/>
      <c r="TZA1533" s="6"/>
      <c r="TZB1533" s="4"/>
      <c r="TZC1533" s="6"/>
      <c r="TZD1533" s="4"/>
      <c r="TZE1533" s="6"/>
      <c r="TZF1533" s="4"/>
      <c r="TZG1533" s="6"/>
      <c r="TZH1533" s="4"/>
      <c r="TZI1533" s="6"/>
      <c r="TZJ1533" s="4"/>
      <c r="TZK1533" s="6"/>
      <c r="TZL1533" s="4"/>
      <c r="TZM1533" s="6"/>
      <c r="TZN1533" s="4"/>
      <c r="TZO1533" s="6"/>
      <c r="TZP1533" s="4"/>
      <c r="TZQ1533" s="6"/>
      <c r="TZR1533" s="4"/>
      <c r="TZS1533" s="6"/>
      <c r="TZT1533" s="4"/>
      <c r="TZU1533" s="6"/>
      <c r="TZV1533" s="4"/>
      <c r="TZW1533" s="6"/>
      <c r="TZX1533" s="4"/>
      <c r="TZY1533" s="6"/>
      <c r="TZZ1533" s="4"/>
      <c r="UAA1533" s="6"/>
      <c r="UAB1533" s="4"/>
      <c r="UAC1533" s="6"/>
      <c r="UAD1533" s="4"/>
      <c r="UAE1533" s="6"/>
      <c r="UAF1533" s="4"/>
      <c r="UAG1533" s="6"/>
      <c r="UAH1533" s="4"/>
      <c r="UAI1533" s="6"/>
      <c r="UAJ1533" s="4"/>
      <c r="UAK1533" s="6"/>
      <c r="UAL1533" s="4"/>
      <c r="UAM1533" s="6"/>
      <c r="UAN1533" s="4"/>
      <c r="UAO1533" s="6"/>
      <c r="UAP1533" s="4"/>
      <c r="UAQ1533" s="6"/>
      <c r="UAR1533" s="4"/>
      <c r="UAS1533" s="6"/>
      <c r="UAT1533" s="4"/>
      <c r="UAU1533" s="6"/>
      <c r="UAV1533" s="4"/>
      <c r="UAW1533" s="6"/>
      <c r="UAX1533" s="4"/>
      <c r="UAY1533" s="6"/>
      <c r="UAZ1533" s="4"/>
      <c r="UBA1533" s="6"/>
      <c r="UBB1533" s="4"/>
      <c r="UBC1533" s="6"/>
      <c r="UBD1533" s="4"/>
      <c r="UBE1533" s="6"/>
      <c r="UBF1533" s="4"/>
      <c r="UBG1533" s="6"/>
      <c r="UBH1533" s="4"/>
      <c r="UBI1533" s="6"/>
      <c r="UBJ1533" s="4"/>
      <c r="UBK1533" s="6"/>
      <c r="UBL1533" s="4"/>
      <c r="UBM1533" s="6"/>
      <c r="UBN1533" s="4"/>
      <c r="UBO1533" s="6"/>
      <c r="UBP1533" s="4"/>
      <c r="UBQ1533" s="6"/>
      <c r="UBR1533" s="4"/>
      <c r="UBS1533" s="6"/>
      <c r="UBT1533" s="4"/>
      <c r="UBU1533" s="6"/>
      <c r="UBV1533" s="4"/>
      <c r="UBW1533" s="6"/>
      <c r="UBX1533" s="4"/>
      <c r="UBY1533" s="6"/>
      <c r="UBZ1533" s="4"/>
      <c r="UCA1533" s="6"/>
      <c r="UCB1533" s="4"/>
      <c r="UCC1533" s="6"/>
      <c r="UCD1533" s="4"/>
      <c r="UCE1533" s="6"/>
      <c r="UCF1533" s="4"/>
      <c r="UCG1533" s="6"/>
      <c r="UCH1533" s="4"/>
      <c r="UCI1533" s="6"/>
      <c r="UCJ1533" s="4"/>
      <c r="UCK1533" s="6"/>
      <c r="UCL1533" s="4"/>
      <c r="UCM1533" s="6"/>
      <c r="UCN1533" s="4"/>
      <c r="UCO1533" s="6"/>
      <c r="UCP1533" s="4"/>
      <c r="UCQ1533" s="6"/>
      <c r="UCR1533" s="4"/>
      <c r="UCS1533" s="6"/>
      <c r="UCT1533" s="4"/>
      <c r="UCU1533" s="6"/>
      <c r="UCV1533" s="4"/>
      <c r="UCW1533" s="6"/>
      <c r="UCX1533" s="4"/>
      <c r="UCY1533" s="6"/>
      <c r="UCZ1533" s="4"/>
      <c r="UDA1533" s="6"/>
      <c r="UDB1533" s="4"/>
      <c r="UDC1533" s="6"/>
      <c r="UDD1533" s="4"/>
      <c r="UDE1533" s="6"/>
      <c r="UDF1533" s="4"/>
      <c r="UDG1533" s="6"/>
      <c r="UDH1533" s="4"/>
      <c r="UDI1533" s="6"/>
      <c r="UDJ1533" s="4"/>
      <c r="UDK1533" s="6"/>
      <c r="UDL1533" s="4"/>
      <c r="UDM1533" s="6"/>
      <c r="UDN1533" s="4"/>
      <c r="UDO1533" s="6"/>
      <c r="UDP1533" s="4"/>
      <c r="UDQ1533" s="6"/>
      <c r="UDR1533" s="4"/>
      <c r="UDS1533" s="6"/>
      <c r="UDT1533" s="4"/>
      <c r="UDU1533" s="6"/>
      <c r="UDV1533" s="4"/>
      <c r="UDW1533" s="6"/>
      <c r="UDX1533" s="4"/>
      <c r="UDY1533" s="6"/>
      <c r="UDZ1533" s="4"/>
      <c r="UEA1533" s="6"/>
      <c r="UEB1533" s="4"/>
      <c r="UEC1533" s="6"/>
      <c r="UED1533" s="4"/>
      <c r="UEE1533" s="6"/>
      <c r="UEF1533" s="4"/>
      <c r="UEG1533" s="6"/>
      <c r="UEH1533" s="4"/>
      <c r="UEI1533" s="6"/>
      <c r="UEJ1533" s="4"/>
      <c r="UEK1533" s="6"/>
      <c r="UEL1533" s="4"/>
      <c r="UEM1533" s="6"/>
      <c r="UEN1533" s="4"/>
      <c r="UEO1533" s="6"/>
      <c r="UEP1533" s="4"/>
      <c r="UEQ1533" s="6"/>
      <c r="UER1533" s="4"/>
      <c r="UES1533" s="6"/>
      <c r="UET1533" s="4"/>
      <c r="UEU1533" s="6"/>
      <c r="UEV1533" s="4"/>
      <c r="UEW1533" s="6"/>
      <c r="UEX1533" s="4"/>
      <c r="UEY1533" s="6"/>
      <c r="UEZ1533" s="4"/>
      <c r="UFA1533" s="6"/>
      <c r="UFB1533" s="4"/>
      <c r="UFC1533" s="6"/>
      <c r="UFD1533" s="4"/>
      <c r="UFE1533" s="6"/>
      <c r="UFF1533" s="4"/>
      <c r="UFG1533" s="6"/>
      <c r="UFH1533" s="4"/>
      <c r="UFI1533" s="6"/>
      <c r="UFJ1533" s="4"/>
      <c r="UFK1533" s="6"/>
      <c r="UFL1533" s="4"/>
      <c r="UFM1533" s="6"/>
      <c r="UFN1533" s="4"/>
      <c r="UFO1533" s="6"/>
      <c r="UFP1533" s="4"/>
      <c r="UFQ1533" s="6"/>
      <c r="UFR1533" s="4"/>
      <c r="UFS1533" s="6"/>
      <c r="UFT1533" s="4"/>
      <c r="UFU1533" s="6"/>
      <c r="UFV1533" s="4"/>
      <c r="UFW1533" s="6"/>
      <c r="UFX1533" s="4"/>
      <c r="UFY1533" s="6"/>
      <c r="UFZ1533" s="4"/>
      <c r="UGA1533" s="6"/>
      <c r="UGB1533" s="4"/>
      <c r="UGC1533" s="6"/>
      <c r="UGD1533" s="4"/>
      <c r="UGE1533" s="6"/>
      <c r="UGF1533" s="4"/>
      <c r="UGG1533" s="6"/>
      <c r="UGH1533" s="4"/>
      <c r="UGI1533" s="6"/>
      <c r="UGJ1533" s="4"/>
      <c r="UGK1533" s="6"/>
      <c r="UGL1533" s="4"/>
      <c r="UGM1533" s="6"/>
      <c r="UGN1533" s="4"/>
      <c r="UGO1533" s="6"/>
      <c r="UGP1533" s="4"/>
      <c r="UGQ1533" s="6"/>
      <c r="UGR1533" s="4"/>
      <c r="UGS1533" s="6"/>
      <c r="UGT1533" s="4"/>
      <c r="UGU1533" s="6"/>
      <c r="UGV1533" s="4"/>
      <c r="UGW1533" s="6"/>
      <c r="UGX1533" s="4"/>
      <c r="UGY1533" s="6"/>
      <c r="UGZ1533" s="4"/>
      <c r="UHA1533" s="6"/>
      <c r="UHB1533" s="4"/>
      <c r="UHC1533" s="6"/>
      <c r="UHD1533" s="4"/>
      <c r="UHE1533" s="6"/>
      <c r="UHF1533" s="4"/>
      <c r="UHG1533" s="6"/>
      <c r="UHH1533" s="4"/>
      <c r="UHI1533" s="6"/>
      <c r="UHJ1533" s="4"/>
      <c r="UHK1533" s="6"/>
      <c r="UHL1533" s="4"/>
      <c r="UHM1533" s="6"/>
      <c r="UHN1533" s="4"/>
      <c r="UHO1533" s="6"/>
      <c r="UHP1533" s="4"/>
      <c r="UHQ1533" s="6"/>
      <c r="UHR1533" s="4"/>
      <c r="UHS1533" s="6"/>
      <c r="UHT1533" s="4"/>
      <c r="UHU1533" s="6"/>
      <c r="UHV1533" s="4"/>
      <c r="UHW1533" s="6"/>
      <c r="UHX1533" s="4"/>
      <c r="UHY1533" s="6"/>
      <c r="UHZ1533" s="4"/>
      <c r="UIA1533" s="6"/>
      <c r="UIB1533" s="4"/>
      <c r="UIC1533" s="6"/>
      <c r="UID1533" s="4"/>
      <c r="UIE1533" s="6"/>
      <c r="UIF1533" s="4"/>
      <c r="UIG1533" s="6"/>
      <c r="UIH1533" s="4"/>
      <c r="UII1533" s="6"/>
      <c r="UIJ1533" s="4"/>
      <c r="UIK1533" s="6"/>
      <c r="UIL1533" s="4"/>
      <c r="UIM1533" s="6"/>
      <c r="UIN1533" s="4"/>
      <c r="UIO1533" s="6"/>
      <c r="UIP1533" s="4"/>
      <c r="UIQ1533" s="6"/>
      <c r="UIR1533" s="4"/>
      <c r="UIS1533" s="6"/>
      <c r="UIT1533" s="4"/>
      <c r="UIU1533" s="6"/>
      <c r="UIV1533" s="4"/>
      <c r="UIW1533" s="6"/>
      <c r="UIX1533" s="4"/>
      <c r="UIY1533" s="6"/>
      <c r="UIZ1533" s="4"/>
      <c r="UJA1533" s="6"/>
      <c r="UJB1533" s="4"/>
      <c r="UJC1533" s="6"/>
      <c r="UJD1533" s="4"/>
      <c r="UJE1533" s="6"/>
      <c r="UJF1533" s="4"/>
      <c r="UJG1533" s="6"/>
      <c r="UJH1533" s="4"/>
      <c r="UJI1533" s="6"/>
      <c r="UJJ1533" s="4"/>
      <c r="UJK1533" s="6"/>
      <c r="UJL1533" s="4"/>
      <c r="UJM1533" s="6"/>
      <c r="UJN1533" s="4"/>
      <c r="UJO1533" s="6"/>
      <c r="UJP1533" s="4"/>
      <c r="UJQ1533" s="6"/>
      <c r="UJR1533" s="4"/>
      <c r="UJS1533" s="6"/>
      <c r="UJT1533" s="4"/>
      <c r="UJU1533" s="6"/>
      <c r="UJV1533" s="4"/>
      <c r="UJW1533" s="6"/>
      <c r="UJX1533" s="4"/>
      <c r="UJY1533" s="6"/>
      <c r="UJZ1533" s="4"/>
      <c r="UKA1533" s="6"/>
      <c r="UKB1533" s="4"/>
      <c r="UKC1533" s="6"/>
      <c r="UKD1533" s="4"/>
      <c r="UKE1533" s="6"/>
      <c r="UKF1533" s="4"/>
      <c r="UKG1533" s="6"/>
      <c r="UKH1533" s="4"/>
      <c r="UKI1533" s="6"/>
      <c r="UKJ1533" s="4"/>
      <c r="UKK1533" s="6"/>
      <c r="UKL1533" s="4"/>
      <c r="UKM1533" s="6"/>
      <c r="UKN1533" s="4"/>
      <c r="UKO1533" s="6"/>
      <c r="UKP1533" s="4"/>
      <c r="UKQ1533" s="6"/>
      <c r="UKR1533" s="4"/>
      <c r="UKS1533" s="6"/>
      <c r="UKT1533" s="4"/>
      <c r="UKU1533" s="6"/>
      <c r="UKV1533" s="4"/>
      <c r="UKW1533" s="6"/>
      <c r="UKX1533" s="4"/>
      <c r="UKY1533" s="6"/>
      <c r="UKZ1533" s="4"/>
      <c r="ULA1533" s="6"/>
      <c r="ULB1533" s="4"/>
      <c r="ULC1533" s="6"/>
      <c r="ULD1533" s="4"/>
      <c r="ULE1533" s="6"/>
      <c r="ULF1533" s="4"/>
      <c r="ULG1533" s="6"/>
      <c r="ULH1533" s="4"/>
      <c r="ULI1533" s="6"/>
      <c r="ULJ1533" s="4"/>
      <c r="ULK1533" s="6"/>
      <c r="ULL1533" s="4"/>
      <c r="ULM1533" s="6"/>
      <c r="ULN1533" s="4"/>
      <c r="ULO1533" s="6"/>
      <c r="ULP1533" s="4"/>
      <c r="ULQ1533" s="6"/>
      <c r="ULR1533" s="4"/>
      <c r="ULS1533" s="6"/>
      <c r="ULT1533" s="4"/>
      <c r="ULU1533" s="6"/>
      <c r="ULV1533" s="4"/>
      <c r="ULW1533" s="6"/>
      <c r="ULX1533" s="4"/>
      <c r="ULY1533" s="6"/>
      <c r="ULZ1533" s="4"/>
      <c r="UMA1533" s="6"/>
      <c r="UMB1533" s="4"/>
      <c r="UMC1533" s="6"/>
      <c r="UMD1533" s="4"/>
      <c r="UME1533" s="6"/>
      <c r="UMF1533" s="4"/>
      <c r="UMG1533" s="6"/>
      <c r="UMH1533" s="4"/>
      <c r="UMI1533" s="6"/>
      <c r="UMJ1533" s="4"/>
      <c r="UMK1533" s="6"/>
      <c r="UML1533" s="4"/>
      <c r="UMM1533" s="6"/>
      <c r="UMN1533" s="4"/>
      <c r="UMO1533" s="6"/>
      <c r="UMP1533" s="4"/>
      <c r="UMQ1533" s="6"/>
      <c r="UMR1533" s="4"/>
      <c r="UMS1533" s="6"/>
      <c r="UMT1533" s="4"/>
      <c r="UMU1533" s="6"/>
      <c r="UMV1533" s="4"/>
      <c r="UMW1533" s="6"/>
      <c r="UMX1533" s="4"/>
      <c r="UMY1533" s="6"/>
      <c r="UMZ1533" s="4"/>
      <c r="UNA1533" s="6"/>
      <c r="UNB1533" s="4"/>
      <c r="UNC1533" s="6"/>
      <c r="UND1533" s="4"/>
      <c r="UNE1533" s="6"/>
      <c r="UNF1533" s="4"/>
      <c r="UNG1533" s="6"/>
      <c r="UNH1533" s="4"/>
      <c r="UNI1533" s="6"/>
      <c r="UNJ1533" s="4"/>
      <c r="UNK1533" s="6"/>
      <c r="UNL1533" s="4"/>
      <c r="UNM1533" s="6"/>
      <c r="UNN1533" s="4"/>
      <c r="UNO1533" s="6"/>
      <c r="UNP1533" s="4"/>
      <c r="UNQ1533" s="6"/>
      <c r="UNR1533" s="4"/>
      <c r="UNS1533" s="6"/>
      <c r="UNT1533" s="4"/>
      <c r="UNU1533" s="6"/>
      <c r="UNV1533" s="4"/>
      <c r="UNW1533" s="6"/>
      <c r="UNX1533" s="4"/>
      <c r="UNY1533" s="6"/>
      <c r="UNZ1533" s="4"/>
      <c r="UOA1533" s="6"/>
      <c r="UOB1533" s="4"/>
      <c r="UOC1533" s="6"/>
      <c r="UOD1533" s="4"/>
      <c r="UOE1533" s="6"/>
      <c r="UOF1533" s="4"/>
      <c r="UOG1533" s="6"/>
      <c r="UOH1533" s="4"/>
      <c r="UOI1533" s="6"/>
      <c r="UOJ1533" s="4"/>
      <c r="UOK1533" s="6"/>
      <c r="UOL1533" s="4"/>
      <c r="UOM1533" s="6"/>
      <c r="UON1533" s="4"/>
      <c r="UOO1533" s="6"/>
      <c r="UOP1533" s="4"/>
      <c r="UOQ1533" s="6"/>
      <c r="UOR1533" s="4"/>
      <c r="UOS1533" s="6"/>
      <c r="UOT1533" s="4"/>
      <c r="UOU1533" s="6"/>
      <c r="UOV1533" s="4"/>
      <c r="UOW1533" s="6"/>
      <c r="UOX1533" s="4"/>
      <c r="UOY1533" s="6"/>
      <c r="UOZ1533" s="4"/>
      <c r="UPA1533" s="6"/>
      <c r="UPB1533" s="4"/>
      <c r="UPC1533" s="6"/>
      <c r="UPD1533" s="4"/>
      <c r="UPE1533" s="6"/>
      <c r="UPF1533" s="4"/>
      <c r="UPG1533" s="6"/>
      <c r="UPH1533" s="4"/>
      <c r="UPI1533" s="6"/>
      <c r="UPJ1533" s="4"/>
      <c r="UPK1533" s="6"/>
      <c r="UPL1533" s="4"/>
      <c r="UPM1533" s="6"/>
      <c r="UPN1533" s="4"/>
      <c r="UPO1533" s="6"/>
      <c r="UPP1533" s="4"/>
      <c r="UPQ1533" s="6"/>
      <c r="UPR1533" s="4"/>
      <c r="UPS1533" s="6"/>
      <c r="UPT1533" s="4"/>
      <c r="UPU1533" s="6"/>
      <c r="UPV1533" s="4"/>
      <c r="UPW1533" s="6"/>
      <c r="UPX1533" s="4"/>
      <c r="UPY1533" s="6"/>
      <c r="UPZ1533" s="4"/>
      <c r="UQA1533" s="6"/>
      <c r="UQB1533" s="4"/>
      <c r="UQC1533" s="6"/>
      <c r="UQD1533" s="4"/>
      <c r="UQE1533" s="6"/>
      <c r="UQF1533" s="4"/>
      <c r="UQG1533" s="6"/>
      <c r="UQH1533" s="4"/>
      <c r="UQI1533" s="6"/>
      <c r="UQJ1533" s="4"/>
      <c r="UQK1533" s="6"/>
      <c r="UQL1533" s="4"/>
      <c r="UQM1533" s="6"/>
      <c r="UQN1533" s="4"/>
      <c r="UQO1533" s="6"/>
      <c r="UQP1533" s="4"/>
      <c r="UQQ1533" s="6"/>
      <c r="UQR1533" s="4"/>
      <c r="UQS1533" s="6"/>
      <c r="UQT1533" s="4"/>
      <c r="UQU1533" s="6"/>
      <c r="UQV1533" s="4"/>
      <c r="UQW1533" s="6"/>
      <c r="UQX1533" s="4"/>
      <c r="UQY1533" s="6"/>
      <c r="UQZ1533" s="4"/>
      <c r="URA1533" s="6"/>
      <c r="URB1533" s="4"/>
      <c r="URC1533" s="6"/>
      <c r="URD1533" s="4"/>
      <c r="URE1533" s="6"/>
      <c r="URF1533" s="4"/>
      <c r="URG1533" s="6"/>
      <c r="URH1533" s="4"/>
      <c r="URI1533" s="6"/>
      <c r="URJ1533" s="4"/>
      <c r="URK1533" s="6"/>
      <c r="URL1533" s="4"/>
      <c r="URM1533" s="6"/>
      <c r="URN1533" s="4"/>
      <c r="URO1533" s="6"/>
      <c r="URP1533" s="4"/>
      <c r="URQ1533" s="6"/>
      <c r="URR1533" s="4"/>
      <c r="URS1533" s="6"/>
      <c r="URT1533" s="4"/>
      <c r="URU1533" s="6"/>
      <c r="URV1533" s="4"/>
      <c r="URW1533" s="6"/>
      <c r="URX1533" s="4"/>
      <c r="URY1533" s="6"/>
      <c r="URZ1533" s="4"/>
      <c r="USA1533" s="6"/>
      <c r="USB1533" s="4"/>
      <c r="USC1533" s="6"/>
      <c r="USD1533" s="4"/>
      <c r="USE1533" s="6"/>
      <c r="USF1533" s="4"/>
      <c r="USG1533" s="6"/>
      <c r="USH1533" s="4"/>
      <c r="USI1533" s="6"/>
      <c r="USJ1533" s="4"/>
      <c r="USK1533" s="6"/>
      <c r="USL1533" s="4"/>
      <c r="USM1533" s="6"/>
      <c r="USN1533" s="4"/>
      <c r="USO1533" s="6"/>
      <c r="USP1533" s="4"/>
      <c r="USQ1533" s="6"/>
      <c r="USR1533" s="4"/>
      <c r="USS1533" s="6"/>
      <c r="UST1533" s="4"/>
      <c r="USU1533" s="6"/>
      <c r="USV1533" s="4"/>
      <c r="USW1533" s="6"/>
      <c r="USX1533" s="4"/>
      <c r="USY1533" s="6"/>
      <c r="USZ1533" s="4"/>
      <c r="UTA1533" s="6"/>
      <c r="UTB1533" s="4"/>
      <c r="UTC1533" s="6"/>
      <c r="UTD1533" s="4"/>
      <c r="UTE1533" s="6"/>
      <c r="UTF1533" s="4"/>
      <c r="UTG1533" s="6"/>
      <c r="UTH1533" s="4"/>
      <c r="UTI1533" s="6"/>
      <c r="UTJ1533" s="4"/>
      <c r="UTK1533" s="6"/>
      <c r="UTL1533" s="4"/>
      <c r="UTM1533" s="6"/>
      <c r="UTN1533" s="4"/>
      <c r="UTO1533" s="6"/>
      <c r="UTP1533" s="4"/>
      <c r="UTQ1533" s="6"/>
      <c r="UTR1533" s="4"/>
      <c r="UTS1533" s="6"/>
      <c r="UTT1533" s="4"/>
      <c r="UTU1533" s="6"/>
      <c r="UTV1533" s="4"/>
      <c r="UTW1533" s="6"/>
      <c r="UTX1533" s="4"/>
      <c r="UTY1533" s="6"/>
      <c r="UTZ1533" s="4"/>
      <c r="UUA1533" s="6"/>
      <c r="UUB1533" s="4"/>
      <c r="UUC1533" s="6"/>
      <c r="UUD1533" s="4"/>
      <c r="UUE1533" s="6"/>
      <c r="UUF1533" s="4"/>
      <c r="UUG1533" s="6"/>
      <c r="UUH1533" s="4"/>
      <c r="UUI1533" s="6"/>
      <c r="UUJ1533" s="4"/>
      <c r="UUK1533" s="6"/>
      <c r="UUL1533" s="4"/>
      <c r="UUM1533" s="6"/>
      <c r="UUN1533" s="4"/>
      <c r="UUO1533" s="6"/>
      <c r="UUP1533" s="4"/>
      <c r="UUQ1533" s="6"/>
      <c r="UUR1533" s="4"/>
      <c r="UUS1533" s="6"/>
      <c r="UUT1533" s="4"/>
      <c r="UUU1533" s="6"/>
      <c r="UUV1533" s="4"/>
      <c r="UUW1533" s="6"/>
      <c r="UUX1533" s="4"/>
      <c r="UUY1533" s="6"/>
      <c r="UUZ1533" s="4"/>
      <c r="UVA1533" s="6"/>
      <c r="UVB1533" s="4"/>
      <c r="UVC1533" s="6"/>
      <c r="UVD1533" s="4"/>
      <c r="UVE1533" s="6"/>
      <c r="UVF1533" s="4"/>
      <c r="UVG1533" s="6"/>
      <c r="UVH1533" s="4"/>
      <c r="UVI1533" s="6"/>
      <c r="UVJ1533" s="4"/>
      <c r="UVK1533" s="6"/>
      <c r="UVL1533" s="4"/>
      <c r="UVM1533" s="6"/>
      <c r="UVN1533" s="4"/>
      <c r="UVO1533" s="6"/>
      <c r="UVP1533" s="4"/>
      <c r="UVQ1533" s="6"/>
      <c r="UVR1533" s="4"/>
      <c r="UVS1533" s="6"/>
      <c r="UVT1533" s="4"/>
      <c r="UVU1533" s="6"/>
      <c r="UVV1533" s="4"/>
      <c r="UVW1533" s="6"/>
      <c r="UVX1533" s="4"/>
      <c r="UVY1533" s="6"/>
      <c r="UVZ1533" s="4"/>
      <c r="UWA1533" s="6"/>
      <c r="UWB1533" s="4"/>
      <c r="UWC1533" s="6"/>
      <c r="UWD1533" s="4"/>
      <c r="UWE1533" s="6"/>
      <c r="UWF1533" s="4"/>
      <c r="UWG1533" s="6"/>
      <c r="UWH1533" s="4"/>
      <c r="UWI1533" s="6"/>
      <c r="UWJ1533" s="4"/>
      <c r="UWK1533" s="6"/>
      <c r="UWL1533" s="4"/>
      <c r="UWM1533" s="6"/>
      <c r="UWN1533" s="4"/>
      <c r="UWO1533" s="6"/>
      <c r="UWP1533" s="4"/>
      <c r="UWQ1533" s="6"/>
      <c r="UWR1533" s="4"/>
      <c r="UWS1533" s="6"/>
      <c r="UWT1533" s="4"/>
      <c r="UWU1533" s="6"/>
      <c r="UWV1533" s="4"/>
      <c r="UWW1533" s="6"/>
      <c r="UWX1533" s="4"/>
      <c r="UWY1533" s="6"/>
      <c r="UWZ1533" s="4"/>
      <c r="UXA1533" s="6"/>
      <c r="UXB1533" s="4"/>
      <c r="UXC1533" s="6"/>
      <c r="UXD1533" s="4"/>
      <c r="UXE1533" s="6"/>
      <c r="UXF1533" s="4"/>
      <c r="UXG1533" s="6"/>
      <c r="UXH1533" s="4"/>
      <c r="UXI1533" s="6"/>
      <c r="UXJ1533" s="4"/>
      <c r="UXK1533" s="6"/>
      <c r="UXL1533" s="4"/>
      <c r="UXM1533" s="6"/>
      <c r="UXN1533" s="4"/>
      <c r="UXO1533" s="6"/>
      <c r="UXP1533" s="4"/>
      <c r="UXQ1533" s="6"/>
      <c r="UXR1533" s="4"/>
      <c r="UXS1533" s="6"/>
      <c r="UXT1533" s="4"/>
      <c r="UXU1533" s="6"/>
      <c r="UXV1533" s="4"/>
      <c r="UXW1533" s="6"/>
      <c r="UXX1533" s="4"/>
      <c r="UXY1533" s="6"/>
      <c r="UXZ1533" s="4"/>
      <c r="UYA1533" s="6"/>
      <c r="UYB1533" s="4"/>
      <c r="UYC1533" s="6"/>
      <c r="UYD1533" s="4"/>
      <c r="UYE1533" s="6"/>
      <c r="UYF1533" s="4"/>
      <c r="UYG1533" s="6"/>
      <c r="UYH1533" s="4"/>
      <c r="UYI1533" s="6"/>
      <c r="UYJ1533" s="4"/>
      <c r="UYK1533" s="6"/>
      <c r="UYL1533" s="4"/>
      <c r="UYM1533" s="6"/>
      <c r="UYN1533" s="4"/>
      <c r="UYO1533" s="6"/>
      <c r="UYP1533" s="4"/>
      <c r="UYQ1533" s="6"/>
      <c r="UYR1533" s="4"/>
      <c r="UYS1533" s="6"/>
      <c r="UYT1533" s="4"/>
      <c r="UYU1533" s="6"/>
      <c r="UYV1533" s="4"/>
      <c r="UYW1533" s="6"/>
      <c r="UYX1533" s="4"/>
      <c r="UYY1533" s="6"/>
      <c r="UYZ1533" s="4"/>
      <c r="UZA1533" s="6"/>
      <c r="UZB1533" s="4"/>
      <c r="UZC1533" s="6"/>
      <c r="UZD1533" s="4"/>
      <c r="UZE1533" s="6"/>
      <c r="UZF1533" s="4"/>
      <c r="UZG1533" s="6"/>
      <c r="UZH1533" s="4"/>
      <c r="UZI1533" s="6"/>
      <c r="UZJ1533" s="4"/>
      <c r="UZK1533" s="6"/>
      <c r="UZL1533" s="4"/>
      <c r="UZM1533" s="6"/>
      <c r="UZN1533" s="4"/>
      <c r="UZO1533" s="6"/>
      <c r="UZP1533" s="4"/>
      <c r="UZQ1533" s="6"/>
      <c r="UZR1533" s="4"/>
      <c r="UZS1533" s="6"/>
      <c r="UZT1533" s="4"/>
      <c r="UZU1533" s="6"/>
      <c r="UZV1533" s="4"/>
      <c r="UZW1533" s="6"/>
      <c r="UZX1533" s="4"/>
      <c r="UZY1533" s="6"/>
      <c r="UZZ1533" s="4"/>
      <c r="VAA1533" s="6"/>
      <c r="VAB1533" s="4"/>
      <c r="VAC1533" s="6"/>
      <c r="VAD1533" s="4"/>
      <c r="VAE1533" s="6"/>
      <c r="VAF1533" s="4"/>
      <c r="VAG1533" s="6"/>
      <c r="VAH1533" s="4"/>
      <c r="VAI1533" s="6"/>
      <c r="VAJ1533" s="4"/>
      <c r="VAK1533" s="6"/>
      <c r="VAL1533" s="4"/>
      <c r="VAM1533" s="6"/>
      <c r="VAN1533" s="4"/>
      <c r="VAO1533" s="6"/>
      <c r="VAP1533" s="4"/>
      <c r="VAQ1533" s="6"/>
      <c r="VAR1533" s="4"/>
      <c r="VAS1533" s="6"/>
      <c r="VAT1533" s="4"/>
      <c r="VAU1533" s="6"/>
      <c r="VAV1533" s="4"/>
      <c r="VAW1533" s="6"/>
      <c r="VAX1533" s="4"/>
      <c r="VAY1533" s="6"/>
      <c r="VAZ1533" s="4"/>
      <c r="VBA1533" s="6"/>
      <c r="VBB1533" s="4"/>
      <c r="VBC1533" s="6"/>
      <c r="VBD1533" s="4"/>
      <c r="VBE1533" s="6"/>
      <c r="VBF1533" s="4"/>
      <c r="VBG1533" s="6"/>
      <c r="VBH1533" s="4"/>
      <c r="VBI1533" s="6"/>
      <c r="VBJ1533" s="4"/>
      <c r="VBK1533" s="6"/>
      <c r="VBL1533" s="4"/>
      <c r="VBM1533" s="6"/>
      <c r="VBN1533" s="4"/>
      <c r="VBO1533" s="6"/>
      <c r="VBP1533" s="4"/>
      <c r="VBQ1533" s="6"/>
      <c r="VBR1533" s="4"/>
      <c r="VBS1533" s="6"/>
      <c r="VBT1533" s="4"/>
      <c r="VBU1533" s="6"/>
      <c r="VBV1533" s="4"/>
      <c r="VBW1533" s="6"/>
      <c r="VBX1533" s="4"/>
      <c r="VBY1533" s="6"/>
      <c r="VBZ1533" s="4"/>
      <c r="VCA1533" s="6"/>
      <c r="VCB1533" s="4"/>
      <c r="VCC1533" s="6"/>
      <c r="VCD1533" s="4"/>
      <c r="VCE1533" s="6"/>
      <c r="VCF1533" s="4"/>
      <c r="VCG1533" s="6"/>
      <c r="VCH1533" s="4"/>
      <c r="VCI1533" s="6"/>
      <c r="VCJ1533" s="4"/>
      <c r="VCK1533" s="6"/>
      <c r="VCL1533" s="4"/>
      <c r="VCM1533" s="6"/>
      <c r="VCN1533" s="4"/>
      <c r="VCO1533" s="6"/>
      <c r="VCP1533" s="4"/>
      <c r="VCQ1533" s="6"/>
      <c r="VCR1533" s="4"/>
      <c r="VCS1533" s="6"/>
      <c r="VCT1533" s="4"/>
      <c r="VCU1533" s="6"/>
      <c r="VCV1533" s="4"/>
      <c r="VCW1533" s="6"/>
      <c r="VCX1533" s="4"/>
      <c r="VCY1533" s="6"/>
      <c r="VCZ1533" s="4"/>
      <c r="VDA1533" s="6"/>
      <c r="VDB1533" s="4"/>
      <c r="VDC1533" s="6"/>
      <c r="VDD1533" s="4"/>
      <c r="VDE1533" s="6"/>
      <c r="VDF1533" s="4"/>
      <c r="VDG1533" s="6"/>
      <c r="VDH1533" s="4"/>
      <c r="VDI1533" s="6"/>
      <c r="VDJ1533" s="4"/>
      <c r="VDK1533" s="6"/>
      <c r="VDL1533" s="4"/>
      <c r="VDM1533" s="6"/>
      <c r="VDN1533" s="4"/>
      <c r="VDO1533" s="6"/>
      <c r="VDP1533" s="4"/>
      <c r="VDQ1533" s="6"/>
      <c r="VDR1533" s="4"/>
      <c r="VDS1533" s="6"/>
      <c r="VDT1533" s="4"/>
      <c r="VDU1533" s="6"/>
      <c r="VDV1533" s="4"/>
      <c r="VDW1533" s="6"/>
      <c r="VDX1533" s="4"/>
      <c r="VDY1533" s="6"/>
      <c r="VDZ1533" s="4"/>
      <c r="VEA1533" s="6"/>
      <c r="VEB1533" s="4"/>
      <c r="VEC1533" s="6"/>
      <c r="VED1533" s="4"/>
      <c r="VEE1533" s="6"/>
      <c r="VEF1533" s="4"/>
      <c r="VEG1533" s="6"/>
      <c r="VEH1533" s="4"/>
      <c r="VEI1533" s="6"/>
      <c r="VEJ1533" s="4"/>
      <c r="VEK1533" s="6"/>
      <c r="VEL1533" s="4"/>
      <c r="VEM1533" s="6"/>
      <c r="VEN1533" s="4"/>
      <c r="VEO1533" s="6"/>
      <c r="VEP1533" s="4"/>
      <c r="VEQ1533" s="6"/>
      <c r="VER1533" s="4"/>
      <c r="VES1533" s="6"/>
      <c r="VET1533" s="4"/>
      <c r="VEU1533" s="6"/>
      <c r="VEV1533" s="4"/>
      <c r="VEW1533" s="6"/>
      <c r="VEX1533" s="4"/>
      <c r="VEY1533" s="6"/>
      <c r="VEZ1533" s="4"/>
      <c r="VFA1533" s="6"/>
      <c r="VFB1533" s="4"/>
      <c r="VFC1533" s="6"/>
      <c r="VFD1533" s="4"/>
      <c r="VFE1533" s="6"/>
      <c r="VFF1533" s="4"/>
      <c r="VFG1533" s="6"/>
      <c r="VFH1533" s="4"/>
      <c r="VFI1533" s="6"/>
      <c r="VFJ1533" s="4"/>
      <c r="VFK1533" s="6"/>
      <c r="VFL1533" s="4"/>
      <c r="VFM1533" s="6"/>
      <c r="VFN1533" s="4"/>
      <c r="VFO1533" s="6"/>
      <c r="VFP1533" s="4"/>
      <c r="VFQ1533" s="6"/>
      <c r="VFR1533" s="4"/>
      <c r="VFS1533" s="6"/>
      <c r="VFT1533" s="4"/>
      <c r="VFU1533" s="6"/>
      <c r="VFV1533" s="4"/>
      <c r="VFW1533" s="6"/>
      <c r="VFX1533" s="4"/>
      <c r="VFY1533" s="6"/>
      <c r="VFZ1533" s="4"/>
      <c r="VGA1533" s="6"/>
      <c r="VGB1533" s="4"/>
      <c r="VGC1533" s="6"/>
      <c r="VGD1533" s="4"/>
      <c r="VGE1533" s="6"/>
      <c r="VGF1533" s="4"/>
      <c r="VGG1533" s="6"/>
      <c r="VGH1533" s="4"/>
      <c r="VGI1533" s="6"/>
      <c r="VGJ1533" s="4"/>
      <c r="VGK1533" s="6"/>
      <c r="VGL1533" s="4"/>
      <c r="VGM1533" s="6"/>
      <c r="VGN1533" s="4"/>
      <c r="VGO1533" s="6"/>
      <c r="VGP1533" s="4"/>
      <c r="VGQ1533" s="6"/>
      <c r="VGR1533" s="4"/>
      <c r="VGS1533" s="6"/>
      <c r="VGT1533" s="4"/>
      <c r="VGU1533" s="6"/>
      <c r="VGV1533" s="4"/>
      <c r="VGW1533" s="6"/>
      <c r="VGX1533" s="4"/>
      <c r="VGY1533" s="6"/>
      <c r="VGZ1533" s="4"/>
      <c r="VHA1533" s="6"/>
      <c r="VHB1533" s="4"/>
      <c r="VHC1533" s="6"/>
      <c r="VHD1533" s="4"/>
      <c r="VHE1533" s="6"/>
      <c r="VHF1533" s="4"/>
      <c r="VHG1533" s="6"/>
      <c r="VHH1533" s="4"/>
      <c r="VHI1533" s="6"/>
      <c r="VHJ1533" s="4"/>
      <c r="VHK1533" s="6"/>
      <c r="VHL1533" s="4"/>
      <c r="VHM1533" s="6"/>
      <c r="VHN1533" s="4"/>
      <c r="VHO1533" s="6"/>
      <c r="VHP1533" s="4"/>
      <c r="VHQ1533" s="6"/>
      <c r="VHR1533" s="4"/>
      <c r="VHS1533" s="6"/>
      <c r="VHT1533" s="4"/>
      <c r="VHU1533" s="6"/>
      <c r="VHV1533" s="4"/>
      <c r="VHW1533" s="6"/>
      <c r="VHX1533" s="4"/>
      <c r="VHY1533" s="6"/>
      <c r="VHZ1533" s="4"/>
      <c r="VIA1533" s="6"/>
      <c r="VIB1533" s="4"/>
      <c r="VIC1533" s="6"/>
      <c r="VID1533" s="4"/>
      <c r="VIE1533" s="6"/>
      <c r="VIF1533" s="4"/>
      <c r="VIG1533" s="6"/>
      <c r="VIH1533" s="4"/>
      <c r="VII1533" s="6"/>
      <c r="VIJ1533" s="4"/>
      <c r="VIK1533" s="6"/>
      <c r="VIL1533" s="4"/>
      <c r="VIM1533" s="6"/>
      <c r="VIN1533" s="4"/>
      <c r="VIO1533" s="6"/>
      <c r="VIP1533" s="4"/>
      <c r="VIQ1533" s="6"/>
      <c r="VIR1533" s="4"/>
      <c r="VIS1533" s="6"/>
      <c r="VIT1533" s="4"/>
      <c r="VIU1533" s="6"/>
      <c r="VIV1533" s="4"/>
      <c r="VIW1533" s="6"/>
      <c r="VIX1533" s="4"/>
      <c r="VIY1533" s="6"/>
      <c r="VIZ1533" s="4"/>
      <c r="VJA1533" s="6"/>
      <c r="VJB1533" s="4"/>
      <c r="VJC1533" s="6"/>
      <c r="VJD1533" s="4"/>
      <c r="VJE1533" s="6"/>
      <c r="VJF1533" s="4"/>
      <c r="VJG1533" s="6"/>
      <c r="VJH1533" s="4"/>
      <c r="VJI1533" s="6"/>
      <c r="VJJ1533" s="4"/>
      <c r="VJK1533" s="6"/>
      <c r="VJL1533" s="4"/>
      <c r="VJM1533" s="6"/>
      <c r="VJN1533" s="4"/>
      <c r="VJO1533" s="6"/>
      <c r="VJP1533" s="4"/>
      <c r="VJQ1533" s="6"/>
      <c r="VJR1533" s="4"/>
      <c r="VJS1533" s="6"/>
      <c r="VJT1533" s="4"/>
      <c r="VJU1533" s="6"/>
      <c r="VJV1533" s="4"/>
      <c r="VJW1533" s="6"/>
      <c r="VJX1533" s="4"/>
      <c r="VJY1533" s="6"/>
      <c r="VJZ1533" s="4"/>
      <c r="VKA1533" s="6"/>
      <c r="VKB1533" s="4"/>
      <c r="VKC1533" s="6"/>
      <c r="VKD1533" s="4"/>
      <c r="VKE1533" s="6"/>
      <c r="VKF1533" s="4"/>
      <c r="VKG1533" s="6"/>
      <c r="VKH1533" s="4"/>
      <c r="VKI1533" s="6"/>
      <c r="VKJ1533" s="4"/>
      <c r="VKK1533" s="6"/>
      <c r="VKL1533" s="4"/>
      <c r="VKM1533" s="6"/>
      <c r="VKN1533" s="4"/>
      <c r="VKO1533" s="6"/>
      <c r="VKP1533" s="4"/>
      <c r="VKQ1533" s="6"/>
      <c r="VKR1533" s="4"/>
      <c r="VKS1533" s="6"/>
      <c r="VKT1533" s="4"/>
      <c r="VKU1533" s="6"/>
      <c r="VKV1533" s="4"/>
      <c r="VKW1533" s="6"/>
      <c r="VKX1533" s="4"/>
      <c r="VKY1533" s="6"/>
      <c r="VKZ1533" s="4"/>
      <c r="VLA1533" s="6"/>
      <c r="VLB1533" s="4"/>
      <c r="VLC1533" s="6"/>
      <c r="VLD1533" s="4"/>
      <c r="VLE1533" s="6"/>
      <c r="VLF1533" s="4"/>
      <c r="VLG1533" s="6"/>
      <c r="VLH1533" s="4"/>
      <c r="VLI1533" s="6"/>
      <c r="VLJ1533" s="4"/>
      <c r="VLK1533" s="6"/>
      <c r="VLL1533" s="4"/>
      <c r="VLM1533" s="6"/>
      <c r="VLN1533" s="4"/>
      <c r="VLO1533" s="6"/>
      <c r="VLP1533" s="4"/>
      <c r="VLQ1533" s="6"/>
      <c r="VLR1533" s="4"/>
      <c r="VLS1533" s="6"/>
      <c r="VLT1533" s="4"/>
      <c r="VLU1533" s="6"/>
      <c r="VLV1533" s="4"/>
      <c r="VLW1533" s="6"/>
      <c r="VLX1533" s="4"/>
      <c r="VLY1533" s="6"/>
      <c r="VLZ1533" s="4"/>
      <c r="VMA1533" s="6"/>
      <c r="VMB1533" s="4"/>
      <c r="VMC1533" s="6"/>
      <c r="VMD1533" s="4"/>
      <c r="VME1533" s="6"/>
      <c r="VMF1533" s="4"/>
      <c r="VMG1533" s="6"/>
      <c r="VMH1533" s="4"/>
      <c r="VMI1533" s="6"/>
      <c r="VMJ1533" s="4"/>
      <c r="VMK1533" s="6"/>
      <c r="VML1533" s="4"/>
      <c r="VMM1533" s="6"/>
      <c r="VMN1533" s="4"/>
      <c r="VMO1533" s="6"/>
      <c r="VMP1533" s="4"/>
      <c r="VMQ1533" s="6"/>
      <c r="VMR1533" s="4"/>
      <c r="VMS1533" s="6"/>
      <c r="VMT1533" s="4"/>
      <c r="VMU1533" s="6"/>
      <c r="VMV1533" s="4"/>
      <c r="VMW1533" s="6"/>
      <c r="VMX1533" s="4"/>
      <c r="VMY1533" s="6"/>
      <c r="VMZ1533" s="4"/>
      <c r="VNA1533" s="6"/>
      <c r="VNB1533" s="4"/>
      <c r="VNC1533" s="6"/>
      <c r="VND1533" s="4"/>
      <c r="VNE1533" s="6"/>
      <c r="VNF1533" s="4"/>
      <c r="VNG1533" s="6"/>
      <c r="VNH1533" s="4"/>
      <c r="VNI1533" s="6"/>
      <c r="VNJ1533" s="4"/>
      <c r="VNK1533" s="6"/>
      <c r="VNL1533" s="4"/>
      <c r="VNM1533" s="6"/>
      <c r="VNN1533" s="4"/>
      <c r="VNO1533" s="6"/>
      <c r="VNP1533" s="4"/>
      <c r="VNQ1533" s="6"/>
      <c r="VNR1533" s="4"/>
      <c r="VNS1533" s="6"/>
      <c r="VNT1533" s="4"/>
      <c r="VNU1533" s="6"/>
      <c r="VNV1533" s="4"/>
      <c r="VNW1533" s="6"/>
      <c r="VNX1533" s="4"/>
      <c r="VNY1533" s="6"/>
      <c r="VNZ1533" s="4"/>
      <c r="VOA1533" s="6"/>
      <c r="VOB1533" s="4"/>
      <c r="VOC1533" s="6"/>
      <c r="VOD1533" s="4"/>
      <c r="VOE1533" s="6"/>
      <c r="VOF1533" s="4"/>
      <c r="VOG1533" s="6"/>
      <c r="VOH1533" s="4"/>
      <c r="VOI1533" s="6"/>
      <c r="VOJ1533" s="4"/>
      <c r="VOK1533" s="6"/>
      <c r="VOL1533" s="4"/>
      <c r="VOM1533" s="6"/>
      <c r="VON1533" s="4"/>
      <c r="VOO1533" s="6"/>
      <c r="VOP1533" s="4"/>
      <c r="VOQ1533" s="6"/>
      <c r="VOR1533" s="4"/>
      <c r="VOS1533" s="6"/>
      <c r="VOT1533" s="4"/>
      <c r="VOU1533" s="6"/>
      <c r="VOV1533" s="4"/>
      <c r="VOW1533" s="6"/>
      <c r="VOX1533" s="4"/>
      <c r="VOY1533" s="6"/>
      <c r="VOZ1533" s="4"/>
      <c r="VPA1533" s="6"/>
      <c r="VPB1533" s="4"/>
      <c r="VPC1533" s="6"/>
      <c r="VPD1533" s="4"/>
      <c r="VPE1533" s="6"/>
      <c r="VPF1533" s="4"/>
      <c r="VPG1533" s="6"/>
      <c r="VPH1533" s="4"/>
      <c r="VPI1533" s="6"/>
      <c r="VPJ1533" s="4"/>
      <c r="VPK1533" s="6"/>
      <c r="VPL1533" s="4"/>
      <c r="VPM1533" s="6"/>
      <c r="VPN1533" s="4"/>
      <c r="VPO1533" s="6"/>
      <c r="VPP1533" s="4"/>
      <c r="VPQ1533" s="6"/>
      <c r="VPR1533" s="4"/>
      <c r="VPS1533" s="6"/>
      <c r="VPT1533" s="4"/>
      <c r="VPU1533" s="6"/>
      <c r="VPV1533" s="4"/>
      <c r="VPW1533" s="6"/>
      <c r="VPX1533" s="4"/>
      <c r="VPY1533" s="6"/>
      <c r="VPZ1533" s="4"/>
      <c r="VQA1533" s="6"/>
      <c r="VQB1533" s="4"/>
      <c r="VQC1533" s="6"/>
      <c r="VQD1533" s="4"/>
      <c r="VQE1533" s="6"/>
      <c r="VQF1533" s="4"/>
      <c r="VQG1533" s="6"/>
      <c r="VQH1533" s="4"/>
      <c r="VQI1533" s="6"/>
      <c r="VQJ1533" s="4"/>
      <c r="VQK1533" s="6"/>
      <c r="VQL1533" s="4"/>
      <c r="VQM1533" s="6"/>
      <c r="VQN1533" s="4"/>
      <c r="VQO1533" s="6"/>
      <c r="VQP1533" s="4"/>
      <c r="VQQ1533" s="6"/>
      <c r="VQR1533" s="4"/>
      <c r="VQS1533" s="6"/>
      <c r="VQT1533" s="4"/>
      <c r="VQU1533" s="6"/>
      <c r="VQV1533" s="4"/>
      <c r="VQW1533" s="6"/>
      <c r="VQX1533" s="4"/>
      <c r="VQY1533" s="6"/>
      <c r="VQZ1533" s="4"/>
      <c r="VRA1533" s="6"/>
      <c r="VRB1533" s="4"/>
      <c r="VRC1533" s="6"/>
      <c r="VRD1533" s="4"/>
      <c r="VRE1533" s="6"/>
      <c r="VRF1533" s="4"/>
      <c r="VRG1533" s="6"/>
      <c r="VRH1533" s="4"/>
      <c r="VRI1533" s="6"/>
      <c r="VRJ1533" s="4"/>
      <c r="VRK1533" s="6"/>
      <c r="VRL1533" s="4"/>
      <c r="VRM1533" s="6"/>
      <c r="VRN1533" s="4"/>
      <c r="VRO1533" s="6"/>
      <c r="VRP1533" s="4"/>
      <c r="VRQ1533" s="6"/>
      <c r="VRR1533" s="4"/>
      <c r="VRS1533" s="6"/>
      <c r="VRT1533" s="4"/>
      <c r="VRU1533" s="6"/>
      <c r="VRV1533" s="4"/>
      <c r="VRW1533" s="6"/>
      <c r="VRX1533" s="4"/>
      <c r="VRY1533" s="6"/>
      <c r="VRZ1533" s="4"/>
      <c r="VSA1533" s="6"/>
      <c r="VSB1533" s="4"/>
      <c r="VSC1533" s="6"/>
      <c r="VSD1533" s="4"/>
      <c r="VSE1533" s="6"/>
      <c r="VSF1533" s="4"/>
      <c r="VSG1533" s="6"/>
      <c r="VSH1533" s="4"/>
      <c r="VSI1533" s="6"/>
      <c r="VSJ1533" s="4"/>
      <c r="VSK1533" s="6"/>
      <c r="VSL1533" s="4"/>
      <c r="VSM1533" s="6"/>
      <c r="VSN1533" s="4"/>
      <c r="VSO1533" s="6"/>
      <c r="VSP1533" s="4"/>
      <c r="VSQ1533" s="6"/>
      <c r="VSR1533" s="4"/>
      <c r="VSS1533" s="6"/>
      <c r="VST1533" s="4"/>
      <c r="VSU1533" s="6"/>
      <c r="VSV1533" s="4"/>
      <c r="VSW1533" s="6"/>
      <c r="VSX1533" s="4"/>
      <c r="VSY1533" s="6"/>
      <c r="VSZ1533" s="4"/>
      <c r="VTA1533" s="6"/>
      <c r="VTB1533" s="4"/>
      <c r="VTC1533" s="6"/>
      <c r="VTD1533" s="4"/>
      <c r="VTE1533" s="6"/>
      <c r="VTF1533" s="4"/>
      <c r="VTG1533" s="6"/>
      <c r="VTH1533" s="4"/>
      <c r="VTI1533" s="6"/>
      <c r="VTJ1533" s="4"/>
      <c r="VTK1533" s="6"/>
      <c r="VTL1533" s="4"/>
      <c r="VTM1533" s="6"/>
      <c r="VTN1533" s="4"/>
      <c r="VTO1533" s="6"/>
      <c r="VTP1533" s="4"/>
      <c r="VTQ1533" s="6"/>
      <c r="VTR1533" s="4"/>
      <c r="VTS1533" s="6"/>
      <c r="VTT1533" s="4"/>
      <c r="VTU1533" s="6"/>
      <c r="VTV1533" s="4"/>
      <c r="VTW1533" s="6"/>
      <c r="VTX1533" s="4"/>
      <c r="VTY1533" s="6"/>
      <c r="VTZ1533" s="4"/>
      <c r="VUA1533" s="6"/>
      <c r="VUB1533" s="4"/>
      <c r="VUC1533" s="6"/>
      <c r="VUD1533" s="4"/>
      <c r="VUE1533" s="6"/>
      <c r="VUF1533" s="4"/>
      <c r="VUG1533" s="6"/>
      <c r="VUH1533" s="4"/>
      <c r="VUI1533" s="6"/>
      <c r="VUJ1533" s="4"/>
      <c r="VUK1533" s="6"/>
      <c r="VUL1533" s="4"/>
      <c r="VUM1533" s="6"/>
      <c r="VUN1533" s="4"/>
      <c r="VUO1533" s="6"/>
      <c r="VUP1533" s="4"/>
      <c r="VUQ1533" s="6"/>
      <c r="VUR1533" s="4"/>
      <c r="VUS1533" s="6"/>
      <c r="VUT1533" s="4"/>
      <c r="VUU1533" s="6"/>
      <c r="VUV1533" s="4"/>
      <c r="VUW1533" s="6"/>
      <c r="VUX1533" s="4"/>
      <c r="VUY1533" s="6"/>
      <c r="VUZ1533" s="4"/>
      <c r="VVA1533" s="6"/>
      <c r="VVB1533" s="4"/>
      <c r="VVC1533" s="6"/>
      <c r="VVD1533" s="4"/>
      <c r="VVE1533" s="6"/>
      <c r="VVF1533" s="4"/>
      <c r="VVG1533" s="6"/>
      <c r="VVH1533" s="4"/>
      <c r="VVI1533" s="6"/>
      <c r="VVJ1533" s="4"/>
      <c r="VVK1533" s="6"/>
      <c r="VVL1533" s="4"/>
      <c r="VVM1533" s="6"/>
      <c r="VVN1533" s="4"/>
      <c r="VVO1533" s="6"/>
      <c r="VVP1533" s="4"/>
      <c r="VVQ1533" s="6"/>
      <c r="VVR1533" s="4"/>
      <c r="VVS1533" s="6"/>
      <c r="VVT1533" s="4"/>
      <c r="VVU1533" s="6"/>
      <c r="VVV1533" s="4"/>
      <c r="VVW1533" s="6"/>
      <c r="VVX1533" s="4"/>
      <c r="VVY1533" s="6"/>
      <c r="VVZ1533" s="4"/>
      <c r="VWA1533" s="6"/>
      <c r="VWB1533" s="4"/>
      <c r="VWC1533" s="6"/>
      <c r="VWD1533" s="4"/>
      <c r="VWE1533" s="6"/>
      <c r="VWF1533" s="4"/>
      <c r="VWG1533" s="6"/>
      <c r="VWH1533" s="4"/>
      <c r="VWI1533" s="6"/>
      <c r="VWJ1533" s="4"/>
      <c r="VWK1533" s="6"/>
      <c r="VWL1533" s="4"/>
      <c r="VWM1533" s="6"/>
      <c r="VWN1533" s="4"/>
      <c r="VWO1533" s="6"/>
      <c r="VWP1533" s="4"/>
      <c r="VWQ1533" s="6"/>
      <c r="VWR1533" s="4"/>
      <c r="VWS1533" s="6"/>
      <c r="VWT1533" s="4"/>
      <c r="VWU1533" s="6"/>
      <c r="VWV1533" s="4"/>
      <c r="VWW1533" s="6"/>
      <c r="VWX1533" s="4"/>
      <c r="VWY1533" s="6"/>
      <c r="VWZ1533" s="4"/>
      <c r="VXA1533" s="6"/>
      <c r="VXB1533" s="4"/>
      <c r="VXC1533" s="6"/>
      <c r="VXD1533" s="4"/>
      <c r="VXE1533" s="6"/>
      <c r="VXF1533" s="4"/>
      <c r="VXG1533" s="6"/>
      <c r="VXH1533" s="4"/>
      <c r="VXI1533" s="6"/>
      <c r="VXJ1533" s="4"/>
      <c r="VXK1533" s="6"/>
      <c r="VXL1533" s="4"/>
      <c r="VXM1533" s="6"/>
      <c r="VXN1533" s="4"/>
      <c r="VXO1533" s="6"/>
      <c r="VXP1533" s="4"/>
      <c r="VXQ1533" s="6"/>
      <c r="VXR1533" s="4"/>
      <c r="VXS1533" s="6"/>
      <c r="VXT1533" s="4"/>
      <c r="VXU1533" s="6"/>
      <c r="VXV1533" s="4"/>
      <c r="VXW1533" s="6"/>
      <c r="VXX1533" s="4"/>
      <c r="VXY1533" s="6"/>
      <c r="VXZ1533" s="4"/>
      <c r="VYA1533" s="6"/>
      <c r="VYB1533" s="4"/>
      <c r="VYC1533" s="6"/>
      <c r="VYD1533" s="4"/>
      <c r="VYE1533" s="6"/>
      <c r="VYF1533" s="4"/>
      <c r="VYG1533" s="6"/>
      <c r="VYH1533" s="4"/>
      <c r="VYI1533" s="6"/>
      <c r="VYJ1533" s="4"/>
      <c r="VYK1533" s="6"/>
      <c r="VYL1533" s="4"/>
      <c r="VYM1533" s="6"/>
      <c r="VYN1533" s="4"/>
      <c r="VYO1533" s="6"/>
      <c r="VYP1533" s="4"/>
      <c r="VYQ1533" s="6"/>
      <c r="VYR1533" s="4"/>
      <c r="VYS1533" s="6"/>
      <c r="VYT1533" s="4"/>
      <c r="VYU1533" s="6"/>
      <c r="VYV1533" s="4"/>
      <c r="VYW1533" s="6"/>
      <c r="VYX1533" s="4"/>
      <c r="VYY1533" s="6"/>
      <c r="VYZ1533" s="4"/>
      <c r="VZA1533" s="6"/>
      <c r="VZB1533" s="4"/>
      <c r="VZC1533" s="6"/>
      <c r="VZD1533" s="4"/>
      <c r="VZE1533" s="6"/>
      <c r="VZF1533" s="4"/>
      <c r="VZG1533" s="6"/>
      <c r="VZH1533" s="4"/>
      <c r="VZI1533" s="6"/>
      <c r="VZJ1533" s="4"/>
      <c r="VZK1533" s="6"/>
      <c r="VZL1533" s="4"/>
      <c r="VZM1533" s="6"/>
      <c r="VZN1533" s="4"/>
      <c r="VZO1533" s="6"/>
      <c r="VZP1533" s="4"/>
      <c r="VZQ1533" s="6"/>
      <c r="VZR1533" s="4"/>
      <c r="VZS1533" s="6"/>
      <c r="VZT1533" s="4"/>
      <c r="VZU1533" s="6"/>
      <c r="VZV1533" s="4"/>
      <c r="VZW1533" s="6"/>
      <c r="VZX1533" s="4"/>
      <c r="VZY1533" s="6"/>
      <c r="VZZ1533" s="4"/>
      <c r="WAA1533" s="6"/>
      <c r="WAB1533" s="4"/>
      <c r="WAC1533" s="6"/>
      <c r="WAD1533" s="4"/>
      <c r="WAE1533" s="6"/>
      <c r="WAF1533" s="4"/>
      <c r="WAG1533" s="6"/>
      <c r="WAH1533" s="4"/>
      <c r="WAI1533" s="6"/>
      <c r="WAJ1533" s="4"/>
      <c r="WAK1533" s="6"/>
      <c r="WAL1533" s="4"/>
      <c r="WAM1533" s="6"/>
      <c r="WAN1533" s="4"/>
      <c r="WAO1533" s="6"/>
      <c r="WAP1533" s="4"/>
      <c r="WAQ1533" s="6"/>
      <c r="WAR1533" s="4"/>
      <c r="WAS1533" s="6"/>
      <c r="WAT1533" s="4"/>
      <c r="WAU1533" s="6"/>
      <c r="WAV1533" s="4"/>
      <c r="WAW1533" s="6"/>
      <c r="WAX1533" s="4"/>
      <c r="WAY1533" s="6"/>
      <c r="WAZ1533" s="4"/>
      <c r="WBA1533" s="6"/>
      <c r="WBB1533" s="4"/>
      <c r="WBC1533" s="6"/>
      <c r="WBD1533" s="4"/>
      <c r="WBE1533" s="6"/>
      <c r="WBF1533" s="4"/>
      <c r="WBG1533" s="6"/>
      <c r="WBH1533" s="4"/>
      <c r="WBI1533" s="6"/>
      <c r="WBJ1533" s="4"/>
      <c r="WBK1533" s="6"/>
      <c r="WBL1533" s="4"/>
      <c r="WBM1533" s="6"/>
      <c r="WBN1533" s="4"/>
      <c r="WBO1533" s="6"/>
      <c r="WBP1533" s="4"/>
      <c r="WBQ1533" s="6"/>
      <c r="WBR1533" s="4"/>
      <c r="WBS1533" s="6"/>
      <c r="WBT1533" s="4"/>
      <c r="WBU1533" s="6"/>
      <c r="WBV1533" s="4"/>
      <c r="WBW1533" s="6"/>
      <c r="WBX1533" s="4"/>
      <c r="WBY1533" s="6"/>
      <c r="WBZ1533" s="4"/>
      <c r="WCA1533" s="6"/>
      <c r="WCB1533" s="4"/>
      <c r="WCC1533" s="6"/>
      <c r="WCD1533" s="4"/>
      <c r="WCE1533" s="6"/>
      <c r="WCF1533" s="4"/>
      <c r="WCG1533" s="6"/>
      <c r="WCH1533" s="4"/>
      <c r="WCI1533" s="6"/>
      <c r="WCJ1533" s="4"/>
      <c r="WCK1533" s="6"/>
      <c r="WCL1533" s="4"/>
      <c r="WCM1533" s="6"/>
      <c r="WCN1533" s="4"/>
      <c r="WCO1533" s="6"/>
      <c r="WCP1533" s="4"/>
      <c r="WCQ1533" s="6"/>
      <c r="WCR1533" s="4"/>
      <c r="WCS1533" s="6"/>
      <c r="WCT1533" s="4"/>
      <c r="WCU1533" s="6"/>
      <c r="WCV1533" s="4"/>
      <c r="WCW1533" s="6"/>
      <c r="WCX1533" s="4"/>
      <c r="WCY1533" s="6"/>
      <c r="WCZ1533" s="4"/>
      <c r="WDA1533" s="6"/>
      <c r="WDB1533" s="4"/>
      <c r="WDC1533" s="6"/>
      <c r="WDD1533" s="4"/>
      <c r="WDE1533" s="6"/>
      <c r="WDF1533" s="4"/>
      <c r="WDG1533" s="6"/>
      <c r="WDH1533" s="4"/>
      <c r="WDI1533" s="6"/>
      <c r="WDJ1533" s="4"/>
      <c r="WDK1533" s="6"/>
      <c r="WDL1533" s="4"/>
      <c r="WDM1533" s="6"/>
      <c r="WDN1533" s="4"/>
      <c r="WDO1533" s="6"/>
      <c r="WDP1533" s="4"/>
      <c r="WDQ1533" s="6"/>
      <c r="WDR1533" s="4"/>
      <c r="WDS1533" s="6"/>
      <c r="WDT1533" s="4"/>
      <c r="WDU1533" s="6"/>
      <c r="WDV1533" s="4"/>
      <c r="WDW1533" s="6"/>
      <c r="WDX1533" s="4"/>
      <c r="WDY1533" s="6"/>
      <c r="WDZ1533" s="4"/>
      <c r="WEA1533" s="6"/>
      <c r="WEB1533" s="4"/>
      <c r="WEC1533" s="6"/>
      <c r="WED1533" s="4"/>
      <c r="WEE1533" s="6"/>
      <c r="WEF1533" s="4"/>
      <c r="WEG1533" s="6"/>
      <c r="WEH1533" s="4"/>
      <c r="WEI1533" s="6"/>
      <c r="WEJ1533" s="4"/>
      <c r="WEK1533" s="6"/>
      <c r="WEL1533" s="4"/>
      <c r="WEM1533" s="6"/>
      <c r="WEN1533" s="4"/>
      <c r="WEO1533" s="6"/>
      <c r="WEP1533" s="4"/>
      <c r="WEQ1533" s="6"/>
      <c r="WER1533" s="4"/>
      <c r="WES1533" s="6"/>
      <c r="WET1533" s="4"/>
      <c r="WEU1533" s="6"/>
      <c r="WEV1533" s="4"/>
      <c r="WEW1533" s="6"/>
      <c r="WEX1533" s="4"/>
      <c r="WEY1533" s="6"/>
      <c r="WEZ1533" s="4"/>
      <c r="WFA1533" s="6"/>
      <c r="WFB1533" s="4"/>
      <c r="WFC1533" s="6"/>
      <c r="WFD1533" s="4"/>
      <c r="WFE1533" s="6"/>
      <c r="WFF1533" s="4"/>
      <c r="WFG1533" s="6"/>
      <c r="WFH1533" s="4"/>
      <c r="WFI1533" s="6"/>
      <c r="WFJ1533" s="4"/>
      <c r="WFK1533" s="6"/>
      <c r="WFL1533" s="4"/>
      <c r="WFM1533" s="6"/>
      <c r="WFN1533" s="4"/>
      <c r="WFO1533" s="6"/>
      <c r="WFP1533" s="4"/>
      <c r="WFQ1533" s="6"/>
      <c r="WFR1533" s="4"/>
      <c r="WFS1533" s="6"/>
      <c r="WFT1533" s="4"/>
      <c r="WFU1533" s="6"/>
      <c r="WFV1533" s="4"/>
      <c r="WFW1533" s="6"/>
      <c r="WFX1533" s="4"/>
      <c r="WFY1533" s="6"/>
      <c r="WFZ1533" s="4"/>
      <c r="WGA1533" s="6"/>
      <c r="WGB1533" s="4"/>
      <c r="WGC1533" s="6"/>
      <c r="WGD1533" s="4"/>
      <c r="WGE1533" s="6"/>
      <c r="WGF1533" s="4"/>
      <c r="WGG1533" s="6"/>
      <c r="WGH1533" s="4"/>
      <c r="WGI1533" s="6"/>
      <c r="WGJ1533" s="4"/>
      <c r="WGK1533" s="6"/>
      <c r="WGL1533" s="4"/>
      <c r="WGM1533" s="6"/>
      <c r="WGN1533" s="4"/>
      <c r="WGO1533" s="6"/>
      <c r="WGP1533" s="4"/>
      <c r="WGQ1533" s="6"/>
      <c r="WGR1533" s="4"/>
      <c r="WGS1533" s="6"/>
      <c r="WGT1533" s="4"/>
      <c r="WGU1533" s="6"/>
      <c r="WGV1533" s="4"/>
      <c r="WGW1533" s="6"/>
      <c r="WGX1533" s="4"/>
      <c r="WGY1533" s="6"/>
      <c r="WGZ1533" s="4"/>
      <c r="WHA1533" s="6"/>
      <c r="WHB1533" s="4"/>
      <c r="WHC1533" s="6"/>
      <c r="WHD1533" s="4"/>
      <c r="WHE1533" s="6"/>
      <c r="WHF1533" s="4"/>
      <c r="WHG1533" s="6"/>
      <c r="WHH1533" s="4"/>
      <c r="WHI1533" s="6"/>
      <c r="WHJ1533" s="4"/>
      <c r="WHK1533" s="6"/>
      <c r="WHL1533" s="4"/>
      <c r="WHM1533" s="6"/>
      <c r="WHN1533" s="4"/>
      <c r="WHO1533" s="6"/>
      <c r="WHP1533" s="4"/>
      <c r="WHQ1533" s="6"/>
      <c r="WHR1533" s="4"/>
      <c r="WHS1533" s="6"/>
      <c r="WHT1533" s="4"/>
      <c r="WHU1533" s="6"/>
      <c r="WHV1533" s="4"/>
      <c r="WHW1533" s="6"/>
      <c r="WHX1533" s="4"/>
      <c r="WHY1533" s="6"/>
      <c r="WHZ1533" s="4"/>
      <c r="WIA1533" s="6"/>
      <c r="WIB1533" s="4"/>
      <c r="WIC1533" s="6"/>
      <c r="WID1533" s="4"/>
      <c r="WIE1533" s="6"/>
      <c r="WIF1533" s="4"/>
      <c r="WIG1533" s="6"/>
      <c r="WIH1533" s="4"/>
      <c r="WII1533" s="6"/>
      <c r="WIJ1533" s="4"/>
      <c r="WIK1533" s="6"/>
      <c r="WIL1533" s="4"/>
      <c r="WIM1533" s="6"/>
      <c r="WIN1533" s="4"/>
      <c r="WIO1533" s="6"/>
      <c r="WIP1533" s="4"/>
      <c r="WIQ1533" s="6"/>
      <c r="WIR1533" s="4"/>
      <c r="WIS1533" s="6"/>
      <c r="WIT1533" s="4"/>
      <c r="WIU1533" s="6"/>
      <c r="WIV1533" s="4"/>
      <c r="WIW1533" s="6"/>
      <c r="WIX1533" s="4"/>
      <c r="WIY1533" s="6"/>
      <c r="WIZ1533" s="4"/>
      <c r="WJA1533" s="6"/>
      <c r="WJB1533" s="4"/>
      <c r="WJC1533" s="6"/>
      <c r="WJD1533" s="4"/>
      <c r="WJE1533" s="6"/>
      <c r="WJF1533" s="4"/>
      <c r="WJG1533" s="6"/>
      <c r="WJH1533" s="4"/>
      <c r="WJI1533" s="6"/>
      <c r="WJJ1533" s="4"/>
      <c r="WJK1533" s="6"/>
      <c r="WJL1533" s="4"/>
      <c r="WJM1533" s="6"/>
      <c r="WJN1533" s="4"/>
      <c r="WJO1533" s="6"/>
      <c r="WJP1533" s="4"/>
      <c r="WJQ1533" s="6"/>
      <c r="WJR1533" s="4"/>
      <c r="WJS1533" s="6"/>
      <c r="WJT1533" s="4"/>
      <c r="WJU1533" s="6"/>
      <c r="WJV1533" s="4"/>
      <c r="WJW1533" s="6"/>
      <c r="WJX1533" s="4"/>
      <c r="WJY1533" s="6"/>
      <c r="WJZ1533" s="4"/>
      <c r="WKA1533" s="6"/>
      <c r="WKB1533" s="4"/>
      <c r="WKC1533" s="6"/>
      <c r="WKD1533" s="4"/>
      <c r="WKE1533" s="6"/>
      <c r="WKF1533" s="4"/>
      <c r="WKG1533" s="6"/>
      <c r="WKH1533" s="4"/>
      <c r="WKI1533" s="6"/>
      <c r="WKJ1533" s="4"/>
      <c r="WKK1533" s="6"/>
      <c r="WKL1533" s="4"/>
      <c r="WKM1533" s="6"/>
      <c r="WKN1533" s="4"/>
      <c r="WKO1533" s="6"/>
      <c r="WKP1533" s="4"/>
      <c r="WKQ1533" s="6"/>
      <c r="WKR1533" s="4"/>
      <c r="WKS1533" s="6"/>
      <c r="WKT1533" s="4"/>
      <c r="WKU1533" s="6"/>
      <c r="WKV1533" s="4"/>
      <c r="WKW1533" s="6"/>
      <c r="WKX1533" s="4"/>
      <c r="WKY1533" s="6"/>
      <c r="WKZ1533" s="4"/>
      <c r="WLA1533" s="6"/>
      <c r="WLB1533" s="4"/>
      <c r="WLC1533" s="6"/>
      <c r="WLD1533" s="4"/>
      <c r="WLE1533" s="6"/>
      <c r="WLF1533" s="4"/>
      <c r="WLG1533" s="6"/>
      <c r="WLH1533" s="4"/>
      <c r="WLI1533" s="6"/>
      <c r="WLJ1533" s="4"/>
      <c r="WLK1533" s="6"/>
      <c r="WLL1533" s="4"/>
      <c r="WLM1533" s="6"/>
      <c r="WLN1533" s="4"/>
      <c r="WLO1533" s="6"/>
      <c r="WLP1533" s="4"/>
      <c r="WLQ1533" s="6"/>
      <c r="WLR1533" s="4"/>
      <c r="WLS1533" s="6"/>
      <c r="WLT1533" s="4"/>
      <c r="WLU1533" s="6"/>
      <c r="WLV1533" s="4"/>
      <c r="WLW1533" s="6"/>
      <c r="WLX1533" s="4"/>
      <c r="WLY1533" s="6"/>
      <c r="WLZ1533" s="4"/>
      <c r="WMA1533" s="6"/>
      <c r="WMB1533" s="4"/>
      <c r="WMC1533" s="6"/>
      <c r="WMD1533" s="4"/>
      <c r="WME1533" s="6"/>
      <c r="WMF1533" s="4"/>
      <c r="WMG1533" s="6"/>
      <c r="WMH1533" s="4"/>
      <c r="WMI1533" s="6"/>
      <c r="WMJ1533" s="4"/>
      <c r="WMK1533" s="6"/>
      <c r="WML1533" s="4"/>
      <c r="WMM1533" s="6"/>
      <c r="WMN1533" s="4"/>
      <c r="WMO1533" s="6"/>
      <c r="WMP1533" s="4"/>
      <c r="WMQ1533" s="6"/>
      <c r="WMR1533" s="4"/>
      <c r="WMS1533" s="6"/>
      <c r="WMT1533" s="4"/>
      <c r="WMU1533" s="6"/>
      <c r="WMV1533" s="4"/>
      <c r="WMW1533" s="6"/>
      <c r="WMX1533" s="4"/>
      <c r="WMY1533" s="6"/>
      <c r="WMZ1533" s="4"/>
      <c r="WNA1533" s="6"/>
      <c r="WNB1533" s="4"/>
      <c r="WNC1533" s="6"/>
      <c r="WND1533" s="4"/>
      <c r="WNE1533" s="6"/>
      <c r="WNF1533" s="4"/>
      <c r="WNG1533" s="6"/>
      <c r="WNH1533" s="4"/>
      <c r="WNI1533" s="6"/>
      <c r="WNJ1533" s="4"/>
      <c r="WNK1533" s="6"/>
      <c r="WNL1533" s="4"/>
      <c r="WNM1533" s="6"/>
      <c r="WNN1533" s="4"/>
      <c r="WNO1533" s="6"/>
      <c r="WNP1533" s="4"/>
      <c r="WNQ1533" s="6"/>
      <c r="WNR1533" s="4"/>
      <c r="WNS1533" s="6"/>
      <c r="WNT1533" s="4"/>
      <c r="WNU1533" s="6"/>
      <c r="WNV1533" s="4"/>
      <c r="WNW1533" s="6"/>
      <c r="WNX1533" s="4"/>
      <c r="WNY1533" s="6"/>
      <c r="WNZ1533" s="4"/>
      <c r="WOA1533" s="6"/>
      <c r="WOB1533" s="4"/>
      <c r="WOC1533" s="6"/>
      <c r="WOD1533" s="4"/>
      <c r="WOE1533" s="6"/>
      <c r="WOF1533" s="4"/>
      <c r="WOG1533" s="6"/>
      <c r="WOH1533" s="4"/>
      <c r="WOI1533" s="6"/>
      <c r="WOJ1533" s="4"/>
      <c r="WOK1533" s="6"/>
      <c r="WOL1533" s="4"/>
      <c r="WOM1533" s="6"/>
      <c r="WON1533" s="4"/>
      <c r="WOO1533" s="6"/>
      <c r="WOP1533" s="4"/>
      <c r="WOQ1533" s="6"/>
      <c r="WOR1533" s="4"/>
      <c r="WOS1533" s="6"/>
      <c r="WOT1533" s="4"/>
      <c r="WOU1533" s="6"/>
      <c r="WOV1533" s="4"/>
      <c r="WOW1533" s="6"/>
      <c r="WOX1533" s="4"/>
      <c r="WOY1533" s="6"/>
      <c r="WOZ1533" s="4"/>
      <c r="WPA1533" s="6"/>
      <c r="WPB1533" s="4"/>
      <c r="WPC1533" s="6"/>
      <c r="WPD1533" s="4"/>
      <c r="WPE1533" s="6"/>
      <c r="WPF1533" s="4"/>
      <c r="WPG1533" s="6"/>
      <c r="WPH1533" s="4"/>
      <c r="WPI1533" s="6"/>
      <c r="WPJ1533" s="4"/>
      <c r="WPK1533" s="6"/>
      <c r="WPL1533" s="4"/>
      <c r="WPM1533" s="6"/>
      <c r="WPN1533" s="4"/>
      <c r="WPO1533" s="6"/>
      <c r="WPP1533" s="4"/>
      <c r="WPQ1533" s="6"/>
      <c r="WPR1533" s="4"/>
      <c r="WPS1533" s="6"/>
      <c r="WPT1533" s="4"/>
      <c r="WPU1533" s="6"/>
      <c r="WPV1533" s="4"/>
      <c r="WPW1533" s="6"/>
      <c r="WPX1533" s="4"/>
      <c r="WPY1533" s="6"/>
      <c r="WPZ1533" s="4"/>
      <c r="WQA1533" s="6"/>
      <c r="WQB1533" s="4"/>
      <c r="WQC1533" s="6"/>
      <c r="WQD1533" s="4"/>
      <c r="WQE1533" s="6"/>
      <c r="WQF1533" s="4"/>
      <c r="WQG1533" s="6"/>
      <c r="WQH1533" s="4"/>
      <c r="WQI1533" s="6"/>
      <c r="WQJ1533" s="4"/>
      <c r="WQK1533" s="6"/>
      <c r="WQL1533" s="4"/>
      <c r="WQM1533" s="6"/>
      <c r="WQN1533" s="4"/>
      <c r="WQO1533" s="6"/>
      <c r="WQP1533" s="4"/>
      <c r="WQQ1533" s="6"/>
      <c r="WQR1533" s="4"/>
      <c r="WQS1533" s="6"/>
      <c r="WQT1533" s="4"/>
      <c r="WQU1533" s="6"/>
      <c r="WQV1533" s="4"/>
      <c r="WQW1533" s="6"/>
      <c r="WQX1533" s="4"/>
      <c r="WQY1533" s="6"/>
      <c r="WQZ1533" s="4"/>
      <c r="WRA1533" s="6"/>
      <c r="WRB1533" s="4"/>
      <c r="WRC1533" s="6"/>
      <c r="WRD1533" s="4"/>
      <c r="WRE1533" s="6"/>
      <c r="WRF1533" s="4"/>
      <c r="WRG1533" s="6"/>
      <c r="WRH1533" s="4"/>
      <c r="WRI1533" s="6"/>
      <c r="WRJ1533" s="4"/>
      <c r="WRK1533" s="6"/>
      <c r="WRL1533" s="4"/>
      <c r="WRM1533" s="6"/>
      <c r="WRN1533" s="4"/>
      <c r="WRO1533" s="6"/>
      <c r="WRP1533" s="4"/>
      <c r="WRQ1533" s="6"/>
      <c r="WRR1533" s="4"/>
      <c r="WRS1533" s="6"/>
      <c r="WRT1533" s="4"/>
      <c r="WRU1533" s="6"/>
      <c r="WRV1533" s="4"/>
      <c r="WRW1533" s="6"/>
      <c r="WRX1533" s="4"/>
      <c r="WRY1533" s="6"/>
      <c r="WRZ1533" s="4"/>
      <c r="WSA1533" s="6"/>
      <c r="WSB1533" s="4"/>
      <c r="WSC1533" s="6"/>
      <c r="WSD1533" s="4"/>
      <c r="WSE1533" s="6"/>
      <c r="WSF1533" s="4"/>
      <c r="WSG1533" s="6"/>
      <c r="WSH1533" s="4"/>
      <c r="WSI1533" s="6"/>
      <c r="WSJ1533" s="4"/>
      <c r="WSK1533" s="6"/>
      <c r="WSL1533" s="4"/>
      <c r="WSM1533" s="6"/>
      <c r="WSN1533" s="4"/>
      <c r="WSO1533" s="6"/>
      <c r="WSP1533" s="4"/>
      <c r="WSQ1533" s="6"/>
      <c r="WSR1533" s="4"/>
      <c r="WSS1533" s="6"/>
      <c r="WST1533" s="4"/>
      <c r="WSU1533" s="6"/>
      <c r="WSV1533" s="4"/>
      <c r="WSW1533" s="6"/>
      <c r="WSX1533" s="4"/>
      <c r="WSY1533" s="6"/>
      <c r="WSZ1533" s="4"/>
      <c r="WTA1533" s="6"/>
      <c r="WTB1533" s="4"/>
      <c r="WTC1533" s="6"/>
      <c r="WTD1533" s="4"/>
      <c r="WTE1533" s="6"/>
      <c r="WTF1533" s="4"/>
      <c r="WTG1533" s="6"/>
      <c r="WTH1533" s="4"/>
      <c r="WTI1533" s="6"/>
      <c r="WTJ1533" s="4"/>
      <c r="WTK1533" s="6"/>
      <c r="WTL1533" s="4"/>
      <c r="WTM1533" s="6"/>
      <c r="WTN1533" s="4"/>
      <c r="WTO1533" s="6"/>
      <c r="WTP1533" s="4"/>
      <c r="WTQ1533" s="6"/>
      <c r="WTR1533" s="4"/>
      <c r="WTS1533" s="6"/>
      <c r="WTT1533" s="4"/>
      <c r="WTU1533" s="6"/>
      <c r="WTV1533" s="4"/>
      <c r="WTW1533" s="6"/>
      <c r="WTX1533" s="4"/>
      <c r="WTY1533" s="6"/>
      <c r="WTZ1533" s="4"/>
      <c r="WUA1533" s="6"/>
      <c r="WUB1533" s="4"/>
      <c r="WUC1533" s="6"/>
      <c r="WUD1533" s="4"/>
      <c r="WUE1533" s="6"/>
      <c r="WUF1533" s="4"/>
      <c r="WUG1533" s="6"/>
      <c r="WUH1533" s="4"/>
      <c r="WUI1533" s="6"/>
      <c r="WUJ1533" s="4"/>
      <c r="WUK1533" s="6"/>
      <c r="WUL1533" s="4"/>
      <c r="WUM1533" s="6"/>
      <c r="WUN1533" s="4"/>
      <c r="WUO1533" s="6"/>
      <c r="WUP1533" s="4"/>
      <c r="WUQ1533" s="6"/>
      <c r="WUR1533" s="4"/>
      <c r="WUS1533" s="6"/>
      <c r="WUT1533" s="4"/>
      <c r="WUU1533" s="6"/>
      <c r="WUV1533" s="4"/>
      <c r="WUW1533" s="6"/>
      <c r="WUX1533" s="4"/>
      <c r="WUY1533" s="6"/>
      <c r="WUZ1533" s="4"/>
      <c r="WVA1533" s="6"/>
      <c r="WVB1533" s="4"/>
      <c r="WVC1533" s="6"/>
      <c r="WVD1533" s="4"/>
      <c r="WVE1533" s="6"/>
      <c r="WVF1533" s="4"/>
      <c r="WVG1533" s="6"/>
      <c r="WVH1533" s="4"/>
      <c r="WVI1533" s="6"/>
      <c r="WVJ1533" s="4"/>
      <c r="WVK1533" s="6"/>
      <c r="WVL1533" s="4"/>
      <c r="WVM1533" s="6"/>
      <c r="WVN1533" s="4"/>
      <c r="WVO1533" s="6"/>
      <c r="WVP1533" s="4"/>
      <c r="WVQ1533" s="6"/>
      <c r="WVR1533" s="4"/>
      <c r="WVS1533" s="6"/>
      <c r="WVT1533" s="4"/>
      <c r="WVU1533" s="6"/>
      <c r="WVV1533" s="4"/>
      <c r="WVW1533" s="6"/>
      <c r="WVX1533" s="4"/>
      <c r="WVY1533" s="6"/>
      <c r="WVZ1533" s="4"/>
      <c r="WWA1533" s="6"/>
      <c r="WWB1533" s="4"/>
      <c r="WWC1533" s="6"/>
      <c r="WWD1533" s="4"/>
      <c r="WWE1533" s="6"/>
      <c r="WWF1533" s="4"/>
      <c r="WWG1533" s="6"/>
      <c r="WWH1533" s="4"/>
      <c r="WWI1533" s="6"/>
      <c r="WWJ1533" s="4"/>
      <c r="WWK1533" s="6"/>
      <c r="WWL1533" s="4"/>
      <c r="WWM1533" s="6"/>
      <c r="WWN1533" s="4"/>
      <c r="WWO1533" s="6"/>
      <c r="WWP1533" s="4"/>
      <c r="WWQ1533" s="6"/>
      <c r="WWR1533" s="4"/>
      <c r="WWS1533" s="6"/>
      <c r="WWT1533" s="4"/>
      <c r="WWU1533" s="6"/>
      <c r="WWV1533" s="4"/>
      <c r="WWW1533" s="6"/>
      <c r="WWX1533" s="4"/>
      <c r="WWY1533" s="6"/>
      <c r="WWZ1533" s="4"/>
      <c r="WXA1533" s="6"/>
      <c r="WXB1533" s="4"/>
      <c r="WXC1533" s="6"/>
      <c r="WXD1533" s="4"/>
      <c r="WXE1533" s="6"/>
      <c r="WXF1533" s="4"/>
      <c r="WXG1533" s="6"/>
      <c r="WXH1533" s="4"/>
      <c r="WXI1533" s="6"/>
      <c r="WXJ1533" s="4"/>
      <c r="WXK1533" s="6"/>
      <c r="WXL1533" s="4"/>
      <c r="WXM1533" s="6"/>
      <c r="WXN1533" s="4"/>
      <c r="WXO1533" s="6"/>
      <c r="WXP1533" s="4"/>
      <c r="WXQ1533" s="6"/>
      <c r="WXR1533" s="4"/>
      <c r="WXS1533" s="6"/>
      <c r="WXT1533" s="4"/>
      <c r="WXU1533" s="6"/>
      <c r="WXV1533" s="4"/>
      <c r="WXW1533" s="6"/>
      <c r="WXX1533" s="4"/>
      <c r="WXY1533" s="6"/>
      <c r="WXZ1533" s="4"/>
      <c r="WYA1533" s="6"/>
      <c r="WYB1533" s="4"/>
      <c r="WYC1533" s="6"/>
      <c r="WYD1533" s="4"/>
      <c r="WYE1533" s="6"/>
      <c r="WYF1533" s="4"/>
      <c r="WYG1533" s="6"/>
      <c r="WYH1533" s="4"/>
      <c r="WYI1533" s="6"/>
      <c r="WYJ1533" s="4"/>
      <c r="WYK1533" s="6"/>
      <c r="WYL1533" s="4"/>
      <c r="WYM1533" s="6"/>
      <c r="WYN1533" s="4"/>
      <c r="WYO1533" s="6"/>
      <c r="WYP1533" s="4"/>
      <c r="WYQ1533" s="6"/>
      <c r="WYR1533" s="4"/>
      <c r="WYS1533" s="6"/>
      <c r="WYT1533" s="4"/>
      <c r="WYU1533" s="6"/>
      <c r="WYV1533" s="4"/>
      <c r="WYW1533" s="6"/>
      <c r="WYX1533" s="4"/>
      <c r="WYY1533" s="6"/>
      <c r="WYZ1533" s="4"/>
      <c r="WZA1533" s="6"/>
      <c r="WZB1533" s="4"/>
      <c r="WZC1533" s="6"/>
      <c r="WZD1533" s="4"/>
      <c r="WZE1533" s="6"/>
      <c r="WZF1533" s="4"/>
      <c r="WZG1533" s="6"/>
      <c r="WZH1533" s="4"/>
      <c r="WZI1533" s="6"/>
      <c r="WZJ1533" s="4"/>
      <c r="WZK1533" s="6"/>
      <c r="WZL1533" s="4"/>
      <c r="WZM1533" s="6"/>
      <c r="WZN1533" s="4"/>
      <c r="WZO1533" s="6"/>
      <c r="WZP1533" s="4"/>
      <c r="WZQ1533" s="6"/>
      <c r="WZR1533" s="4"/>
      <c r="WZS1533" s="6"/>
      <c r="WZT1533" s="4"/>
      <c r="WZU1533" s="6"/>
      <c r="WZV1533" s="4"/>
      <c r="WZW1533" s="6"/>
      <c r="WZX1533" s="4"/>
      <c r="WZY1533" s="6"/>
      <c r="WZZ1533" s="4"/>
      <c r="XAA1533" s="6"/>
      <c r="XAB1533" s="4"/>
      <c r="XAC1533" s="6"/>
      <c r="XAD1533" s="4"/>
      <c r="XAE1533" s="6"/>
      <c r="XAF1533" s="4"/>
      <c r="XAG1533" s="6"/>
      <c r="XAH1533" s="4"/>
      <c r="XAI1533" s="6"/>
      <c r="XAJ1533" s="4"/>
      <c r="XAK1533" s="6"/>
      <c r="XAL1533" s="4"/>
      <c r="XAM1533" s="6"/>
      <c r="XAN1533" s="4"/>
      <c r="XAO1533" s="6"/>
      <c r="XAP1533" s="4"/>
      <c r="XAQ1533" s="6"/>
      <c r="XAR1533" s="4"/>
      <c r="XAS1533" s="6"/>
      <c r="XAT1533" s="4"/>
      <c r="XAU1533" s="6"/>
      <c r="XAV1533" s="4"/>
      <c r="XAW1533" s="6"/>
      <c r="XAX1533" s="4"/>
      <c r="XAY1533" s="6"/>
      <c r="XAZ1533" s="4"/>
      <c r="XBA1533" s="6"/>
      <c r="XBB1533" s="4"/>
      <c r="XBC1533" s="6"/>
      <c r="XBD1533" s="4"/>
      <c r="XBE1533" s="6"/>
      <c r="XBF1533" s="4"/>
      <c r="XBG1533" s="6"/>
      <c r="XBH1533" s="4"/>
      <c r="XBI1533" s="6"/>
      <c r="XBJ1533" s="4"/>
      <c r="XBK1533" s="6"/>
      <c r="XBL1533" s="4"/>
      <c r="XBM1533" s="6"/>
      <c r="XBN1533" s="4"/>
      <c r="XBO1533" s="6"/>
      <c r="XBP1533" s="4"/>
      <c r="XBQ1533" s="6"/>
      <c r="XBR1533" s="4"/>
      <c r="XBS1533" s="6"/>
      <c r="XBT1533" s="4"/>
      <c r="XBU1533" s="6"/>
      <c r="XBV1533" s="4"/>
      <c r="XBW1533" s="6"/>
      <c r="XBX1533" s="4"/>
      <c r="XBY1533" s="6"/>
      <c r="XBZ1533" s="4"/>
      <c r="XCA1533" s="6"/>
      <c r="XCB1533" s="4"/>
      <c r="XCC1533" s="6"/>
      <c r="XCD1533" s="4"/>
      <c r="XCE1533" s="6"/>
      <c r="XCF1533" s="4"/>
      <c r="XCG1533" s="6"/>
      <c r="XCH1533" s="4"/>
      <c r="XCI1533" s="6"/>
      <c r="XCJ1533" s="4"/>
      <c r="XCK1533" s="6"/>
      <c r="XCL1533" s="4"/>
      <c r="XCM1533" s="6"/>
      <c r="XCN1533" s="4"/>
      <c r="XCO1533" s="6"/>
      <c r="XCP1533" s="4"/>
      <c r="XCQ1533" s="6"/>
      <c r="XCR1533" s="4"/>
      <c r="XCS1533" s="6"/>
      <c r="XCT1533" s="4"/>
      <c r="XCU1533" s="6"/>
      <c r="XCV1533" s="4"/>
      <c r="XCW1533" s="6"/>
      <c r="XCX1533" s="4"/>
      <c r="XCY1533" s="6"/>
      <c r="XCZ1533" s="4"/>
      <c r="XDA1533" s="6"/>
      <c r="XDB1533" s="4"/>
      <c r="XDC1533" s="6"/>
      <c r="XDD1533" s="4"/>
      <c r="XDE1533" s="6"/>
      <c r="XDF1533" s="4"/>
      <c r="XDG1533" s="6"/>
      <c r="XDH1533" s="4"/>
      <c r="XDI1533" s="6"/>
      <c r="XDJ1533" s="4"/>
      <c r="XDK1533" s="6"/>
      <c r="XDL1533" s="4"/>
      <c r="XDM1533" s="6"/>
      <c r="XDN1533" s="4"/>
      <c r="XDO1533" s="6"/>
      <c r="XDP1533" s="4"/>
      <c r="XDQ1533" s="6"/>
      <c r="XDR1533" s="4"/>
      <c r="XDS1533" s="6"/>
      <c r="XDT1533" s="4"/>
      <c r="XDU1533" s="6"/>
      <c r="XDV1533" s="4"/>
      <c r="XDW1533" s="6"/>
      <c r="XDX1533" s="4"/>
      <c r="XDY1533" s="6"/>
      <c r="XDZ1533" s="4"/>
      <c r="XEA1533" s="6"/>
      <c r="XEB1533" s="4"/>
      <c r="XEC1533" s="6"/>
      <c r="XED1533" s="4"/>
      <c r="XEE1533" s="6"/>
      <c r="XEF1533" s="4"/>
      <c r="XEG1533" s="6"/>
      <c r="XEH1533" s="4"/>
      <c r="XEI1533" s="6"/>
      <c r="XEJ1533" s="4"/>
      <c r="XEK1533" s="6"/>
      <c r="XEL1533" s="4"/>
      <c r="XEM1533" s="6"/>
      <c r="XEN1533" s="4"/>
      <c r="XEO1533" s="6"/>
      <c r="XEP1533" s="4"/>
      <c r="XEQ1533" s="6"/>
      <c r="XER1533" s="4"/>
      <c r="XES1533" s="6"/>
      <c r="XET1533" s="4"/>
      <c r="XEU1533" s="6"/>
      <c r="XEV1533" s="4"/>
      <c r="XEW1533" s="6"/>
      <c r="XEX1533" s="4"/>
      <c r="XEY1533" s="6"/>
      <c r="XEZ1533" s="4"/>
      <c r="XFA1533" s="6"/>
      <c r="XFB1533" s="4"/>
      <c r="XFC1533" s="6"/>
    </row>
    <row r="1534" spans="1:16383" s="22" customFormat="1" x14ac:dyDescent="0.25">
      <c r="A1534" s="6">
        <v>44026</v>
      </c>
      <c r="B1534" s="59" t="s">
        <v>1680</v>
      </c>
      <c r="C1534" s="22" t="s">
        <v>1681</v>
      </c>
      <c r="D1534" s="59"/>
      <c r="E1534" s="21"/>
      <c r="F1534" s="2">
        <v>1500</v>
      </c>
      <c r="G1534" s="2">
        <f t="shared" si="30"/>
        <v>6</v>
      </c>
      <c r="H1534" s="4"/>
      <c r="I1534" s="6"/>
      <c r="J1534" s="4"/>
      <c r="K1534" s="6"/>
      <c r="L1534" s="4"/>
      <c r="M1534" s="6"/>
      <c r="N1534" s="4"/>
      <c r="O1534" s="6"/>
      <c r="P1534" s="4"/>
      <c r="Q1534" s="6"/>
      <c r="R1534" s="4"/>
      <c r="S1534" s="6"/>
      <c r="T1534" s="4"/>
      <c r="U1534" s="6"/>
      <c r="V1534" s="4"/>
      <c r="W1534" s="6"/>
      <c r="X1534" s="4"/>
      <c r="Y1534" s="6"/>
      <c r="Z1534" s="4"/>
      <c r="AA1534" s="6"/>
      <c r="AB1534" s="4"/>
      <c r="AC1534" s="6"/>
      <c r="AD1534" s="4"/>
      <c r="AE1534" s="6"/>
      <c r="AF1534" s="4"/>
      <c r="AG1534" s="6"/>
      <c r="AH1534" s="4"/>
      <c r="AI1534" s="6"/>
      <c r="AJ1534" s="4"/>
      <c r="AK1534" s="6"/>
      <c r="AL1534" s="4"/>
      <c r="AM1534" s="6"/>
      <c r="AN1534" s="4"/>
      <c r="AO1534" s="6"/>
      <c r="AP1534" s="4"/>
      <c r="AQ1534" s="6"/>
      <c r="AR1534" s="4"/>
      <c r="AS1534" s="6"/>
      <c r="AT1534" s="4"/>
      <c r="AU1534" s="6"/>
      <c r="AV1534" s="4"/>
      <c r="AW1534" s="6"/>
      <c r="AX1534" s="4"/>
      <c r="AY1534" s="6"/>
      <c r="AZ1534" s="4"/>
      <c r="BA1534" s="6"/>
      <c r="BB1534" s="4"/>
      <c r="BC1534" s="6"/>
      <c r="BD1534" s="4"/>
      <c r="BE1534" s="6"/>
      <c r="BF1534" s="4"/>
      <c r="BG1534" s="6"/>
      <c r="BH1534" s="4"/>
      <c r="BI1534" s="6"/>
      <c r="BJ1534" s="4"/>
      <c r="BK1534" s="6"/>
      <c r="BL1534" s="4"/>
      <c r="BM1534" s="6"/>
      <c r="BN1534" s="4"/>
      <c r="BO1534" s="6"/>
      <c r="BP1534" s="4"/>
      <c r="BQ1534" s="6"/>
      <c r="BR1534" s="4"/>
      <c r="BS1534" s="6"/>
      <c r="BT1534" s="4"/>
      <c r="BU1534" s="6"/>
      <c r="BV1534" s="4"/>
      <c r="BW1534" s="6"/>
      <c r="BX1534" s="4"/>
      <c r="BY1534" s="6"/>
      <c r="BZ1534" s="4"/>
      <c r="CA1534" s="6"/>
      <c r="CB1534" s="4"/>
      <c r="CC1534" s="6"/>
      <c r="CD1534" s="4"/>
      <c r="CE1534" s="6"/>
      <c r="CF1534" s="4"/>
      <c r="CG1534" s="6"/>
      <c r="CH1534" s="4"/>
      <c r="CI1534" s="6"/>
      <c r="CJ1534" s="4"/>
      <c r="CK1534" s="6"/>
      <c r="CL1534" s="4"/>
      <c r="CM1534" s="6"/>
      <c r="CN1534" s="4"/>
      <c r="CO1534" s="6"/>
      <c r="CP1534" s="4"/>
      <c r="CQ1534" s="6"/>
      <c r="CR1534" s="4"/>
      <c r="CS1534" s="6"/>
      <c r="CT1534" s="4"/>
      <c r="CU1534" s="6"/>
      <c r="CV1534" s="4"/>
      <c r="CW1534" s="6"/>
      <c r="CX1534" s="4"/>
      <c r="CY1534" s="6"/>
      <c r="CZ1534" s="4"/>
      <c r="DA1534" s="6"/>
      <c r="DB1534" s="4"/>
      <c r="DC1534" s="6"/>
      <c r="DD1534" s="4"/>
      <c r="DE1534" s="6"/>
      <c r="DF1534" s="4"/>
      <c r="DG1534" s="6"/>
      <c r="DH1534" s="4"/>
      <c r="DI1534" s="6"/>
      <c r="DJ1534" s="4"/>
      <c r="DK1534" s="6"/>
      <c r="DL1534" s="4"/>
      <c r="DM1534" s="6"/>
      <c r="DN1534" s="4"/>
      <c r="DO1534" s="6"/>
      <c r="DP1534" s="4"/>
      <c r="DQ1534" s="6"/>
      <c r="DR1534" s="4"/>
      <c r="DS1534" s="6"/>
      <c r="DT1534" s="4"/>
      <c r="DU1534" s="6"/>
      <c r="DV1534" s="4"/>
      <c r="DW1534" s="6"/>
      <c r="DX1534" s="4"/>
      <c r="DY1534" s="6"/>
      <c r="DZ1534" s="4"/>
      <c r="EA1534" s="6"/>
      <c r="EB1534" s="4"/>
      <c r="EC1534" s="6"/>
      <c r="ED1534" s="4"/>
      <c r="EE1534" s="6"/>
      <c r="EF1534" s="4"/>
      <c r="EG1534" s="6"/>
      <c r="EH1534" s="4"/>
      <c r="EI1534" s="6"/>
      <c r="EJ1534" s="4"/>
      <c r="EK1534" s="6"/>
      <c r="EL1534" s="4"/>
      <c r="EM1534" s="6"/>
      <c r="EN1534" s="4"/>
      <c r="EO1534" s="6"/>
      <c r="EP1534" s="4"/>
      <c r="EQ1534" s="6"/>
      <c r="ER1534" s="4"/>
      <c r="ES1534" s="6"/>
      <c r="ET1534" s="4"/>
      <c r="EU1534" s="6"/>
      <c r="EV1534" s="4"/>
      <c r="EW1534" s="6"/>
      <c r="EX1534" s="4"/>
      <c r="EY1534" s="6"/>
      <c r="EZ1534" s="4"/>
      <c r="FA1534" s="6"/>
      <c r="FB1534" s="4"/>
      <c r="FC1534" s="6"/>
      <c r="FD1534" s="4"/>
      <c r="FE1534" s="6"/>
      <c r="FF1534" s="4"/>
      <c r="FG1534" s="6"/>
      <c r="FH1534" s="4"/>
      <c r="FI1534" s="6"/>
      <c r="FJ1534" s="4"/>
      <c r="FK1534" s="6"/>
      <c r="FL1534" s="4"/>
      <c r="FM1534" s="6"/>
      <c r="FN1534" s="4"/>
      <c r="FO1534" s="6"/>
      <c r="FP1534" s="4"/>
      <c r="FQ1534" s="6"/>
      <c r="FR1534" s="4"/>
      <c r="FS1534" s="6"/>
      <c r="FT1534" s="4"/>
      <c r="FU1534" s="6"/>
      <c r="FV1534" s="4"/>
      <c r="FW1534" s="6"/>
      <c r="FX1534" s="4"/>
      <c r="FY1534" s="6"/>
      <c r="FZ1534" s="4"/>
      <c r="GA1534" s="6"/>
      <c r="GB1534" s="4"/>
      <c r="GC1534" s="6"/>
      <c r="GD1534" s="4"/>
      <c r="GE1534" s="6"/>
      <c r="GF1534" s="4"/>
      <c r="GG1534" s="6"/>
      <c r="GH1534" s="4"/>
      <c r="GI1534" s="6"/>
      <c r="GJ1534" s="4"/>
      <c r="GK1534" s="6"/>
      <c r="GL1534" s="4"/>
      <c r="GM1534" s="6"/>
      <c r="GN1534" s="4"/>
      <c r="GO1534" s="6"/>
      <c r="GP1534" s="4"/>
      <c r="GQ1534" s="6"/>
      <c r="GR1534" s="4"/>
      <c r="GS1534" s="6"/>
      <c r="GT1534" s="4"/>
      <c r="GU1534" s="6"/>
      <c r="GV1534" s="4"/>
      <c r="GW1534" s="6"/>
      <c r="GX1534" s="4"/>
      <c r="GY1534" s="6"/>
      <c r="GZ1534" s="4"/>
      <c r="HA1534" s="6"/>
      <c r="HB1534" s="4"/>
      <c r="HC1534" s="6"/>
      <c r="HD1534" s="4"/>
      <c r="HE1534" s="6"/>
      <c r="HF1534" s="4"/>
      <c r="HG1534" s="6"/>
      <c r="HH1534" s="4"/>
      <c r="HI1534" s="6"/>
      <c r="HJ1534" s="4"/>
      <c r="HK1534" s="6"/>
      <c r="HL1534" s="4"/>
      <c r="HM1534" s="6"/>
      <c r="HN1534" s="4"/>
      <c r="HO1534" s="6"/>
      <c r="HP1534" s="4"/>
      <c r="HQ1534" s="6"/>
      <c r="HR1534" s="4"/>
      <c r="HS1534" s="6"/>
      <c r="HT1534" s="4"/>
      <c r="HU1534" s="6"/>
      <c r="HV1534" s="4"/>
      <c r="HW1534" s="6"/>
      <c r="HX1534" s="4"/>
      <c r="HY1534" s="6"/>
      <c r="HZ1534" s="4"/>
      <c r="IA1534" s="6"/>
      <c r="IB1534" s="4"/>
      <c r="IC1534" s="6"/>
      <c r="ID1534" s="4"/>
      <c r="IE1534" s="6"/>
      <c r="IF1534" s="4"/>
      <c r="IG1534" s="6"/>
      <c r="IH1534" s="4"/>
      <c r="II1534" s="6"/>
      <c r="IJ1534" s="4"/>
      <c r="IK1534" s="6"/>
      <c r="IL1534" s="4"/>
      <c r="IM1534" s="6"/>
      <c r="IN1534" s="4"/>
      <c r="IO1534" s="6"/>
      <c r="IP1534" s="4"/>
      <c r="IQ1534" s="6"/>
      <c r="IR1534" s="4"/>
      <c r="IS1534" s="6"/>
      <c r="IT1534" s="4"/>
      <c r="IU1534" s="6"/>
      <c r="IV1534" s="4"/>
      <c r="IW1534" s="6"/>
      <c r="IX1534" s="4"/>
      <c r="IY1534" s="6"/>
      <c r="IZ1534" s="4"/>
      <c r="JA1534" s="6"/>
      <c r="JB1534" s="4"/>
      <c r="JC1534" s="6"/>
      <c r="JD1534" s="4"/>
      <c r="JE1534" s="6"/>
      <c r="JF1534" s="4"/>
      <c r="JG1534" s="6"/>
      <c r="JH1534" s="4"/>
      <c r="JI1534" s="6"/>
      <c r="JJ1534" s="4"/>
      <c r="JK1534" s="6"/>
      <c r="JL1534" s="4"/>
      <c r="JM1534" s="6"/>
      <c r="JN1534" s="4"/>
      <c r="JO1534" s="6"/>
      <c r="JP1534" s="4"/>
      <c r="JQ1534" s="6"/>
      <c r="JR1534" s="4"/>
      <c r="JS1534" s="6"/>
      <c r="JT1534" s="4"/>
      <c r="JU1534" s="6"/>
      <c r="JV1534" s="4"/>
      <c r="JW1534" s="6"/>
      <c r="JX1534" s="4"/>
      <c r="JY1534" s="6"/>
      <c r="JZ1534" s="4"/>
      <c r="KA1534" s="6"/>
      <c r="KB1534" s="4"/>
      <c r="KC1534" s="6"/>
      <c r="KD1534" s="4"/>
      <c r="KE1534" s="6"/>
      <c r="KF1534" s="4"/>
      <c r="KG1534" s="6"/>
      <c r="KH1534" s="4"/>
      <c r="KI1534" s="6"/>
      <c r="KJ1534" s="4"/>
      <c r="KK1534" s="6"/>
      <c r="KL1534" s="4"/>
      <c r="KM1534" s="6"/>
      <c r="KN1534" s="4"/>
      <c r="KO1534" s="6"/>
      <c r="KP1534" s="4"/>
      <c r="KQ1534" s="6"/>
      <c r="KR1534" s="4"/>
      <c r="KS1534" s="6"/>
      <c r="KT1534" s="4"/>
      <c r="KU1534" s="6"/>
      <c r="KV1534" s="4"/>
      <c r="KW1534" s="6"/>
      <c r="KX1534" s="4"/>
      <c r="KY1534" s="6"/>
      <c r="KZ1534" s="4"/>
      <c r="LA1534" s="6"/>
      <c r="LB1534" s="4"/>
      <c r="LC1534" s="6"/>
      <c r="LD1534" s="4"/>
      <c r="LE1534" s="6"/>
      <c r="LF1534" s="4"/>
      <c r="LG1534" s="6"/>
      <c r="LH1534" s="4"/>
      <c r="LI1534" s="6"/>
      <c r="LJ1534" s="4"/>
      <c r="LK1534" s="6"/>
      <c r="LL1534" s="4"/>
      <c r="LM1534" s="6"/>
      <c r="LN1534" s="4"/>
      <c r="LO1534" s="6"/>
      <c r="LP1534" s="4"/>
      <c r="LQ1534" s="6"/>
      <c r="LR1534" s="4"/>
      <c r="LS1534" s="6"/>
      <c r="LT1534" s="4"/>
      <c r="LU1534" s="6"/>
      <c r="LV1534" s="4"/>
      <c r="LW1534" s="6"/>
      <c r="LX1534" s="4"/>
      <c r="LY1534" s="6"/>
      <c r="LZ1534" s="4"/>
      <c r="MA1534" s="6"/>
      <c r="MB1534" s="4"/>
      <c r="MC1534" s="6"/>
      <c r="MD1534" s="4"/>
      <c r="ME1534" s="6"/>
      <c r="MF1534" s="4"/>
      <c r="MG1534" s="6"/>
      <c r="MH1534" s="4"/>
      <c r="MI1534" s="6"/>
      <c r="MJ1534" s="4"/>
      <c r="MK1534" s="6"/>
      <c r="ML1534" s="4"/>
      <c r="MM1534" s="6"/>
      <c r="MN1534" s="4"/>
      <c r="MO1534" s="6"/>
      <c r="MP1534" s="4"/>
      <c r="MQ1534" s="6"/>
      <c r="MR1534" s="4"/>
      <c r="MS1534" s="6"/>
      <c r="MT1534" s="4"/>
      <c r="MU1534" s="6"/>
      <c r="MV1534" s="4"/>
      <c r="MW1534" s="6"/>
      <c r="MX1534" s="4"/>
      <c r="MY1534" s="6"/>
      <c r="MZ1534" s="4"/>
      <c r="NA1534" s="6"/>
      <c r="NB1534" s="4"/>
      <c r="NC1534" s="6"/>
      <c r="ND1534" s="4"/>
      <c r="NE1534" s="6"/>
      <c r="NF1534" s="4"/>
      <c r="NG1534" s="6"/>
      <c r="NH1534" s="4"/>
      <c r="NI1534" s="6"/>
      <c r="NJ1534" s="4"/>
      <c r="NK1534" s="6"/>
      <c r="NL1534" s="4"/>
      <c r="NM1534" s="6"/>
      <c r="NN1534" s="4"/>
      <c r="NO1534" s="6"/>
      <c r="NP1534" s="4"/>
      <c r="NQ1534" s="6"/>
      <c r="NR1534" s="4"/>
      <c r="NS1534" s="6"/>
      <c r="NT1534" s="4"/>
      <c r="NU1534" s="6"/>
      <c r="NV1534" s="4"/>
      <c r="NW1534" s="6"/>
      <c r="NX1534" s="4"/>
      <c r="NY1534" s="6"/>
      <c r="NZ1534" s="4"/>
      <c r="OA1534" s="6"/>
      <c r="OB1534" s="4"/>
      <c r="OC1534" s="6"/>
      <c r="OD1534" s="4"/>
      <c r="OE1534" s="6"/>
      <c r="OF1534" s="4"/>
      <c r="OG1534" s="6"/>
      <c r="OH1534" s="4"/>
      <c r="OI1534" s="6"/>
      <c r="OJ1534" s="4"/>
      <c r="OK1534" s="6"/>
      <c r="OL1534" s="4"/>
      <c r="OM1534" s="6"/>
      <c r="ON1534" s="4"/>
      <c r="OO1534" s="6"/>
      <c r="OP1534" s="4"/>
      <c r="OQ1534" s="6"/>
      <c r="OR1534" s="4"/>
      <c r="OS1534" s="6"/>
      <c r="OT1534" s="4"/>
      <c r="OU1534" s="6"/>
      <c r="OV1534" s="4"/>
      <c r="OW1534" s="6"/>
      <c r="OX1534" s="4"/>
      <c r="OY1534" s="6"/>
      <c r="OZ1534" s="4"/>
      <c r="PA1534" s="6"/>
      <c r="PB1534" s="4"/>
      <c r="PC1534" s="6"/>
      <c r="PD1534" s="4"/>
      <c r="PE1534" s="6"/>
      <c r="PF1534" s="4"/>
      <c r="PG1534" s="6"/>
      <c r="PH1534" s="4"/>
      <c r="PI1534" s="6"/>
      <c r="PJ1534" s="4"/>
      <c r="PK1534" s="6"/>
      <c r="PL1534" s="4"/>
      <c r="PM1534" s="6"/>
      <c r="PN1534" s="4"/>
      <c r="PO1534" s="6"/>
      <c r="PP1534" s="4"/>
      <c r="PQ1534" s="6"/>
      <c r="PR1534" s="4"/>
      <c r="PS1534" s="6"/>
      <c r="PT1534" s="4"/>
      <c r="PU1534" s="6"/>
      <c r="PV1534" s="4"/>
      <c r="PW1534" s="6"/>
      <c r="PX1534" s="4"/>
      <c r="PY1534" s="6"/>
      <c r="PZ1534" s="4"/>
      <c r="QA1534" s="6"/>
      <c r="QB1534" s="4"/>
      <c r="QC1534" s="6"/>
      <c r="QD1534" s="4"/>
      <c r="QE1534" s="6"/>
      <c r="QF1534" s="4"/>
      <c r="QG1534" s="6"/>
      <c r="QH1534" s="4"/>
      <c r="QI1534" s="6"/>
      <c r="QJ1534" s="4"/>
      <c r="QK1534" s="6"/>
      <c r="QL1534" s="4"/>
      <c r="QM1534" s="6"/>
      <c r="QN1534" s="4"/>
      <c r="QO1534" s="6"/>
      <c r="QP1534" s="4"/>
      <c r="QQ1534" s="6"/>
      <c r="QR1534" s="4"/>
      <c r="QS1534" s="6"/>
      <c r="QT1534" s="4"/>
      <c r="QU1534" s="6"/>
      <c r="QV1534" s="4"/>
      <c r="QW1534" s="6"/>
      <c r="QX1534" s="4"/>
      <c r="QY1534" s="6"/>
      <c r="QZ1534" s="4"/>
      <c r="RA1534" s="6"/>
      <c r="RB1534" s="4"/>
      <c r="RC1534" s="6"/>
      <c r="RD1534" s="4"/>
      <c r="RE1534" s="6"/>
      <c r="RF1534" s="4"/>
      <c r="RG1534" s="6"/>
      <c r="RH1534" s="4"/>
      <c r="RI1534" s="6"/>
      <c r="RJ1534" s="4"/>
      <c r="RK1534" s="6"/>
      <c r="RL1534" s="4"/>
      <c r="RM1534" s="6"/>
      <c r="RN1534" s="4"/>
      <c r="RO1534" s="6"/>
      <c r="RP1534" s="4"/>
      <c r="RQ1534" s="6"/>
      <c r="RR1534" s="4"/>
      <c r="RS1534" s="6"/>
      <c r="RT1534" s="4"/>
      <c r="RU1534" s="6"/>
      <c r="RV1534" s="4"/>
      <c r="RW1534" s="6"/>
      <c r="RX1534" s="4"/>
      <c r="RY1534" s="6"/>
      <c r="RZ1534" s="4"/>
      <c r="SA1534" s="6"/>
      <c r="SB1534" s="4"/>
      <c r="SC1534" s="6"/>
      <c r="SD1534" s="4"/>
      <c r="SE1534" s="6"/>
      <c r="SF1534" s="4"/>
      <c r="SG1534" s="6"/>
      <c r="SH1534" s="4"/>
      <c r="SI1534" s="6"/>
      <c r="SJ1534" s="4"/>
      <c r="SK1534" s="6"/>
      <c r="SL1534" s="4"/>
      <c r="SM1534" s="6"/>
      <c r="SN1534" s="4"/>
      <c r="SO1534" s="6"/>
      <c r="SP1534" s="4"/>
      <c r="SQ1534" s="6"/>
      <c r="SR1534" s="4"/>
      <c r="SS1534" s="6"/>
      <c r="ST1534" s="4"/>
      <c r="SU1534" s="6"/>
      <c r="SV1534" s="4"/>
      <c r="SW1534" s="6"/>
      <c r="SX1534" s="4"/>
      <c r="SY1534" s="6"/>
      <c r="SZ1534" s="4"/>
      <c r="TA1534" s="6"/>
      <c r="TB1534" s="4"/>
      <c r="TC1534" s="6"/>
      <c r="TD1534" s="4"/>
      <c r="TE1534" s="6"/>
      <c r="TF1534" s="4"/>
      <c r="TG1534" s="6"/>
      <c r="TH1534" s="4"/>
      <c r="TI1534" s="6"/>
      <c r="TJ1534" s="4"/>
      <c r="TK1534" s="6"/>
      <c r="TL1534" s="4"/>
      <c r="TM1534" s="6"/>
      <c r="TN1534" s="4"/>
      <c r="TO1534" s="6"/>
      <c r="TP1534" s="4"/>
      <c r="TQ1534" s="6"/>
      <c r="TR1534" s="4"/>
      <c r="TS1534" s="6"/>
      <c r="TT1534" s="4"/>
      <c r="TU1534" s="6"/>
      <c r="TV1534" s="4"/>
      <c r="TW1534" s="6"/>
      <c r="TX1534" s="4"/>
      <c r="TY1534" s="6"/>
      <c r="TZ1534" s="4"/>
      <c r="UA1534" s="6"/>
      <c r="UB1534" s="4"/>
      <c r="UC1534" s="6"/>
      <c r="UD1534" s="4"/>
      <c r="UE1534" s="6"/>
      <c r="UF1534" s="4"/>
      <c r="UG1534" s="6"/>
      <c r="UH1534" s="4"/>
      <c r="UI1534" s="6"/>
      <c r="UJ1534" s="4"/>
      <c r="UK1534" s="6"/>
      <c r="UL1534" s="4"/>
      <c r="UM1534" s="6"/>
      <c r="UN1534" s="4"/>
      <c r="UO1534" s="6"/>
      <c r="UP1534" s="4"/>
      <c r="UQ1534" s="6"/>
      <c r="UR1534" s="4"/>
      <c r="US1534" s="6"/>
      <c r="UT1534" s="4"/>
      <c r="UU1534" s="6"/>
      <c r="UV1534" s="4"/>
      <c r="UW1534" s="6"/>
      <c r="UX1534" s="4"/>
      <c r="UY1534" s="6"/>
      <c r="UZ1534" s="4"/>
      <c r="VA1534" s="6"/>
      <c r="VB1534" s="4"/>
      <c r="VC1534" s="6"/>
      <c r="VD1534" s="4"/>
      <c r="VE1534" s="6"/>
      <c r="VF1534" s="4"/>
      <c r="VG1534" s="6"/>
      <c r="VH1534" s="4"/>
      <c r="VI1534" s="6"/>
      <c r="VJ1534" s="4"/>
      <c r="VK1534" s="6"/>
      <c r="VL1534" s="4"/>
      <c r="VM1534" s="6"/>
      <c r="VN1534" s="4"/>
      <c r="VO1534" s="6"/>
      <c r="VP1534" s="4"/>
      <c r="VQ1534" s="6"/>
      <c r="VR1534" s="4"/>
      <c r="VS1534" s="6"/>
      <c r="VT1534" s="4"/>
      <c r="VU1534" s="6"/>
      <c r="VV1534" s="4"/>
      <c r="VW1534" s="6"/>
      <c r="VX1534" s="4"/>
      <c r="VY1534" s="6"/>
      <c r="VZ1534" s="4"/>
      <c r="WA1534" s="6"/>
      <c r="WB1534" s="4"/>
      <c r="WC1534" s="6"/>
      <c r="WD1534" s="4"/>
      <c r="WE1534" s="6"/>
      <c r="WF1534" s="4"/>
      <c r="WG1534" s="6"/>
      <c r="WH1534" s="4"/>
      <c r="WI1534" s="6"/>
      <c r="WJ1534" s="4"/>
      <c r="WK1534" s="6"/>
      <c r="WL1534" s="4"/>
      <c r="WM1534" s="6"/>
      <c r="WN1534" s="4"/>
      <c r="WO1534" s="6"/>
      <c r="WP1534" s="4"/>
      <c r="WQ1534" s="6"/>
      <c r="WR1534" s="4"/>
      <c r="WS1534" s="6"/>
      <c r="WT1534" s="4"/>
      <c r="WU1534" s="6"/>
      <c r="WV1534" s="4"/>
      <c r="WW1534" s="6"/>
      <c r="WX1534" s="4"/>
      <c r="WY1534" s="6"/>
      <c r="WZ1534" s="4"/>
      <c r="XA1534" s="6"/>
      <c r="XB1534" s="4"/>
      <c r="XC1534" s="6"/>
      <c r="XD1534" s="4"/>
      <c r="XE1534" s="6"/>
      <c r="XF1534" s="4"/>
      <c r="XG1534" s="6"/>
      <c r="XH1534" s="4"/>
      <c r="XI1534" s="6"/>
      <c r="XJ1534" s="4"/>
      <c r="XK1534" s="6"/>
      <c r="XL1534" s="4"/>
      <c r="XM1534" s="6"/>
      <c r="XN1534" s="4"/>
      <c r="XO1534" s="6"/>
      <c r="XP1534" s="4"/>
      <c r="XQ1534" s="6"/>
      <c r="XR1534" s="4"/>
      <c r="XS1534" s="6"/>
      <c r="XT1534" s="4"/>
      <c r="XU1534" s="6"/>
      <c r="XV1534" s="4"/>
      <c r="XW1534" s="6"/>
      <c r="XX1534" s="4"/>
      <c r="XY1534" s="6"/>
      <c r="XZ1534" s="4"/>
      <c r="YA1534" s="6"/>
      <c r="YB1534" s="4"/>
      <c r="YC1534" s="6"/>
      <c r="YD1534" s="4"/>
      <c r="YE1534" s="6"/>
      <c r="YF1534" s="4"/>
      <c r="YG1534" s="6"/>
      <c r="YH1534" s="4"/>
      <c r="YI1534" s="6"/>
      <c r="YJ1534" s="4"/>
      <c r="YK1534" s="6"/>
      <c r="YL1534" s="4"/>
      <c r="YM1534" s="6"/>
      <c r="YN1534" s="4"/>
      <c r="YO1534" s="6"/>
      <c r="YP1534" s="4"/>
      <c r="YQ1534" s="6"/>
      <c r="YR1534" s="4"/>
      <c r="YS1534" s="6"/>
      <c r="YT1534" s="4"/>
      <c r="YU1534" s="6"/>
      <c r="YV1534" s="4"/>
      <c r="YW1534" s="6"/>
      <c r="YX1534" s="4"/>
      <c r="YY1534" s="6"/>
      <c r="YZ1534" s="4"/>
      <c r="ZA1534" s="6"/>
      <c r="ZB1534" s="4"/>
      <c r="ZC1534" s="6"/>
      <c r="ZD1534" s="4"/>
      <c r="ZE1534" s="6"/>
      <c r="ZF1534" s="4"/>
      <c r="ZG1534" s="6"/>
      <c r="ZH1534" s="4"/>
      <c r="ZI1534" s="6"/>
      <c r="ZJ1534" s="4"/>
      <c r="ZK1534" s="6"/>
      <c r="ZL1534" s="4"/>
      <c r="ZM1534" s="6"/>
      <c r="ZN1534" s="4"/>
      <c r="ZO1534" s="6"/>
      <c r="ZP1534" s="4"/>
      <c r="ZQ1534" s="6"/>
      <c r="ZR1534" s="4"/>
      <c r="ZS1534" s="6"/>
      <c r="ZT1534" s="4"/>
      <c r="ZU1534" s="6"/>
      <c r="ZV1534" s="4"/>
      <c r="ZW1534" s="6"/>
      <c r="ZX1534" s="4"/>
      <c r="ZY1534" s="6"/>
      <c r="ZZ1534" s="4"/>
      <c r="AAA1534" s="6"/>
      <c r="AAB1534" s="4"/>
      <c r="AAC1534" s="6"/>
      <c r="AAD1534" s="4"/>
      <c r="AAE1534" s="6"/>
      <c r="AAF1534" s="4"/>
      <c r="AAG1534" s="6"/>
      <c r="AAH1534" s="4"/>
      <c r="AAI1534" s="6"/>
      <c r="AAJ1534" s="4"/>
      <c r="AAK1534" s="6"/>
      <c r="AAL1534" s="4"/>
      <c r="AAM1534" s="6"/>
      <c r="AAN1534" s="4"/>
      <c r="AAO1534" s="6"/>
      <c r="AAP1534" s="4"/>
      <c r="AAQ1534" s="6"/>
      <c r="AAR1534" s="4"/>
      <c r="AAS1534" s="6"/>
      <c r="AAT1534" s="4"/>
      <c r="AAU1534" s="6"/>
      <c r="AAV1534" s="4"/>
      <c r="AAW1534" s="6"/>
      <c r="AAX1534" s="4"/>
      <c r="AAY1534" s="6"/>
      <c r="AAZ1534" s="4"/>
      <c r="ABA1534" s="6"/>
      <c r="ABB1534" s="4"/>
      <c r="ABC1534" s="6"/>
      <c r="ABD1534" s="4"/>
      <c r="ABE1534" s="6"/>
      <c r="ABF1534" s="4"/>
      <c r="ABG1534" s="6"/>
      <c r="ABH1534" s="4"/>
      <c r="ABI1534" s="6"/>
      <c r="ABJ1534" s="4"/>
      <c r="ABK1534" s="6"/>
      <c r="ABL1534" s="4"/>
      <c r="ABM1534" s="6"/>
      <c r="ABN1534" s="4"/>
      <c r="ABO1534" s="6"/>
      <c r="ABP1534" s="4"/>
      <c r="ABQ1534" s="6"/>
      <c r="ABR1534" s="4"/>
      <c r="ABS1534" s="6"/>
      <c r="ABT1534" s="4"/>
      <c r="ABU1534" s="6"/>
      <c r="ABV1534" s="4"/>
      <c r="ABW1534" s="6"/>
      <c r="ABX1534" s="4"/>
      <c r="ABY1534" s="6"/>
      <c r="ABZ1534" s="4"/>
      <c r="ACA1534" s="6"/>
      <c r="ACB1534" s="4"/>
      <c r="ACC1534" s="6"/>
      <c r="ACD1534" s="4"/>
      <c r="ACE1534" s="6"/>
      <c r="ACF1534" s="4"/>
      <c r="ACG1534" s="6"/>
      <c r="ACH1534" s="4"/>
      <c r="ACI1534" s="6"/>
      <c r="ACJ1534" s="4"/>
      <c r="ACK1534" s="6"/>
      <c r="ACL1534" s="4"/>
      <c r="ACM1534" s="6"/>
      <c r="ACN1534" s="4"/>
      <c r="ACO1534" s="6"/>
      <c r="ACP1534" s="4"/>
      <c r="ACQ1534" s="6"/>
      <c r="ACR1534" s="4"/>
      <c r="ACS1534" s="6"/>
      <c r="ACT1534" s="4"/>
      <c r="ACU1534" s="6"/>
      <c r="ACV1534" s="4"/>
      <c r="ACW1534" s="6"/>
      <c r="ACX1534" s="4"/>
      <c r="ACY1534" s="6"/>
      <c r="ACZ1534" s="4"/>
      <c r="ADA1534" s="6"/>
      <c r="ADB1534" s="4"/>
      <c r="ADC1534" s="6"/>
      <c r="ADD1534" s="4"/>
      <c r="ADE1534" s="6"/>
      <c r="ADF1534" s="4"/>
      <c r="ADG1534" s="6"/>
      <c r="ADH1534" s="4"/>
      <c r="ADI1534" s="6"/>
      <c r="ADJ1534" s="4"/>
      <c r="ADK1534" s="6"/>
      <c r="ADL1534" s="4"/>
      <c r="ADM1534" s="6"/>
      <c r="ADN1534" s="4"/>
      <c r="ADO1534" s="6"/>
      <c r="ADP1534" s="4"/>
      <c r="ADQ1534" s="6"/>
      <c r="ADR1534" s="4"/>
      <c r="ADS1534" s="6"/>
      <c r="ADT1534" s="4"/>
      <c r="ADU1534" s="6"/>
      <c r="ADV1534" s="4"/>
      <c r="ADW1534" s="6"/>
      <c r="ADX1534" s="4"/>
      <c r="ADY1534" s="6"/>
      <c r="ADZ1534" s="4"/>
      <c r="AEA1534" s="6"/>
      <c r="AEB1534" s="4"/>
      <c r="AEC1534" s="6"/>
      <c r="AED1534" s="4"/>
      <c r="AEE1534" s="6"/>
      <c r="AEF1534" s="4"/>
      <c r="AEG1534" s="6"/>
      <c r="AEH1534" s="4"/>
      <c r="AEI1534" s="6"/>
      <c r="AEJ1534" s="4"/>
      <c r="AEK1534" s="6"/>
      <c r="AEL1534" s="4"/>
      <c r="AEM1534" s="6"/>
      <c r="AEN1534" s="4"/>
      <c r="AEO1534" s="6"/>
      <c r="AEP1534" s="4"/>
      <c r="AEQ1534" s="6"/>
      <c r="AER1534" s="4"/>
      <c r="AES1534" s="6"/>
      <c r="AET1534" s="4"/>
      <c r="AEU1534" s="6"/>
      <c r="AEV1534" s="4"/>
      <c r="AEW1534" s="6"/>
      <c r="AEX1534" s="4"/>
      <c r="AEY1534" s="6"/>
      <c r="AEZ1534" s="4"/>
      <c r="AFA1534" s="6"/>
      <c r="AFB1534" s="4"/>
      <c r="AFC1534" s="6"/>
      <c r="AFD1534" s="4"/>
      <c r="AFE1534" s="6"/>
      <c r="AFF1534" s="4"/>
      <c r="AFG1534" s="6"/>
      <c r="AFH1534" s="4"/>
      <c r="AFI1534" s="6"/>
      <c r="AFJ1534" s="4"/>
      <c r="AFK1534" s="6"/>
      <c r="AFL1534" s="4"/>
      <c r="AFM1534" s="6"/>
      <c r="AFN1534" s="4"/>
      <c r="AFO1534" s="6"/>
      <c r="AFP1534" s="4"/>
      <c r="AFQ1534" s="6"/>
      <c r="AFR1534" s="4"/>
      <c r="AFS1534" s="6"/>
      <c r="AFT1534" s="4"/>
      <c r="AFU1534" s="6"/>
      <c r="AFV1534" s="4"/>
      <c r="AFW1534" s="6"/>
      <c r="AFX1534" s="4"/>
      <c r="AFY1534" s="6"/>
      <c r="AFZ1534" s="4"/>
      <c r="AGA1534" s="6"/>
      <c r="AGB1534" s="4"/>
      <c r="AGC1534" s="6"/>
      <c r="AGD1534" s="4"/>
      <c r="AGE1534" s="6"/>
      <c r="AGF1534" s="4"/>
      <c r="AGG1534" s="6"/>
      <c r="AGH1534" s="4"/>
      <c r="AGI1534" s="6"/>
      <c r="AGJ1534" s="4"/>
      <c r="AGK1534" s="6"/>
      <c r="AGL1534" s="4"/>
      <c r="AGM1534" s="6"/>
      <c r="AGN1534" s="4"/>
      <c r="AGO1534" s="6"/>
      <c r="AGP1534" s="4"/>
      <c r="AGQ1534" s="6"/>
      <c r="AGR1534" s="4"/>
      <c r="AGS1534" s="6"/>
      <c r="AGT1534" s="4"/>
      <c r="AGU1534" s="6"/>
      <c r="AGV1534" s="4"/>
      <c r="AGW1534" s="6"/>
      <c r="AGX1534" s="4"/>
      <c r="AGY1534" s="6"/>
      <c r="AGZ1534" s="4"/>
      <c r="AHA1534" s="6"/>
      <c r="AHB1534" s="4"/>
      <c r="AHC1534" s="6"/>
      <c r="AHD1534" s="4"/>
      <c r="AHE1534" s="6"/>
      <c r="AHF1534" s="4"/>
      <c r="AHG1534" s="6"/>
      <c r="AHH1534" s="4"/>
      <c r="AHI1534" s="6"/>
      <c r="AHJ1534" s="4"/>
      <c r="AHK1534" s="6"/>
      <c r="AHL1534" s="4"/>
      <c r="AHM1534" s="6"/>
      <c r="AHN1534" s="4"/>
      <c r="AHO1534" s="6"/>
      <c r="AHP1534" s="4"/>
      <c r="AHQ1534" s="6"/>
      <c r="AHR1534" s="4"/>
      <c r="AHS1534" s="6"/>
      <c r="AHT1534" s="4"/>
      <c r="AHU1534" s="6"/>
      <c r="AHV1534" s="4"/>
      <c r="AHW1534" s="6"/>
      <c r="AHX1534" s="4"/>
      <c r="AHY1534" s="6"/>
      <c r="AHZ1534" s="4"/>
      <c r="AIA1534" s="6"/>
      <c r="AIB1534" s="4"/>
      <c r="AIC1534" s="6"/>
      <c r="AID1534" s="4"/>
      <c r="AIE1534" s="6"/>
      <c r="AIF1534" s="4"/>
      <c r="AIG1534" s="6"/>
      <c r="AIH1534" s="4"/>
      <c r="AII1534" s="6"/>
      <c r="AIJ1534" s="4"/>
      <c r="AIK1534" s="6"/>
      <c r="AIL1534" s="4"/>
      <c r="AIM1534" s="6"/>
      <c r="AIN1534" s="4"/>
      <c r="AIO1534" s="6"/>
      <c r="AIP1534" s="4"/>
      <c r="AIQ1534" s="6"/>
      <c r="AIR1534" s="4"/>
      <c r="AIS1534" s="6"/>
      <c r="AIT1534" s="4"/>
      <c r="AIU1534" s="6"/>
      <c r="AIV1534" s="4"/>
      <c r="AIW1534" s="6"/>
      <c r="AIX1534" s="4"/>
      <c r="AIY1534" s="6"/>
      <c r="AIZ1534" s="4"/>
      <c r="AJA1534" s="6"/>
      <c r="AJB1534" s="4"/>
      <c r="AJC1534" s="6"/>
      <c r="AJD1534" s="4"/>
      <c r="AJE1534" s="6"/>
      <c r="AJF1534" s="4"/>
      <c r="AJG1534" s="6"/>
      <c r="AJH1534" s="4"/>
      <c r="AJI1534" s="6"/>
      <c r="AJJ1534" s="4"/>
      <c r="AJK1534" s="6"/>
      <c r="AJL1534" s="4"/>
      <c r="AJM1534" s="6"/>
      <c r="AJN1534" s="4"/>
      <c r="AJO1534" s="6"/>
      <c r="AJP1534" s="4"/>
      <c r="AJQ1534" s="6"/>
      <c r="AJR1534" s="4"/>
      <c r="AJS1534" s="6"/>
      <c r="AJT1534" s="4"/>
      <c r="AJU1534" s="6"/>
      <c r="AJV1534" s="4"/>
      <c r="AJW1534" s="6"/>
      <c r="AJX1534" s="4"/>
      <c r="AJY1534" s="6"/>
      <c r="AJZ1534" s="4"/>
      <c r="AKA1534" s="6"/>
      <c r="AKB1534" s="4"/>
      <c r="AKC1534" s="6"/>
      <c r="AKD1534" s="4"/>
      <c r="AKE1534" s="6"/>
      <c r="AKF1534" s="4"/>
      <c r="AKG1534" s="6"/>
      <c r="AKH1534" s="4"/>
      <c r="AKI1534" s="6"/>
      <c r="AKJ1534" s="4"/>
      <c r="AKK1534" s="6"/>
      <c r="AKL1534" s="4"/>
      <c r="AKM1534" s="6"/>
      <c r="AKN1534" s="4"/>
      <c r="AKO1534" s="6"/>
      <c r="AKP1534" s="4"/>
      <c r="AKQ1534" s="6"/>
      <c r="AKR1534" s="4"/>
      <c r="AKS1534" s="6"/>
      <c r="AKT1534" s="4"/>
      <c r="AKU1534" s="6"/>
      <c r="AKV1534" s="4"/>
      <c r="AKW1534" s="6"/>
      <c r="AKX1534" s="4"/>
      <c r="AKY1534" s="6"/>
      <c r="AKZ1534" s="4"/>
      <c r="ALA1534" s="6"/>
      <c r="ALB1534" s="4"/>
      <c r="ALC1534" s="6"/>
      <c r="ALD1534" s="4"/>
      <c r="ALE1534" s="6"/>
      <c r="ALF1534" s="4"/>
      <c r="ALG1534" s="6"/>
      <c r="ALH1534" s="4"/>
      <c r="ALI1534" s="6"/>
      <c r="ALJ1534" s="4"/>
      <c r="ALK1534" s="6"/>
      <c r="ALL1534" s="4"/>
      <c r="ALM1534" s="6"/>
      <c r="ALN1534" s="4"/>
      <c r="ALO1534" s="6"/>
      <c r="ALP1534" s="4"/>
      <c r="ALQ1534" s="6"/>
      <c r="ALR1534" s="4"/>
      <c r="ALS1534" s="6"/>
      <c r="ALT1534" s="4"/>
      <c r="ALU1534" s="6"/>
      <c r="ALV1534" s="4"/>
      <c r="ALW1534" s="6"/>
      <c r="ALX1534" s="4"/>
      <c r="ALY1534" s="6"/>
      <c r="ALZ1534" s="4"/>
      <c r="AMA1534" s="6"/>
      <c r="AMB1534" s="4"/>
      <c r="AMC1534" s="6"/>
      <c r="AMD1534" s="4"/>
      <c r="AME1534" s="6"/>
      <c r="AMF1534" s="4"/>
      <c r="AMG1534" s="6"/>
      <c r="AMH1534" s="4"/>
      <c r="AMI1534" s="6"/>
      <c r="AMJ1534" s="4"/>
      <c r="AMK1534" s="6"/>
      <c r="AML1534" s="4"/>
      <c r="AMM1534" s="6"/>
      <c r="AMN1534" s="4"/>
      <c r="AMO1534" s="6"/>
      <c r="AMP1534" s="4"/>
      <c r="AMQ1534" s="6"/>
      <c r="AMR1534" s="4"/>
      <c r="AMS1534" s="6"/>
      <c r="AMT1534" s="4"/>
      <c r="AMU1534" s="6"/>
      <c r="AMV1534" s="4"/>
      <c r="AMW1534" s="6"/>
      <c r="AMX1534" s="4"/>
      <c r="AMY1534" s="6"/>
      <c r="AMZ1534" s="4"/>
      <c r="ANA1534" s="6"/>
      <c r="ANB1534" s="4"/>
      <c r="ANC1534" s="6"/>
      <c r="AND1534" s="4"/>
      <c r="ANE1534" s="6"/>
      <c r="ANF1534" s="4"/>
      <c r="ANG1534" s="6"/>
      <c r="ANH1534" s="4"/>
      <c r="ANI1534" s="6"/>
      <c r="ANJ1534" s="4"/>
      <c r="ANK1534" s="6"/>
      <c r="ANL1534" s="4"/>
      <c r="ANM1534" s="6"/>
      <c r="ANN1534" s="4"/>
      <c r="ANO1534" s="6"/>
      <c r="ANP1534" s="4"/>
      <c r="ANQ1534" s="6"/>
      <c r="ANR1534" s="4"/>
      <c r="ANS1534" s="6"/>
      <c r="ANT1534" s="4"/>
      <c r="ANU1534" s="6"/>
      <c r="ANV1534" s="4"/>
      <c r="ANW1534" s="6"/>
      <c r="ANX1534" s="4"/>
      <c r="ANY1534" s="6"/>
      <c r="ANZ1534" s="4"/>
      <c r="AOA1534" s="6"/>
      <c r="AOB1534" s="4"/>
      <c r="AOC1534" s="6"/>
      <c r="AOD1534" s="4"/>
      <c r="AOE1534" s="6"/>
      <c r="AOF1534" s="4"/>
      <c r="AOG1534" s="6"/>
      <c r="AOH1534" s="4"/>
      <c r="AOI1534" s="6"/>
      <c r="AOJ1534" s="4"/>
      <c r="AOK1534" s="6"/>
      <c r="AOL1534" s="4"/>
      <c r="AOM1534" s="6"/>
      <c r="AON1534" s="4"/>
      <c r="AOO1534" s="6"/>
      <c r="AOP1534" s="4"/>
      <c r="AOQ1534" s="6"/>
      <c r="AOR1534" s="4"/>
      <c r="AOS1534" s="6"/>
      <c r="AOT1534" s="4"/>
      <c r="AOU1534" s="6"/>
      <c r="AOV1534" s="4"/>
      <c r="AOW1534" s="6"/>
      <c r="AOX1534" s="4"/>
      <c r="AOY1534" s="6"/>
      <c r="AOZ1534" s="4"/>
      <c r="APA1534" s="6"/>
      <c r="APB1534" s="4"/>
      <c r="APC1534" s="6"/>
      <c r="APD1534" s="4"/>
      <c r="APE1534" s="6"/>
      <c r="APF1534" s="4"/>
      <c r="APG1534" s="6"/>
      <c r="APH1534" s="4"/>
      <c r="API1534" s="6"/>
      <c r="APJ1534" s="4"/>
      <c r="APK1534" s="6"/>
      <c r="APL1534" s="4"/>
      <c r="APM1534" s="6"/>
      <c r="APN1534" s="4"/>
      <c r="APO1534" s="6"/>
      <c r="APP1534" s="4"/>
      <c r="APQ1534" s="6"/>
      <c r="APR1534" s="4"/>
      <c r="APS1534" s="6"/>
      <c r="APT1534" s="4"/>
      <c r="APU1534" s="6"/>
      <c r="APV1534" s="4"/>
      <c r="APW1534" s="6"/>
      <c r="APX1534" s="4"/>
      <c r="APY1534" s="6"/>
      <c r="APZ1534" s="4"/>
      <c r="AQA1534" s="6"/>
      <c r="AQB1534" s="4"/>
      <c r="AQC1534" s="6"/>
      <c r="AQD1534" s="4"/>
      <c r="AQE1534" s="6"/>
      <c r="AQF1534" s="4"/>
      <c r="AQG1534" s="6"/>
      <c r="AQH1534" s="4"/>
      <c r="AQI1534" s="6"/>
      <c r="AQJ1534" s="4"/>
      <c r="AQK1534" s="6"/>
      <c r="AQL1534" s="4"/>
      <c r="AQM1534" s="6"/>
      <c r="AQN1534" s="4"/>
      <c r="AQO1534" s="6"/>
      <c r="AQP1534" s="4"/>
      <c r="AQQ1534" s="6"/>
      <c r="AQR1534" s="4"/>
      <c r="AQS1534" s="6"/>
      <c r="AQT1534" s="4"/>
      <c r="AQU1534" s="6"/>
      <c r="AQV1534" s="4"/>
      <c r="AQW1534" s="6"/>
      <c r="AQX1534" s="4"/>
      <c r="AQY1534" s="6"/>
      <c r="AQZ1534" s="4"/>
      <c r="ARA1534" s="6"/>
      <c r="ARB1534" s="4"/>
      <c r="ARC1534" s="6"/>
      <c r="ARD1534" s="4"/>
      <c r="ARE1534" s="6"/>
      <c r="ARF1534" s="4"/>
      <c r="ARG1534" s="6"/>
      <c r="ARH1534" s="4"/>
      <c r="ARI1534" s="6"/>
      <c r="ARJ1534" s="4"/>
      <c r="ARK1534" s="6"/>
      <c r="ARL1534" s="4"/>
      <c r="ARM1534" s="6"/>
      <c r="ARN1534" s="4"/>
      <c r="ARO1534" s="6"/>
      <c r="ARP1534" s="4"/>
      <c r="ARQ1534" s="6"/>
      <c r="ARR1534" s="4"/>
      <c r="ARS1534" s="6"/>
      <c r="ART1534" s="4"/>
      <c r="ARU1534" s="6"/>
      <c r="ARV1534" s="4"/>
      <c r="ARW1534" s="6"/>
      <c r="ARX1534" s="4"/>
      <c r="ARY1534" s="6"/>
      <c r="ARZ1534" s="4"/>
      <c r="ASA1534" s="6"/>
      <c r="ASB1534" s="4"/>
      <c r="ASC1534" s="6"/>
      <c r="ASD1534" s="4"/>
      <c r="ASE1534" s="6"/>
      <c r="ASF1534" s="4"/>
      <c r="ASG1534" s="6"/>
      <c r="ASH1534" s="4"/>
      <c r="ASI1534" s="6"/>
      <c r="ASJ1534" s="4"/>
      <c r="ASK1534" s="6"/>
      <c r="ASL1534" s="4"/>
      <c r="ASM1534" s="6"/>
      <c r="ASN1534" s="4"/>
      <c r="ASO1534" s="6"/>
      <c r="ASP1534" s="4"/>
      <c r="ASQ1534" s="6"/>
      <c r="ASR1534" s="4"/>
      <c r="ASS1534" s="6"/>
      <c r="AST1534" s="4"/>
      <c r="ASU1534" s="6"/>
      <c r="ASV1534" s="4"/>
      <c r="ASW1534" s="6"/>
      <c r="ASX1534" s="4"/>
      <c r="ASY1534" s="6"/>
      <c r="ASZ1534" s="4"/>
      <c r="ATA1534" s="6"/>
      <c r="ATB1534" s="4"/>
      <c r="ATC1534" s="6"/>
      <c r="ATD1534" s="4"/>
      <c r="ATE1534" s="6"/>
      <c r="ATF1534" s="4"/>
      <c r="ATG1534" s="6"/>
      <c r="ATH1534" s="4"/>
      <c r="ATI1534" s="6"/>
      <c r="ATJ1534" s="4"/>
      <c r="ATK1534" s="6"/>
      <c r="ATL1534" s="4"/>
      <c r="ATM1534" s="6"/>
      <c r="ATN1534" s="4"/>
      <c r="ATO1534" s="6"/>
      <c r="ATP1534" s="4"/>
      <c r="ATQ1534" s="6"/>
      <c r="ATR1534" s="4"/>
      <c r="ATS1534" s="6"/>
      <c r="ATT1534" s="4"/>
      <c r="ATU1534" s="6"/>
      <c r="ATV1534" s="4"/>
      <c r="ATW1534" s="6"/>
      <c r="ATX1534" s="4"/>
      <c r="ATY1534" s="6"/>
      <c r="ATZ1534" s="4"/>
      <c r="AUA1534" s="6"/>
      <c r="AUB1534" s="4"/>
      <c r="AUC1534" s="6"/>
      <c r="AUD1534" s="4"/>
      <c r="AUE1534" s="6"/>
      <c r="AUF1534" s="4"/>
      <c r="AUG1534" s="6"/>
      <c r="AUH1534" s="4"/>
      <c r="AUI1534" s="6"/>
      <c r="AUJ1534" s="4"/>
      <c r="AUK1534" s="6"/>
      <c r="AUL1534" s="4"/>
      <c r="AUM1534" s="6"/>
      <c r="AUN1534" s="4"/>
      <c r="AUO1534" s="6"/>
      <c r="AUP1534" s="4"/>
      <c r="AUQ1534" s="6"/>
      <c r="AUR1534" s="4"/>
      <c r="AUS1534" s="6"/>
      <c r="AUT1534" s="4"/>
      <c r="AUU1534" s="6"/>
      <c r="AUV1534" s="4"/>
      <c r="AUW1534" s="6"/>
      <c r="AUX1534" s="4"/>
      <c r="AUY1534" s="6"/>
      <c r="AUZ1534" s="4"/>
      <c r="AVA1534" s="6"/>
      <c r="AVB1534" s="4"/>
      <c r="AVC1534" s="6"/>
      <c r="AVD1534" s="4"/>
      <c r="AVE1534" s="6"/>
      <c r="AVF1534" s="4"/>
      <c r="AVG1534" s="6"/>
      <c r="AVH1534" s="4"/>
      <c r="AVI1534" s="6"/>
      <c r="AVJ1534" s="4"/>
      <c r="AVK1534" s="6"/>
      <c r="AVL1534" s="4"/>
      <c r="AVM1534" s="6"/>
      <c r="AVN1534" s="4"/>
      <c r="AVO1534" s="6"/>
      <c r="AVP1534" s="4"/>
      <c r="AVQ1534" s="6"/>
      <c r="AVR1534" s="4"/>
      <c r="AVS1534" s="6"/>
      <c r="AVT1534" s="4"/>
      <c r="AVU1534" s="6"/>
      <c r="AVV1534" s="4"/>
      <c r="AVW1534" s="6"/>
      <c r="AVX1534" s="4"/>
      <c r="AVY1534" s="6"/>
      <c r="AVZ1534" s="4"/>
      <c r="AWA1534" s="6"/>
      <c r="AWB1534" s="4"/>
      <c r="AWC1534" s="6"/>
      <c r="AWD1534" s="4"/>
      <c r="AWE1534" s="6"/>
      <c r="AWF1534" s="4"/>
      <c r="AWG1534" s="6"/>
      <c r="AWH1534" s="4"/>
      <c r="AWI1534" s="6"/>
      <c r="AWJ1534" s="4"/>
      <c r="AWK1534" s="6"/>
      <c r="AWL1534" s="4"/>
      <c r="AWM1534" s="6"/>
      <c r="AWN1534" s="4"/>
      <c r="AWO1534" s="6"/>
      <c r="AWP1534" s="4"/>
      <c r="AWQ1534" s="6"/>
      <c r="AWR1534" s="4"/>
      <c r="AWS1534" s="6"/>
      <c r="AWT1534" s="4"/>
      <c r="AWU1534" s="6"/>
      <c r="AWV1534" s="4"/>
      <c r="AWW1534" s="6"/>
      <c r="AWX1534" s="4"/>
      <c r="AWY1534" s="6"/>
      <c r="AWZ1534" s="4"/>
      <c r="AXA1534" s="6"/>
      <c r="AXB1534" s="4"/>
      <c r="AXC1534" s="6"/>
      <c r="AXD1534" s="4"/>
      <c r="AXE1534" s="6"/>
      <c r="AXF1534" s="4"/>
      <c r="AXG1534" s="6"/>
      <c r="AXH1534" s="4"/>
      <c r="AXI1534" s="6"/>
      <c r="AXJ1534" s="4"/>
      <c r="AXK1534" s="6"/>
      <c r="AXL1534" s="4"/>
      <c r="AXM1534" s="6"/>
      <c r="AXN1534" s="4"/>
      <c r="AXO1534" s="6"/>
      <c r="AXP1534" s="4"/>
      <c r="AXQ1534" s="6"/>
      <c r="AXR1534" s="4"/>
      <c r="AXS1534" s="6"/>
      <c r="AXT1534" s="4"/>
      <c r="AXU1534" s="6"/>
      <c r="AXV1534" s="4"/>
      <c r="AXW1534" s="6"/>
      <c r="AXX1534" s="4"/>
      <c r="AXY1534" s="6"/>
      <c r="AXZ1534" s="4"/>
      <c r="AYA1534" s="6"/>
      <c r="AYB1534" s="4"/>
      <c r="AYC1534" s="6"/>
      <c r="AYD1534" s="4"/>
      <c r="AYE1534" s="6"/>
      <c r="AYF1534" s="4"/>
      <c r="AYG1534" s="6"/>
      <c r="AYH1534" s="4"/>
      <c r="AYI1534" s="6"/>
      <c r="AYJ1534" s="4"/>
      <c r="AYK1534" s="6"/>
      <c r="AYL1534" s="4"/>
      <c r="AYM1534" s="6"/>
      <c r="AYN1534" s="4"/>
      <c r="AYO1534" s="6"/>
      <c r="AYP1534" s="4"/>
      <c r="AYQ1534" s="6"/>
      <c r="AYR1534" s="4"/>
      <c r="AYS1534" s="6"/>
      <c r="AYT1534" s="4"/>
      <c r="AYU1534" s="6"/>
      <c r="AYV1534" s="4"/>
      <c r="AYW1534" s="6"/>
      <c r="AYX1534" s="4"/>
      <c r="AYY1534" s="6"/>
      <c r="AYZ1534" s="4"/>
      <c r="AZA1534" s="6"/>
      <c r="AZB1534" s="4"/>
      <c r="AZC1534" s="6"/>
      <c r="AZD1534" s="4"/>
      <c r="AZE1534" s="6"/>
      <c r="AZF1534" s="4"/>
      <c r="AZG1534" s="6"/>
      <c r="AZH1534" s="4"/>
      <c r="AZI1534" s="6"/>
      <c r="AZJ1534" s="4"/>
      <c r="AZK1534" s="6"/>
      <c r="AZL1534" s="4"/>
      <c r="AZM1534" s="6"/>
      <c r="AZN1534" s="4"/>
      <c r="AZO1534" s="6"/>
      <c r="AZP1534" s="4"/>
      <c r="AZQ1534" s="6"/>
      <c r="AZR1534" s="4"/>
      <c r="AZS1534" s="6"/>
      <c r="AZT1534" s="4"/>
      <c r="AZU1534" s="6"/>
      <c r="AZV1534" s="4"/>
      <c r="AZW1534" s="6"/>
      <c r="AZX1534" s="4"/>
      <c r="AZY1534" s="6"/>
      <c r="AZZ1534" s="4"/>
      <c r="BAA1534" s="6"/>
      <c r="BAB1534" s="4"/>
      <c r="BAC1534" s="6"/>
      <c r="BAD1534" s="4"/>
      <c r="BAE1534" s="6"/>
      <c r="BAF1534" s="4"/>
      <c r="BAG1534" s="6"/>
      <c r="BAH1534" s="4"/>
      <c r="BAI1534" s="6"/>
      <c r="BAJ1534" s="4"/>
      <c r="BAK1534" s="6"/>
      <c r="BAL1534" s="4"/>
      <c r="BAM1534" s="6"/>
      <c r="BAN1534" s="4"/>
      <c r="BAO1534" s="6"/>
      <c r="BAP1534" s="4"/>
      <c r="BAQ1534" s="6"/>
      <c r="BAR1534" s="4"/>
      <c r="BAS1534" s="6"/>
      <c r="BAT1534" s="4"/>
      <c r="BAU1534" s="6"/>
      <c r="BAV1534" s="4"/>
      <c r="BAW1534" s="6"/>
      <c r="BAX1534" s="4"/>
      <c r="BAY1534" s="6"/>
      <c r="BAZ1534" s="4"/>
      <c r="BBA1534" s="6"/>
      <c r="BBB1534" s="4"/>
      <c r="BBC1534" s="6"/>
      <c r="BBD1534" s="4"/>
      <c r="BBE1534" s="6"/>
      <c r="BBF1534" s="4"/>
      <c r="BBG1534" s="6"/>
      <c r="BBH1534" s="4"/>
      <c r="BBI1534" s="6"/>
      <c r="BBJ1534" s="4"/>
      <c r="BBK1534" s="6"/>
      <c r="BBL1534" s="4"/>
      <c r="BBM1534" s="6"/>
      <c r="BBN1534" s="4"/>
      <c r="BBO1534" s="6"/>
      <c r="BBP1534" s="4"/>
      <c r="BBQ1534" s="6"/>
      <c r="BBR1534" s="4"/>
      <c r="BBS1534" s="6"/>
      <c r="BBT1534" s="4"/>
      <c r="BBU1534" s="6"/>
      <c r="BBV1534" s="4"/>
      <c r="BBW1534" s="6"/>
      <c r="BBX1534" s="4"/>
      <c r="BBY1534" s="6"/>
      <c r="BBZ1534" s="4"/>
      <c r="BCA1534" s="6"/>
      <c r="BCB1534" s="4"/>
      <c r="BCC1534" s="6"/>
      <c r="BCD1534" s="4"/>
      <c r="BCE1534" s="6"/>
      <c r="BCF1534" s="4"/>
      <c r="BCG1534" s="6"/>
      <c r="BCH1534" s="4"/>
      <c r="BCI1534" s="6"/>
      <c r="BCJ1534" s="4"/>
      <c r="BCK1534" s="6"/>
      <c r="BCL1534" s="4"/>
      <c r="BCM1534" s="6"/>
      <c r="BCN1534" s="4"/>
      <c r="BCO1534" s="6"/>
      <c r="BCP1534" s="4"/>
      <c r="BCQ1534" s="6"/>
      <c r="BCR1534" s="4"/>
      <c r="BCS1534" s="6"/>
      <c r="BCT1534" s="4"/>
      <c r="BCU1534" s="6"/>
      <c r="BCV1534" s="4"/>
      <c r="BCW1534" s="6"/>
      <c r="BCX1534" s="4"/>
      <c r="BCY1534" s="6"/>
      <c r="BCZ1534" s="4"/>
      <c r="BDA1534" s="6"/>
      <c r="BDB1534" s="4"/>
      <c r="BDC1534" s="6"/>
      <c r="BDD1534" s="4"/>
      <c r="BDE1534" s="6"/>
      <c r="BDF1534" s="4"/>
      <c r="BDG1534" s="6"/>
      <c r="BDH1534" s="4"/>
      <c r="BDI1534" s="6"/>
      <c r="BDJ1534" s="4"/>
      <c r="BDK1534" s="6"/>
      <c r="BDL1534" s="4"/>
      <c r="BDM1534" s="6"/>
      <c r="BDN1534" s="4"/>
      <c r="BDO1534" s="6"/>
      <c r="BDP1534" s="4"/>
      <c r="BDQ1534" s="6"/>
      <c r="BDR1534" s="4"/>
      <c r="BDS1534" s="6"/>
      <c r="BDT1534" s="4"/>
      <c r="BDU1534" s="6"/>
      <c r="BDV1534" s="4"/>
      <c r="BDW1534" s="6"/>
      <c r="BDX1534" s="4"/>
      <c r="BDY1534" s="6"/>
      <c r="BDZ1534" s="4"/>
      <c r="BEA1534" s="6"/>
      <c r="BEB1534" s="4"/>
      <c r="BEC1534" s="6"/>
      <c r="BED1534" s="4"/>
      <c r="BEE1534" s="6"/>
      <c r="BEF1534" s="4"/>
      <c r="BEG1534" s="6"/>
      <c r="BEH1534" s="4"/>
      <c r="BEI1534" s="6"/>
      <c r="BEJ1534" s="4"/>
      <c r="BEK1534" s="6"/>
      <c r="BEL1534" s="4"/>
      <c r="BEM1534" s="6"/>
      <c r="BEN1534" s="4"/>
      <c r="BEO1534" s="6"/>
      <c r="BEP1534" s="4"/>
      <c r="BEQ1534" s="6"/>
      <c r="BER1534" s="4"/>
      <c r="BES1534" s="6"/>
      <c r="BET1534" s="4"/>
      <c r="BEU1534" s="6"/>
      <c r="BEV1534" s="4"/>
      <c r="BEW1534" s="6"/>
      <c r="BEX1534" s="4"/>
      <c r="BEY1534" s="6"/>
      <c r="BEZ1534" s="4"/>
      <c r="BFA1534" s="6"/>
      <c r="BFB1534" s="4"/>
      <c r="BFC1534" s="6"/>
      <c r="BFD1534" s="4"/>
      <c r="BFE1534" s="6"/>
      <c r="BFF1534" s="4"/>
      <c r="BFG1534" s="6"/>
      <c r="BFH1534" s="4"/>
      <c r="BFI1534" s="6"/>
      <c r="BFJ1534" s="4"/>
      <c r="BFK1534" s="6"/>
      <c r="BFL1534" s="4"/>
      <c r="BFM1534" s="6"/>
      <c r="BFN1534" s="4"/>
      <c r="BFO1534" s="6"/>
      <c r="BFP1534" s="4"/>
      <c r="BFQ1534" s="6"/>
      <c r="BFR1534" s="4"/>
      <c r="BFS1534" s="6"/>
      <c r="BFT1534" s="4"/>
      <c r="BFU1534" s="6"/>
      <c r="BFV1534" s="4"/>
      <c r="BFW1534" s="6"/>
      <c r="BFX1534" s="4"/>
      <c r="BFY1534" s="6"/>
      <c r="BFZ1534" s="4"/>
      <c r="BGA1534" s="6"/>
      <c r="BGB1534" s="4"/>
      <c r="BGC1534" s="6"/>
      <c r="BGD1534" s="4"/>
      <c r="BGE1534" s="6"/>
      <c r="BGF1534" s="4"/>
      <c r="BGG1534" s="6"/>
      <c r="BGH1534" s="4"/>
      <c r="BGI1534" s="6"/>
      <c r="BGJ1534" s="4"/>
      <c r="BGK1534" s="6"/>
      <c r="BGL1534" s="4"/>
      <c r="BGM1534" s="6"/>
      <c r="BGN1534" s="4"/>
      <c r="BGO1534" s="6"/>
      <c r="BGP1534" s="4"/>
      <c r="BGQ1534" s="6"/>
      <c r="BGR1534" s="4"/>
      <c r="BGS1534" s="6"/>
      <c r="BGT1534" s="4"/>
      <c r="BGU1534" s="6"/>
      <c r="BGV1534" s="4"/>
      <c r="BGW1534" s="6"/>
      <c r="BGX1534" s="4"/>
      <c r="BGY1534" s="6"/>
      <c r="BGZ1534" s="4"/>
      <c r="BHA1534" s="6"/>
      <c r="BHB1534" s="4"/>
      <c r="BHC1534" s="6"/>
      <c r="BHD1534" s="4"/>
      <c r="BHE1534" s="6"/>
      <c r="BHF1534" s="4"/>
      <c r="BHG1534" s="6"/>
      <c r="BHH1534" s="4"/>
      <c r="BHI1534" s="6"/>
      <c r="BHJ1534" s="4"/>
      <c r="BHK1534" s="6"/>
      <c r="BHL1534" s="4"/>
      <c r="BHM1534" s="6"/>
      <c r="BHN1534" s="4"/>
      <c r="BHO1534" s="6"/>
      <c r="BHP1534" s="4"/>
      <c r="BHQ1534" s="6"/>
      <c r="BHR1534" s="4"/>
      <c r="BHS1534" s="6"/>
      <c r="BHT1534" s="4"/>
      <c r="BHU1534" s="6"/>
      <c r="BHV1534" s="4"/>
      <c r="BHW1534" s="6"/>
      <c r="BHX1534" s="4"/>
      <c r="BHY1534" s="6"/>
      <c r="BHZ1534" s="4"/>
      <c r="BIA1534" s="6"/>
      <c r="BIB1534" s="4"/>
      <c r="BIC1534" s="6"/>
      <c r="BID1534" s="4"/>
      <c r="BIE1534" s="6"/>
      <c r="BIF1534" s="4"/>
      <c r="BIG1534" s="6"/>
      <c r="BIH1534" s="4"/>
      <c r="BII1534" s="6"/>
      <c r="BIJ1534" s="4"/>
      <c r="BIK1534" s="6"/>
      <c r="BIL1534" s="4"/>
      <c r="BIM1534" s="6"/>
      <c r="BIN1534" s="4"/>
      <c r="BIO1534" s="6"/>
      <c r="BIP1534" s="4"/>
      <c r="BIQ1534" s="6"/>
      <c r="BIR1534" s="4"/>
      <c r="BIS1534" s="6"/>
      <c r="BIT1534" s="4"/>
      <c r="BIU1534" s="6"/>
      <c r="BIV1534" s="4"/>
      <c r="BIW1534" s="6"/>
      <c r="BIX1534" s="4"/>
      <c r="BIY1534" s="6"/>
      <c r="BIZ1534" s="4"/>
      <c r="BJA1534" s="6"/>
      <c r="BJB1534" s="4"/>
      <c r="BJC1534" s="6"/>
      <c r="BJD1534" s="4"/>
      <c r="BJE1534" s="6"/>
      <c r="BJF1534" s="4"/>
      <c r="BJG1534" s="6"/>
      <c r="BJH1534" s="4"/>
      <c r="BJI1534" s="6"/>
      <c r="BJJ1534" s="4"/>
      <c r="BJK1534" s="6"/>
      <c r="BJL1534" s="4"/>
      <c r="BJM1534" s="6"/>
      <c r="BJN1534" s="4"/>
      <c r="BJO1534" s="6"/>
      <c r="BJP1534" s="4"/>
      <c r="BJQ1534" s="6"/>
      <c r="BJR1534" s="4"/>
      <c r="BJS1534" s="6"/>
      <c r="BJT1534" s="4"/>
      <c r="BJU1534" s="6"/>
      <c r="BJV1534" s="4"/>
      <c r="BJW1534" s="6"/>
      <c r="BJX1534" s="4"/>
      <c r="BJY1534" s="6"/>
      <c r="BJZ1534" s="4"/>
      <c r="BKA1534" s="6"/>
      <c r="BKB1534" s="4"/>
      <c r="BKC1534" s="6"/>
      <c r="BKD1534" s="4"/>
      <c r="BKE1534" s="6"/>
      <c r="BKF1534" s="4"/>
      <c r="BKG1534" s="6"/>
      <c r="BKH1534" s="4"/>
      <c r="BKI1534" s="6"/>
      <c r="BKJ1534" s="4"/>
      <c r="BKK1534" s="6"/>
      <c r="BKL1534" s="4"/>
      <c r="BKM1534" s="6"/>
      <c r="BKN1534" s="4"/>
      <c r="BKO1534" s="6"/>
      <c r="BKP1534" s="4"/>
      <c r="BKQ1534" s="6"/>
      <c r="BKR1534" s="4"/>
      <c r="BKS1534" s="6"/>
      <c r="BKT1534" s="4"/>
      <c r="BKU1534" s="6"/>
      <c r="BKV1534" s="4"/>
      <c r="BKW1534" s="6"/>
      <c r="BKX1534" s="4"/>
      <c r="BKY1534" s="6"/>
      <c r="BKZ1534" s="4"/>
      <c r="BLA1534" s="6"/>
      <c r="BLB1534" s="4"/>
      <c r="BLC1534" s="6"/>
      <c r="BLD1534" s="4"/>
      <c r="BLE1534" s="6"/>
      <c r="BLF1534" s="4"/>
      <c r="BLG1534" s="6"/>
      <c r="BLH1534" s="4"/>
      <c r="BLI1534" s="6"/>
      <c r="BLJ1534" s="4"/>
      <c r="BLK1534" s="6"/>
      <c r="BLL1534" s="4"/>
      <c r="BLM1534" s="6"/>
      <c r="BLN1534" s="4"/>
      <c r="BLO1534" s="6"/>
      <c r="BLP1534" s="4"/>
      <c r="BLQ1534" s="6"/>
      <c r="BLR1534" s="4"/>
      <c r="BLS1534" s="6"/>
      <c r="BLT1534" s="4"/>
      <c r="BLU1534" s="6"/>
      <c r="BLV1534" s="4"/>
      <c r="BLW1534" s="6"/>
      <c r="BLX1534" s="4"/>
      <c r="BLY1534" s="6"/>
      <c r="BLZ1534" s="4"/>
      <c r="BMA1534" s="6"/>
      <c r="BMB1534" s="4"/>
      <c r="BMC1534" s="6"/>
      <c r="BMD1534" s="4"/>
      <c r="BME1534" s="6"/>
      <c r="BMF1534" s="4"/>
      <c r="BMG1534" s="6"/>
      <c r="BMH1534" s="4"/>
      <c r="BMI1534" s="6"/>
      <c r="BMJ1534" s="4"/>
      <c r="BMK1534" s="6"/>
      <c r="BML1534" s="4"/>
      <c r="BMM1534" s="6"/>
      <c r="BMN1534" s="4"/>
      <c r="BMO1534" s="6"/>
      <c r="BMP1534" s="4"/>
      <c r="BMQ1534" s="6"/>
      <c r="BMR1534" s="4"/>
      <c r="BMS1534" s="6"/>
      <c r="BMT1534" s="4"/>
      <c r="BMU1534" s="6"/>
      <c r="BMV1534" s="4"/>
      <c r="BMW1534" s="6"/>
      <c r="BMX1534" s="4"/>
      <c r="BMY1534" s="6"/>
      <c r="BMZ1534" s="4"/>
      <c r="BNA1534" s="6"/>
      <c r="BNB1534" s="4"/>
      <c r="BNC1534" s="6"/>
      <c r="BND1534" s="4"/>
      <c r="BNE1534" s="6"/>
      <c r="BNF1534" s="4"/>
      <c r="BNG1534" s="6"/>
      <c r="BNH1534" s="4"/>
      <c r="BNI1534" s="6"/>
      <c r="BNJ1534" s="4"/>
      <c r="BNK1534" s="6"/>
      <c r="BNL1534" s="4"/>
      <c r="BNM1534" s="6"/>
      <c r="BNN1534" s="4"/>
      <c r="BNO1534" s="6"/>
      <c r="BNP1534" s="4"/>
      <c r="BNQ1534" s="6"/>
      <c r="BNR1534" s="4"/>
      <c r="BNS1534" s="6"/>
      <c r="BNT1534" s="4"/>
      <c r="BNU1534" s="6"/>
      <c r="BNV1534" s="4"/>
      <c r="BNW1534" s="6"/>
      <c r="BNX1534" s="4"/>
      <c r="BNY1534" s="6"/>
      <c r="BNZ1534" s="4"/>
      <c r="BOA1534" s="6"/>
      <c r="BOB1534" s="4"/>
      <c r="BOC1534" s="6"/>
      <c r="BOD1534" s="4"/>
      <c r="BOE1534" s="6"/>
      <c r="BOF1534" s="4"/>
      <c r="BOG1534" s="6"/>
      <c r="BOH1534" s="4"/>
      <c r="BOI1534" s="6"/>
      <c r="BOJ1534" s="4"/>
      <c r="BOK1534" s="6"/>
      <c r="BOL1534" s="4"/>
      <c r="BOM1534" s="6"/>
      <c r="BON1534" s="4"/>
      <c r="BOO1534" s="6"/>
      <c r="BOP1534" s="4"/>
      <c r="BOQ1534" s="6"/>
      <c r="BOR1534" s="4"/>
      <c r="BOS1534" s="6"/>
      <c r="BOT1534" s="4"/>
      <c r="BOU1534" s="6"/>
      <c r="BOV1534" s="4"/>
      <c r="BOW1534" s="6"/>
      <c r="BOX1534" s="4"/>
      <c r="BOY1534" s="6"/>
      <c r="BOZ1534" s="4"/>
      <c r="BPA1534" s="6"/>
      <c r="BPB1534" s="4"/>
      <c r="BPC1534" s="6"/>
      <c r="BPD1534" s="4"/>
      <c r="BPE1534" s="6"/>
      <c r="BPF1534" s="4"/>
      <c r="BPG1534" s="6"/>
      <c r="BPH1534" s="4"/>
      <c r="BPI1534" s="6"/>
      <c r="BPJ1534" s="4"/>
      <c r="BPK1534" s="6"/>
      <c r="BPL1534" s="4"/>
      <c r="BPM1534" s="6"/>
      <c r="BPN1534" s="4"/>
      <c r="BPO1534" s="6"/>
      <c r="BPP1534" s="4"/>
      <c r="BPQ1534" s="6"/>
      <c r="BPR1534" s="4"/>
      <c r="BPS1534" s="6"/>
      <c r="BPT1534" s="4"/>
      <c r="BPU1534" s="6"/>
      <c r="BPV1534" s="4"/>
      <c r="BPW1534" s="6"/>
      <c r="BPX1534" s="4"/>
      <c r="BPY1534" s="6"/>
      <c r="BPZ1534" s="4"/>
      <c r="BQA1534" s="6"/>
      <c r="BQB1534" s="4"/>
      <c r="BQC1534" s="6"/>
      <c r="BQD1534" s="4"/>
      <c r="BQE1534" s="6"/>
      <c r="BQF1534" s="4"/>
      <c r="BQG1534" s="6"/>
      <c r="BQH1534" s="4"/>
      <c r="BQI1534" s="6"/>
      <c r="BQJ1534" s="4"/>
      <c r="BQK1534" s="6"/>
      <c r="BQL1534" s="4"/>
      <c r="BQM1534" s="6"/>
      <c r="BQN1534" s="4"/>
      <c r="BQO1534" s="6"/>
      <c r="BQP1534" s="4"/>
      <c r="BQQ1534" s="6"/>
      <c r="BQR1534" s="4"/>
      <c r="BQS1534" s="6"/>
      <c r="BQT1534" s="4"/>
      <c r="BQU1534" s="6"/>
      <c r="BQV1534" s="4"/>
      <c r="BQW1534" s="6"/>
      <c r="BQX1534" s="4"/>
      <c r="BQY1534" s="6"/>
      <c r="BQZ1534" s="4"/>
      <c r="BRA1534" s="6"/>
      <c r="BRB1534" s="4"/>
      <c r="BRC1534" s="6"/>
      <c r="BRD1534" s="4"/>
      <c r="BRE1534" s="6"/>
      <c r="BRF1534" s="4"/>
      <c r="BRG1534" s="6"/>
      <c r="BRH1534" s="4"/>
      <c r="BRI1534" s="6"/>
      <c r="BRJ1534" s="4"/>
      <c r="BRK1534" s="6"/>
      <c r="BRL1534" s="4"/>
      <c r="BRM1534" s="6"/>
      <c r="BRN1534" s="4"/>
      <c r="BRO1534" s="6"/>
      <c r="BRP1534" s="4"/>
      <c r="BRQ1534" s="6"/>
      <c r="BRR1534" s="4"/>
      <c r="BRS1534" s="6"/>
      <c r="BRT1534" s="4"/>
      <c r="BRU1534" s="6"/>
      <c r="BRV1534" s="4"/>
      <c r="BRW1534" s="6"/>
      <c r="BRX1534" s="4"/>
      <c r="BRY1534" s="6"/>
      <c r="BRZ1534" s="4"/>
      <c r="BSA1534" s="6"/>
      <c r="BSB1534" s="4"/>
      <c r="BSC1534" s="6"/>
      <c r="BSD1534" s="4"/>
      <c r="BSE1534" s="6"/>
      <c r="BSF1534" s="4"/>
      <c r="BSG1534" s="6"/>
      <c r="BSH1534" s="4"/>
      <c r="BSI1534" s="6"/>
      <c r="BSJ1534" s="4"/>
      <c r="BSK1534" s="6"/>
      <c r="BSL1534" s="4"/>
      <c r="BSM1534" s="6"/>
      <c r="BSN1534" s="4"/>
      <c r="BSO1534" s="6"/>
      <c r="BSP1534" s="4"/>
      <c r="BSQ1534" s="6"/>
      <c r="BSR1534" s="4"/>
      <c r="BSS1534" s="6"/>
      <c r="BST1534" s="4"/>
      <c r="BSU1534" s="6"/>
      <c r="BSV1534" s="4"/>
      <c r="BSW1534" s="6"/>
      <c r="BSX1534" s="4"/>
      <c r="BSY1534" s="6"/>
      <c r="BSZ1534" s="4"/>
      <c r="BTA1534" s="6"/>
      <c r="BTB1534" s="4"/>
      <c r="BTC1534" s="6"/>
      <c r="BTD1534" s="4"/>
      <c r="BTE1534" s="6"/>
      <c r="BTF1534" s="4"/>
      <c r="BTG1534" s="6"/>
      <c r="BTH1534" s="4"/>
      <c r="BTI1534" s="6"/>
      <c r="BTJ1534" s="4"/>
      <c r="BTK1534" s="6"/>
      <c r="BTL1534" s="4"/>
      <c r="BTM1534" s="6"/>
      <c r="BTN1534" s="4"/>
      <c r="BTO1534" s="6"/>
      <c r="BTP1534" s="4"/>
      <c r="BTQ1534" s="6"/>
      <c r="BTR1534" s="4"/>
      <c r="BTS1534" s="6"/>
      <c r="BTT1534" s="4"/>
      <c r="BTU1534" s="6"/>
      <c r="BTV1534" s="4"/>
      <c r="BTW1534" s="6"/>
      <c r="BTX1534" s="4"/>
      <c r="BTY1534" s="6"/>
      <c r="BTZ1534" s="4"/>
      <c r="BUA1534" s="6"/>
      <c r="BUB1534" s="4"/>
      <c r="BUC1534" s="6"/>
      <c r="BUD1534" s="4"/>
      <c r="BUE1534" s="6"/>
      <c r="BUF1534" s="4"/>
      <c r="BUG1534" s="6"/>
      <c r="BUH1534" s="4"/>
      <c r="BUI1534" s="6"/>
      <c r="BUJ1534" s="4"/>
      <c r="BUK1534" s="6"/>
      <c r="BUL1534" s="4"/>
      <c r="BUM1534" s="6"/>
      <c r="BUN1534" s="4"/>
      <c r="BUO1534" s="6"/>
      <c r="BUP1534" s="4"/>
      <c r="BUQ1534" s="6"/>
      <c r="BUR1534" s="4"/>
      <c r="BUS1534" s="6"/>
      <c r="BUT1534" s="4"/>
      <c r="BUU1534" s="6"/>
      <c r="BUV1534" s="4"/>
      <c r="BUW1534" s="6"/>
      <c r="BUX1534" s="4"/>
      <c r="BUY1534" s="6"/>
      <c r="BUZ1534" s="4"/>
      <c r="BVA1534" s="6"/>
      <c r="BVB1534" s="4"/>
      <c r="BVC1534" s="6"/>
      <c r="BVD1534" s="4"/>
      <c r="BVE1534" s="6"/>
      <c r="BVF1534" s="4"/>
      <c r="BVG1534" s="6"/>
      <c r="BVH1534" s="4"/>
      <c r="BVI1534" s="6"/>
      <c r="BVJ1534" s="4"/>
      <c r="BVK1534" s="6"/>
      <c r="BVL1534" s="4"/>
      <c r="BVM1534" s="6"/>
      <c r="BVN1534" s="4"/>
      <c r="BVO1534" s="6"/>
      <c r="BVP1534" s="4"/>
      <c r="BVQ1534" s="6"/>
      <c r="BVR1534" s="4"/>
      <c r="BVS1534" s="6"/>
      <c r="BVT1534" s="4"/>
      <c r="BVU1534" s="6"/>
      <c r="BVV1534" s="4"/>
      <c r="BVW1534" s="6"/>
      <c r="BVX1534" s="4"/>
      <c r="BVY1534" s="6"/>
      <c r="BVZ1534" s="4"/>
      <c r="BWA1534" s="6"/>
      <c r="BWB1534" s="4"/>
      <c r="BWC1534" s="6"/>
      <c r="BWD1534" s="4"/>
      <c r="BWE1534" s="6"/>
      <c r="BWF1534" s="4"/>
      <c r="BWG1534" s="6"/>
      <c r="BWH1534" s="4"/>
      <c r="BWI1534" s="6"/>
      <c r="BWJ1534" s="4"/>
      <c r="BWK1534" s="6"/>
      <c r="BWL1534" s="4"/>
      <c r="BWM1534" s="6"/>
      <c r="BWN1534" s="4"/>
      <c r="BWO1534" s="6"/>
      <c r="BWP1534" s="4"/>
      <c r="BWQ1534" s="6"/>
      <c r="BWR1534" s="4"/>
      <c r="BWS1534" s="6"/>
      <c r="BWT1534" s="4"/>
      <c r="BWU1534" s="6"/>
      <c r="BWV1534" s="4"/>
      <c r="BWW1534" s="6"/>
      <c r="BWX1534" s="4"/>
      <c r="BWY1534" s="6"/>
      <c r="BWZ1534" s="4"/>
      <c r="BXA1534" s="6"/>
      <c r="BXB1534" s="4"/>
      <c r="BXC1534" s="6"/>
      <c r="BXD1534" s="4"/>
      <c r="BXE1534" s="6"/>
      <c r="BXF1534" s="4"/>
      <c r="BXG1534" s="6"/>
      <c r="BXH1534" s="4"/>
      <c r="BXI1534" s="6"/>
      <c r="BXJ1534" s="4"/>
      <c r="BXK1534" s="6"/>
      <c r="BXL1534" s="4"/>
      <c r="BXM1534" s="6"/>
      <c r="BXN1534" s="4"/>
      <c r="BXO1534" s="6"/>
      <c r="BXP1534" s="4"/>
      <c r="BXQ1534" s="6"/>
      <c r="BXR1534" s="4"/>
      <c r="BXS1534" s="6"/>
      <c r="BXT1534" s="4"/>
      <c r="BXU1534" s="6"/>
      <c r="BXV1534" s="4"/>
      <c r="BXW1534" s="6"/>
      <c r="BXX1534" s="4"/>
      <c r="BXY1534" s="6"/>
      <c r="BXZ1534" s="4"/>
      <c r="BYA1534" s="6"/>
      <c r="BYB1534" s="4"/>
      <c r="BYC1534" s="6"/>
      <c r="BYD1534" s="4"/>
      <c r="BYE1534" s="6"/>
      <c r="BYF1534" s="4"/>
      <c r="BYG1534" s="6"/>
      <c r="BYH1534" s="4"/>
      <c r="BYI1534" s="6"/>
      <c r="BYJ1534" s="4"/>
      <c r="BYK1534" s="6"/>
      <c r="BYL1534" s="4"/>
      <c r="BYM1534" s="6"/>
      <c r="BYN1534" s="4"/>
      <c r="BYO1534" s="6"/>
      <c r="BYP1534" s="4"/>
      <c r="BYQ1534" s="6"/>
      <c r="BYR1534" s="4"/>
      <c r="BYS1534" s="6"/>
      <c r="BYT1534" s="4"/>
      <c r="BYU1534" s="6"/>
      <c r="BYV1534" s="4"/>
      <c r="BYW1534" s="6"/>
      <c r="BYX1534" s="4"/>
      <c r="BYY1534" s="6"/>
      <c r="BYZ1534" s="4"/>
      <c r="BZA1534" s="6"/>
      <c r="BZB1534" s="4"/>
      <c r="BZC1534" s="6"/>
      <c r="BZD1534" s="4"/>
      <c r="BZE1534" s="6"/>
      <c r="BZF1534" s="4"/>
      <c r="BZG1534" s="6"/>
      <c r="BZH1534" s="4"/>
      <c r="BZI1534" s="6"/>
      <c r="BZJ1534" s="4"/>
      <c r="BZK1534" s="6"/>
      <c r="BZL1534" s="4"/>
      <c r="BZM1534" s="6"/>
      <c r="BZN1534" s="4"/>
      <c r="BZO1534" s="6"/>
      <c r="BZP1534" s="4"/>
      <c r="BZQ1534" s="6"/>
      <c r="BZR1534" s="4"/>
      <c r="BZS1534" s="6"/>
      <c r="BZT1534" s="4"/>
      <c r="BZU1534" s="6"/>
      <c r="BZV1534" s="4"/>
      <c r="BZW1534" s="6"/>
      <c r="BZX1534" s="4"/>
      <c r="BZY1534" s="6"/>
      <c r="BZZ1534" s="4"/>
      <c r="CAA1534" s="6"/>
      <c r="CAB1534" s="4"/>
      <c r="CAC1534" s="6"/>
      <c r="CAD1534" s="4"/>
      <c r="CAE1534" s="6"/>
      <c r="CAF1534" s="4"/>
      <c r="CAG1534" s="6"/>
      <c r="CAH1534" s="4"/>
      <c r="CAI1534" s="6"/>
      <c r="CAJ1534" s="4"/>
      <c r="CAK1534" s="6"/>
      <c r="CAL1534" s="4"/>
      <c r="CAM1534" s="6"/>
      <c r="CAN1534" s="4"/>
      <c r="CAO1534" s="6"/>
      <c r="CAP1534" s="4"/>
      <c r="CAQ1534" s="6"/>
      <c r="CAR1534" s="4"/>
      <c r="CAS1534" s="6"/>
      <c r="CAT1534" s="4"/>
      <c r="CAU1534" s="6"/>
      <c r="CAV1534" s="4"/>
      <c r="CAW1534" s="6"/>
      <c r="CAX1534" s="4"/>
      <c r="CAY1534" s="6"/>
      <c r="CAZ1534" s="4"/>
      <c r="CBA1534" s="6"/>
      <c r="CBB1534" s="4"/>
      <c r="CBC1534" s="6"/>
      <c r="CBD1534" s="4"/>
      <c r="CBE1534" s="6"/>
      <c r="CBF1534" s="4"/>
      <c r="CBG1534" s="6"/>
      <c r="CBH1534" s="4"/>
      <c r="CBI1534" s="6"/>
      <c r="CBJ1534" s="4"/>
      <c r="CBK1534" s="6"/>
      <c r="CBL1534" s="4"/>
      <c r="CBM1534" s="6"/>
      <c r="CBN1534" s="4"/>
      <c r="CBO1534" s="6"/>
      <c r="CBP1534" s="4"/>
      <c r="CBQ1534" s="6"/>
      <c r="CBR1534" s="4"/>
      <c r="CBS1534" s="6"/>
      <c r="CBT1534" s="4"/>
      <c r="CBU1534" s="6"/>
      <c r="CBV1534" s="4"/>
      <c r="CBW1534" s="6"/>
      <c r="CBX1534" s="4"/>
      <c r="CBY1534" s="6"/>
      <c r="CBZ1534" s="4"/>
      <c r="CCA1534" s="6"/>
      <c r="CCB1534" s="4"/>
      <c r="CCC1534" s="6"/>
      <c r="CCD1534" s="4"/>
      <c r="CCE1534" s="6"/>
      <c r="CCF1534" s="4"/>
      <c r="CCG1534" s="6"/>
      <c r="CCH1534" s="4"/>
      <c r="CCI1534" s="6"/>
      <c r="CCJ1534" s="4"/>
      <c r="CCK1534" s="6"/>
      <c r="CCL1534" s="4"/>
      <c r="CCM1534" s="6"/>
      <c r="CCN1534" s="4"/>
      <c r="CCO1534" s="6"/>
      <c r="CCP1534" s="4"/>
      <c r="CCQ1534" s="6"/>
      <c r="CCR1534" s="4"/>
      <c r="CCS1534" s="6"/>
      <c r="CCT1534" s="4"/>
      <c r="CCU1534" s="6"/>
      <c r="CCV1534" s="4"/>
      <c r="CCW1534" s="6"/>
      <c r="CCX1534" s="4"/>
      <c r="CCY1534" s="6"/>
      <c r="CCZ1534" s="4"/>
      <c r="CDA1534" s="6"/>
      <c r="CDB1534" s="4"/>
      <c r="CDC1534" s="6"/>
      <c r="CDD1534" s="4"/>
      <c r="CDE1534" s="6"/>
      <c r="CDF1534" s="4"/>
      <c r="CDG1534" s="6"/>
      <c r="CDH1534" s="4"/>
      <c r="CDI1534" s="6"/>
      <c r="CDJ1534" s="4"/>
      <c r="CDK1534" s="6"/>
      <c r="CDL1534" s="4"/>
      <c r="CDM1534" s="6"/>
      <c r="CDN1534" s="4"/>
      <c r="CDO1534" s="6"/>
      <c r="CDP1534" s="4"/>
      <c r="CDQ1534" s="6"/>
      <c r="CDR1534" s="4"/>
      <c r="CDS1534" s="6"/>
      <c r="CDT1534" s="4"/>
      <c r="CDU1534" s="6"/>
      <c r="CDV1534" s="4"/>
      <c r="CDW1534" s="6"/>
      <c r="CDX1534" s="4"/>
      <c r="CDY1534" s="6"/>
      <c r="CDZ1534" s="4"/>
      <c r="CEA1534" s="6"/>
      <c r="CEB1534" s="4"/>
      <c r="CEC1534" s="6"/>
      <c r="CED1534" s="4"/>
      <c r="CEE1534" s="6"/>
      <c r="CEF1534" s="4"/>
      <c r="CEG1534" s="6"/>
      <c r="CEH1534" s="4"/>
      <c r="CEI1534" s="6"/>
      <c r="CEJ1534" s="4"/>
      <c r="CEK1534" s="6"/>
      <c r="CEL1534" s="4"/>
      <c r="CEM1534" s="6"/>
      <c r="CEN1534" s="4"/>
      <c r="CEO1534" s="6"/>
      <c r="CEP1534" s="4"/>
      <c r="CEQ1534" s="6"/>
      <c r="CER1534" s="4"/>
      <c r="CES1534" s="6"/>
      <c r="CET1534" s="4"/>
      <c r="CEU1534" s="6"/>
      <c r="CEV1534" s="4"/>
      <c r="CEW1534" s="6"/>
      <c r="CEX1534" s="4"/>
      <c r="CEY1534" s="6"/>
      <c r="CEZ1534" s="4"/>
      <c r="CFA1534" s="6"/>
      <c r="CFB1534" s="4"/>
      <c r="CFC1534" s="6"/>
      <c r="CFD1534" s="4"/>
      <c r="CFE1534" s="6"/>
      <c r="CFF1534" s="4"/>
      <c r="CFG1534" s="6"/>
      <c r="CFH1534" s="4"/>
      <c r="CFI1534" s="6"/>
      <c r="CFJ1534" s="4"/>
      <c r="CFK1534" s="6"/>
      <c r="CFL1534" s="4"/>
      <c r="CFM1534" s="6"/>
      <c r="CFN1534" s="4"/>
      <c r="CFO1534" s="6"/>
      <c r="CFP1534" s="4"/>
      <c r="CFQ1534" s="6"/>
      <c r="CFR1534" s="4"/>
      <c r="CFS1534" s="6"/>
      <c r="CFT1534" s="4"/>
      <c r="CFU1534" s="6"/>
      <c r="CFV1534" s="4"/>
      <c r="CFW1534" s="6"/>
      <c r="CFX1534" s="4"/>
      <c r="CFY1534" s="6"/>
      <c r="CFZ1534" s="4"/>
      <c r="CGA1534" s="6"/>
      <c r="CGB1534" s="4"/>
      <c r="CGC1534" s="6"/>
      <c r="CGD1534" s="4"/>
      <c r="CGE1534" s="6"/>
      <c r="CGF1534" s="4"/>
      <c r="CGG1534" s="6"/>
      <c r="CGH1534" s="4"/>
      <c r="CGI1534" s="6"/>
      <c r="CGJ1534" s="4"/>
      <c r="CGK1534" s="6"/>
      <c r="CGL1534" s="4"/>
      <c r="CGM1534" s="6"/>
      <c r="CGN1534" s="4"/>
      <c r="CGO1534" s="6"/>
      <c r="CGP1534" s="4"/>
      <c r="CGQ1534" s="6"/>
      <c r="CGR1534" s="4"/>
      <c r="CGS1534" s="6"/>
      <c r="CGT1534" s="4"/>
      <c r="CGU1534" s="6"/>
      <c r="CGV1534" s="4"/>
      <c r="CGW1534" s="6"/>
      <c r="CGX1534" s="4"/>
      <c r="CGY1534" s="6"/>
      <c r="CGZ1534" s="4"/>
      <c r="CHA1534" s="6"/>
      <c r="CHB1534" s="4"/>
      <c r="CHC1534" s="6"/>
      <c r="CHD1534" s="4"/>
      <c r="CHE1534" s="6"/>
      <c r="CHF1534" s="4"/>
      <c r="CHG1534" s="6"/>
      <c r="CHH1534" s="4"/>
      <c r="CHI1534" s="6"/>
      <c r="CHJ1534" s="4"/>
      <c r="CHK1534" s="6"/>
      <c r="CHL1534" s="4"/>
      <c r="CHM1534" s="6"/>
      <c r="CHN1534" s="4"/>
      <c r="CHO1534" s="6"/>
      <c r="CHP1534" s="4"/>
      <c r="CHQ1534" s="6"/>
      <c r="CHR1534" s="4"/>
      <c r="CHS1534" s="6"/>
      <c r="CHT1534" s="4"/>
      <c r="CHU1534" s="6"/>
      <c r="CHV1534" s="4"/>
      <c r="CHW1534" s="6"/>
      <c r="CHX1534" s="4"/>
      <c r="CHY1534" s="6"/>
      <c r="CHZ1534" s="4"/>
      <c r="CIA1534" s="6"/>
      <c r="CIB1534" s="4"/>
      <c r="CIC1534" s="6"/>
      <c r="CID1534" s="4"/>
      <c r="CIE1534" s="6"/>
      <c r="CIF1534" s="4"/>
      <c r="CIG1534" s="6"/>
      <c r="CIH1534" s="4"/>
      <c r="CII1534" s="6"/>
      <c r="CIJ1534" s="4"/>
      <c r="CIK1534" s="6"/>
      <c r="CIL1534" s="4"/>
      <c r="CIM1534" s="6"/>
      <c r="CIN1534" s="4"/>
      <c r="CIO1534" s="6"/>
      <c r="CIP1534" s="4"/>
      <c r="CIQ1534" s="6"/>
      <c r="CIR1534" s="4"/>
      <c r="CIS1534" s="6"/>
      <c r="CIT1534" s="4"/>
      <c r="CIU1534" s="6"/>
      <c r="CIV1534" s="4"/>
      <c r="CIW1534" s="6"/>
      <c r="CIX1534" s="4"/>
      <c r="CIY1534" s="6"/>
      <c r="CIZ1534" s="4"/>
      <c r="CJA1534" s="6"/>
      <c r="CJB1534" s="4"/>
      <c r="CJC1534" s="6"/>
      <c r="CJD1534" s="4"/>
      <c r="CJE1534" s="6"/>
      <c r="CJF1534" s="4"/>
      <c r="CJG1534" s="6"/>
      <c r="CJH1534" s="4"/>
      <c r="CJI1534" s="6"/>
      <c r="CJJ1534" s="4"/>
      <c r="CJK1534" s="6"/>
      <c r="CJL1534" s="4"/>
      <c r="CJM1534" s="6"/>
      <c r="CJN1534" s="4"/>
      <c r="CJO1534" s="6"/>
      <c r="CJP1534" s="4"/>
      <c r="CJQ1534" s="6"/>
      <c r="CJR1534" s="4"/>
      <c r="CJS1534" s="6"/>
      <c r="CJT1534" s="4"/>
      <c r="CJU1534" s="6"/>
      <c r="CJV1534" s="4"/>
      <c r="CJW1534" s="6"/>
      <c r="CJX1534" s="4"/>
      <c r="CJY1534" s="6"/>
      <c r="CJZ1534" s="4"/>
      <c r="CKA1534" s="6"/>
      <c r="CKB1534" s="4"/>
      <c r="CKC1534" s="6"/>
      <c r="CKD1534" s="4"/>
      <c r="CKE1534" s="6"/>
      <c r="CKF1534" s="4"/>
      <c r="CKG1534" s="6"/>
      <c r="CKH1534" s="4"/>
      <c r="CKI1534" s="6"/>
      <c r="CKJ1534" s="4"/>
      <c r="CKK1534" s="6"/>
      <c r="CKL1534" s="4"/>
      <c r="CKM1534" s="6"/>
      <c r="CKN1534" s="4"/>
      <c r="CKO1534" s="6"/>
      <c r="CKP1534" s="4"/>
      <c r="CKQ1534" s="6"/>
      <c r="CKR1534" s="4"/>
      <c r="CKS1534" s="6"/>
      <c r="CKT1534" s="4"/>
      <c r="CKU1534" s="6"/>
      <c r="CKV1534" s="4"/>
      <c r="CKW1534" s="6"/>
      <c r="CKX1534" s="4"/>
      <c r="CKY1534" s="6"/>
      <c r="CKZ1534" s="4"/>
      <c r="CLA1534" s="6"/>
      <c r="CLB1534" s="4"/>
      <c r="CLC1534" s="6"/>
      <c r="CLD1534" s="4"/>
      <c r="CLE1534" s="6"/>
      <c r="CLF1534" s="4"/>
      <c r="CLG1534" s="6"/>
      <c r="CLH1534" s="4"/>
      <c r="CLI1534" s="6"/>
      <c r="CLJ1534" s="4"/>
      <c r="CLK1534" s="6"/>
      <c r="CLL1534" s="4"/>
      <c r="CLM1534" s="6"/>
      <c r="CLN1534" s="4"/>
      <c r="CLO1534" s="6"/>
      <c r="CLP1534" s="4"/>
      <c r="CLQ1534" s="6"/>
      <c r="CLR1534" s="4"/>
      <c r="CLS1534" s="6"/>
      <c r="CLT1534" s="4"/>
      <c r="CLU1534" s="6"/>
      <c r="CLV1534" s="4"/>
      <c r="CLW1534" s="6"/>
      <c r="CLX1534" s="4"/>
      <c r="CLY1534" s="6"/>
      <c r="CLZ1534" s="4"/>
      <c r="CMA1534" s="6"/>
      <c r="CMB1534" s="4"/>
      <c r="CMC1534" s="6"/>
      <c r="CMD1534" s="4"/>
      <c r="CME1534" s="6"/>
      <c r="CMF1534" s="4"/>
      <c r="CMG1534" s="6"/>
      <c r="CMH1534" s="4"/>
      <c r="CMI1534" s="6"/>
      <c r="CMJ1534" s="4"/>
      <c r="CMK1534" s="6"/>
      <c r="CML1534" s="4"/>
      <c r="CMM1534" s="6"/>
      <c r="CMN1534" s="4"/>
      <c r="CMO1534" s="6"/>
      <c r="CMP1534" s="4"/>
      <c r="CMQ1534" s="6"/>
      <c r="CMR1534" s="4"/>
      <c r="CMS1534" s="6"/>
      <c r="CMT1534" s="4"/>
      <c r="CMU1534" s="6"/>
      <c r="CMV1534" s="4"/>
      <c r="CMW1534" s="6"/>
      <c r="CMX1534" s="4"/>
      <c r="CMY1534" s="6"/>
      <c r="CMZ1534" s="4"/>
      <c r="CNA1534" s="6"/>
      <c r="CNB1534" s="4"/>
      <c r="CNC1534" s="6"/>
      <c r="CND1534" s="4"/>
      <c r="CNE1534" s="6"/>
      <c r="CNF1534" s="4"/>
      <c r="CNG1534" s="6"/>
      <c r="CNH1534" s="4"/>
      <c r="CNI1534" s="6"/>
      <c r="CNJ1534" s="4"/>
      <c r="CNK1534" s="6"/>
      <c r="CNL1534" s="4"/>
      <c r="CNM1534" s="6"/>
      <c r="CNN1534" s="4"/>
      <c r="CNO1534" s="6"/>
      <c r="CNP1534" s="4"/>
      <c r="CNQ1534" s="6"/>
      <c r="CNR1534" s="4"/>
      <c r="CNS1534" s="6"/>
      <c r="CNT1534" s="4"/>
      <c r="CNU1534" s="6"/>
      <c r="CNV1534" s="4"/>
      <c r="CNW1534" s="6"/>
      <c r="CNX1534" s="4"/>
      <c r="CNY1534" s="6"/>
      <c r="CNZ1534" s="4"/>
      <c r="COA1534" s="6"/>
      <c r="COB1534" s="4"/>
      <c r="COC1534" s="6"/>
      <c r="COD1534" s="4"/>
      <c r="COE1534" s="6"/>
      <c r="COF1534" s="4"/>
      <c r="COG1534" s="6"/>
      <c r="COH1534" s="4"/>
      <c r="COI1534" s="6"/>
      <c r="COJ1534" s="4"/>
      <c r="COK1534" s="6"/>
      <c r="COL1534" s="4"/>
      <c r="COM1534" s="6"/>
      <c r="CON1534" s="4"/>
      <c r="COO1534" s="6"/>
      <c r="COP1534" s="4"/>
      <c r="COQ1534" s="6"/>
      <c r="COR1534" s="4"/>
      <c r="COS1534" s="6"/>
      <c r="COT1534" s="4"/>
      <c r="COU1534" s="6"/>
      <c r="COV1534" s="4"/>
      <c r="COW1534" s="6"/>
      <c r="COX1534" s="4"/>
      <c r="COY1534" s="6"/>
      <c r="COZ1534" s="4"/>
      <c r="CPA1534" s="6"/>
      <c r="CPB1534" s="4"/>
      <c r="CPC1534" s="6"/>
      <c r="CPD1534" s="4"/>
      <c r="CPE1534" s="6"/>
      <c r="CPF1534" s="4"/>
      <c r="CPG1534" s="6"/>
      <c r="CPH1534" s="4"/>
      <c r="CPI1534" s="6"/>
      <c r="CPJ1534" s="4"/>
      <c r="CPK1534" s="6"/>
      <c r="CPL1534" s="4"/>
      <c r="CPM1534" s="6"/>
      <c r="CPN1534" s="4"/>
      <c r="CPO1534" s="6"/>
      <c r="CPP1534" s="4"/>
      <c r="CPQ1534" s="6"/>
      <c r="CPR1534" s="4"/>
      <c r="CPS1534" s="6"/>
      <c r="CPT1534" s="4"/>
      <c r="CPU1534" s="6"/>
      <c r="CPV1534" s="4"/>
      <c r="CPW1534" s="6"/>
      <c r="CPX1534" s="4"/>
      <c r="CPY1534" s="6"/>
      <c r="CPZ1534" s="4"/>
      <c r="CQA1534" s="6"/>
      <c r="CQB1534" s="4"/>
      <c r="CQC1534" s="6"/>
      <c r="CQD1534" s="4"/>
      <c r="CQE1534" s="6"/>
      <c r="CQF1534" s="4"/>
      <c r="CQG1534" s="6"/>
      <c r="CQH1534" s="4"/>
      <c r="CQI1534" s="6"/>
      <c r="CQJ1534" s="4"/>
      <c r="CQK1534" s="6"/>
      <c r="CQL1534" s="4"/>
      <c r="CQM1534" s="6"/>
      <c r="CQN1534" s="4"/>
      <c r="CQO1534" s="6"/>
      <c r="CQP1534" s="4"/>
      <c r="CQQ1534" s="6"/>
      <c r="CQR1534" s="4"/>
      <c r="CQS1534" s="6"/>
      <c r="CQT1534" s="4"/>
      <c r="CQU1534" s="6"/>
      <c r="CQV1534" s="4"/>
      <c r="CQW1534" s="6"/>
      <c r="CQX1534" s="4"/>
      <c r="CQY1534" s="6"/>
      <c r="CQZ1534" s="4"/>
      <c r="CRA1534" s="6"/>
      <c r="CRB1534" s="4"/>
      <c r="CRC1534" s="6"/>
      <c r="CRD1534" s="4"/>
      <c r="CRE1534" s="6"/>
      <c r="CRF1534" s="4"/>
      <c r="CRG1534" s="6"/>
      <c r="CRH1534" s="4"/>
      <c r="CRI1534" s="6"/>
      <c r="CRJ1534" s="4"/>
      <c r="CRK1534" s="6"/>
      <c r="CRL1534" s="4"/>
      <c r="CRM1534" s="6"/>
      <c r="CRN1534" s="4"/>
      <c r="CRO1534" s="6"/>
      <c r="CRP1534" s="4"/>
      <c r="CRQ1534" s="6"/>
      <c r="CRR1534" s="4"/>
      <c r="CRS1534" s="6"/>
      <c r="CRT1534" s="4"/>
      <c r="CRU1534" s="6"/>
      <c r="CRV1534" s="4"/>
      <c r="CRW1534" s="6"/>
      <c r="CRX1534" s="4"/>
      <c r="CRY1534" s="6"/>
      <c r="CRZ1534" s="4"/>
      <c r="CSA1534" s="6"/>
      <c r="CSB1534" s="4"/>
      <c r="CSC1534" s="6"/>
      <c r="CSD1534" s="4"/>
      <c r="CSE1534" s="6"/>
      <c r="CSF1534" s="4"/>
      <c r="CSG1534" s="6"/>
      <c r="CSH1534" s="4"/>
      <c r="CSI1534" s="6"/>
      <c r="CSJ1534" s="4"/>
      <c r="CSK1534" s="6"/>
      <c r="CSL1534" s="4"/>
      <c r="CSM1534" s="6"/>
      <c r="CSN1534" s="4"/>
      <c r="CSO1534" s="6"/>
      <c r="CSP1534" s="4"/>
      <c r="CSQ1534" s="6"/>
      <c r="CSR1534" s="4"/>
      <c r="CSS1534" s="6"/>
      <c r="CST1534" s="4"/>
      <c r="CSU1534" s="6"/>
      <c r="CSV1534" s="4"/>
      <c r="CSW1534" s="6"/>
      <c r="CSX1534" s="4"/>
      <c r="CSY1534" s="6"/>
      <c r="CSZ1534" s="4"/>
      <c r="CTA1534" s="6"/>
      <c r="CTB1534" s="4"/>
      <c r="CTC1534" s="6"/>
      <c r="CTD1534" s="4"/>
      <c r="CTE1534" s="6"/>
      <c r="CTF1534" s="4"/>
      <c r="CTG1534" s="6"/>
      <c r="CTH1534" s="4"/>
      <c r="CTI1534" s="6"/>
      <c r="CTJ1534" s="4"/>
      <c r="CTK1534" s="6"/>
      <c r="CTL1534" s="4"/>
      <c r="CTM1534" s="6"/>
      <c r="CTN1534" s="4"/>
      <c r="CTO1534" s="6"/>
      <c r="CTP1534" s="4"/>
      <c r="CTQ1534" s="6"/>
      <c r="CTR1534" s="4"/>
      <c r="CTS1534" s="6"/>
      <c r="CTT1534" s="4"/>
      <c r="CTU1534" s="6"/>
      <c r="CTV1534" s="4"/>
      <c r="CTW1534" s="6"/>
      <c r="CTX1534" s="4"/>
      <c r="CTY1534" s="6"/>
      <c r="CTZ1534" s="4"/>
      <c r="CUA1534" s="6"/>
      <c r="CUB1534" s="4"/>
      <c r="CUC1534" s="6"/>
      <c r="CUD1534" s="4"/>
      <c r="CUE1534" s="6"/>
      <c r="CUF1534" s="4"/>
      <c r="CUG1534" s="6"/>
      <c r="CUH1534" s="4"/>
      <c r="CUI1534" s="6"/>
      <c r="CUJ1534" s="4"/>
      <c r="CUK1534" s="6"/>
      <c r="CUL1534" s="4"/>
      <c r="CUM1534" s="6"/>
      <c r="CUN1534" s="4"/>
      <c r="CUO1534" s="6"/>
      <c r="CUP1534" s="4"/>
      <c r="CUQ1534" s="6"/>
      <c r="CUR1534" s="4"/>
      <c r="CUS1534" s="6"/>
      <c r="CUT1534" s="4"/>
      <c r="CUU1534" s="6"/>
      <c r="CUV1534" s="4"/>
      <c r="CUW1534" s="6"/>
      <c r="CUX1534" s="4"/>
      <c r="CUY1534" s="6"/>
      <c r="CUZ1534" s="4"/>
      <c r="CVA1534" s="6"/>
      <c r="CVB1534" s="4"/>
      <c r="CVC1534" s="6"/>
      <c r="CVD1534" s="4"/>
      <c r="CVE1534" s="6"/>
      <c r="CVF1534" s="4"/>
      <c r="CVG1534" s="6"/>
      <c r="CVH1534" s="4"/>
      <c r="CVI1534" s="6"/>
      <c r="CVJ1534" s="4"/>
      <c r="CVK1534" s="6"/>
      <c r="CVL1534" s="4"/>
      <c r="CVM1534" s="6"/>
      <c r="CVN1534" s="4"/>
      <c r="CVO1534" s="6"/>
      <c r="CVP1534" s="4"/>
      <c r="CVQ1534" s="6"/>
      <c r="CVR1534" s="4"/>
      <c r="CVS1534" s="6"/>
      <c r="CVT1534" s="4"/>
      <c r="CVU1534" s="6"/>
      <c r="CVV1534" s="4"/>
      <c r="CVW1534" s="6"/>
      <c r="CVX1534" s="4"/>
      <c r="CVY1534" s="6"/>
      <c r="CVZ1534" s="4"/>
      <c r="CWA1534" s="6"/>
      <c r="CWB1534" s="4"/>
      <c r="CWC1534" s="6"/>
      <c r="CWD1534" s="4"/>
      <c r="CWE1534" s="6"/>
      <c r="CWF1534" s="4"/>
      <c r="CWG1534" s="6"/>
      <c r="CWH1534" s="4"/>
      <c r="CWI1534" s="6"/>
      <c r="CWJ1534" s="4"/>
      <c r="CWK1534" s="6"/>
      <c r="CWL1534" s="4"/>
      <c r="CWM1534" s="6"/>
      <c r="CWN1534" s="4"/>
      <c r="CWO1534" s="6"/>
      <c r="CWP1534" s="4"/>
      <c r="CWQ1534" s="6"/>
      <c r="CWR1534" s="4"/>
      <c r="CWS1534" s="6"/>
      <c r="CWT1534" s="4"/>
      <c r="CWU1534" s="6"/>
      <c r="CWV1534" s="4"/>
      <c r="CWW1534" s="6"/>
      <c r="CWX1534" s="4"/>
      <c r="CWY1534" s="6"/>
      <c r="CWZ1534" s="4"/>
      <c r="CXA1534" s="6"/>
      <c r="CXB1534" s="4"/>
      <c r="CXC1534" s="6"/>
      <c r="CXD1534" s="4"/>
      <c r="CXE1534" s="6"/>
      <c r="CXF1534" s="4"/>
      <c r="CXG1534" s="6"/>
      <c r="CXH1534" s="4"/>
      <c r="CXI1534" s="6"/>
      <c r="CXJ1534" s="4"/>
      <c r="CXK1534" s="6"/>
      <c r="CXL1534" s="4"/>
      <c r="CXM1534" s="6"/>
      <c r="CXN1534" s="4"/>
      <c r="CXO1534" s="6"/>
      <c r="CXP1534" s="4"/>
      <c r="CXQ1534" s="6"/>
      <c r="CXR1534" s="4"/>
      <c r="CXS1534" s="6"/>
      <c r="CXT1534" s="4"/>
      <c r="CXU1534" s="6"/>
      <c r="CXV1534" s="4"/>
      <c r="CXW1534" s="6"/>
      <c r="CXX1534" s="4"/>
      <c r="CXY1534" s="6"/>
      <c r="CXZ1534" s="4"/>
      <c r="CYA1534" s="6"/>
      <c r="CYB1534" s="4"/>
      <c r="CYC1534" s="6"/>
      <c r="CYD1534" s="4"/>
      <c r="CYE1534" s="6"/>
      <c r="CYF1534" s="4"/>
      <c r="CYG1534" s="6"/>
      <c r="CYH1534" s="4"/>
      <c r="CYI1534" s="6"/>
      <c r="CYJ1534" s="4"/>
      <c r="CYK1534" s="6"/>
      <c r="CYL1534" s="4"/>
      <c r="CYM1534" s="6"/>
      <c r="CYN1534" s="4"/>
      <c r="CYO1534" s="6"/>
      <c r="CYP1534" s="4"/>
      <c r="CYQ1534" s="6"/>
      <c r="CYR1534" s="4"/>
      <c r="CYS1534" s="6"/>
      <c r="CYT1534" s="4"/>
      <c r="CYU1534" s="6"/>
      <c r="CYV1534" s="4"/>
      <c r="CYW1534" s="6"/>
      <c r="CYX1534" s="4"/>
      <c r="CYY1534" s="6"/>
      <c r="CYZ1534" s="4"/>
      <c r="CZA1534" s="6"/>
      <c r="CZB1534" s="4"/>
      <c r="CZC1534" s="6"/>
      <c r="CZD1534" s="4"/>
      <c r="CZE1534" s="6"/>
      <c r="CZF1534" s="4"/>
      <c r="CZG1534" s="6"/>
      <c r="CZH1534" s="4"/>
      <c r="CZI1534" s="6"/>
      <c r="CZJ1534" s="4"/>
      <c r="CZK1534" s="6"/>
      <c r="CZL1534" s="4"/>
      <c r="CZM1534" s="6"/>
      <c r="CZN1534" s="4"/>
      <c r="CZO1534" s="6"/>
      <c r="CZP1534" s="4"/>
      <c r="CZQ1534" s="6"/>
      <c r="CZR1534" s="4"/>
      <c r="CZS1534" s="6"/>
      <c r="CZT1534" s="4"/>
      <c r="CZU1534" s="6"/>
      <c r="CZV1534" s="4"/>
      <c r="CZW1534" s="6"/>
      <c r="CZX1534" s="4"/>
      <c r="CZY1534" s="6"/>
      <c r="CZZ1534" s="4"/>
      <c r="DAA1534" s="6"/>
      <c r="DAB1534" s="4"/>
      <c r="DAC1534" s="6"/>
      <c r="DAD1534" s="4"/>
      <c r="DAE1534" s="6"/>
      <c r="DAF1534" s="4"/>
      <c r="DAG1534" s="6"/>
      <c r="DAH1534" s="4"/>
      <c r="DAI1534" s="6"/>
      <c r="DAJ1534" s="4"/>
      <c r="DAK1534" s="6"/>
      <c r="DAL1534" s="4"/>
      <c r="DAM1534" s="6"/>
      <c r="DAN1534" s="4"/>
      <c r="DAO1534" s="6"/>
      <c r="DAP1534" s="4"/>
      <c r="DAQ1534" s="6"/>
      <c r="DAR1534" s="4"/>
      <c r="DAS1534" s="6"/>
      <c r="DAT1534" s="4"/>
      <c r="DAU1534" s="6"/>
      <c r="DAV1534" s="4"/>
      <c r="DAW1534" s="6"/>
      <c r="DAX1534" s="4"/>
      <c r="DAY1534" s="6"/>
      <c r="DAZ1534" s="4"/>
      <c r="DBA1534" s="6"/>
      <c r="DBB1534" s="4"/>
      <c r="DBC1534" s="6"/>
      <c r="DBD1534" s="4"/>
      <c r="DBE1534" s="6"/>
      <c r="DBF1534" s="4"/>
      <c r="DBG1534" s="6"/>
      <c r="DBH1534" s="4"/>
      <c r="DBI1534" s="6"/>
      <c r="DBJ1534" s="4"/>
      <c r="DBK1534" s="6"/>
      <c r="DBL1534" s="4"/>
      <c r="DBM1534" s="6"/>
      <c r="DBN1534" s="4"/>
      <c r="DBO1534" s="6"/>
      <c r="DBP1534" s="4"/>
      <c r="DBQ1534" s="6"/>
      <c r="DBR1534" s="4"/>
      <c r="DBS1534" s="6"/>
      <c r="DBT1534" s="4"/>
      <c r="DBU1534" s="6"/>
      <c r="DBV1534" s="4"/>
      <c r="DBW1534" s="6"/>
      <c r="DBX1534" s="4"/>
      <c r="DBY1534" s="6"/>
      <c r="DBZ1534" s="4"/>
      <c r="DCA1534" s="6"/>
      <c r="DCB1534" s="4"/>
      <c r="DCC1534" s="6"/>
      <c r="DCD1534" s="4"/>
      <c r="DCE1534" s="6"/>
      <c r="DCF1534" s="4"/>
      <c r="DCG1534" s="6"/>
      <c r="DCH1534" s="4"/>
      <c r="DCI1534" s="6"/>
      <c r="DCJ1534" s="4"/>
      <c r="DCK1534" s="6"/>
      <c r="DCL1534" s="4"/>
      <c r="DCM1534" s="6"/>
      <c r="DCN1534" s="4"/>
      <c r="DCO1534" s="6"/>
      <c r="DCP1534" s="4"/>
      <c r="DCQ1534" s="6"/>
      <c r="DCR1534" s="4"/>
      <c r="DCS1534" s="6"/>
      <c r="DCT1534" s="4"/>
      <c r="DCU1534" s="6"/>
      <c r="DCV1534" s="4"/>
      <c r="DCW1534" s="6"/>
      <c r="DCX1534" s="4"/>
      <c r="DCY1534" s="6"/>
      <c r="DCZ1534" s="4"/>
      <c r="DDA1534" s="6"/>
      <c r="DDB1534" s="4"/>
      <c r="DDC1534" s="6"/>
      <c r="DDD1534" s="4"/>
      <c r="DDE1534" s="6"/>
      <c r="DDF1534" s="4"/>
      <c r="DDG1534" s="6"/>
      <c r="DDH1534" s="4"/>
      <c r="DDI1534" s="6"/>
      <c r="DDJ1534" s="4"/>
      <c r="DDK1534" s="6"/>
      <c r="DDL1534" s="4"/>
      <c r="DDM1534" s="6"/>
      <c r="DDN1534" s="4"/>
      <c r="DDO1534" s="6"/>
      <c r="DDP1534" s="4"/>
      <c r="DDQ1534" s="6"/>
      <c r="DDR1534" s="4"/>
      <c r="DDS1534" s="6"/>
      <c r="DDT1534" s="4"/>
      <c r="DDU1534" s="6"/>
      <c r="DDV1534" s="4"/>
      <c r="DDW1534" s="6"/>
      <c r="DDX1534" s="4"/>
      <c r="DDY1534" s="6"/>
      <c r="DDZ1534" s="4"/>
      <c r="DEA1534" s="6"/>
      <c r="DEB1534" s="4"/>
      <c r="DEC1534" s="6"/>
      <c r="DED1534" s="4"/>
      <c r="DEE1534" s="6"/>
      <c r="DEF1534" s="4"/>
      <c r="DEG1534" s="6"/>
      <c r="DEH1534" s="4"/>
      <c r="DEI1534" s="6"/>
      <c r="DEJ1534" s="4"/>
      <c r="DEK1534" s="6"/>
      <c r="DEL1534" s="4"/>
      <c r="DEM1534" s="6"/>
      <c r="DEN1534" s="4"/>
      <c r="DEO1534" s="6"/>
      <c r="DEP1534" s="4"/>
      <c r="DEQ1534" s="6"/>
      <c r="DER1534" s="4"/>
      <c r="DES1534" s="6"/>
      <c r="DET1534" s="4"/>
      <c r="DEU1534" s="6"/>
      <c r="DEV1534" s="4"/>
      <c r="DEW1534" s="6"/>
      <c r="DEX1534" s="4"/>
      <c r="DEY1534" s="6"/>
      <c r="DEZ1534" s="4"/>
      <c r="DFA1534" s="6"/>
      <c r="DFB1534" s="4"/>
      <c r="DFC1534" s="6"/>
      <c r="DFD1534" s="4"/>
      <c r="DFE1534" s="6"/>
      <c r="DFF1534" s="4"/>
      <c r="DFG1534" s="6"/>
      <c r="DFH1534" s="4"/>
      <c r="DFI1534" s="6"/>
      <c r="DFJ1534" s="4"/>
      <c r="DFK1534" s="6"/>
      <c r="DFL1534" s="4"/>
      <c r="DFM1534" s="6"/>
      <c r="DFN1534" s="4"/>
      <c r="DFO1534" s="6"/>
      <c r="DFP1534" s="4"/>
      <c r="DFQ1534" s="6"/>
      <c r="DFR1534" s="4"/>
      <c r="DFS1534" s="6"/>
      <c r="DFT1534" s="4"/>
      <c r="DFU1534" s="6"/>
      <c r="DFV1534" s="4"/>
      <c r="DFW1534" s="6"/>
      <c r="DFX1534" s="4"/>
      <c r="DFY1534" s="6"/>
      <c r="DFZ1534" s="4"/>
      <c r="DGA1534" s="6"/>
      <c r="DGB1534" s="4"/>
      <c r="DGC1534" s="6"/>
      <c r="DGD1534" s="4"/>
      <c r="DGE1534" s="6"/>
      <c r="DGF1534" s="4"/>
      <c r="DGG1534" s="6"/>
      <c r="DGH1534" s="4"/>
      <c r="DGI1534" s="6"/>
      <c r="DGJ1534" s="4"/>
      <c r="DGK1534" s="6"/>
      <c r="DGL1534" s="4"/>
      <c r="DGM1534" s="6"/>
      <c r="DGN1534" s="4"/>
      <c r="DGO1534" s="6"/>
      <c r="DGP1534" s="4"/>
      <c r="DGQ1534" s="6"/>
      <c r="DGR1534" s="4"/>
      <c r="DGS1534" s="6"/>
      <c r="DGT1534" s="4"/>
      <c r="DGU1534" s="6"/>
      <c r="DGV1534" s="4"/>
      <c r="DGW1534" s="6"/>
      <c r="DGX1534" s="4"/>
      <c r="DGY1534" s="6"/>
      <c r="DGZ1534" s="4"/>
      <c r="DHA1534" s="6"/>
      <c r="DHB1534" s="4"/>
      <c r="DHC1534" s="6"/>
      <c r="DHD1534" s="4"/>
      <c r="DHE1534" s="6"/>
      <c r="DHF1534" s="4"/>
      <c r="DHG1534" s="6"/>
      <c r="DHH1534" s="4"/>
      <c r="DHI1534" s="6"/>
      <c r="DHJ1534" s="4"/>
      <c r="DHK1534" s="6"/>
      <c r="DHL1534" s="4"/>
      <c r="DHM1534" s="6"/>
      <c r="DHN1534" s="4"/>
      <c r="DHO1534" s="6"/>
      <c r="DHP1534" s="4"/>
      <c r="DHQ1534" s="6"/>
      <c r="DHR1534" s="4"/>
      <c r="DHS1534" s="6"/>
      <c r="DHT1534" s="4"/>
      <c r="DHU1534" s="6"/>
      <c r="DHV1534" s="4"/>
      <c r="DHW1534" s="6"/>
      <c r="DHX1534" s="4"/>
      <c r="DHY1534" s="6"/>
      <c r="DHZ1534" s="4"/>
      <c r="DIA1534" s="6"/>
      <c r="DIB1534" s="4"/>
      <c r="DIC1534" s="6"/>
      <c r="DID1534" s="4"/>
      <c r="DIE1534" s="6"/>
      <c r="DIF1534" s="4"/>
      <c r="DIG1534" s="6"/>
      <c r="DIH1534" s="4"/>
      <c r="DII1534" s="6"/>
      <c r="DIJ1534" s="4"/>
      <c r="DIK1534" s="6"/>
      <c r="DIL1534" s="4"/>
      <c r="DIM1534" s="6"/>
      <c r="DIN1534" s="4"/>
      <c r="DIO1534" s="6"/>
      <c r="DIP1534" s="4"/>
      <c r="DIQ1534" s="6"/>
      <c r="DIR1534" s="4"/>
      <c r="DIS1534" s="6"/>
      <c r="DIT1534" s="4"/>
      <c r="DIU1534" s="6"/>
      <c r="DIV1534" s="4"/>
      <c r="DIW1534" s="6"/>
      <c r="DIX1534" s="4"/>
      <c r="DIY1534" s="6"/>
      <c r="DIZ1534" s="4"/>
      <c r="DJA1534" s="6"/>
      <c r="DJB1534" s="4"/>
      <c r="DJC1534" s="6"/>
      <c r="DJD1534" s="4"/>
      <c r="DJE1534" s="6"/>
      <c r="DJF1534" s="4"/>
      <c r="DJG1534" s="6"/>
      <c r="DJH1534" s="4"/>
      <c r="DJI1534" s="6"/>
      <c r="DJJ1534" s="4"/>
      <c r="DJK1534" s="6"/>
      <c r="DJL1534" s="4"/>
      <c r="DJM1534" s="6"/>
      <c r="DJN1534" s="4"/>
      <c r="DJO1534" s="6"/>
      <c r="DJP1534" s="4"/>
      <c r="DJQ1534" s="6"/>
      <c r="DJR1534" s="4"/>
      <c r="DJS1534" s="6"/>
      <c r="DJT1534" s="4"/>
      <c r="DJU1534" s="6"/>
      <c r="DJV1534" s="4"/>
      <c r="DJW1534" s="6"/>
      <c r="DJX1534" s="4"/>
      <c r="DJY1534" s="6"/>
      <c r="DJZ1534" s="4"/>
      <c r="DKA1534" s="6"/>
      <c r="DKB1534" s="4"/>
      <c r="DKC1534" s="6"/>
      <c r="DKD1534" s="4"/>
      <c r="DKE1534" s="6"/>
      <c r="DKF1534" s="4"/>
      <c r="DKG1534" s="6"/>
      <c r="DKH1534" s="4"/>
      <c r="DKI1534" s="6"/>
      <c r="DKJ1534" s="4"/>
      <c r="DKK1534" s="6"/>
      <c r="DKL1534" s="4"/>
      <c r="DKM1534" s="6"/>
      <c r="DKN1534" s="4"/>
      <c r="DKO1534" s="6"/>
      <c r="DKP1534" s="4"/>
      <c r="DKQ1534" s="6"/>
      <c r="DKR1534" s="4"/>
      <c r="DKS1534" s="6"/>
      <c r="DKT1534" s="4"/>
      <c r="DKU1534" s="6"/>
      <c r="DKV1534" s="4"/>
      <c r="DKW1534" s="6"/>
      <c r="DKX1534" s="4"/>
      <c r="DKY1534" s="6"/>
      <c r="DKZ1534" s="4"/>
      <c r="DLA1534" s="6"/>
      <c r="DLB1534" s="4"/>
      <c r="DLC1534" s="6"/>
      <c r="DLD1534" s="4"/>
      <c r="DLE1534" s="6"/>
      <c r="DLF1534" s="4"/>
      <c r="DLG1534" s="6"/>
      <c r="DLH1534" s="4"/>
      <c r="DLI1534" s="6"/>
      <c r="DLJ1534" s="4"/>
      <c r="DLK1534" s="6"/>
      <c r="DLL1534" s="4"/>
      <c r="DLM1534" s="6"/>
      <c r="DLN1534" s="4"/>
      <c r="DLO1534" s="6"/>
      <c r="DLP1534" s="4"/>
      <c r="DLQ1534" s="6"/>
      <c r="DLR1534" s="4"/>
      <c r="DLS1534" s="6"/>
      <c r="DLT1534" s="4"/>
      <c r="DLU1534" s="6"/>
      <c r="DLV1534" s="4"/>
      <c r="DLW1534" s="6"/>
      <c r="DLX1534" s="4"/>
      <c r="DLY1534" s="6"/>
      <c r="DLZ1534" s="4"/>
      <c r="DMA1534" s="6"/>
      <c r="DMB1534" s="4"/>
      <c r="DMC1534" s="6"/>
      <c r="DMD1534" s="4"/>
      <c r="DME1534" s="6"/>
      <c r="DMF1534" s="4"/>
      <c r="DMG1534" s="6"/>
      <c r="DMH1534" s="4"/>
      <c r="DMI1534" s="6"/>
      <c r="DMJ1534" s="4"/>
      <c r="DMK1534" s="6"/>
      <c r="DML1534" s="4"/>
      <c r="DMM1534" s="6"/>
      <c r="DMN1534" s="4"/>
      <c r="DMO1534" s="6"/>
      <c r="DMP1534" s="4"/>
      <c r="DMQ1534" s="6"/>
      <c r="DMR1534" s="4"/>
      <c r="DMS1534" s="6"/>
      <c r="DMT1534" s="4"/>
      <c r="DMU1534" s="6"/>
      <c r="DMV1534" s="4"/>
      <c r="DMW1534" s="6"/>
      <c r="DMX1534" s="4"/>
      <c r="DMY1534" s="6"/>
      <c r="DMZ1534" s="4"/>
      <c r="DNA1534" s="6"/>
      <c r="DNB1534" s="4"/>
      <c r="DNC1534" s="6"/>
      <c r="DND1534" s="4"/>
      <c r="DNE1534" s="6"/>
      <c r="DNF1534" s="4"/>
      <c r="DNG1534" s="6"/>
      <c r="DNH1534" s="4"/>
      <c r="DNI1534" s="6"/>
      <c r="DNJ1534" s="4"/>
      <c r="DNK1534" s="6"/>
      <c r="DNL1534" s="4"/>
      <c r="DNM1534" s="6"/>
      <c r="DNN1534" s="4"/>
      <c r="DNO1534" s="6"/>
      <c r="DNP1534" s="4"/>
      <c r="DNQ1534" s="6"/>
      <c r="DNR1534" s="4"/>
      <c r="DNS1534" s="6"/>
      <c r="DNT1534" s="4"/>
      <c r="DNU1534" s="6"/>
      <c r="DNV1534" s="4"/>
      <c r="DNW1534" s="6"/>
      <c r="DNX1534" s="4"/>
      <c r="DNY1534" s="6"/>
      <c r="DNZ1534" s="4"/>
      <c r="DOA1534" s="6"/>
      <c r="DOB1534" s="4"/>
      <c r="DOC1534" s="6"/>
      <c r="DOD1534" s="4"/>
      <c r="DOE1534" s="6"/>
      <c r="DOF1534" s="4"/>
      <c r="DOG1534" s="6"/>
      <c r="DOH1534" s="4"/>
      <c r="DOI1534" s="6"/>
      <c r="DOJ1534" s="4"/>
      <c r="DOK1534" s="6"/>
      <c r="DOL1534" s="4"/>
      <c r="DOM1534" s="6"/>
      <c r="DON1534" s="4"/>
      <c r="DOO1534" s="6"/>
      <c r="DOP1534" s="4"/>
      <c r="DOQ1534" s="6"/>
      <c r="DOR1534" s="4"/>
      <c r="DOS1534" s="6"/>
      <c r="DOT1534" s="4"/>
      <c r="DOU1534" s="6"/>
      <c r="DOV1534" s="4"/>
      <c r="DOW1534" s="6"/>
      <c r="DOX1534" s="4"/>
      <c r="DOY1534" s="6"/>
      <c r="DOZ1534" s="4"/>
      <c r="DPA1534" s="6"/>
      <c r="DPB1534" s="4"/>
      <c r="DPC1534" s="6"/>
      <c r="DPD1534" s="4"/>
      <c r="DPE1534" s="6"/>
      <c r="DPF1534" s="4"/>
      <c r="DPG1534" s="6"/>
      <c r="DPH1534" s="4"/>
      <c r="DPI1534" s="6"/>
      <c r="DPJ1534" s="4"/>
      <c r="DPK1534" s="6"/>
      <c r="DPL1534" s="4"/>
      <c r="DPM1534" s="6"/>
      <c r="DPN1534" s="4"/>
      <c r="DPO1534" s="6"/>
      <c r="DPP1534" s="4"/>
      <c r="DPQ1534" s="6"/>
      <c r="DPR1534" s="4"/>
      <c r="DPS1534" s="6"/>
      <c r="DPT1534" s="4"/>
      <c r="DPU1534" s="6"/>
      <c r="DPV1534" s="4"/>
      <c r="DPW1534" s="6"/>
      <c r="DPX1534" s="4"/>
      <c r="DPY1534" s="6"/>
      <c r="DPZ1534" s="4"/>
      <c r="DQA1534" s="6"/>
      <c r="DQB1534" s="4"/>
      <c r="DQC1534" s="6"/>
      <c r="DQD1534" s="4"/>
      <c r="DQE1534" s="6"/>
      <c r="DQF1534" s="4"/>
      <c r="DQG1534" s="6"/>
      <c r="DQH1534" s="4"/>
      <c r="DQI1534" s="6"/>
      <c r="DQJ1534" s="4"/>
      <c r="DQK1534" s="6"/>
      <c r="DQL1534" s="4"/>
      <c r="DQM1534" s="6"/>
      <c r="DQN1534" s="4"/>
      <c r="DQO1534" s="6"/>
      <c r="DQP1534" s="4"/>
      <c r="DQQ1534" s="6"/>
      <c r="DQR1534" s="4"/>
      <c r="DQS1534" s="6"/>
      <c r="DQT1534" s="4"/>
      <c r="DQU1534" s="6"/>
      <c r="DQV1534" s="4"/>
      <c r="DQW1534" s="6"/>
      <c r="DQX1534" s="4"/>
      <c r="DQY1534" s="6"/>
      <c r="DQZ1534" s="4"/>
      <c r="DRA1534" s="6"/>
      <c r="DRB1534" s="4"/>
      <c r="DRC1534" s="6"/>
      <c r="DRD1534" s="4"/>
      <c r="DRE1534" s="6"/>
      <c r="DRF1534" s="4"/>
      <c r="DRG1534" s="6"/>
      <c r="DRH1534" s="4"/>
      <c r="DRI1534" s="6"/>
      <c r="DRJ1534" s="4"/>
      <c r="DRK1534" s="6"/>
      <c r="DRL1534" s="4"/>
      <c r="DRM1534" s="6"/>
      <c r="DRN1534" s="4"/>
      <c r="DRO1534" s="6"/>
      <c r="DRP1534" s="4"/>
      <c r="DRQ1534" s="6"/>
      <c r="DRR1534" s="4"/>
      <c r="DRS1534" s="6"/>
      <c r="DRT1534" s="4"/>
      <c r="DRU1534" s="6"/>
      <c r="DRV1534" s="4"/>
      <c r="DRW1534" s="6"/>
      <c r="DRX1534" s="4"/>
      <c r="DRY1534" s="6"/>
      <c r="DRZ1534" s="4"/>
      <c r="DSA1534" s="6"/>
      <c r="DSB1534" s="4"/>
      <c r="DSC1534" s="6"/>
      <c r="DSD1534" s="4"/>
      <c r="DSE1534" s="6"/>
      <c r="DSF1534" s="4"/>
      <c r="DSG1534" s="6"/>
      <c r="DSH1534" s="4"/>
      <c r="DSI1534" s="6"/>
      <c r="DSJ1534" s="4"/>
      <c r="DSK1534" s="6"/>
      <c r="DSL1534" s="4"/>
      <c r="DSM1534" s="6"/>
      <c r="DSN1534" s="4"/>
      <c r="DSO1534" s="6"/>
      <c r="DSP1534" s="4"/>
      <c r="DSQ1534" s="6"/>
      <c r="DSR1534" s="4"/>
      <c r="DSS1534" s="6"/>
      <c r="DST1534" s="4"/>
      <c r="DSU1534" s="6"/>
      <c r="DSV1534" s="4"/>
      <c r="DSW1534" s="6"/>
      <c r="DSX1534" s="4"/>
      <c r="DSY1534" s="6"/>
      <c r="DSZ1534" s="4"/>
      <c r="DTA1534" s="6"/>
      <c r="DTB1534" s="4"/>
      <c r="DTC1534" s="6"/>
      <c r="DTD1534" s="4"/>
      <c r="DTE1534" s="6"/>
      <c r="DTF1534" s="4"/>
      <c r="DTG1534" s="6"/>
      <c r="DTH1534" s="4"/>
      <c r="DTI1534" s="6"/>
      <c r="DTJ1534" s="4"/>
      <c r="DTK1534" s="6"/>
      <c r="DTL1534" s="4"/>
      <c r="DTM1534" s="6"/>
      <c r="DTN1534" s="4"/>
      <c r="DTO1534" s="6"/>
      <c r="DTP1534" s="4"/>
      <c r="DTQ1534" s="6"/>
      <c r="DTR1534" s="4"/>
      <c r="DTS1534" s="6"/>
      <c r="DTT1534" s="4"/>
      <c r="DTU1534" s="6"/>
      <c r="DTV1534" s="4"/>
      <c r="DTW1534" s="6"/>
      <c r="DTX1534" s="4"/>
      <c r="DTY1534" s="6"/>
      <c r="DTZ1534" s="4"/>
      <c r="DUA1534" s="6"/>
      <c r="DUB1534" s="4"/>
      <c r="DUC1534" s="6"/>
      <c r="DUD1534" s="4"/>
      <c r="DUE1534" s="6"/>
      <c r="DUF1534" s="4"/>
      <c r="DUG1534" s="6"/>
      <c r="DUH1534" s="4"/>
      <c r="DUI1534" s="6"/>
      <c r="DUJ1534" s="4"/>
      <c r="DUK1534" s="6"/>
      <c r="DUL1534" s="4"/>
      <c r="DUM1534" s="6"/>
      <c r="DUN1534" s="4"/>
      <c r="DUO1534" s="6"/>
      <c r="DUP1534" s="4"/>
      <c r="DUQ1534" s="6"/>
      <c r="DUR1534" s="4"/>
      <c r="DUS1534" s="6"/>
      <c r="DUT1534" s="4"/>
      <c r="DUU1534" s="6"/>
      <c r="DUV1534" s="4"/>
      <c r="DUW1534" s="6"/>
      <c r="DUX1534" s="4"/>
      <c r="DUY1534" s="6"/>
      <c r="DUZ1534" s="4"/>
      <c r="DVA1534" s="6"/>
      <c r="DVB1534" s="4"/>
      <c r="DVC1534" s="6"/>
      <c r="DVD1534" s="4"/>
      <c r="DVE1534" s="6"/>
      <c r="DVF1534" s="4"/>
      <c r="DVG1534" s="6"/>
      <c r="DVH1534" s="4"/>
      <c r="DVI1534" s="6"/>
      <c r="DVJ1534" s="4"/>
      <c r="DVK1534" s="6"/>
      <c r="DVL1534" s="4"/>
      <c r="DVM1534" s="6"/>
      <c r="DVN1534" s="4"/>
      <c r="DVO1534" s="6"/>
      <c r="DVP1534" s="4"/>
      <c r="DVQ1534" s="6"/>
      <c r="DVR1534" s="4"/>
      <c r="DVS1534" s="6"/>
      <c r="DVT1534" s="4"/>
      <c r="DVU1534" s="6"/>
      <c r="DVV1534" s="4"/>
      <c r="DVW1534" s="6"/>
      <c r="DVX1534" s="4"/>
      <c r="DVY1534" s="6"/>
      <c r="DVZ1534" s="4"/>
      <c r="DWA1534" s="6"/>
      <c r="DWB1534" s="4"/>
      <c r="DWC1534" s="6"/>
      <c r="DWD1534" s="4"/>
      <c r="DWE1534" s="6"/>
      <c r="DWF1534" s="4"/>
      <c r="DWG1534" s="6"/>
      <c r="DWH1534" s="4"/>
      <c r="DWI1534" s="6"/>
      <c r="DWJ1534" s="4"/>
      <c r="DWK1534" s="6"/>
      <c r="DWL1534" s="4"/>
      <c r="DWM1534" s="6"/>
      <c r="DWN1534" s="4"/>
      <c r="DWO1534" s="6"/>
      <c r="DWP1534" s="4"/>
      <c r="DWQ1534" s="6"/>
      <c r="DWR1534" s="4"/>
      <c r="DWS1534" s="6"/>
      <c r="DWT1534" s="4"/>
      <c r="DWU1534" s="6"/>
      <c r="DWV1534" s="4"/>
      <c r="DWW1534" s="6"/>
      <c r="DWX1534" s="4"/>
      <c r="DWY1534" s="6"/>
      <c r="DWZ1534" s="4"/>
      <c r="DXA1534" s="6"/>
      <c r="DXB1534" s="4"/>
      <c r="DXC1534" s="6"/>
      <c r="DXD1534" s="4"/>
      <c r="DXE1534" s="6"/>
      <c r="DXF1534" s="4"/>
      <c r="DXG1534" s="6"/>
      <c r="DXH1534" s="4"/>
      <c r="DXI1534" s="6"/>
      <c r="DXJ1534" s="4"/>
      <c r="DXK1534" s="6"/>
      <c r="DXL1534" s="4"/>
      <c r="DXM1534" s="6"/>
      <c r="DXN1534" s="4"/>
      <c r="DXO1534" s="6"/>
      <c r="DXP1534" s="4"/>
      <c r="DXQ1534" s="6"/>
      <c r="DXR1534" s="4"/>
      <c r="DXS1534" s="6"/>
      <c r="DXT1534" s="4"/>
      <c r="DXU1534" s="6"/>
      <c r="DXV1534" s="4"/>
      <c r="DXW1534" s="6"/>
      <c r="DXX1534" s="4"/>
      <c r="DXY1534" s="6"/>
      <c r="DXZ1534" s="4"/>
      <c r="DYA1534" s="6"/>
      <c r="DYB1534" s="4"/>
      <c r="DYC1534" s="6"/>
      <c r="DYD1534" s="4"/>
      <c r="DYE1534" s="6"/>
      <c r="DYF1534" s="4"/>
      <c r="DYG1534" s="6"/>
      <c r="DYH1534" s="4"/>
      <c r="DYI1534" s="6"/>
      <c r="DYJ1534" s="4"/>
      <c r="DYK1534" s="6"/>
      <c r="DYL1534" s="4"/>
      <c r="DYM1534" s="6"/>
      <c r="DYN1534" s="4"/>
      <c r="DYO1534" s="6"/>
      <c r="DYP1534" s="4"/>
      <c r="DYQ1534" s="6"/>
      <c r="DYR1534" s="4"/>
      <c r="DYS1534" s="6"/>
      <c r="DYT1534" s="4"/>
      <c r="DYU1534" s="6"/>
      <c r="DYV1534" s="4"/>
      <c r="DYW1534" s="6"/>
      <c r="DYX1534" s="4"/>
      <c r="DYY1534" s="6"/>
      <c r="DYZ1534" s="4"/>
      <c r="DZA1534" s="6"/>
      <c r="DZB1534" s="4"/>
      <c r="DZC1534" s="6"/>
      <c r="DZD1534" s="4"/>
      <c r="DZE1534" s="6"/>
      <c r="DZF1534" s="4"/>
      <c r="DZG1534" s="6"/>
      <c r="DZH1534" s="4"/>
      <c r="DZI1534" s="6"/>
      <c r="DZJ1534" s="4"/>
      <c r="DZK1534" s="6"/>
      <c r="DZL1534" s="4"/>
      <c r="DZM1534" s="6"/>
      <c r="DZN1534" s="4"/>
      <c r="DZO1534" s="6"/>
      <c r="DZP1534" s="4"/>
      <c r="DZQ1534" s="6"/>
      <c r="DZR1534" s="4"/>
      <c r="DZS1534" s="6"/>
      <c r="DZT1534" s="4"/>
      <c r="DZU1534" s="6"/>
      <c r="DZV1534" s="4"/>
      <c r="DZW1534" s="6"/>
      <c r="DZX1534" s="4"/>
      <c r="DZY1534" s="6"/>
      <c r="DZZ1534" s="4"/>
      <c r="EAA1534" s="6"/>
      <c r="EAB1534" s="4"/>
      <c r="EAC1534" s="6"/>
      <c r="EAD1534" s="4"/>
      <c r="EAE1534" s="6"/>
      <c r="EAF1534" s="4"/>
      <c r="EAG1534" s="6"/>
      <c r="EAH1534" s="4"/>
      <c r="EAI1534" s="6"/>
      <c r="EAJ1534" s="4"/>
      <c r="EAK1534" s="6"/>
      <c r="EAL1534" s="4"/>
      <c r="EAM1534" s="6"/>
      <c r="EAN1534" s="4"/>
      <c r="EAO1534" s="6"/>
      <c r="EAP1534" s="4"/>
      <c r="EAQ1534" s="6"/>
      <c r="EAR1534" s="4"/>
      <c r="EAS1534" s="6"/>
      <c r="EAT1534" s="4"/>
      <c r="EAU1534" s="6"/>
      <c r="EAV1534" s="4"/>
      <c r="EAW1534" s="6"/>
      <c r="EAX1534" s="4"/>
      <c r="EAY1534" s="6"/>
      <c r="EAZ1534" s="4"/>
      <c r="EBA1534" s="6"/>
      <c r="EBB1534" s="4"/>
      <c r="EBC1534" s="6"/>
      <c r="EBD1534" s="4"/>
      <c r="EBE1534" s="6"/>
      <c r="EBF1534" s="4"/>
      <c r="EBG1534" s="6"/>
      <c r="EBH1534" s="4"/>
      <c r="EBI1534" s="6"/>
      <c r="EBJ1534" s="4"/>
      <c r="EBK1534" s="6"/>
      <c r="EBL1534" s="4"/>
      <c r="EBM1534" s="6"/>
      <c r="EBN1534" s="4"/>
      <c r="EBO1534" s="6"/>
      <c r="EBP1534" s="4"/>
      <c r="EBQ1534" s="6"/>
      <c r="EBR1534" s="4"/>
      <c r="EBS1534" s="6"/>
      <c r="EBT1534" s="4"/>
      <c r="EBU1534" s="6"/>
      <c r="EBV1534" s="4"/>
      <c r="EBW1534" s="6"/>
      <c r="EBX1534" s="4"/>
      <c r="EBY1534" s="6"/>
      <c r="EBZ1534" s="4"/>
      <c r="ECA1534" s="6"/>
      <c r="ECB1534" s="4"/>
      <c r="ECC1534" s="6"/>
      <c r="ECD1534" s="4"/>
      <c r="ECE1534" s="6"/>
      <c r="ECF1534" s="4"/>
      <c r="ECG1534" s="6"/>
      <c r="ECH1534" s="4"/>
      <c r="ECI1534" s="6"/>
      <c r="ECJ1534" s="4"/>
      <c r="ECK1534" s="6"/>
      <c r="ECL1534" s="4"/>
      <c r="ECM1534" s="6"/>
      <c r="ECN1534" s="4"/>
      <c r="ECO1534" s="6"/>
      <c r="ECP1534" s="4"/>
      <c r="ECQ1534" s="6"/>
      <c r="ECR1534" s="4"/>
      <c r="ECS1534" s="6"/>
      <c r="ECT1534" s="4"/>
      <c r="ECU1534" s="6"/>
      <c r="ECV1534" s="4"/>
      <c r="ECW1534" s="6"/>
      <c r="ECX1534" s="4"/>
      <c r="ECY1534" s="6"/>
      <c r="ECZ1534" s="4"/>
      <c r="EDA1534" s="6"/>
      <c r="EDB1534" s="4"/>
      <c r="EDC1534" s="6"/>
      <c r="EDD1534" s="4"/>
      <c r="EDE1534" s="6"/>
      <c r="EDF1534" s="4"/>
      <c r="EDG1534" s="6"/>
      <c r="EDH1534" s="4"/>
      <c r="EDI1534" s="6"/>
      <c r="EDJ1534" s="4"/>
      <c r="EDK1534" s="6"/>
      <c r="EDL1534" s="4"/>
      <c r="EDM1534" s="6"/>
      <c r="EDN1534" s="4"/>
      <c r="EDO1534" s="6"/>
      <c r="EDP1534" s="4"/>
      <c r="EDQ1534" s="6"/>
      <c r="EDR1534" s="4"/>
      <c r="EDS1534" s="6"/>
      <c r="EDT1534" s="4"/>
      <c r="EDU1534" s="6"/>
      <c r="EDV1534" s="4"/>
      <c r="EDW1534" s="6"/>
      <c r="EDX1534" s="4"/>
      <c r="EDY1534" s="6"/>
      <c r="EDZ1534" s="4"/>
      <c r="EEA1534" s="6"/>
      <c r="EEB1534" s="4"/>
      <c r="EEC1534" s="6"/>
      <c r="EED1534" s="4"/>
      <c r="EEE1534" s="6"/>
      <c r="EEF1534" s="4"/>
      <c r="EEG1534" s="6"/>
      <c r="EEH1534" s="4"/>
      <c r="EEI1534" s="6"/>
      <c r="EEJ1534" s="4"/>
      <c r="EEK1534" s="6"/>
      <c r="EEL1534" s="4"/>
      <c r="EEM1534" s="6"/>
      <c r="EEN1534" s="4"/>
      <c r="EEO1534" s="6"/>
      <c r="EEP1534" s="4"/>
      <c r="EEQ1534" s="6"/>
      <c r="EER1534" s="4"/>
      <c r="EES1534" s="6"/>
      <c r="EET1534" s="4"/>
      <c r="EEU1534" s="6"/>
      <c r="EEV1534" s="4"/>
      <c r="EEW1534" s="6"/>
      <c r="EEX1534" s="4"/>
      <c r="EEY1534" s="6"/>
      <c r="EEZ1534" s="4"/>
      <c r="EFA1534" s="6"/>
      <c r="EFB1534" s="4"/>
      <c r="EFC1534" s="6"/>
      <c r="EFD1534" s="4"/>
      <c r="EFE1534" s="6"/>
      <c r="EFF1534" s="4"/>
      <c r="EFG1534" s="6"/>
      <c r="EFH1534" s="4"/>
      <c r="EFI1534" s="6"/>
      <c r="EFJ1534" s="4"/>
      <c r="EFK1534" s="6"/>
      <c r="EFL1534" s="4"/>
      <c r="EFM1534" s="6"/>
      <c r="EFN1534" s="4"/>
      <c r="EFO1534" s="6"/>
      <c r="EFP1534" s="4"/>
      <c r="EFQ1534" s="6"/>
      <c r="EFR1534" s="4"/>
      <c r="EFS1534" s="6"/>
      <c r="EFT1534" s="4"/>
      <c r="EFU1534" s="6"/>
      <c r="EFV1534" s="4"/>
      <c r="EFW1534" s="6"/>
      <c r="EFX1534" s="4"/>
      <c r="EFY1534" s="6"/>
      <c r="EFZ1534" s="4"/>
      <c r="EGA1534" s="6"/>
      <c r="EGB1534" s="4"/>
      <c r="EGC1534" s="6"/>
      <c r="EGD1534" s="4"/>
      <c r="EGE1534" s="6"/>
      <c r="EGF1534" s="4"/>
      <c r="EGG1534" s="6"/>
      <c r="EGH1534" s="4"/>
      <c r="EGI1534" s="6"/>
      <c r="EGJ1534" s="4"/>
      <c r="EGK1534" s="6"/>
      <c r="EGL1534" s="4"/>
      <c r="EGM1534" s="6"/>
      <c r="EGN1534" s="4"/>
      <c r="EGO1534" s="6"/>
      <c r="EGP1534" s="4"/>
      <c r="EGQ1534" s="6"/>
      <c r="EGR1534" s="4"/>
      <c r="EGS1534" s="6"/>
      <c r="EGT1534" s="4"/>
      <c r="EGU1534" s="6"/>
      <c r="EGV1534" s="4"/>
      <c r="EGW1534" s="6"/>
      <c r="EGX1534" s="4"/>
      <c r="EGY1534" s="6"/>
      <c r="EGZ1534" s="4"/>
      <c r="EHA1534" s="6"/>
      <c r="EHB1534" s="4"/>
      <c r="EHC1534" s="6"/>
      <c r="EHD1534" s="4"/>
      <c r="EHE1534" s="6"/>
      <c r="EHF1534" s="4"/>
      <c r="EHG1534" s="6"/>
      <c r="EHH1534" s="4"/>
      <c r="EHI1534" s="6"/>
      <c r="EHJ1534" s="4"/>
      <c r="EHK1534" s="6"/>
      <c r="EHL1534" s="4"/>
      <c r="EHM1534" s="6"/>
      <c r="EHN1534" s="4"/>
      <c r="EHO1534" s="6"/>
      <c r="EHP1534" s="4"/>
      <c r="EHQ1534" s="6"/>
      <c r="EHR1534" s="4"/>
      <c r="EHS1534" s="6"/>
      <c r="EHT1534" s="4"/>
      <c r="EHU1534" s="6"/>
      <c r="EHV1534" s="4"/>
      <c r="EHW1534" s="6"/>
      <c r="EHX1534" s="4"/>
      <c r="EHY1534" s="6"/>
      <c r="EHZ1534" s="4"/>
      <c r="EIA1534" s="6"/>
      <c r="EIB1534" s="4"/>
      <c r="EIC1534" s="6"/>
      <c r="EID1534" s="4"/>
      <c r="EIE1534" s="6"/>
      <c r="EIF1534" s="4"/>
      <c r="EIG1534" s="6"/>
      <c r="EIH1534" s="4"/>
      <c r="EII1534" s="6"/>
      <c r="EIJ1534" s="4"/>
      <c r="EIK1534" s="6"/>
      <c r="EIL1534" s="4"/>
      <c r="EIM1534" s="6"/>
      <c r="EIN1534" s="4"/>
      <c r="EIO1534" s="6"/>
      <c r="EIP1534" s="4"/>
      <c r="EIQ1534" s="6"/>
      <c r="EIR1534" s="4"/>
      <c r="EIS1534" s="6"/>
      <c r="EIT1534" s="4"/>
      <c r="EIU1534" s="6"/>
      <c r="EIV1534" s="4"/>
      <c r="EIW1534" s="6"/>
      <c r="EIX1534" s="4"/>
      <c r="EIY1534" s="6"/>
      <c r="EIZ1534" s="4"/>
      <c r="EJA1534" s="6"/>
      <c r="EJB1534" s="4"/>
      <c r="EJC1534" s="6"/>
      <c r="EJD1534" s="4"/>
      <c r="EJE1534" s="6"/>
      <c r="EJF1534" s="4"/>
      <c r="EJG1534" s="6"/>
      <c r="EJH1534" s="4"/>
      <c r="EJI1534" s="6"/>
      <c r="EJJ1534" s="4"/>
      <c r="EJK1534" s="6"/>
      <c r="EJL1534" s="4"/>
      <c r="EJM1534" s="6"/>
      <c r="EJN1534" s="4"/>
      <c r="EJO1534" s="6"/>
      <c r="EJP1534" s="4"/>
      <c r="EJQ1534" s="6"/>
      <c r="EJR1534" s="4"/>
      <c r="EJS1534" s="6"/>
      <c r="EJT1534" s="4"/>
      <c r="EJU1534" s="6"/>
      <c r="EJV1534" s="4"/>
      <c r="EJW1534" s="6"/>
      <c r="EJX1534" s="4"/>
      <c r="EJY1534" s="6"/>
      <c r="EJZ1534" s="4"/>
      <c r="EKA1534" s="6"/>
      <c r="EKB1534" s="4"/>
      <c r="EKC1534" s="6"/>
      <c r="EKD1534" s="4"/>
      <c r="EKE1534" s="6"/>
      <c r="EKF1534" s="4"/>
      <c r="EKG1534" s="6"/>
      <c r="EKH1534" s="4"/>
      <c r="EKI1534" s="6"/>
      <c r="EKJ1534" s="4"/>
      <c r="EKK1534" s="6"/>
      <c r="EKL1534" s="4"/>
      <c r="EKM1534" s="6"/>
      <c r="EKN1534" s="4"/>
      <c r="EKO1534" s="6"/>
      <c r="EKP1534" s="4"/>
      <c r="EKQ1534" s="6"/>
      <c r="EKR1534" s="4"/>
      <c r="EKS1534" s="6"/>
      <c r="EKT1534" s="4"/>
      <c r="EKU1534" s="6"/>
      <c r="EKV1534" s="4"/>
      <c r="EKW1534" s="6"/>
      <c r="EKX1534" s="4"/>
      <c r="EKY1534" s="6"/>
      <c r="EKZ1534" s="4"/>
      <c r="ELA1534" s="6"/>
      <c r="ELB1534" s="4"/>
      <c r="ELC1534" s="6"/>
      <c r="ELD1534" s="4"/>
      <c r="ELE1534" s="6"/>
      <c r="ELF1534" s="4"/>
      <c r="ELG1534" s="6"/>
      <c r="ELH1534" s="4"/>
      <c r="ELI1534" s="6"/>
      <c r="ELJ1534" s="4"/>
      <c r="ELK1534" s="6"/>
      <c r="ELL1534" s="4"/>
      <c r="ELM1534" s="6"/>
      <c r="ELN1534" s="4"/>
      <c r="ELO1534" s="6"/>
      <c r="ELP1534" s="4"/>
      <c r="ELQ1534" s="6"/>
      <c r="ELR1534" s="4"/>
      <c r="ELS1534" s="6"/>
      <c r="ELT1534" s="4"/>
      <c r="ELU1534" s="6"/>
      <c r="ELV1534" s="4"/>
      <c r="ELW1534" s="6"/>
      <c r="ELX1534" s="4"/>
      <c r="ELY1534" s="6"/>
      <c r="ELZ1534" s="4"/>
      <c r="EMA1534" s="6"/>
      <c r="EMB1534" s="4"/>
      <c r="EMC1534" s="6"/>
      <c r="EMD1534" s="4"/>
      <c r="EME1534" s="6"/>
      <c r="EMF1534" s="4"/>
      <c r="EMG1534" s="6"/>
      <c r="EMH1534" s="4"/>
      <c r="EMI1534" s="6"/>
      <c r="EMJ1534" s="4"/>
      <c r="EMK1534" s="6"/>
      <c r="EML1534" s="4"/>
      <c r="EMM1534" s="6"/>
      <c r="EMN1534" s="4"/>
      <c r="EMO1534" s="6"/>
      <c r="EMP1534" s="4"/>
      <c r="EMQ1534" s="6"/>
      <c r="EMR1534" s="4"/>
      <c r="EMS1534" s="6"/>
      <c r="EMT1534" s="4"/>
      <c r="EMU1534" s="6"/>
      <c r="EMV1534" s="4"/>
      <c r="EMW1534" s="6"/>
      <c r="EMX1534" s="4"/>
      <c r="EMY1534" s="6"/>
      <c r="EMZ1534" s="4"/>
      <c r="ENA1534" s="6"/>
      <c r="ENB1534" s="4"/>
      <c r="ENC1534" s="6"/>
      <c r="END1534" s="4"/>
      <c r="ENE1534" s="6"/>
      <c r="ENF1534" s="4"/>
      <c r="ENG1534" s="6"/>
      <c r="ENH1534" s="4"/>
      <c r="ENI1534" s="6"/>
      <c r="ENJ1534" s="4"/>
      <c r="ENK1534" s="6"/>
      <c r="ENL1534" s="4"/>
      <c r="ENM1534" s="6"/>
      <c r="ENN1534" s="4"/>
      <c r="ENO1534" s="6"/>
      <c r="ENP1534" s="4"/>
      <c r="ENQ1534" s="6"/>
      <c r="ENR1534" s="4"/>
      <c r="ENS1534" s="6"/>
      <c r="ENT1534" s="4"/>
      <c r="ENU1534" s="6"/>
      <c r="ENV1534" s="4"/>
      <c r="ENW1534" s="6"/>
      <c r="ENX1534" s="4"/>
      <c r="ENY1534" s="6"/>
      <c r="ENZ1534" s="4"/>
      <c r="EOA1534" s="6"/>
      <c r="EOB1534" s="4"/>
      <c r="EOC1534" s="6"/>
      <c r="EOD1534" s="4"/>
      <c r="EOE1534" s="6"/>
      <c r="EOF1534" s="4"/>
      <c r="EOG1534" s="6"/>
      <c r="EOH1534" s="4"/>
      <c r="EOI1534" s="6"/>
      <c r="EOJ1534" s="4"/>
      <c r="EOK1534" s="6"/>
      <c r="EOL1534" s="4"/>
      <c r="EOM1534" s="6"/>
      <c r="EON1534" s="4"/>
      <c r="EOO1534" s="6"/>
      <c r="EOP1534" s="4"/>
      <c r="EOQ1534" s="6"/>
      <c r="EOR1534" s="4"/>
      <c r="EOS1534" s="6"/>
      <c r="EOT1534" s="4"/>
      <c r="EOU1534" s="6"/>
      <c r="EOV1534" s="4"/>
      <c r="EOW1534" s="6"/>
      <c r="EOX1534" s="4"/>
      <c r="EOY1534" s="6"/>
      <c r="EOZ1534" s="4"/>
      <c r="EPA1534" s="6"/>
      <c r="EPB1534" s="4"/>
      <c r="EPC1534" s="6"/>
      <c r="EPD1534" s="4"/>
      <c r="EPE1534" s="6"/>
      <c r="EPF1534" s="4"/>
      <c r="EPG1534" s="6"/>
      <c r="EPH1534" s="4"/>
      <c r="EPI1534" s="6"/>
      <c r="EPJ1534" s="4"/>
      <c r="EPK1534" s="6"/>
      <c r="EPL1534" s="4"/>
      <c r="EPM1534" s="6"/>
      <c r="EPN1534" s="4"/>
      <c r="EPO1534" s="6"/>
      <c r="EPP1534" s="4"/>
      <c r="EPQ1534" s="6"/>
      <c r="EPR1534" s="4"/>
      <c r="EPS1534" s="6"/>
      <c r="EPT1534" s="4"/>
      <c r="EPU1534" s="6"/>
      <c r="EPV1534" s="4"/>
      <c r="EPW1534" s="6"/>
      <c r="EPX1534" s="4"/>
      <c r="EPY1534" s="6"/>
      <c r="EPZ1534" s="4"/>
      <c r="EQA1534" s="6"/>
      <c r="EQB1534" s="4"/>
      <c r="EQC1534" s="6"/>
      <c r="EQD1534" s="4"/>
      <c r="EQE1534" s="6"/>
      <c r="EQF1534" s="4"/>
      <c r="EQG1534" s="6"/>
      <c r="EQH1534" s="4"/>
      <c r="EQI1534" s="6"/>
      <c r="EQJ1534" s="4"/>
      <c r="EQK1534" s="6"/>
      <c r="EQL1534" s="4"/>
      <c r="EQM1534" s="6"/>
      <c r="EQN1534" s="4"/>
      <c r="EQO1534" s="6"/>
      <c r="EQP1534" s="4"/>
      <c r="EQQ1534" s="6"/>
      <c r="EQR1534" s="4"/>
      <c r="EQS1534" s="6"/>
      <c r="EQT1534" s="4"/>
      <c r="EQU1534" s="6"/>
      <c r="EQV1534" s="4"/>
      <c r="EQW1534" s="6"/>
      <c r="EQX1534" s="4"/>
      <c r="EQY1534" s="6"/>
      <c r="EQZ1534" s="4"/>
      <c r="ERA1534" s="6"/>
      <c r="ERB1534" s="4"/>
      <c r="ERC1534" s="6"/>
      <c r="ERD1534" s="4"/>
      <c r="ERE1534" s="6"/>
      <c r="ERF1534" s="4"/>
      <c r="ERG1534" s="6"/>
      <c r="ERH1534" s="4"/>
      <c r="ERI1534" s="6"/>
      <c r="ERJ1534" s="4"/>
      <c r="ERK1534" s="6"/>
      <c r="ERL1534" s="4"/>
      <c r="ERM1534" s="6"/>
      <c r="ERN1534" s="4"/>
      <c r="ERO1534" s="6"/>
      <c r="ERP1534" s="4"/>
      <c r="ERQ1534" s="6"/>
      <c r="ERR1534" s="4"/>
      <c r="ERS1534" s="6"/>
      <c r="ERT1534" s="4"/>
      <c r="ERU1534" s="6"/>
      <c r="ERV1534" s="4"/>
      <c r="ERW1534" s="6"/>
      <c r="ERX1534" s="4"/>
      <c r="ERY1534" s="6"/>
      <c r="ERZ1534" s="4"/>
      <c r="ESA1534" s="6"/>
      <c r="ESB1534" s="4"/>
      <c r="ESC1534" s="6"/>
      <c r="ESD1534" s="4"/>
      <c r="ESE1534" s="6"/>
      <c r="ESF1534" s="4"/>
      <c r="ESG1534" s="6"/>
      <c r="ESH1534" s="4"/>
      <c r="ESI1534" s="6"/>
      <c r="ESJ1534" s="4"/>
      <c r="ESK1534" s="6"/>
      <c r="ESL1534" s="4"/>
      <c r="ESM1534" s="6"/>
      <c r="ESN1534" s="4"/>
      <c r="ESO1534" s="6"/>
      <c r="ESP1534" s="4"/>
      <c r="ESQ1534" s="6"/>
      <c r="ESR1534" s="4"/>
      <c r="ESS1534" s="6"/>
      <c r="EST1534" s="4"/>
      <c r="ESU1534" s="6"/>
      <c r="ESV1534" s="4"/>
      <c r="ESW1534" s="6"/>
      <c r="ESX1534" s="4"/>
      <c r="ESY1534" s="6"/>
      <c r="ESZ1534" s="4"/>
      <c r="ETA1534" s="6"/>
      <c r="ETB1534" s="4"/>
      <c r="ETC1534" s="6"/>
      <c r="ETD1534" s="4"/>
      <c r="ETE1534" s="6"/>
      <c r="ETF1534" s="4"/>
      <c r="ETG1534" s="6"/>
      <c r="ETH1534" s="4"/>
      <c r="ETI1534" s="6"/>
      <c r="ETJ1534" s="4"/>
      <c r="ETK1534" s="6"/>
      <c r="ETL1534" s="4"/>
      <c r="ETM1534" s="6"/>
      <c r="ETN1534" s="4"/>
      <c r="ETO1534" s="6"/>
      <c r="ETP1534" s="4"/>
      <c r="ETQ1534" s="6"/>
      <c r="ETR1534" s="4"/>
      <c r="ETS1534" s="6"/>
      <c r="ETT1534" s="4"/>
      <c r="ETU1534" s="6"/>
      <c r="ETV1534" s="4"/>
      <c r="ETW1534" s="6"/>
      <c r="ETX1534" s="4"/>
      <c r="ETY1534" s="6"/>
      <c r="ETZ1534" s="4"/>
      <c r="EUA1534" s="6"/>
      <c r="EUB1534" s="4"/>
      <c r="EUC1534" s="6"/>
      <c r="EUD1534" s="4"/>
      <c r="EUE1534" s="6"/>
      <c r="EUF1534" s="4"/>
      <c r="EUG1534" s="6"/>
      <c r="EUH1534" s="4"/>
      <c r="EUI1534" s="6"/>
      <c r="EUJ1534" s="4"/>
      <c r="EUK1534" s="6"/>
      <c r="EUL1534" s="4"/>
      <c r="EUM1534" s="6"/>
      <c r="EUN1534" s="4"/>
      <c r="EUO1534" s="6"/>
      <c r="EUP1534" s="4"/>
      <c r="EUQ1534" s="6"/>
      <c r="EUR1534" s="4"/>
      <c r="EUS1534" s="6"/>
      <c r="EUT1534" s="4"/>
      <c r="EUU1534" s="6"/>
      <c r="EUV1534" s="4"/>
      <c r="EUW1534" s="6"/>
      <c r="EUX1534" s="4"/>
      <c r="EUY1534" s="6"/>
      <c r="EUZ1534" s="4"/>
      <c r="EVA1534" s="6"/>
      <c r="EVB1534" s="4"/>
      <c r="EVC1534" s="6"/>
      <c r="EVD1534" s="4"/>
      <c r="EVE1534" s="6"/>
      <c r="EVF1534" s="4"/>
      <c r="EVG1534" s="6"/>
      <c r="EVH1534" s="4"/>
      <c r="EVI1534" s="6"/>
      <c r="EVJ1534" s="4"/>
      <c r="EVK1534" s="6"/>
      <c r="EVL1534" s="4"/>
      <c r="EVM1534" s="6"/>
      <c r="EVN1534" s="4"/>
      <c r="EVO1534" s="6"/>
      <c r="EVP1534" s="4"/>
      <c r="EVQ1534" s="6"/>
      <c r="EVR1534" s="4"/>
      <c r="EVS1534" s="6"/>
      <c r="EVT1534" s="4"/>
      <c r="EVU1534" s="6"/>
      <c r="EVV1534" s="4"/>
      <c r="EVW1534" s="6"/>
      <c r="EVX1534" s="4"/>
      <c r="EVY1534" s="6"/>
      <c r="EVZ1534" s="4"/>
      <c r="EWA1534" s="6"/>
      <c r="EWB1534" s="4"/>
      <c r="EWC1534" s="6"/>
      <c r="EWD1534" s="4"/>
      <c r="EWE1534" s="6"/>
      <c r="EWF1534" s="4"/>
      <c r="EWG1534" s="6"/>
      <c r="EWH1534" s="4"/>
      <c r="EWI1534" s="6"/>
      <c r="EWJ1534" s="4"/>
      <c r="EWK1534" s="6"/>
      <c r="EWL1534" s="4"/>
      <c r="EWM1534" s="6"/>
      <c r="EWN1534" s="4"/>
      <c r="EWO1534" s="6"/>
      <c r="EWP1534" s="4"/>
      <c r="EWQ1534" s="6"/>
      <c r="EWR1534" s="4"/>
      <c r="EWS1534" s="6"/>
      <c r="EWT1534" s="4"/>
      <c r="EWU1534" s="6"/>
      <c r="EWV1534" s="4"/>
      <c r="EWW1534" s="6"/>
      <c r="EWX1534" s="4"/>
      <c r="EWY1534" s="6"/>
      <c r="EWZ1534" s="4"/>
      <c r="EXA1534" s="6"/>
      <c r="EXB1534" s="4"/>
      <c r="EXC1534" s="6"/>
      <c r="EXD1534" s="4"/>
      <c r="EXE1534" s="6"/>
      <c r="EXF1534" s="4"/>
      <c r="EXG1534" s="6"/>
      <c r="EXH1534" s="4"/>
      <c r="EXI1534" s="6"/>
      <c r="EXJ1534" s="4"/>
      <c r="EXK1534" s="6"/>
      <c r="EXL1534" s="4"/>
      <c r="EXM1534" s="6"/>
      <c r="EXN1534" s="4"/>
      <c r="EXO1534" s="6"/>
      <c r="EXP1534" s="4"/>
      <c r="EXQ1534" s="6"/>
      <c r="EXR1534" s="4"/>
      <c r="EXS1534" s="6"/>
      <c r="EXT1534" s="4"/>
      <c r="EXU1534" s="6"/>
      <c r="EXV1534" s="4"/>
      <c r="EXW1534" s="6"/>
      <c r="EXX1534" s="4"/>
      <c r="EXY1534" s="6"/>
      <c r="EXZ1534" s="4"/>
      <c r="EYA1534" s="6"/>
      <c r="EYB1534" s="4"/>
      <c r="EYC1534" s="6"/>
      <c r="EYD1534" s="4"/>
      <c r="EYE1534" s="6"/>
      <c r="EYF1534" s="4"/>
      <c r="EYG1534" s="6"/>
      <c r="EYH1534" s="4"/>
      <c r="EYI1534" s="6"/>
      <c r="EYJ1534" s="4"/>
      <c r="EYK1534" s="6"/>
      <c r="EYL1534" s="4"/>
      <c r="EYM1534" s="6"/>
      <c r="EYN1534" s="4"/>
      <c r="EYO1534" s="6"/>
      <c r="EYP1534" s="4"/>
      <c r="EYQ1534" s="6"/>
      <c r="EYR1534" s="4"/>
      <c r="EYS1534" s="6"/>
      <c r="EYT1534" s="4"/>
      <c r="EYU1534" s="6"/>
      <c r="EYV1534" s="4"/>
      <c r="EYW1534" s="6"/>
      <c r="EYX1534" s="4"/>
      <c r="EYY1534" s="6"/>
      <c r="EYZ1534" s="4"/>
      <c r="EZA1534" s="6"/>
      <c r="EZB1534" s="4"/>
      <c r="EZC1534" s="6"/>
      <c r="EZD1534" s="4"/>
      <c r="EZE1534" s="6"/>
      <c r="EZF1534" s="4"/>
      <c r="EZG1534" s="6"/>
      <c r="EZH1534" s="4"/>
      <c r="EZI1534" s="6"/>
      <c r="EZJ1534" s="4"/>
      <c r="EZK1534" s="6"/>
      <c r="EZL1534" s="4"/>
      <c r="EZM1534" s="6"/>
      <c r="EZN1534" s="4"/>
      <c r="EZO1534" s="6"/>
      <c r="EZP1534" s="4"/>
      <c r="EZQ1534" s="6"/>
      <c r="EZR1534" s="4"/>
      <c r="EZS1534" s="6"/>
      <c r="EZT1534" s="4"/>
      <c r="EZU1534" s="6"/>
      <c r="EZV1534" s="4"/>
      <c r="EZW1534" s="6"/>
      <c r="EZX1534" s="4"/>
      <c r="EZY1534" s="6"/>
      <c r="EZZ1534" s="4"/>
      <c r="FAA1534" s="6"/>
      <c r="FAB1534" s="4"/>
      <c r="FAC1534" s="6"/>
      <c r="FAD1534" s="4"/>
      <c r="FAE1534" s="6"/>
      <c r="FAF1534" s="4"/>
      <c r="FAG1534" s="6"/>
      <c r="FAH1534" s="4"/>
      <c r="FAI1534" s="6"/>
      <c r="FAJ1534" s="4"/>
      <c r="FAK1534" s="6"/>
      <c r="FAL1534" s="4"/>
      <c r="FAM1534" s="6"/>
      <c r="FAN1534" s="4"/>
      <c r="FAO1534" s="6"/>
      <c r="FAP1534" s="4"/>
      <c r="FAQ1534" s="6"/>
      <c r="FAR1534" s="4"/>
      <c r="FAS1534" s="6"/>
      <c r="FAT1534" s="4"/>
      <c r="FAU1534" s="6"/>
      <c r="FAV1534" s="4"/>
      <c r="FAW1534" s="6"/>
      <c r="FAX1534" s="4"/>
      <c r="FAY1534" s="6"/>
      <c r="FAZ1534" s="4"/>
      <c r="FBA1534" s="6"/>
      <c r="FBB1534" s="4"/>
      <c r="FBC1534" s="6"/>
      <c r="FBD1534" s="4"/>
      <c r="FBE1534" s="6"/>
      <c r="FBF1534" s="4"/>
      <c r="FBG1534" s="6"/>
      <c r="FBH1534" s="4"/>
      <c r="FBI1534" s="6"/>
      <c r="FBJ1534" s="4"/>
      <c r="FBK1534" s="6"/>
      <c r="FBL1534" s="4"/>
      <c r="FBM1534" s="6"/>
      <c r="FBN1534" s="4"/>
      <c r="FBO1534" s="6"/>
      <c r="FBP1534" s="4"/>
      <c r="FBQ1534" s="6"/>
      <c r="FBR1534" s="4"/>
      <c r="FBS1534" s="6"/>
      <c r="FBT1534" s="4"/>
      <c r="FBU1534" s="6"/>
      <c r="FBV1534" s="4"/>
      <c r="FBW1534" s="6"/>
      <c r="FBX1534" s="4"/>
      <c r="FBY1534" s="6"/>
      <c r="FBZ1534" s="4"/>
      <c r="FCA1534" s="6"/>
      <c r="FCB1534" s="4"/>
      <c r="FCC1534" s="6"/>
      <c r="FCD1534" s="4"/>
      <c r="FCE1534" s="6"/>
      <c r="FCF1534" s="4"/>
      <c r="FCG1534" s="6"/>
      <c r="FCH1534" s="4"/>
      <c r="FCI1534" s="6"/>
      <c r="FCJ1534" s="4"/>
      <c r="FCK1534" s="6"/>
      <c r="FCL1534" s="4"/>
      <c r="FCM1534" s="6"/>
      <c r="FCN1534" s="4"/>
      <c r="FCO1534" s="6"/>
      <c r="FCP1534" s="4"/>
      <c r="FCQ1534" s="6"/>
      <c r="FCR1534" s="4"/>
      <c r="FCS1534" s="6"/>
      <c r="FCT1534" s="4"/>
      <c r="FCU1534" s="6"/>
      <c r="FCV1534" s="4"/>
      <c r="FCW1534" s="6"/>
      <c r="FCX1534" s="4"/>
      <c r="FCY1534" s="6"/>
      <c r="FCZ1534" s="4"/>
      <c r="FDA1534" s="6"/>
      <c r="FDB1534" s="4"/>
      <c r="FDC1534" s="6"/>
      <c r="FDD1534" s="4"/>
      <c r="FDE1534" s="6"/>
      <c r="FDF1534" s="4"/>
      <c r="FDG1534" s="6"/>
      <c r="FDH1534" s="4"/>
      <c r="FDI1534" s="6"/>
      <c r="FDJ1534" s="4"/>
      <c r="FDK1534" s="6"/>
      <c r="FDL1534" s="4"/>
      <c r="FDM1534" s="6"/>
      <c r="FDN1534" s="4"/>
      <c r="FDO1534" s="6"/>
      <c r="FDP1534" s="4"/>
      <c r="FDQ1534" s="6"/>
      <c r="FDR1534" s="4"/>
      <c r="FDS1534" s="6"/>
      <c r="FDT1534" s="4"/>
      <c r="FDU1534" s="6"/>
      <c r="FDV1534" s="4"/>
      <c r="FDW1534" s="6"/>
      <c r="FDX1534" s="4"/>
      <c r="FDY1534" s="6"/>
      <c r="FDZ1534" s="4"/>
      <c r="FEA1534" s="6"/>
      <c r="FEB1534" s="4"/>
      <c r="FEC1534" s="6"/>
      <c r="FED1534" s="4"/>
      <c r="FEE1534" s="6"/>
      <c r="FEF1534" s="4"/>
      <c r="FEG1534" s="6"/>
      <c r="FEH1534" s="4"/>
      <c r="FEI1534" s="6"/>
      <c r="FEJ1534" s="4"/>
      <c r="FEK1534" s="6"/>
      <c r="FEL1534" s="4"/>
      <c r="FEM1534" s="6"/>
      <c r="FEN1534" s="4"/>
      <c r="FEO1534" s="6"/>
      <c r="FEP1534" s="4"/>
      <c r="FEQ1534" s="6"/>
      <c r="FER1534" s="4"/>
      <c r="FES1534" s="6"/>
      <c r="FET1534" s="4"/>
      <c r="FEU1534" s="6"/>
      <c r="FEV1534" s="4"/>
      <c r="FEW1534" s="6"/>
      <c r="FEX1534" s="4"/>
      <c r="FEY1534" s="6"/>
      <c r="FEZ1534" s="4"/>
      <c r="FFA1534" s="6"/>
      <c r="FFB1534" s="4"/>
      <c r="FFC1534" s="6"/>
      <c r="FFD1534" s="4"/>
      <c r="FFE1534" s="6"/>
      <c r="FFF1534" s="4"/>
      <c r="FFG1534" s="6"/>
      <c r="FFH1534" s="4"/>
      <c r="FFI1534" s="6"/>
      <c r="FFJ1534" s="4"/>
      <c r="FFK1534" s="6"/>
      <c r="FFL1534" s="4"/>
      <c r="FFM1534" s="6"/>
      <c r="FFN1534" s="4"/>
      <c r="FFO1534" s="6"/>
      <c r="FFP1534" s="4"/>
      <c r="FFQ1534" s="6"/>
      <c r="FFR1534" s="4"/>
      <c r="FFS1534" s="6"/>
      <c r="FFT1534" s="4"/>
      <c r="FFU1534" s="6"/>
      <c r="FFV1534" s="4"/>
      <c r="FFW1534" s="6"/>
      <c r="FFX1534" s="4"/>
      <c r="FFY1534" s="6"/>
      <c r="FFZ1534" s="4"/>
      <c r="FGA1534" s="6"/>
      <c r="FGB1534" s="4"/>
      <c r="FGC1534" s="6"/>
      <c r="FGD1534" s="4"/>
      <c r="FGE1534" s="6"/>
      <c r="FGF1534" s="4"/>
      <c r="FGG1534" s="6"/>
      <c r="FGH1534" s="4"/>
      <c r="FGI1534" s="6"/>
      <c r="FGJ1534" s="4"/>
      <c r="FGK1534" s="6"/>
      <c r="FGL1534" s="4"/>
      <c r="FGM1534" s="6"/>
      <c r="FGN1534" s="4"/>
      <c r="FGO1534" s="6"/>
      <c r="FGP1534" s="4"/>
      <c r="FGQ1534" s="6"/>
      <c r="FGR1534" s="4"/>
      <c r="FGS1534" s="6"/>
      <c r="FGT1534" s="4"/>
      <c r="FGU1534" s="6"/>
      <c r="FGV1534" s="4"/>
      <c r="FGW1534" s="6"/>
      <c r="FGX1534" s="4"/>
      <c r="FGY1534" s="6"/>
      <c r="FGZ1534" s="4"/>
      <c r="FHA1534" s="6"/>
      <c r="FHB1534" s="4"/>
      <c r="FHC1534" s="6"/>
      <c r="FHD1534" s="4"/>
      <c r="FHE1534" s="6"/>
      <c r="FHF1534" s="4"/>
      <c r="FHG1534" s="6"/>
      <c r="FHH1534" s="4"/>
      <c r="FHI1534" s="6"/>
      <c r="FHJ1534" s="4"/>
      <c r="FHK1534" s="6"/>
      <c r="FHL1534" s="4"/>
      <c r="FHM1534" s="6"/>
      <c r="FHN1534" s="4"/>
      <c r="FHO1534" s="6"/>
      <c r="FHP1534" s="4"/>
      <c r="FHQ1534" s="6"/>
      <c r="FHR1534" s="4"/>
      <c r="FHS1534" s="6"/>
      <c r="FHT1534" s="4"/>
      <c r="FHU1534" s="6"/>
      <c r="FHV1534" s="4"/>
      <c r="FHW1534" s="6"/>
      <c r="FHX1534" s="4"/>
      <c r="FHY1534" s="6"/>
      <c r="FHZ1534" s="4"/>
      <c r="FIA1534" s="6"/>
      <c r="FIB1534" s="4"/>
      <c r="FIC1534" s="6"/>
      <c r="FID1534" s="4"/>
      <c r="FIE1534" s="6"/>
      <c r="FIF1534" s="4"/>
      <c r="FIG1534" s="6"/>
      <c r="FIH1534" s="4"/>
      <c r="FII1534" s="6"/>
      <c r="FIJ1534" s="4"/>
      <c r="FIK1534" s="6"/>
      <c r="FIL1534" s="4"/>
      <c r="FIM1534" s="6"/>
      <c r="FIN1534" s="4"/>
      <c r="FIO1534" s="6"/>
      <c r="FIP1534" s="4"/>
      <c r="FIQ1534" s="6"/>
      <c r="FIR1534" s="4"/>
      <c r="FIS1534" s="6"/>
      <c r="FIT1534" s="4"/>
      <c r="FIU1534" s="6"/>
      <c r="FIV1534" s="4"/>
      <c r="FIW1534" s="6"/>
      <c r="FIX1534" s="4"/>
      <c r="FIY1534" s="6"/>
      <c r="FIZ1534" s="4"/>
      <c r="FJA1534" s="6"/>
      <c r="FJB1534" s="4"/>
      <c r="FJC1534" s="6"/>
      <c r="FJD1534" s="4"/>
      <c r="FJE1534" s="6"/>
      <c r="FJF1534" s="4"/>
      <c r="FJG1534" s="6"/>
      <c r="FJH1534" s="4"/>
      <c r="FJI1534" s="6"/>
      <c r="FJJ1534" s="4"/>
      <c r="FJK1534" s="6"/>
      <c r="FJL1534" s="4"/>
      <c r="FJM1534" s="6"/>
      <c r="FJN1534" s="4"/>
      <c r="FJO1534" s="6"/>
      <c r="FJP1534" s="4"/>
      <c r="FJQ1534" s="6"/>
      <c r="FJR1534" s="4"/>
      <c r="FJS1534" s="6"/>
      <c r="FJT1534" s="4"/>
      <c r="FJU1534" s="6"/>
      <c r="FJV1534" s="4"/>
      <c r="FJW1534" s="6"/>
      <c r="FJX1534" s="4"/>
      <c r="FJY1534" s="6"/>
      <c r="FJZ1534" s="4"/>
      <c r="FKA1534" s="6"/>
      <c r="FKB1534" s="4"/>
      <c r="FKC1534" s="6"/>
      <c r="FKD1534" s="4"/>
      <c r="FKE1534" s="6"/>
      <c r="FKF1534" s="4"/>
      <c r="FKG1534" s="6"/>
      <c r="FKH1534" s="4"/>
      <c r="FKI1534" s="6"/>
      <c r="FKJ1534" s="4"/>
      <c r="FKK1534" s="6"/>
      <c r="FKL1534" s="4"/>
      <c r="FKM1534" s="6"/>
      <c r="FKN1534" s="4"/>
      <c r="FKO1534" s="6"/>
      <c r="FKP1534" s="4"/>
      <c r="FKQ1534" s="6"/>
      <c r="FKR1534" s="4"/>
      <c r="FKS1534" s="6"/>
      <c r="FKT1534" s="4"/>
      <c r="FKU1534" s="6"/>
      <c r="FKV1534" s="4"/>
      <c r="FKW1534" s="6"/>
      <c r="FKX1534" s="4"/>
      <c r="FKY1534" s="6"/>
      <c r="FKZ1534" s="4"/>
      <c r="FLA1534" s="6"/>
      <c r="FLB1534" s="4"/>
      <c r="FLC1534" s="6"/>
      <c r="FLD1534" s="4"/>
      <c r="FLE1534" s="6"/>
      <c r="FLF1534" s="4"/>
      <c r="FLG1534" s="6"/>
      <c r="FLH1534" s="4"/>
      <c r="FLI1534" s="6"/>
      <c r="FLJ1534" s="4"/>
      <c r="FLK1534" s="6"/>
      <c r="FLL1534" s="4"/>
      <c r="FLM1534" s="6"/>
      <c r="FLN1534" s="4"/>
      <c r="FLO1534" s="6"/>
      <c r="FLP1534" s="4"/>
      <c r="FLQ1534" s="6"/>
      <c r="FLR1534" s="4"/>
      <c r="FLS1534" s="6"/>
      <c r="FLT1534" s="4"/>
      <c r="FLU1534" s="6"/>
      <c r="FLV1534" s="4"/>
      <c r="FLW1534" s="6"/>
      <c r="FLX1534" s="4"/>
      <c r="FLY1534" s="6"/>
      <c r="FLZ1534" s="4"/>
      <c r="FMA1534" s="6"/>
      <c r="FMB1534" s="4"/>
      <c r="FMC1534" s="6"/>
      <c r="FMD1534" s="4"/>
      <c r="FME1534" s="6"/>
      <c r="FMF1534" s="4"/>
      <c r="FMG1534" s="6"/>
      <c r="FMH1534" s="4"/>
      <c r="FMI1534" s="6"/>
      <c r="FMJ1534" s="4"/>
      <c r="FMK1534" s="6"/>
      <c r="FML1534" s="4"/>
      <c r="FMM1534" s="6"/>
      <c r="FMN1534" s="4"/>
      <c r="FMO1534" s="6"/>
      <c r="FMP1534" s="4"/>
      <c r="FMQ1534" s="6"/>
      <c r="FMR1534" s="4"/>
      <c r="FMS1534" s="6"/>
      <c r="FMT1534" s="4"/>
      <c r="FMU1534" s="6"/>
      <c r="FMV1534" s="4"/>
      <c r="FMW1534" s="6"/>
      <c r="FMX1534" s="4"/>
      <c r="FMY1534" s="6"/>
      <c r="FMZ1534" s="4"/>
      <c r="FNA1534" s="6"/>
      <c r="FNB1534" s="4"/>
      <c r="FNC1534" s="6"/>
      <c r="FND1534" s="4"/>
      <c r="FNE1534" s="6"/>
      <c r="FNF1534" s="4"/>
      <c r="FNG1534" s="6"/>
      <c r="FNH1534" s="4"/>
      <c r="FNI1534" s="6"/>
      <c r="FNJ1534" s="4"/>
      <c r="FNK1534" s="6"/>
      <c r="FNL1534" s="4"/>
      <c r="FNM1534" s="6"/>
      <c r="FNN1534" s="4"/>
      <c r="FNO1534" s="6"/>
      <c r="FNP1534" s="4"/>
      <c r="FNQ1534" s="6"/>
      <c r="FNR1534" s="4"/>
      <c r="FNS1534" s="6"/>
      <c r="FNT1534" s="4"/>
      <c r="FNU1534" s="6"/>
      <c r="FNV1534" s="4"/>
      <c r="FNW1534" s="6"/>
      <c r="FNX1534" s="4"/>
      <c r="FNY1534" s="6"/>
      <c r="FNZ1534" s="4"/>
      <c r="FOA1534" s="6"/>
      <c r="FOB1534" s="4"/>
      <c r="FOC1534" s="6"/>
      <c r="FOD1534" s="4"/>
      <c r="FOE1534" s="6"/>
      <c r="FOF1534" s="4"/>
      <c r="FOG1534" s="6"/>
      <c r="FOH1534" s="4"/>
      <c r="FOI1534" s="6"/>
      <c r="FOJ1534" s="4"/>
      <c r="FOK1534" s="6"/>
      <c r="FOL1534" s="4"/>
      <c r="FOM1534" s="6"/>
      <c r="FON1534" s="4"/>
      <c r="FOO1534" s="6"/>
      <c r="FOP1534" s="4"/>
      <c r="FOQ1534" s="6"/>
      <c r="FOR1534" s="4"/>
      <c r="FOS1534" s="6"/>
      <c r="FOT1534" s="4"/>
      <c r="FOU1534" s="6"/>
      <c r="FOV1534" s="4"/>
      <c r="FOW1534" s="6"/>
      <c r="FOX1534" s="4"/>
      <c r="FOY1534" s="6"/>
      <c r="FOZ1534" s="4"/>
      <c r="FPA1534" s="6"/>
      <c r="FPB1534" s="4"/>
      <c r="FPC1534" s="6"/>
      <c r="FPD1534" s="4"/>
      <c r="FPE1534" s="6"/>
      <c r="FPF1534" s="4"/>
      <c r="FPG1534" s="6"/>
      <c r="FPH1534" s="4"/>
      <c r="FPI1534" s="6"/>
      <c r="FPJ1534" s="4"/>
      <c r="FPK1534" s="6"/>
      <c r="FPL1534" s="4"/>
      <c r="FPM1534" s="6"/>
      <c r="FPN1534" s="4"/>
      <c r="FPO1534" s="6"/>
      <c r="FPP1534" s="4"/>
      <c r="FPQ1534" s="6"/>
      <c r="FPR1534" s="4"/>
      <c r="FPS1534" s="6"/>
      <c r="FPT1534" s="4"/>
      <c r="FPU1534" s="6"/>
      <c r="FPV1534" s="4"/>
      <c r="FPW1534" s="6"/>
      <c r="FPX1534" s="4"/>
      <c r="FPY1534" s="6"/>
      <c r="FPZ1534" s="4"/>
      <c r="FQA1534" s="6"/>
      <c r="FQB1534" s="4"/>
      <c r="FQC1534" s="6"/>
      <c r="FQD1534" s="4"/>
      <c r="FQE1534" s="6"/>
      <c r="FQF1534" s="4"/>
      <c r="FQG1534" s="6"/>
      <c r="FQH1534" s="4"/>
      <c r="FQI1534" s="6"/>
      <c r="FQJ1534" s="4"/>
      <c r="FQK1534" s="6"/>
      <c r="FQL1534" s="4"/>
      <c r="FQM1534" s="6"/>
      <c r="FQN1534" s="4"/>
      <c r="FQO1534" s="6"/>
      <c r="FQP1534" s="4"/>
      <c r="FQQ1534" s="6"/>
      <c r="FQR1534" s="4"/>
      <c r="FQS1534" s="6"/>
      <c r="FQT1534" s="4"/>
      <c r="FQU1534" s="6"/>
      <c r="FQV1534" s="4"/>
      <c r="FQW1534" s="6"/>
      <c r="FQX1534" s="4"/>
      <c r="FQY1534" s="6"/>
      <c r="FQZ1534" s="4"/>
      <c r="FRA1534" s="6"/>
      <c r="FRB1534" s="4"/>
      <c r="FRC1534" s="6"/>
      <c r="FRD1534" s="4"/>
      <c r="FRE1534" s="6"/>
      <c r="FRF1534" s="4"/>
      <c r="FRG1534" s="6"/>
      <c r="FRH1534" s="4"/>
      <c r="FRI1534" s="6"/>
      <c r="FRJ1534" s="4"/>
      <c r="FRK1534" s="6"/>
      <c r="FRL1534" s="4"/>
      <c r="FRM1534" s="6"/>
      <c r="FRN1534" s="4"/>
      <c r="FRO1534" s="6"/>
      <c r="FRP1534" s="4"/>
      <c r="FRQ1534" s="6"/>
      <c r="FRR1534" s="4"/>
      <c r="FRS1534" s="6"/>
      <c r="FRT1534" s="4"/>
      <c r="FRU1534" s="6"/>
      <c r="FRV1534" s="4"/>
      <c r="FRW1534" s="6"/>
      <c r="FRX1534" s="4"/>
      <c r="FRY1534" s="6"/>
      <c r="FRZ1534" s="4"/>
      <c r="FSA1534" s="6"/>
      <c r="FSB1534" s="4"/>
      <c r="FSC1534" s="6"/>
      <c r="FSD1534" s="4"/>
      <c r="FSE1534" s="6"/>
      <c r="FSF1534" s="4"/>
      <c r="FSG1534" s="6"/>
      <c r="FSH1534" s="4"/>
      <c r="FSI1534" s="6"/>
      <c r="FSJ1534" s="4"/>
      <c r="FSK1534" s="6"/>
      <c r="FSL1534" s="4"/>
      <c r="FSM1534" s="6"/>
      <c r="FSN1534" s="4"/>
      <c r="FSO1534" s="6"/>
      <c r="FSP1534" s="4"/>
      <c r="FSQ1534" s="6"/>
      <c r="FSR1534" s="4"/>
      <c r="FSS1534" s="6"/>
      <c r="FST1534" s="4"/>
      <c r="FSU1534" s="6"/>
      <c r="FSV1534" s="4"/>
      <c r="FSW1534" s="6"/>
      <c r="FSX1534" s="4"/>
      <c r="FSY1534" s="6"/>
      <c r="FSZ1534" s="4"/>
      <c r="FTA1534" s="6"/>
      <c r="FTB1534" s="4"/>
      <c r="FTC1534" s="6"/>
      <c r="FTD1534" s="4"/>
      <c r="FTE1534" s="6"/>
      <c r="FTF1534" s="4"/>
      <c r="FTG1534" s="6"/>
      <c r="FTH1534" s="4"/>
      <c r="FTI1534" s="6"/>
      <c r="FTJ1534" s="4"/>
      <c r="FTK1534" s="6"/>
      <c r="FTL1534" s="4"/>
      <c r="FTM1534" s="6"/>
      <c r="FTN1534" s="4"/>
      <c r="FTO1534" s="6"/>
      <c r="FTP1534" s="4"/>
      <c r="FTQ1534" s="6"/>
      <c r="FTR1534" s="4"/>
      <c r="FTS1534" s="6"/>
      <c r="FTT1534" s="4"/>
      <c r="FTU1534" s="6"/>
      <c r="FTV1534" s="4"/>
      <c r="FTW1534" s="6"/>
      <c r="FTX1534" s="4"/>
      <c r="FTY1534" s="6"/>
      <c r="FTZ1534" s="4"/>
      <c r="FUA1534" s="6"/>
      <c r="FUB1534" s="4"/>
      <c r="FUC1534" s="6"/>
      <c r="FUD1534" s="4"/>
      <c r="FUE1534" s="6"/>
      <c r="FUF1534" s="4"/>
      <c r="FUG1534" s="6"/>
      <c r="FUH1534" s="4"/>
      <c r="FUI1534" s="6"/>
      <c r="FUJ1534" s="4"/>
      <c r="FUK1534" s="6"/>
      <c r="FUL1534" s="4"/>
      <c r="FUM1534" s="6"/>
      <c r="FUN1534" s="4"/>
      <c r="FUO1534" s="6"/>
      <c r="FUP1534" s="4"/>
      <c r="FUQ1534" s="6"/>
      <c r="FUR1534" s="4"/>
      <c r="FUS1534" s="6"/>
      <c r="FUT1534" s="4"/>
      <c r="FUU1534" s="6"/>
      <c r="FUV1534" s="4"/>
      <c r="FUW1534" s="6"/>
      <c r="FUX1534" s="4"/>
      <c r="FUY1534" s="6"/>
      <c r="FUZ1534" s="4"/>
      <c r="FVA1534" s="6"/>
      <c r="FVB1534" s="4"/>
      <c r="FVC1534" s="6"/>
      <c r="FVD1534" s="4"/>
      <c r="FVE1534" s="6"/>
      <c r="FVF1534" s="4"/>
      <c r="FVG1534" s="6"/>
      <c r="FVH1534" s="4"/>
      <c r="FVI1534" s="6"/>
      <c r="FVJ1534" s="4"/>
      <c r="FVK1534" s="6"/>
      <c r="FVL1534" s="4"/>
      <c r="FVM1534" s="6"/>
      <c r="FVN1534" s="4"/>
      <c r="FVO1534" s="6"/>
      <c r="FVP1534" s="4"/>
      <c r="FVQ1534" s="6"/>
      <c r="FVR1534" s="4"/>
      <c r="FVS1534" s="6"/>
      <c r="FVT1534" s="4"/>
      <c r="FVU1534" s="6"/>
      <c r="FVV1534" s="4"/>
      <c r="FVW1534" s="6"/>
      <c r="FVX1534" s="4"/>
      <c r="FVY1534" s="6"/>
      <c r="FVZ1534" s="4"/>
      <c r="FWA1534" s="6"/>
      <c r="FWB1534" s="4"/>
      <c r="FWC1534" s="6"/>
      <c r="FWD1534" s="4"/>
      <c r="FWE1534" s="6"/>
      <c r="FWF1534" s="4"/>
      <c r="FWG1534" s="6"/>
      <c r="FWH1534" s="4"/>
      <c r="FWI1534" s="6"/>
      <c r="FWJ1534" s="4"/>
      <c r="FWK1534" s="6"/>
      <c r="FWL1534" s="4"/>
      <c r="FWM1534" s="6"/>
      <c r="FWN1534" s="4"/>
      <c r="FWO1534" s="6"/>
      <c r="FWP1534" s="4"/>
      <c r="FWQ1534" s="6"/>
      <c r="FWR1534" s="4"/>
      <c r="FWS1534" s="6"/>
      <c r="FWT1534" s="4"/>
      <c r="FWU1534" s="6"/>
      <c r="FWV1534" s="4"/>
      <c r="FWW1534" s="6"/>
      <c r="FWX1534" s="4"/>
      <c r="FWY1534" s="6"/>
      <c r="FWZ1534" s="4"/>
      <c r="FXA1534" s="6"/>
      <c r="FXB1534" s="4"/>
      <c r="FXC1534" s="6"/>
      <c r="FXD1534" s="4"/>
      <c r="FXE1534" s="6"/>
      <c r="FXF1534" s="4"/>
      <c r="FXG1534" s="6"/>
      <c r="FXH1534" s="4"/>
      <c r="FXI1534" s="6"/>
      <c r="FXJ1534" s="4"/>
      <c r="FXK1534" s="6"/>
      <c r="FXL1534" s="4"/>
      <c r="FXM1534" s="6"/>
      <c r="FXN1534" s="4"/>
      <c r="FXO1534" s="6"/>
      <c r="FXP1534" s="4"/>
      <c r="FXQ1534" s="6"/>
      <c r="FXR1534" s="4"/>
      <c r="FXS1534" s="6"/>
      <c r="FXT1534" s="4"/>
      <c r="FXU1534" s="6"/>
      <c r="FXV1534" s="4"/>
      <c r="FXW1534" s="6"/>
      <c r="FXX1534" s="4"/>
      <c r="FXY1534" s="6"/>
      <c r="FXZ1534" s="4"/>
      <c r="FYA1534" s="6"/>
      <c r="FYB1534" s="4"/>
      <c r="FYC1534" s="6"/>
      <c r="FYD1534" s="4"/>
      <c r="FYE1534" s="6"/>
      <c r="FYF1534" s="4"/>
      <c r="FYG1534" s="6"/>
      <c r="FYH1534" s="4"/>
      <c r="FYI1534" s="6"/>
      <c r="FYJ1534" s="4"/>
      <c r="FYK1534" s="6"/>
      <c r="FYL1534" s="4"/>
      <c r="FYM1534" s="6"/>
      <c r="FYN1534" s="4"/>
      <c r="FYO1534" s="6"/>
      <c r="FYP1534" s="4"/>
      <c r="FYQ1534" s="6"/>
      <c r="FYR1534" s="4"/>
      <c r="FYS1534" s="6"/>
      <c r="FYT1534" s="4"/>
      <c r="FYU1534" s="6"/>
      <c r="FYV1534" s="4"/>
      <c r="FYW1534" s="6"/>
      <c r="FYX1534" s="4"/>
      <c r="FYY1534" s="6"/>
      <c r="FYZ1534" s="4"/>
      <c r="FZA1534" s="6"/>
      <c r="FZB1534" s="4"/>
      <c r="FZC1534" s="6"/>
      <c r="FZD1534" s="4"/>
      <c r="FZE1534" s="6"/>
      <c r="FZF1534" s="4"/>
      <c r="FZG1534" s="6"/>
      <c r="FZH1534" s="4"/>
      <c r="FZI1534" s="6"/>
      <c r="FZJ1534" s="4"/>
      <c r="FZK1534" s="6"/>
      <c r="FZL1534" s="4"/>
      <c r="FZM1534" s="6"/>
      <c r="FZN1534" s="4"/>
      <c r="FZO1534" s="6"/>
      <c r="FZP1534" s="4"/>
      <c r="FZQ1534" s="6"/>
      <c r="FZR1534" s="4"/>
      <c r="FZS1534" s="6"/>
      <c r="FZT1534" s="4"/>
      <c r="FZU1534" s="6"/>
      <c r="FZV1534" s="4"/>
      <c r="FZW1534" s="6"/>
      <c r="FZX1534" s="4"/>
      <c r="FZY1534" s="6"/>
      <c r="FZZ1534" s="4"/>
      <c r="GAA1534" s="6"/>
      <c r="GAB1534" s="4"/>
      <c r="GAC1534" s="6"/>
      <c r="GAD1534" s="4"/>
      <c r="GAE1534" s="6"/>
      <c r="GAF1534" s="4"/>
      <c r="GAG1534" s="6"/>
      <c r="GAH1534" s="4"/>
      <c r="GAI1534" s="6"/>
      <c r="GAJ1534" s="4"/>
      <c r="GAK1534" s="6"/>
      <c r="GAL1534" s="4"/>
      <c r="GAM1534" s="6"/>
      <c r="GAN1534" s="4"/>
      <c r="GAO1534" s="6"/>
      <c r="GAP1534" s="4"/>
      <c r="GAQ1534" s="6"/>
      <c r="GAR1534" s="4"/>
      <c r="GAS1534" s="6"/>
      <c r="GAT1534" s="4"/>
      <c r="GAU1534" s="6"/>
      <c r="GAV1534" s="4"/>
      <c r="GAW1534" s="6"/>
      <c r="GAX1534" s="4"/>
      <c r="GAY1534" s="6"/>
      <c r="GAZ1534" s="4"/>
      <c r="GBA1534" s="6"/>
      <c r="GBB1534" s="4"/>
      <c r="GBC1534" s="6"/>
      <c r="GBD1534" s="4"/>
      <c r="GBE1534" s="6"/>
      <c r="GBF1534" s="4"/>
      <c r="GBG1534" s="6"/>
      <c r="GBH1534" s="4"/>
      <c r="GBI1534" s="6"/>
      <c r="GBJ1534" s="4"/>
      <c r="GBK1534" s="6"/>
      <c r="GBL1534" s="4"/>
      <c r="GBM1534" s="6"/>
      <c r="GBN1534" s="4"/>
      <c r="GBO1534" s="6"/>
      <c r="GBP1534" s="4"/>
      <c r="GBQ1534" s="6"/>
      <c r="GBR1534" s="4"/>
      <c r="GBS1534" s="6"/>
      <c r="GBT1534" s="4"/>
      <c r="GBU1534" s="6"/>
      <c r="GBV1534" s="4"/>
      <c r="GBW1534" s="6"/>
      <c r="GBX1534" s="4"/>
      <c r="GBY1534" s="6"/>
      <c r="GBZ1534" s="4"/>
      <c r="GCA1534" s="6"/>
      <c r="GCB1534" s="4"/>
      <c r="GCC1534" s="6"/>
      <c r="GCD1534" s="4"/>
      <c r="GCE1534" s="6"/>
      <c r="GCF1534" s="4"/>
      <c r="GCG1534" s="6"/>
      <c r="GCH1534" s="4"/>
      <c r="GCI1534" s="6"/>
      <c r="GCJ1534" s="4"/>
      <c r="GCK1534" s="6"/>
      <c r="GCL1534" s="4"/>
      <c r="GCM1534" s="6"/>
      <c r="GCN1534" s="4"/>
      <c r="GCO1534" s="6"/>
      <c r="GCP1534" s="4"/>
      <c r="GCQ1534" s="6"/>
      <c r="GCR1534" s="4"/>
      <c r="GCS1534" s="6"/>
      <c r="GCT1534" s="4"/>
      <c r="GCU1534" s="6"/>
      <c r="GCV1534" s="4"/>
      <c r="GCW1534" s="6"/>
      <c r="GCX1534" s="4"/>
      <c r="GCY1534" s="6"/>
      <c r="GCZ1534" s="4"/>
      <c r="GDA1534" s="6"/>
      <c r="GDB1534" s="4"/>
      <c r="GDC1534" s="6"/>
      <c r="GDD1534" s="4"/>
      <c r="GDE1534" s="6"/>
      <c r="GDF1534" s="4"/>
      <c r="GDG1534" s="6"/>
      <c r="GDH1534" s="4"/>
      <c r="GDI1534" s="6"/>
      <c r="GDJ1534" s="4"/>
      <c r="GDK1534" s="6"/>
      <c r="GDL1534" s="4"/>
      <c r="GDM1534" s="6"/>
      <c r="GDN1534" s="4"/>
      <c r="GDO1534" s="6"/>
      <c r="GDP1534" s="4"/>
      <c r="GDQ1534" s="6"/>
      <c r="GDR1534" s="4"/>
      <c r="GDS1534" s="6"/>
      <c r="GDT1534" s="4"/>
      <c r="GDU1534" s="6"/>
      <c r="GDV1534" s="4"/>
      <c r="GDW1534" s="6"/>
      <c r="GDX1534" s="4"/>
      <c r="GDY1534" s="6"/>
      <c r="GDZ1534" s="4"/>
      <c r="GEA1534" s="6"/>
      <c r="GEB1534" s="4"/>
      <c r="GEC1534" s="6"/>
      <c r="GED1534" s="4"/>
      <c r="GEE1534" s="6"/>
      <c r="GEF1534" s="4"/>
      <c r="GEG1534" s="6"/>
      <c r="GEH1534" s="4"/>
      <c r="GEI1534" s="6"/>
      <c r="GEJ1534" s="4"/>
      <c r="GEK1534" s="6"/>
      <c r="GEL1534" s="4"/>
      <c r="GEM1534" s="6"/>
      <c r="GEN1534" s="4"/>
      <c r="GEO1534" s="6"/>
      <c r="GEP1534" s="4"/>
      <c r="GEQ1534" s="6"/>
      <c r="GER1534" s="4"/>
      <c r="GES1534" s="6"/>
      <c r="GET1534" s="4"/>
      <c r="GEU1534" s="6"/>
      <c r="GEV1534" s="4"/>
      <c r="GEW1534" s="6"/>
      <c r="GEX1534" s="4"/>
      <c r="GEY1534" s="6"/>
      <c r="GEZ1534" s="4"/>
      <c r="GFA1534" s="6"/>
      <c r="GFB1534" s="4"/>
      <c r="GFC1534" s="6"/>
      <c r="GFD1534" s="4"/>
      <c r="GFE1534" s="6"/>
      <c r="GFF1534" s="4"/>
      <c r="GFG1534" s="6"/>
      <c r="GFH1534" s="4"/>
      <c r="GFI1534" s="6"/>
      <c r="GFJ1534" s="4"/>
      <c r="GFK1534" s="6"/>
      <c r="GFL1534" s="4"/>
      <c r="GFM1534" s="6"/>
      <c r="GFN1534" s="4"/>
      <c r="GFO1534" s="6"/>
      <c r="GFP1534" s="4"/>
      <c r="GFQ1534" s="6"/>
      <c r="GFR1534" s="4"/>
      <c r="GFS1534" s="6"/>
      <c r="GFT1534" s="4"/>
      <c r="GFU1534" s="6"/>
      <c r="GFV1534" s="4"/>
      <c r="GFW1534" s="6"/>
      <c r="GFX1534" s="4"/>
      <c r="GFY1534" s="6"/>
      <c r="GFZ1534" s="4"/>
      <c r="GGA1534" s="6"/>
      <c r="GGB1534" s="4"/>
      <c r="GGC1534" s="6"/>
      <c r="GGD1534" s="4"/>
      <c r="GGE1534" s="6"/>
      <c r="GGF1534" s="4"/>
      <c r="GGG1534" s="6"/>
      <c r="GGH1534" s="4"/>
      <c r="GGI1534" s="6"/>
      <c r="GGJ1534" s="4"/>
      <c r="GGK1534" s="6"/>
      <c r="GGL1534" s="4"/>
      <c r="GGM1534" s="6"/>
      <c r="GGN1534" s="4"/>
      <c r="GGO1534" s="6"/>
      <c r="GGP1534" s="4"/>
      <c r="GGQ1534" s="6"/>
      <c r="GGR1534" s="4"/>
      <c r="GGS1534" s="6"/>
      <c r="GGT1534" s="4"/>
      <c r="GGU1534" s="6"/>
      <c r="GGV1534" s="4"/>
      <c r="GGW1534" s="6"/>
      <c r="GGX1534" s="4"/>
      <c r="GGY1534" s="6"/>
      <c r="GGZ1534" s="4"/>
      <c r="GHA1534" s="6"/>
      <c r="GHB1534" s="4"/>
      <c r="GHC1534" s="6"/>
      <c r="GHD1534" s="4"/>
      <c r="GHE1534" s="6"/>
      <c r="GHF1534" s="4"/>
      <c r="GHG1534" s="6"/>
      <c r="GHH1534" s="4"/>
      <c r="GHI1534" s="6"/>
      <c r="GHJ1534" s="4"/>
      <c r="GHK1534" s="6"/>
      <c r="GHL1534" s="4"/>
      <c r="GHM1534" s="6"/>
      <c r="GHN1534" s="4"/>
      <c r="GHO1534" s="6"/>
      <c r="GHP1534" s="4"/>
      <c r="GHQ1534" s="6"/>
      <c r="GHR1534" s="4"/>
      <c r="GHS1534" s="6"/>
      <c r="GHT1534" s="4"/>
      <c r="GHU1534" s="6"/>
      <c r="GHV1534" s="4"/>
      <c r="GHW1534" s="6"/>
      <c r="GHX1534" s="4"/>
      <c r="GHY1534" s="6"/>
      <c r="GHZ1534" s="4"/>
      <c r="GIA1534" s="6"/>
      <c r="GIB1534" s="4"/>
      <c r="GIC1534" s="6"/>
      <c r="GID1534" s="4"/>
      <c r="GIE1534" s="6"/>
      <c r="GIF1534" s="4"/>
      <c r="GIG1534" s="6"/>
      <c r="GIH1534" s="4"/>
      <c r="GII1534" s="6"/>
      <c r="GIJ1534" s="4"/>
      <c r="GIK1534" s="6"/>
      <c r="GIL1534" s="4"/>
      <c r="GIM1534" s="6"/>
      <c r="GIN1534" s="4"/>
      <c r="GIO1534" s="6"/>
      <c r="GIP1534" s="4"/>
      <c r="GIQ1534" s="6"/>
      <c r="GIR1534" s="4"/>
      <c r="GIS1534" s="6"/>
      <c r="GIT1534" s="4"/>
      <c r="GIU1534" s="6"/>
      <c r="GIV1534" s="4"/>
      <c r="GIW1534" s="6"/>
      <c r="GIX1534" s="4"/>
      <c r="GIY1534" s="6"/>
      <c r="GIZ1534" s="4"/>
      <c r="GJA1534" s="6"/>
      <c r="GJB1534" s="4"/>
      <c r="GJC1534" s="6"/>
      <c r="GJD1534" s="4"/>
      <c r="GJE1534" s="6"/>
      <c r="GJF1534" s="4"/>
      <c r="GJG1534" s="6"/>
      <c r="GJH1534" s="4"/>
      <c r="GJI1534" s="6"/>
      <c r="GJJ1534" s="4"/>
      <c r="GJK1534" s="6"/>
      <c r="GJL1534" s="4"/>
      <c r="GJM1534" s="6"/>
      <c r="GJN1534" s="4"/>
      <c r="GJO1534" s="6"/>
      <c r="GJP1534" s="4"/>
      <c r="GJQ1534" s="6"/>
      <c r="GJR1534" s="4"/>
      <c r="GJS1534" s="6"/>
      <c r="GJT1534" s="4"/>
      <c r="GJU1534" s="6"/>
      <c r="GJV1534" s="4"/>
      <c r="GJW1534" s="6"/>
      <c r="GJX1534" s="4"/>
      <c r="GJY1534" s="6"/>
      <c r="GJZ1534" s="4"/>
      <c r="GKA1534" s="6"/>
      <c r="GKB1534" s="4"/>
      <c r="GKC1534" s="6"/>
      <c r="GKD1534" s="4"/>
      <c r="GKE1534" s="6"/>
      <c r="GKF1534" s="4"/>
      <c r="GKG1534" s="6"/>
      <c r="GKH1534" s="4"/>
      <c r="GKI1534" s="6"/>
      <c r="GKJ1534" s="4"/>
      <c r="GKK1534" s="6"/>
      <c r="GKL1534" s="4"/>
      <c r="GKM1534" s="6"/>
      <c r="GKN1534" s="4"/>
      <c r="GKO1534" s="6"/>
      <c r="GKP1534" s="4"/>
      <c r="GKQ1534" s="6"/>
      <c r="GKR1534" s="4"/>
      <c r="GKS1534" s="6"/>
      <c r="GKT1534" s="4"/>
      <c r="GKU1534" s="6"/>
      <c r="GKV1534" s="4"/>
      <c r="GKW1534" s="6"/>
      <c r="GKX1534" s="4"/>
      <c r="GKY1534" s="6"/>
      <c r="GKZ1534" s="4"/>
      <c r="GLA1534" s="6"/>
      <c r="GLB1534" s="4"/>
      <c r="GLC1534" s="6"/>
      <c r="GLD1534" s="4"/>
      <c r="GLE1534" s="6"/>
      <c r="GLF1534" s="4"/>
      <c r="GLG1534" s="6"/>
      <c r="GLH1534" s="4"/>
      <c r="GLI1534" s="6"/>
      <c r="GLJ1534" s="4"/>
      <c r="GLK1534" s="6"/>
      <c r="GLL1534" s="4"/>
      <c r="GLM1534" s="6"/>
      <c r="GLN1534" s="4"/>
      <c r="GLO1534" s="6"/>
      <c r="GLP1534" s="4"/>
      <c r="GLQ1534" s="6"/>
      <c r="GLR1534" s="4"/>
      <c r="GLS1534" s="6"/>
      <c r="GLT1534" s="4"/>
      <c r="GLU1534" s="6"/>
      <c r="GLV1534" s="4"/>
      <c r="GLW1534" s="6"/>
      <c r="GLX1534" s="4"/>
      <c r="GLY1534" s="6"/>
      <c r="GLZ1534" s="4"/>
      <c r="GMA1534" s="6"/>
      <c r="GMB1534" s="4"/>
      <c r="GMC1534" s="6"/>
      <c r="GMD1534" s="4"/>
      <c r="GME1534" s="6"/>
      <c r="GMF1534" s="4"/>
      <c r="GMG1534" s="6"/>
      <c r="GMH1534" s="4"/>
      <c r="GMI1534" s="6"/>
      <c r="GMJ1534" s="4"/>
      <c r="GMK1534" s="6"/>
      <c r="GML1534" s="4"/>
      <c r="GMM1534" s="6"/>
      <c r="GMN1534" s="4"/>
      <c r="GMO1534" s="6"/>
      <c r="GMP1534" s="4"/>
      <c r="GMQ1534" s="6"/>
      <c r="GMR1534" s="4"/>
      <c r="GMS1534" s="6"/>
      <c r="GMT1534" s="4"/>
      <c r="GMU1534" s="6"/>
      <c r="GMV1534" s="4"/>
      <c r="GMW1534" s="6"/>
      <c r="GMX1534" s="4"/>
      <c r="GMY1534" s="6"/>
      <c r="GMZ1534" s="4"/>
      <c r="GNA1534" s="6"/>
      <c r="GNB1534" s="4"/>
      <c r="GNC1534" s="6"/>
      <c r="GND1534" s="4"/>
      <c r="GNE1534" s="6"/>
      <c r="GNF1534" s="4"/>
      <c r="GNG1534" s="6"/>
      <c r="GNH1534" s="4"/>
      <c r="GNI1534" s="6"/>
      <c r="GNJ1534" s="4"/>
      <c r="GNK1534" s="6"/>
      <c r="GNL1534" s="4"/>
      <c r="GNM1534" s="6"/>
      <c r="GNN1534" s="4"/>
      <c r="GNO1534" s="6"/>
      <c r="GNP1534" s="4"/>
      <c r="GNQ1534" s="6"/>
      <c r="GNR1534" s="4"/>
      <c r="GNS1534" s="6"/>
      <c r="GNT1534" s="4"/>
      <c r="GNU1534" s="6"/>
      <c r="GNV1534" s="4"/>
      <c r="GNW1534" s="6"/>
      <c r="GNX1534" s="4"/>
      <c r="GNY1534" s="6"/>
      <c r="GNZ1534" s="4"/>
      <c r="GOA1534" s="6"/>
      <c r="GOB1534" s="4"/>
      <c r="GOC1534" s="6"/>
      <c r="GOD1534" s="4"/>
      <c r="GOE1534" s="6"/>
      <c r="GOF1534" s="4"/>
      <c r="GOG1534" s="6"/>
      <c r="GOH1534" s="4"/>
      <c r="GOI1534" s="6"/>
      <c r="GOJ1534" s="4"/>
      <c r="GOK1534" s="6"/>
      <c r="GOL1534" s="4"/>
      <c r="GOM1534" s="6"/>
      <c r="GON1534" s="4"/>
      <c r="GOO1534" s="6"/>
      <c r="GOP1534" s="4"/>
      <c r="GOQ1534" s="6"/>
      <c r="GOR1534" s="4"/>
      <c r="GOS1534" s="6"/>
      <c r="GOT1534" s="4"/>
      <c r="GOU1534" s="6"/>
      <c r="GOV1534" s="4"/>
      <c r="GOW1534" s="6"/>
      <c r="GOX1534" s="4"/>
      <c r="GOY1534" s="6"/>
      <c r="GOZ1534" s="4"/>
      <c r="GPA1534" s="6"/>
      <c r="GPB1534" s="4"/>
      <c r="GPC1534" s="6"/>
      <c r="GPD1534" s="4"/>
      <c r="GPE1534" s="6"/>
      <c r="GPF1534" s="4"/>
      <c r="GPG1534" s="6"/>
      <c r="GPH1534" s="4"/>
      <c r="GPI1534" s="6"/>
      <c r="GPJ1534" s="4"/>
      <c r="GPK1534" s="6"/>
      <c r="GPL1534" s="4"/>
      <c r="GPM1534" s="6"/>
      <c r="GPN1534" s="4"/>
      <c r="GPO1534" s="6"/>
      <c r="GPP1534" s="4"/>
      <c r="GPQ1534" s="6"/>
      <c r="GPR1534" s="4"/>
      <c r="GPS1534" s="6"/>
      <c r="GPT1534" s="4"/>
      <c r="GPU1534" s="6"/>
      <c r="GPV1534" s="4"/>
      <c r="GPW1534" s="6"/>
      <c r="GPX1534" s="4"/>
      <c r="GPY1534" s="6"/>
      <c r="GPZ1534" s="4"/>
      <c r="GQA1534" s="6"/>
      <c r="GQB1534" s="4"/>
      <c r="GQC1534" s="6"/>
      <c r="GQD1534" s="4"/>
      <c r="GQE1534" s="6"/>
      <c r="GQF1534" s="4"/>
      <c r="GQG1534" s="6"/>
      <c r="GQH1534" s="4"/>
      <c r="GQI1534" s="6"/>
      <c r="GQJ1534" s="4"/>
      <c r="GQK1534" s="6"/>
      <c r="GQL1534" s="4"/>
      <c r="GQM1534" s="6"/>
      <c r="GQN1534" s="4"/>
      <c r="GQO1534" s="6"/>
      <c r="GQP1534" s="4"/>
      <c r="GQQ1534" s="6"/>
      <c r="GQR1534" s="4"/>
      <c r="GQS1534" s="6"/>
      <c r="GQT1534" s="4"/>
      <c r="GQU1534" s="6"/>
      <c r="GQV1534" s="4"/>
      <c r="GQW1534" s="6"/>
      <c r="GQX1534" s="4"/>
      <c r="GQY1534" s="6"/>
      <c r="GQZ1534" s="4"/>
      <c r="GRA1534" s="6"/>
      <c r="GRB1534" s="4"/>
      <c r="GRC1534" s="6"/>
      <c r="GRD1534" s="4"/>
      <c r="GRE1534" s="6"/>
      <c r="GRF1534" s="4"/>
      <c r="GRG1534" s="6"/>
      <c r="GRH1534" s="4"/>
      <c r="GRI1534" s="6"/>
      <c r="GRJ1534" s="4"/>
      <c r="GRK1534" s="6"/>
      <c r="GRL1534" s="4"/>
      <c r="GRM1534" s="6"/>
      <c r="GRN1534" s="4"/>
      <c r="GRO1534" s="6"/>
      <c r="GRP1534" s="4"/>
      <c r="GRQ1534" s="6"/>
      <c r="GRR1534" s="4"/>
      <c r="GRS1534" s="6"/>
      <c r="GRT1534" s="4"/>
      <c r="GRU1534" s="6"/>
      <c r="GRV1534" s="4"/>
      <c r="GRW1534" s="6"/>
      <c r="GRX1534" s="4"/>
      <c r="GRY1534" s="6"/>
      <c r="GRZ1534" s="4"/>
      <c r="GSA1534" s="6"/>
      <c r="GSB1534" s="4"/>
      <c r="GSC1534" s="6"/>
      <c r="GSD1534" s="4"/>
      <c r="GSE1534" s="6"/>
      <c r="GSF1534" s="4"/>
      <c r="GSG1534" s="6"/>
      <c r="GSH1534" s="4"/>
      <c r="GSI1534" s="6"/>
      <c r="GSJ1534" s="4"/>
      <c r="GSK1534" s="6"/>
      <c r="GSL1534" s="4"/>
      <c r="GSM1534" s="6"/>
      <c r="GSN1534" s="4"/>
      <c r="GSO1534" s="6"/>
      <c r="GSP1534" s="4"/>
      <c r="GSQ1534" s="6"/>
      <c r="GSR1534" s="4"/>
      <c r="GSS1534" s="6"/>
      <c r="GST1534" s="4"/>
      <c r="GSU1534" s="6"/>
      <c r="GSV1534" s="4"/>
      <c r="GSW1534" s="6"/>
      <c r="GSX1534" s="4"/>
      <c r="GSY1534" s="6"/>
      <c r="GSZ1534" s="4"/>
      <c r="GTA1534" s="6"/>
      <c r="GTB1534" s="4"/>
      <c r="GTC1534" s="6"/>
      <c r="GTD1534" s="4"/>
      <c r="GTE1534" s="6"/>
      <c r="GTF1534" s="4"/>
      <c r="GTG1534" s="6"/>
      <c r="GTH1534" s="4"/>
      <c r="GTI1534" s="6"/>
      <c r="GTJ1534" s="4"/>
      <c r="GTK1534" s="6"/>
      <c r="GTL1534" s="4"/>
      <c r="GTM1534" s="6"/>
      <c r="GTN1534" s="4"/>
      <c r="GTO1534" s="6"/>
      <c r="GTP1534" s="4"/>
      <c r="GTQ1534" s="6"/>
      <c r="GTR1534" s="4"/>
      <c r="GTS1534" s="6"/>
      <c r="GTT1534" s="4"/>
      <c r="GTU1534" s="6"/>
      <c r="GTV1534" s="4"/>
      <c r="GTW1534" s="6"/>
      <c r="GTX1534" s="4"/>
      <c r="GTY1534" s="6"/>
      <c r="GTZ1534" s="4"/>
      <c r="GUA1534" s="6"/>
      <c r="GUB1534" s="4"/>
      <c r="GUC1534" s="6"/>
      <c r="GUD1534" s="4"/>
      <c r="GUE1534" s="6"/>
      <c r="GUF1534" s="4"/>
      <c r="GUG1534" s="6"/>
      <c r="GUH1534" s="4"/>
      <c r="GUI1534" s="6"/>
      <c r="GUJ1534" s="4"/>
      <c r="GUK1534" s="6"/>
      <c r="GUL1534" s="4"/>
      <c r="GUM1534" s="6"/>
      <c r="GUN1534" s="4"/>
      <c r="GUO1534" s="6"/>
      <c r="GUP1534" s="4"/>
      <c r="GUQ1534" s="6"/>
      <c r="GUR1534" s="4"/>
      <c r="GUS1534" s="6"/>
      <c r="GUT1534" s="4"/>
      <c r="GUU1534" s="6"/>
      <c r="GUV1534" s="4"/>
      <c r="GUW1534" s="6"/>
      <c r="GUX1534" s="4"/>
      <c r="GUY1534" s="6"/>
      <c r="GUZ1534" s="4"/>
      <c r="GVA1534" s="6"/>
      <c r="GVB1534" s="4"/>
      <c r="GVC1534" s="6"/>
      <c r="GVD1534" s="4"/>
      <c r="GVE1534" s="6"/>
      <c r="GVF1534" s="4"/>
      <c r="GVG1534" s="6"/>
      <c r="GVH1534" s="4"/>
      <c r="GVI1534" s="6"/>
      <c r="GVJ1534" s="4"/>
      <c r="GVK1534" s="6"/>
      <c r="GVL1534" s="4"/>
      <c r="GVM1534" s="6"/>
      <c r="GVN1534" s="4"/>
      <c r="GVO1534" s="6"/>
      <c r="GVP1534" s="4"/>
      <c r="GVQ1534" s="6"/>
      <c r="GVR1534" s="4"/>
      <c r="GVS1534" s="6"/>
      <c r="GVT1534" s="4"/>
      <c r="GVU1534" s="6"/>
      <c r="GVV1534" s="4"/>
      <c r="GVW1534" s="6"/>
      <c r="GVX1534" s="4"/>
      <c r="GVY1534" s="6"/>
      <c r="GVZ1534" s="4"/>
      <c r="GWA1534" s="6"/>
      <c r="GWB1534" s="4"/>
      <c r="GWC1534" s="6"/>
      <c r="GWD1534" s="4"/>
      <c r="GWE1534" s="6"/>
      <c r="GWF1534" s="4"/>
      <c r="GWG1534" s="6"/>
      <c r="GWH1534" s="4"/>
      <c r="GWI1534" s="6"/>
      <c r="GWJ1534" s="4"/>
      <c r="GWK1534" s="6"/>
      <c r="GWL1534" s="4"/>
      <c r="GWM1534" s="6"/>
      <c r="GWN1534" s="4"/>
      <c r="GWO1534" s="6"/>
      <c r="GWP1534" s="4"/>
      <c r="GWQ1534" s="6"/>
      <c r="GWR1534" s="4"/>
      <c r="GWS1534" s="6"/>
      <c r="GWT1534" s="4"/>
      <c r="GWU1534" s="6"/>
      <c r="GWV1534" s="4"/>
      <c r="GWW1534" s="6"/>
      <c r="GWX1534" s="4"/>
      <c r="GWY1534" s="6"/>
      <c r="GWZ1534" s="4"/>
      <c r="GXA1534" s="6"/>
      <c r="GXB1534" s="4"/>
      <c r="GXC1534" s="6"/>
      <c r="GXD1534" s="4"/>
      <c r="GXE1534" s="6"/>
      <c r="GXF1534" s="4"/>
      <c r="GXG1534" s="6"/>
      <c r="GXH1534" s="4"/>
      <c r="GXI1534" s="6"/>
      <c r="GXJ1534" s="4"/>
      <c r="GXK1534" s="6"/>
      <c r="GXL1534" s="4"/>
      <c r="GXM1534" s="6"/>
      <c r="GXN1534" s="4"/>
      <c r="GXO1534" s="6"/>
      <c r="GXP1534" s="4"/>
      <c r="GXQ1534" s="6"/>
      <c r="GXR1534" s="4"/>
      <c r="GXS1534" s="6"/>
      <c r="GXT1534" s="4"/>
      <c r="GXU1534" s="6"/>
      <c r="GXV1534" s="4"/>
      <c r="GXW1534" s="6"/>
      <c r="GXX1534" s="4"/>
      <c r="GXY1534" s="6"/>
      <c r="GXZ1534" s="4"/>
      <c r="GYA1534" s="6"/>
      <c r="GYB1534" s="4"/>
      <c r="GYC1534" s="6"/>
      <c r="GYD1534" s="4"/>
      <c r="GYE1534" s="6"/>
      <c r="GYF1534" s="4"/>
      <c r="GYG1534" s="6"/>
      <c r="GYH1534" s="4"/>
      <c r="GYI1534" s="6"/>
      <c r="GYJ1534" s="4"/>
      <c r="GYK1534" s="6"/>
      <c r="GYL1534" s="4"/>
      <c r="GYM1534" s="6"/>
      <c r="GYN1534" s="4"/>
      <c r="GYO1534" s="6"/>
      <c r="GYP1534" s="4"/>
      <c r="GYQ1534" s="6"/>
      <c r="GYR1534" s="4"/>
      <c r="GYS1534" s="6"/>
      <c r="GYT1534" s="4"/>
      <c r="GYU1534" s="6"/>
      <c r="GYV1534" s="4"/>
      <c r="GYW1534" s="6"/>
      <c r="GYX1534" s="4"/>
      <c r="GYY1534" s="6"/>
      <c r="GYZ1534" s="4"/>
      <c r="GZA1534" s="6"/>
      <c r="GZB1534" s="4"/>
      <c r="GZC1534" s="6"/>
      <c r="GZD1534" s="4"/>
      <c r="GZE1534" s="6"/>
      <c r="GZF1534" s="4"/>
      <c r="GZG1534" s="6"/>
      <c r="GZH1534" s="4"/>
      <c r="GZI1534" s="6"/>
      <c r="GZJ1534" s="4"/>
      <c r="GZK1534" s="6"/>
      <c r="GZL1534" s="4"/>
      <c r="GZM1534" s="6"/>
      <c r="GZN1534" s="4"/>
      <c r="GZO1534" s="6"/>
      <c r="GZP1534" s="4"/>
      <c r="GZQ1534" s="6"/>
      <c r="GZR1534" s="4"/>
      <c r="GZS1534" s="6"/>
      <c r="GZT1534" s="4"/>
      <c r="GZU1534" s="6"/>
      <c r="GZV1534" s="4"/>
      <c r="GZW1534" s="6"/>
      <c r="GZX1534" s="4"/>
      <c r="GZY1534" s="6"/>
      <c r="GZZ1534" s="4"/>
      <c r="HAA1534" s="6"/>
      <c r="HAB1534" s="4"/>
      <c r="HAC1534" s="6"/>
      <c r="HAD1534" s="4"/>
      <c r="HAE1534" s="6"/>
      <c r="HAF1534" s="4"/>
      <c r="HAG1534" s="6"/>
      <c r="HAH1534" s="4"/>
      <c r="HAI1534" s="6"/>
      <c r="HAJ1534" s="4"/>
      <c r="HAK1534" s="6"/>
      <c r="HAL1534" s="4"/>
      <c r="HAM1534" s="6"/>
      <c r="HAN1534" s="4"/>
      <c r="HAO1534" s="6"/>
      <c r="HAP1534" s="4"/>
      <c r="HAQ1534" s="6"/>
      <c r="HAR1534" s="4"/>
      <c r="HAS1534" s="6"/>
      <c r="HAT1534" s="4"/>
      <c r="HAU1534" s="6"/>
      <c r="HAV1534" s="4"/>
      <c r="HAW1534" s="6"/>
      <c r="HAX1534" s="4"/>
      <c r="HAY1534" s="6"/>
      <c r="HAZ1534" s="4"/>
      <c r="HBA1534" s="6"/>
      <c r="HBB1534" s="4"/>
      <c r="HBC1534" s="6"/>
      <c r="HBD1534" s="4"/>
      <c r="HBE1534" s="6"/>
      <c r="HBF1534" s="4"/>
      <c r="HBG1534" s="6"/>
      <c r="HBH1534" s="4"/>
      <c r="HBI1534" s="6"/>
      <c r="HBJ1534" s="4"/>
      <c r="HBK1534" s="6"/>
      <c r="HBL1534" s="4"/>
      <c r="HBM1534" s="6"/>
      <c r="HBN1534" s="4"/>
      <c r="HBO1534" s="6"/>
      <c r="HBP1534" s="4"/>
      <c r="HBQ1534" s="6"/>
      <c r="HBR1534" s="4"/>
      <c r="HBS1534" s="6"/>
      <c r="HBT1534" s="4"/>
      <c r="HBU1534" s="6"/>
      <c r="HBV1534" s="4"/>
      <c r="HBW1534" s="6"/>
      <c r="HBX1534" s="4"/>
      <c r="HBY1534" s="6"/>
      <c r="HBZ1534" s="4"/>
      <c r="HCA1534" s="6"/>
      <c r="HCB1534" s="4"/>
      <c r="HCC1534" s="6"/>
      <c r="HCD1534" s="4"/>
      <c r="HCE1534" s="6"/>
      <c r="HCF1534" s="4"/>
      <c r="HCG1534" s="6"/>
      <c r="HCH1534" s="4"/>
      <c r="HCI1534" s="6"/>
      <c r="HCJ1534" s="4"/>
      <c r="HCK1534" s="6"/>
      <c r="HCL1534" s="4"/>
      <c r="HCM1534" s="6"/>
      <c r="HCN1534" s="4"/>
      <c r="HCO1534" s="6"/>
      <c r="HCP1534" s="4"/>
      <c r="HCQ1534" s="6"/>
      <c r="HCR1534" s="4"/>
      <c r="HCS1534" s="6"/>
      <c r="HCT1534" s="4"/>
      <c r="HCU1534" s="6"/>
      <c r="HCV1534" s="4"/>
      <c r="HCW1534" s="6"/>
      <c r="HCX1534" s="4"/>
      <c r="HCY1534" s="6"/>
      <c r="HCZ1534" s="4"/>
      <c r="HDA1534" s="6"/>
      <c r="HDB1534" s="4"/>
      <c r="HDC1534" s="6"/>
      <c r="HDD1534" s="4"/>
      <c r="HDE1534" s="6"/>
      <c r="HDF1534" s="4"/>
      <c r="HDG1534" s="6"/>
      <c r="HDH1534" s="4"/>
      <c r="HDI1534" s="6"/>
      <c r="HDJ1534" s="4"/>
      <c r="HDK1534" s="6"/>
      <c r="HDL1534" s="4"/>
      <c r="HDM1534" s="6"/>
      <c r="HDN1534" s="4"/>
      <c r="HDO1534" s="6"/>
      <c r="HDP1534" s="4"/>
      <c r="HDQ1534" s="6"/>
      <c r="HDR1534" s="4"/>
      <c r="HDS1534" s="6"/>
      <c r="HDT1534" s="4"/>
      <c r="HDU1534" s="6"/>
      <c r="HDV1534" s="4"/>
      <c r="HDW1534" s="6"/>
      <c r="HDX1534" s="4"/>
      <c r="HDY1534" s="6"/>
      <c r="HDZ1534" s="4"/>
      <c r="HEA1534" s="6"/>
      <c r="HEB1534" s="4"/>
      <c r="HEC1534" s="6"/>
      <c r="HED1534" s="4"/>
      <c r="HEE1534" s="6"/>
      <c r="HEF1534" s="4"/>
      <c r="HEG1534" s="6"/>
      <c r="HEH1534" s="4"/>
      <c r="HEI1534" s="6"/>
      <c r="HEJ1534" s="4"/>
      <c r="HEK1534" s="6"/>
      <c r="HEL1534" s="4"/>
      <c r="HEM1534" s="6"/>
      <c r="HEN1534" s="4"/>
      <c r="HEO1534" s="6"/>
      <c r="HEP1534" s="4"/>
      <c r="HEQ1534" s="6"/>
      <c r="HER1534" s="4"/>
      <c r="HES1534" s="6"/>
      <c r="HET1534" s="4"/>
      <c r="HEU1534" s="6"/>
      <c r="HEV1534" s="4"/>
      <c r="HEW1534" s="6"/>
      <c r="HEX1534" s="4"/>
      <c r="HEY1534" s="6"/>
      <c r="HEZ1534" s="4"/>
      <c r="HFA1534" s="6"/>
      <c r="HFB1534" s="4"/>
      <c r="HFC1534" s="6"/>
      <c r="HFD1534" s="4"/>
      <c r="HFE1534" s="6"/>
      <c r="HFF1534" s="4"/>
      <c r="HFG1534" s="6"/>
      <c r="HFH1534" s="4"/>
      <c r="HFI1534" s="6"/>
      <c r="HFJ1534" s="4"/>
      <c r="HFK1534" s="6"/>
      <c r="HFL1534" s="4"/>
      <c r="HFM1534" s="6"/>
      <c r="HFN1534" s="4"/>
      <c r="HFO1534" s="6"/>
      <c r="HFP1534" s="4"/>
      <c r="HFQ1534" s="6"/>
      <c r="HFR1534" s="4"/>
      <c r="HFS1534" s="6"/>
      <c r="HFT1534" s="4"/>
      <c r="HFU1534" s="6"/>
      <c r="HFV1534" s="4"/>
      <c r="HFW1534" s="6"/>
      <c r="HFX1534" s="4"/>
      <c r="HFY1534" s="6"/>
      <c r="HFZ1534" s="4"/>
      <c r="HGA1534" s="6"/>
      <c r="HGB1534" s="4"/>
      <c r="HGC1534" s="6"/>
      <c r="HGD1534" s="4"/>
      <c r="HGE1534" s="6"/>
      <c r="HGF1534" s="4"/>
      <c r="HGG1534" s="6"/>
      <c r="HGH1534" s="4"/>
      <c r="HGI1534" s="6"/>
      <c r="HGJ1534" s="4"/>
      <c r="HGK1534" s="6"/>
      <c r="HGL1534" s="4"/>
      <c r="HGM1534" s="6"/>
      <c r="HGN1534" s="4"/>
      <c r="HGO1534" s="6"/>
      <c r="HGP1534" s="4"/>
      <c r="HGQ1534" s="6"/>
      <c r="HGR1534" s="4"/>
      <c r="HGS1534" s="6"/>
      <c r="HGT1534" s="4"/>
      <c r="HGU1534" s="6"/>
      <c r="HGV1534" s="4"/>
      <c r="HGW1534" s="6"/>
      <c r="HGX1534" s="4"/>
      <c r="HGY1534" s="6"/>
      <c r="HGZ1534" s="4"/>
      <c r="HHA1534" s="6"/>
      <c r="HHB1534" s="4"/>
      <c r="HHC1534" s="6"/>
      <c r="HHD1534" s="4"/>
      <c r="HHE1534" s="6"/>
      <c r="HHF1534" s="4"/>
      <c r="HHG1534" s="6"/>
      <c r="HHH1534" s="4"/>
      <c r="HHI1534" s="6"/>
      <c r="HHJ1534" s="4"/>
      <c r="HHK1534" s="6"/>
      <c r="HHL1534" s="4"/>
      <c r="HHM1534" s="6"/>
      <c r="HHN1534" s="4"/>
      <c r="HHO1534" s="6"/>
      <c r="HHP1534" s="4"/>
      <c r="HHQ1534" s="6"/>
      <c r="HHR1534" s="4"/>
      <c r="HHS1534" s="6"/>
      <c r="HHT1534" s="4"/>
      <c r="HHU1534" s="6"/>
      <c r="HHV1534" s="4"/>
      <c r="HHW1534" s="6"/>
      <c r="HHX1534" s="4"/>
      <c r="HHY1534" s="6"/>
      <c r="HHZ1534" s="4"/>
      <c r="HIA1534" s="6"/>
      <c r="HIB1534" s="4"/>
      <c r="HIC1534" s="6"/>
      <c r="HID1534" s="4"/>
      <c r="HIE1534" s="6"/>
      <c r="HIF1534" s="4"/>
      <c r="HIG1534" s="6"/>
      <c r="HIH1534" s="4"/>
      <c r="HII1534" s="6"/>
      <c r="HIJ1534" s="4"/>
      <c r="HIK1534" s="6"/>
      <c r="HIL1534" s="4"/>
      <c r="HIM1534" s="6"/>
      <c r="HIN1534" s="4"/>
      <c r="HIO1534" s="6"/>
      <c r="HIP1534" s="4"/>
      <c r="HIQ1534" s="6"/>
      <c r="HIR1534" s="4"/>
      <c r="HIS1534" s="6"/>
      <c r="HIT1534" s="4"/>
      <c r="HIU1534" s="6"/>
      <c r="HIV1534" s="4"/>
      <c r="HIW1534" s="6"/>
      <c r="HIX1534" s="4"/>
      <c r="HIY1534" s="6"/>
      <c r="HIZ1534" s="4"/>
      <c r="HJA1534" s="6"/>
      <c r="HJB1534" s="4"/>
      <c r="HJC1534" s="6"/>
      <c r="HJD1534" s="4"/>
      <c r="HJE1534" s="6"/>
      <c r="HJF1534" s="4"/>
      <c r="HJG1534" s="6"/>
      <c r="HJH1534" s="4"/>
      <c r="HJI1534" s="6"/>
      <c r="HJJ1534" s="4"/>
      <c r="HJK1534" s="6"/>
      <c r="HJL1534" s="4"/>
      <c r="HJM1534" s="6"/>
      <c r="HJN1534" s="4"/>
      <c r="HJO1534" s="6"/>
      <c r="HJP1534" s="4"/>
      <c r="HJQ1534" s="6"/>
      <c r="HJR1534" s="4"/>
      <c r="HJS1534" s="6"/>
      <c r="HJT1534" s="4"/>
      <c r="HJU1534" s="6"/>
      <c r="HJV1534" s="4"/>
      <c r="HJW1534" s="6"/>
      <c r="HJX1534" s="4"/>
      <c r="HJY1534" s="6"/>
      <c r="HJZ1534" s="4"/>
      <c r="HKA1534" s="6"/>
      <c r="HKB1534" s="4"/>
      <c r="HKC1534" s="6"/>
      <c r="HKD1534" s="4"/>
      <c r="HKE1534" s="6"/>
      <c r="HKF1534" s="4"/>
      <c r="HKG1534" s="6"/>
      <c r="HKH1534" s="4"/>
      <c r="HKI1534" s="6"/>
      <c r="HKJ1534" s="4"/>
      <c r="HKK1534" s="6"/>
      <c r="HKL1534" s="4"/>
      <c r="HKM1534" s="6"/>
      <c r="HKN1534" s="4"/>
      <c r="HKO1534" s="6"/>
      <c r="HKP1534" s="4"/>
      <c r="HKQ1534" s="6"/>
      <c r="HKR1534" s="4"/>
      <c r="HKS1534" s="6"/>
      <c r="HKT1534" s="4"/>
      <c r="HKU1534" s="6"/>
      <c r="HKV1534" s="4"/>
      <c r="HKW1534" s="6"/>
      <c r="HKX1534" s="4"/>
      <c r="HKY1534" s="6"/>
      <c r="HKZ1534" s="4"/>
      <c r="HLA1534" s="6"/>
      <c r="HLB1534" s="4"/>
      <c r="HLC1534" s="6"/>
      <c r="HLD1534" s="4"/>
      <c r="HLE1534" s="6"/>
      <c r="HLF1534" s="4"/>
      <c r="HLG1534" s="6"/>
      <c r="HLH1534" s="4"/>
      <c r="HLI1534" s="6"/>
      <c r="HLJ1534" s="4"/>
      <c r="HLK1534" s="6"/>
      <c r="HLL1534" s="4"/>
      <c r="HLM1534" s="6"/>
      <c r="HLN1534" s="4"/>
      <c r="HLO1534" s="6"/>
      <c r="HLP1534" s="4"/>
      <c r="HLQ1534" s="6"/>
      <c r="HLR1534" s="4"/>
      <c r="HLS1534" s="6"/>
      <c r="HLT1534" s="4"/>
      <c r="HLU1534" s="6"/>
      <c r="HLV1534" s="4"/>
      <c r="HLW1534" s="6"/>
      <c r="HLX1534" s="4"/>
      <c r="HLY1534" s="6"/>
      <c r="HLZ1534" s="4"/>
      <c r="HMA1534" s="6"/>
      <c r="HMB1534" s="4"/>
      <c r="HMC1534" s="6"/>
      <c r="HMD1534" s="4"/>
      <c r="HME1534" s="6"/>
      <c r="HMF1534" s="4"/>
      <c r="HMG1534" s="6"/>
      <c r="HMH1534" s="4"/>
      <c r="HMI1534" s="6"/>
      <c r="HMJ1534" s="4"/>
      <c r="HMK1534" s="6"/>
      <c r="HML1534" s="4"/>
      <c r="HMM1534" s="6"/>
      <c r="HMN1534" s="4"/>
      <c r="HMO1534" s="6"/>
      <c r="HMP1534" s="4"/>
      <c r="HMQ1534" s="6"/>
      <c r="HMR1534" s="4"/>
      <c r="HMS1534" s="6"/>
      <c r="HMT1534" s="4"/>
      <c r="HMU1534" s="6"/>
      <c r="HMV1534" s="4"/>
      <c r="HMW1534" s="6"/>
      <c r="HMX1534" s="4"/>
      <c r="HMY1534" s="6"/>
      <c r="HMZ1534" s="4"/>
      <c r="HNA1534" s="6"/>
      <c r="HNB1534" s="4"/>
      <c r="HNC1534" s="6"/>
      <c r="HND1534" s="4"/>
      <c r="HNE1534" s="6"/>
      <c r="HNF1534" s="4"/>
      <c r="HNG1534" s="6"/>
      <c r="HNH1534" s="4"/>
      <c r="HNI1534" s="6"/>
      <c r="HNJ1534" s="4"/>
      <c r="HNK1534" s="6"/>
      <c r="HNL1534" s="4"/>
      <c r="HNM1534" s="6"/>
      <c r="HNN1534" s="4"/>
      <c r="HNO1534" s="6"/>
      <c r="HNP1534" s="4"/>
      <c r="HNQ1534" s="6"/>
      <c r="HNR1534" s="4"/>
      <c r="HNS1534" s="6"/>
      <c r="HNT1534" s="4"/>
      <c r="HNU1534" s="6"/>
      <c r="HNV1534" s="4"/>
      <c r="HNW1534" s="6"/>
      <c r="HNX1534" s="4"/>
      <c r="HNY1534" s="6"/>
      <c r="HNZ1534" s="4"/>
      <c r="HOA1534" s="6"/>
      <c r="HOB1534" s="4"/>
      <c r="HOC1534" s="6"/>
      <c r="HOD1534" s="4"/>
      <c r="HOE1534" s="6"/>
      <c r="HOF1534" s="4"/>
      <c r="HOG1534" s="6"/>
      <c r="HOH1534" s="4"/>
      <c r="HOI1534" s="6"/>
      <c r="HOJ1534" s="4"/>
      <c r="HOK1534" s="6"/>
      <c r="HOL1534" s="4"/>
      <c r="HOM1534" s="6"/>
      <c r="HON1534" s="4"/>
      <c r="HOO1534" s="6"/>
      <c r="HOP1534" s="4"/>
      <c r="HOQ1534" s="6"/>
      <c r="HOR1534" s="4"/>
      <c r="HOS1534" s="6"/>
      <c r="HOT1534" s="4"/>
      <c r="HOU1534" s="6"/>
      <c r="HOV1534" s="4"/>
      <c r="HOW1534" s="6"/>
      <c r="HOX1534" s="4"/>
      <c r="HOY1534" s="6"/>
      <c r="HOZ1534" s="4"/>
      <c r="HPA1534" s="6"/>
      <c r="HPB1534" s="4"/>
      <c r="HPC1534" s="6"/>
      <c r="HPD1534" s="4"/>
      <c r="HPE1534" s="6"/>
      <c r="HPF1534" s="4"/>
      <c r="HPG1534" s="6"/>
      <c r="HPH1534" s="4"/>
      <c r="HPI1534" s="6"/>
      <c r="HPJ1534" s="4"/>
      <c r="HPK1534" s="6"/>
      <c r="HPL1534" s="4"/>
      <c r="HPM1534" s="6"/>
      <c r="HPN1534" s="4"/>
      <c r="HPO1534" s="6"/>
      <c r="HPP1534" s="4"/>
      <c r="HPQ1534" s="6"/>
      <c r="HPR1534" s="4"/>
      <c r="HPS1534" s="6"/>
      <c r="HPT1534" s="4"/>
      <c r="HPU1534" s="6"/>
      <c r="HPV1534" s="4"/>
      <c r="HPW1534" s="6"/>
      <c r="HPX1534" s="4"/>
      <c r="HPY1534" s="6"/>
      <c r="HPZ1534" s="4"/>
      <c r="HQA1534" s="6"/>
      <c r="HQB1534" s="4"/>
      <c r="HQC1534" s="6"/>
      <c r="HQD1534" s="4"/>
      <c r="HQE1534" s="6"/>
      <c r="HQF1534" s="4"/>
      <c r="HQG1534" s="6"/>
      <c r="HQH1534" s="4"/>
      <c r="HQI1534" s="6"/>
      <c r="HQJ1534" s="4"/>
      <c r="HQK1534" s="6"/>
      <c r="HQL1534" s="4"/>
      <c r="HQM1534" s="6"/>
      <c r="HQN1534" s="4"/>
      <c r="HQO1534" s="6"/>
      <c r="HQP1534" s="4"/>
      <c r="HQQ1534" s="6"/>
      <c r="HQR1534" s="4"/>
      <c r="HQS1534" s="6"/>
      <c r="HQT1534" s="4"/>
      <c r="HQU1534" s="6"/>
      <c r="HQV1534" s="4"/>
      <c r="HQW1534" s="6"/>
      <c r="HQX1534" s="4"/>
      <c r="HQY1534" s="6"/>
      <c r="HQZ1534" s="4"/>
      <c r="HRA1534" s="6"/>
      <c r="HRB1534" s="4"/>
      <c r="HRC1534" s="6"/>
      <c r="HRD1534" s="4"/>
      <c r="HRE1534" s="6"/>
      <c r="HRF1534" s="4"/>
      <c r="HRG1534" s="6"/>
      <c r="HRH1534" s="4"/>
      <c r="HRI1534" s="6"/>
      <c r="HRJ1534" s="4"/>
      <c r="HRK1534" s="6"/>
      <c r="HRL1534" s="4"/>
      <c r="HRM1534" s="6"/>
      <c r="HRN1534" s="4"/>
      <c r="HRO1534" s="6"/>
      <c r="HRP1534" s="4"/>
      <c r="HRQ1534" s="6"/>
      <c r="HRR1534" s="4"/>
      <c r="HRS1534" s="6"/>
      <c r="HRT1534" s="4"/>
      <c r="HRU1534" s="6"/>
      <c r="HRV1534" s="4"/>
      <c r="HRW1534" s="6"/>
      <c r="HRX1534" s="4"/>
      <c r="HRY1534" s="6"/>
      <c r="HRZ1534" s="4"/>
      <c r="HSA1534" s="6"/>
      <c r="HSB1534" s="4"/>
      <c r="HSC1534" s="6"/>
      <c r="HSD1534" s="4"/>
      <c r="HSE1534" s="6"/>
      <c r="HSF1534" s="4"/>
      <c r="HSG1534" s="6"/>
      <c r="HSH1534" s="4"/>
      <c r="HSI1534" s="6"/>
      <c r="HSJ1534" s="4"/>
      <c r="HSK1534" s="6"/>
      <c r="HSL1534" s="4"/>
      <c r="HSM1534" s="6"/>
      <c r="HSN1534" s="4"/>
      <c r="HSO1534" s="6"/>
      <c r="HSP1534" s="4"/>
      <c r="HSQ1534" s="6"/>
      <c r="HSR1534" s="4"/>
      <c r="HSS1534" s="6"/>
      <c r="HST1534" s="4"/>
      <c r="HSU1534" s="6"/>
      <c r="HSV1534" s="4"/>
      <c r="HSW1534" s="6"/>
      <c r="HSX1534" s="4"/>
      <c r="HSY1534" s="6"/>
      <c r="HSZ1534" s="4"/>
      <c r="HTA1534" s="6"/>
      <c r="HTB1534" s="4"/>
      <c r="HTC1534" s="6"/>
      <c r="HTD1534" s="4"/>
      <c r="HTE1534" s="6"/>
      <c r="HTF1534" s="4"/>
      <c r="HTG1534" s="6"/>
      <c r="HTH1534" s="4"/>
      <c r="HTI1534" s="6"/>
      <c r="HTJ1534" s="4"/>
      <c r="HTK1534" s="6"/>
      <c r="HTL1534" s="4"/>
      <c r="HTM1534" s="6"/>
      <c r="HTN1534" s="4"/>
      <c r="HTO1534" s="6"/>
      <c r="HTP1534" s="4"/>
      <c r="HTQ1534" s="6"/>
      <c r="HTR1534" s="4"/>
      <c r="HTS1534" s="6"/>
      <c r="HTT1534" s="4"/>
      <c r="HTU1534" s="6"/>
      <c r="HTV1534" s="4"/>
      <c r="HTW1534" s="6"/>
      <c r="HTX1534" s="4"/>
      <c r="HTY1534" s="6"/>
      <c r="HTZ1534" s="4"/>
      <c r="HUA1534" s="6"/>
      <c r="HUB1534" s="4"/>
      <c r="HUC1534" s="6"/>
      <c r="HUD1534" s="4"/>
      <c r="HUE1534" s="6"/>
      <c r="HUF1534" s="4"/>
      <c r="HUG1534" s="6"/>
      <c r="HUH1534" s="4"/>
      <c r="HUI1534" s="6"/>
      <c r="HUJ1534" s="4"/>
      <c r="HUK1534" s="6"/>
      <c r="HUL1534" s="4"/>
      <c r="HUM1534" s="6"/>
      <c r="HUN1534" s="4"/>
      <c r="HUO1534" s="6"/>
      <c r="HUP1534" s="4"/>
      <c r="HUQ1534" s="6"/>
      <c r="HUR1534" s="4"/>
      <c r="HUS1534" s="6"/>
      <c r="HUT1534" s="4"/>
      <c r="HUU1534" s="6"/>
      <c r="HUV1534" s="4"/>
      <c r="HUW1534" s="6"/>
      <c r="HUX1534" s="4"/>
      <c r="HUY1534" s="6"/>
      <c r="HUZ1534" s="4"/>
      <c r="HVA1534" s="6"/>
      <c r="HVB1534" s="4"/>
      <c r="HVC1534" s="6"/>
      <c r="HVD1534" s="4"/>
      <c r="HVE1534" s="6"/>
      <c r="HVF1534" s="4"/>
      <c r="HVG1534" s="6"/>
      <c r="HVH1534" s="4"/>
      <c r="HVI1534" s="6"/>
      <c r="HVJ1534" s="4"/>
      <c r="HVK1534" s="6"/>
      <c r="HVL1534" s="4"/>
      <c r="HVM1534" s="6"/>
      <c r="HVN1534" s="4"/>
      <c r="HVO1534" s="6"/>
      <c r="HVP1534" s="4"/>
      <c r="HVQ1534" s="6"/>
      <c r="HVR1534" s="4"/>
      <c r="HVS1534" s="6"/>
      <c r="HVT1534" s="4"/>
      <c r="HVU1534" s="6"/>
      <c r="HVV1534" s="4"/>
      <c r="HVW1534" s="6"/>
      <c r="HVX1534" s="4"/>
      <c r="HVY1534" s="6"/>
      <c r="HVZ1534" s="4"/>
      <c r="HWA1534" s="6"/>
      <c r="HWB1534" s="4"/>
      <c r="HWC1534" s="6"/>
      <c r="HWD1534" s="4"/>
      <c r="HWE1534" s="6"/>
      <c r="HWF1534" s="4"/>
      <c r="HWG1534" s="6"/>
      <c r="HWH1534" s="4"/>
      <c r="HWI1534" s="6"/>
      <c r="HWJ1534" s="4"/>
      <c r="HWK1534" s="6"/>
      <c r="HWL1534" s="4"/>
      <c r="HWM1534" s="6"/>
      <c r="HWN1534" s="4"/>
      <c r="HWO1534" s="6"/>
      <c r="HWP1534" s="4"/>
      <c r="HWQ1534" s="6"/>
      <c r="HWR1534" s="4"/>
      <c r="HWS1534" s="6"/>
      <c r="HWT1534" s="4"/>
      <c r="HWU1534" s="6"/>
      <c r="HWV1534" s="4"/>
      <c r="HWW1534" s="6"/>
      <c r="HWX1534" s="4"/>
      <c r="HWY1534" s="6"/>
      <c r="HWZ1534" s="4"/>
      <c r="HXA1534" s="6"/>
      <c r="HXB1534" s="4"/>
      <c r="HXC1534" s="6"/>
      <c r="HXD1534" s="4"/>
      <c r="HXE1534" s="6"/>
      <c r="HXF1534" s="4"/>
      <c r="HXG1534" s="6"/>
      <c r="HXH1534" s="4"/>
      <c r="HXI1534" s="6"/>
      <c r="HXJ1534" s="4"/>
      <c r="HXK1534" s="6"/>
      <c r="HXL1534" s="4"/>
      <c r="HXM1534" s="6"/>
      <c r="HXN1534" s="4"/>
      <c r="HXO1534" s="6"/>
      <c r="HXP1534" s="4"/>
      <c r="HXQ1534" s="6"/>
      <c r="HXR1534" s="4"/>
      <c r="HXS1534" s="6"/>
      <c r="HXT1534" s="4"/>
      <c r="HXU1534" s="6"/>
      <c r="HXV1534" s="4"/>
      <c r="HXW1534" s="6"/>
      <c r="HXX1534" s="4"/>
      <c r="HXY1534" s="6"/>
      <c r="HXZ1534" s="4"/>
      <c r="HYA1534" s="6"/>
      <c r="HYB1534" s="4"/>
      <c r="HYC1534" s="6"/>
      <c r="HYD1534" s="4"/>
      <c r="HYE1534" s="6"/>
      <c r="HYF1534" s="4"/>
      <c r="HYG1534" s="6"/>
      <c r="HYH1534" s="4"/>
      <c r="HYI1534" s="6"/>
      <c r="HYJ1534" s="4"/>
      <c r="HYK1534" s="6"/>
      <c r="HYL1534" s="4"/>
      <c r="HYM1534" s="6"/>
      <c r="HYN1534" s="4"/>
      <c r="HYO1534" s="6"/>
      <c r="HYP1534" s="4"/>
      <c r="HYQ1534" s="6"/>
      <c r="HYR1534" s="4"/>
      <c r="HYS1534" s="6"/>
      <c r="HYT1534" s="4"/>
      <c r="HYU1534" s="6"/>
      <c r="HYV1534" s="4"/>
      <c r="HYW1534" s="6"/>
      <c r="HYX1534" s="4"/>
      <c r="HYY1534" s="6"/>
      <c r="HYZ1534" s="4"/>
      <c r="HZA1534" s="6"/>
      <c r="HZB1534" s="4"/>
      <c r="HZC1534" s="6"/>
      <c r="HZD1534" s="4"/>
      <c r="HZE1534" s="6"/>
      <c r="HZF1534" s="4"/>
      <c r="HZG1534" s="6"/>
      <c r="HZH1534" s="4"/>
      <c r="HZI1534" s="6"/>
      <c r="HZJ1534" s="4"/>
      <c r="HZK1534" s="6"/>
      <c r="HZL1534" s="4"/>
      <c r="HZM1534" s="6"/>
      <c r="HZN1534" s="4"/>
      <c r="HZO1534" s="6"/>
      <c r="HZP1534" s="4"/>
      <c r="HZQ1534" s="6"/>
      <c r="HZR1534" s="4"/>
      <c r="HZS1534" s="6"/>
      <c r="HZT1534" s="4"/>
      <c r="HZU1534" s="6"/>
      <c r="HZV1534" s="4"/>
      <c r="HZW1534" s="6"/>
      <c r="HZX1534" s="4"/>
      <c r="HZY1534" s="6"/>
      <c r="HZZ1534" s="4"/>
      <c r="IAA1534" s="6"/>
      <c r="IAB1534" s="4"/>
      <c r="IAC1534" s="6"/>
      <c r="IAD1534" s="4"/>
      <c r="IAE1534" s="6"/>
      <c r="IAF1534" s="4"/>
      <c r="IAG1534" s="6"/>
      <c r="IAH1534" s="4"/>
      <c r="IAI1534" s="6"/>
      <c r="IAJ1534" s="4"/>
      <c r="IAK1534" s="6"/>
      <c r="IAL1534" s="4"/>
      <c r="IAM1534" s="6"/>
      <c r="IAN1534" s="4"/>
      <c r="IAO1534" s="6"/>
      <c r="IAP1534" s="4"/>
      <c r="IAQ1534" s="6"/>
      <c r="IAR1534" s="4"/>
      <c r="IAS1534" s="6"/>
      <c r="IAT1534" s="4"/>
      <c r="IAU1534" s="6"/>
      <c r="IAV1534" s="4"/>
      <c r="IAW1534" s="6"/>
      <c r="IAX1534" s="4"/>
      <c r="IAY1534" s="6"/>
      <c r="IAZ1534" s="4"/>
      <c r="IBA1534" s="6"/>
      <c r="IBB1534" s="4"/>
      <c r="IBC1534" s="6"/>
      <c r="IBD1534" s="4"/>
      <c r="IBE1534" s="6"/>
      <c r="IBF1534" s="4"/>
      <c r="IBG1534" s="6"/>
      <c r="IBH1534" s="4"/>
      <c r="IBI1534" s="6"/>
      <c r="IBJ1534" s="4"/>
      <c r="IBK1534" s="6"/>
      <c r="IBL1534" s="4"/>
      <c r="IBM1534" s="6"/>
      <c r="IBN1534" s="4"/>
      <c r="IBO1534" s="6"/>
      <c r="IBP1534" s="4"/>
      <c r="IBQ1534" s="6"/>
      <c r="IBR1534" s="4"/>
      <c r="IBS1534" s="6"/>
      <c r="IBT1534" s="4"/>
      <c r="IBU1534" s="6"/>
      <c r="IBV1534" s="4"/>
      <c r="IBW1534" s="6"/>
      <c r="IBX1534" s="4"/>
      <c r="IBY1534" s="6"/>
      <c r="IBZ1534" s="4"/>
      <c r="ICA1534" s="6"/>
      <c r="ICB1534" s="4"/>
      <c r="ICC1534" s="6"/>
      <c r="ICD1534" s="4"/>
      <c r="ICE1534" s="6"/>
      <c r="ICF1534" s="4"/>
      <c r="ICG1534" s="6"/>
      <c r="ICH1534" s="4"/>
      <c r="ICI1534" s="6"/>
      <c r="ICJ1534" s="4"/>
      <c r="ICK1534" s="6"/>
      <c r="ICL1534" s="4"/>
      <c r="ICM1534" s="6"/>
      <c r="ICN1534" s="4"/>
      <c r="ICO1534" s="6"/>
      <c r="ICP1534" s="4"/>
      <c r="ICQ1534" s="6"/>
      <c r="ICR1534" s="4"/>
      <c r="ICS1534" s="6"/>
      <c r="ICT1534" s="4"/>
      <c r="ICU1534" s="6"/>
      <c r="ICV1534" s="4"/>
      <c r="ICW1534" s="6"/>
      <c r="ICX1534" s="4"/>
      <c r="ICY1534" s="6"/>
      <c r="ICZ1534" s="4"/>
      <c r="IDA1534" s="6"/>
      <c r="IDB1534" s="4"/>
      <c r="IDC1534" s="6"/>
      <c r="IDD1534" s="4"/>
      <c r="IDE1534" s="6"/>
      <c r="IDF1534" s="4"/>
      <c r="IDG1534" s="6"/>
      <c r="IDH1534" s="4"/>
      <c r="IDI1534" s="6"/>
      <c r="IDJ1534" s="4"/>
      <c r="IDK1534" s="6"/>
      <c r="IDL1534" s="4"/>
      <c r="IDM1534" s="6"/>
      <c r="IDN1534" s="4"/>
      <c r="IDO1534" s="6"/>
      <c r="IDP1534" s="4"/>
      <c r="IDQ1534" s="6"/>
      <c r="IDR1534" s="4"/>
      <c r="IDS1534" s="6"/>
      <c r="IDT1534" s="4"/>
      <c r="IDU1534" s="6"/>
      <c r="IDV1534" s="4"/>
      <c r="IDW1534" s="6"/>
      <c r="IDX1534" s="4"/>
      <c r="IDY1534" s="6"/>
      <c r="IDZ1534" s="4"/>
      <c r="IEA1534" s="6"/>
      <c r="IEB1534" s="4"/>
      <c r="IEC1534" s="6"/>
      <c r="IED1534" s="4"/>
      <c r="IEE1534" s="6"/>
      <c r="IEF1534" s="4"/>
      <c r="IEG1534" s="6"/>
      <c r="IEH1534" s="4"/>
      <c r="IEI1534" s="6"/>
      <c r="IEJ1534" s="4"/>
      <c r="IEK1534" s="6"/>
      <c r="IEL1534" s="4"/>
      <c r="IEM1534" s="6"/>
      <c r="IEN1534" s="4"/>
      <c r="IEO1534" s="6"/>
      <c r="IEP1534" s="4"/>
      <c r="IEQ1534" s="6"/>
      <c r="IER1534" s="4"/>
      <c r="IES1534" s="6"/>
      <c r="IET1534" s="4"/>
      <c r="IEU1534" s="6"/>
      <c r="IEV1534" s="4"/>
      <c r="IEW1534" s="6"/>
      <c r="IEX1534" s="4"/>
      <c r="IEY1534" s="6"/>
      <c r="IEZ1534" s="4"/>
      <c r="IFA1534" s="6"/>
      <c r="IFB1534" s="4"/>
      <c r="IFC1534" s="6"/>
      <c r="IFD1534" s="4"/>
      <c r="IFE1534" s="6"/>
      <c r="IFF1534" s="4"/>
      <c r="IFG1534" s="6"/>
      <c r="IFH1534" s="4"/>
      <c r="IFI1534" s="6"/>
      <c r="IFJ1534" s="4"/>
      <c r="IFK1534" s="6"/>
      <c r="IFL1534" s="4"/>
      <c r="IFM1534" s="6"/>
      <c r="IFN1534" s="4"/>
      <c r="IFO1534" s="6"/>
      <c r="IFP1534" s="4"/>
      <c r="IFQ1534" s="6"/>
      <c r="IFR1534" s="4"/>
      <c r="IFS1534" s="6"/>
      <c r="IFT1534" s="4"/>
      <c r="IFU1534" s="6"/>
      <c r="IFV1534" s="4"/>
      <c r="IFW1534" s="6"/>
      <c r="IFX1534" s="4"/>
      <c r="IFY1534" s="6"/>
      <c r="IFZ1534" s="4"/>
      <c r="IGA1534" s="6"/>
      <c r="IGB1534" s="4"/>
      <c r="IGC1534" s="6"/>
      <c r="IGD1534" s="4"/>
      <c r="IGE1534" s="6"/>
      <c r="IGF1534" s="4"/>
      <c r="IGG1534" s="6"/>
      <c r="IGH1534" s="4"/>
      <c r="IGI1534" s="6"/>
      <c r="IGJ1534" s="4"/>
      <c r="IGK1534" s="6"/>
      <c r="IGL1534" s="4"/>
      <c r="IGM1534" s="6"/>
      <c r="IGN1534" s="4"/>
      <c r="IGO1534" s="6"/>
      <c r="IGP1534" s="4"/>
      <c r="IGQ1534" s="6"/>
      <c r="IGR1534" s="4"/>
      <c r="IGS1534" s="6"/>
      <c r="IGT1534" s="4"/>
      <c r="IGU1534" s="6"/>
      <c r="IGV1534" s="4"/>
      <c r="IGW1534" s="6"/>
      <c r="IGX1534" s="4"/>
      <c r="IGY1534" s="6"/>
      <c r="IGZ1534" s="4"/>
      <c r="IHA1534" s="6"/>
      <c r="IHB1534" s="4"/>
      <c r="IHC1534" s="6"/>
      <c r="IHD1534" s="4"/>
      <c r="IHE1534" s="6"/>
      <c r="IHF1534" s="4"/>
      <c r="IHG1534" s="6"/>
      <c r="IHH1534" s="4"/>
      <c r="IHI1534" s="6"/>
      <c r="IHJ1534" s="4"/>
      <c r="IHK1534" s="6"/>
      <c r="IHL1534" s="4"/>
      <c r="IHM1534" s="6"/>
      <c r="IHN1534" s="4"/>
      <c r="IHO1534" s="6"/>
      <c r="IHP1534" s="4"/>
      <c r="IHQ1534" s="6"/>
      <c r="IHR1534" s="4"/>
      <c r="IHS1534" s="6"/>
      <c r="IHT1534" s="4"/>
      <c r="IHU1534" s="6"/>
      <c r="IHV1534" s="4"/>
      <c r="IHW1534" s="6"/>
      <c r="IHX1534" s="4"/>
      <c r="IHY1534" s="6"/>
      <c r="IHZ1534" s="4"/>
      <c r="IIA1534" s="6"/>
      <c r="IIB1534" s="4"/>
      <c r="IIC1534" s="6"/>
      <c r="IID1534" s="4"/>
      <c r="IIE1534" s="6"/>
      <c r="IIF1534" s="4"/>
      <c r="IIG1534" s="6"/>
      <c r="IIH1534" s="4"/>
      <c r="III1534" s="6"/>
      <c r="IIJ1534" s="4"/>
      <c r="IIK1534" s="6"/>
      <c r="IIL1534" s="4"/>
      <c r="IIM1534" s="6"/>
      <c r="IIN1534" s="4"/>
      <c r="IIO1534" s="6"/>
      <c r="IIP1534" s="4"/>
      <c r="IIQ1534" s="6"/>
      <c r="IIR1534" s="4"/>
      <c r="IIS1534" s="6"/>
      <c r="IIT1534" s="4"/>
      <c r="IIU1534" s="6"/>
      <c r="IIV1534" s="4"/>
      <c r="IIW1534" s="6"/>
      <c r="IIX1534" s="4"/>
      <c r="IIY1534" s="6"/>
      <c r="IIZ1534" s="4"/>
      <c r="IJA1534" s="6"/>
      <c r="IJB1534" s="4"/>
      <c r="IJC1534" s="6"/>
      <c r="IJD1534" s="4"/>
      <c r="IJE1534" s="6"/>
      <c r="IJF1534" s="4"/>
      <c r="IJG1534" s="6"/>
      <c r="IJH1534" s="4"/>
      <c r="IJI1534" s="6"/>
      <c r="IJJ1534" s="4"/>
      <c r="IJK1534" s="6"/>
      <c r="IJL1534" s="4"/>
      <c r="IJM1534" s="6"/>
      <c r="IJN1534" s="4"/>
      <c r="IJO1534" s="6"/>
      <c r="IJP1534" s="4"/>
      <c r="IJQ1534" s="6"/>
      <c r="IJR1534" s="4"/>
      <c r="IJS1534" s="6"/>
      <c r="IJT1534" s="4"/>
      <c r="IJU1534" s="6"/>
      <c r="IJV1534" s="4"/>
      <c r="IJW1534" s="6"/>
      <c r="IJX1534" s="4"/>
      <c r="IJY1534" s="6"/>
      <c r="IJZ1534" s="4"/>
      <c r="IKA1534" s="6"/>
      <c r="IKB1534" s="4"/>
      <c r="IKC1534" s="6"/>
      <c r="IKD1534" s="4"/>
      <c r="IKE1534" s="6"/>
      <c r="IKF1534" s="4"/>
      <c r="IKG1534" s="6"/>
      <c r="IKH1534" s="4"/>
      <c r="IKI1534" s="6"/>
      <c r="IKJ1534" s="4"/>
      <c r="IKK1534" s="6"/>
      <c r="IKL1534" s="4"/>
      <c r="IKM1534" s="6"/>
      <c r="IKN1534" s="4"/>
      <c r="IKO1534" s="6"/>
      <c r="IKP1534" s="4"/>
      <c r="IKQ1534" s="6"/>
      <c r="IKR1534" s="4"/>
      <c r="IKS1534" s="6"/>
      <c r="IKT1534" s="4"/>
      <c r="IKU1534" s="6"/>
      <c r="IKV1534" s="4"/>
      <c r="IKW1534" s="6"/>
      <c r="IKX1534" s="4"/>
      <c r="IKY1534" s="6"/>
      <c r="IKZ1534" s="4"/>
      <c r="ILA1534" s="6"/>
      <c r="ILB1534" s="4"/>
      <c r="ILC1534" s="6"/>
      <c r="ILD1534" s="4"/>
      <c r="ILE1534" s="6"/>
      <c r="ILF1534" s="4"/>
      <c r="ILG1534" s="6"/>
      <c r="ILH1534" s="4"/>
      <c r="ILI1534" s="6"/>
      <c r="ILJ1534" s="4"/>
      <c r="ILK1534" s="6"/>
      <c r="ILL1534" s="4"/>
      <c r="ILM1534" s="6"/>
      <c r="ILN1534" s="4"/>
      <c r="ILO1534" s="6"/>
      <c r="ILP1534" s="4"/>
      <c r="ILQ1534" s="6"/>
      <c r="ILR1534" s="4"/>
      <c r="ILS1534" s="6"/>
      <c r="ILT1534" s="4"/>
      <c r="ILU1534" s="6"/>
      <c r="ILV1534" s="4"/>
      <c r="ILW1534" s="6"/>
      <c r="ILX1534" s="4"/>
      <c r="ILY1534" s="6"/>
      <c r="ILZ1534" s="4"/>
      <c r="IMA1534" s="6"/>
      <c r="IMB1534" s="4"/>
      <c r="IMC1534" s="6"/>
      <c r="IMD1534" s="4"/>
      <c r="IME1534" s="6"/>
      <c r="IMF1534" s="4"/>
      <c r="IMG1534" s="6"/>
      <c r="IMH1534" s="4"/>
      <c r="IMI1534" s="6"/>
      <c r="IMJ1534" s="4"/>
      <c r="IMK1534" s="6"/>
      <c r="IML1534" s="4"/>
      <c r="IMM1534" s="6"/>
      <c r="IMN1534" s="4"/>
      <c r="IMO1534" s="6"/>
      <c r="IMP1534" s="4"/>
      <c r="IMQ1534" s="6"/>
      <c r="IMR1534" s="4"/>
      <c r="IMS1534" s="6"/>
      <c r="IMT1534" s="4"/>
      <c r="IMU1534" s="6"/>
      <c r="IMV1534" s="4"/>
      <c r="IMW1534" s="6"/>
      <c r="IMX1534" s="4"/>
      <c r="IMY1534" s="6"/>
      <c r="IMZ1534" s="4"/>
      <c r="INA1534" s="6"/>
      <c r="INB1534" s="4"/>
      <c r="INC1534" s="6"/>
      <c r="IND1534" s="4"/>
      <c r="INE1534" s="6"/>
      <c r="INF1534" s="4"/>
      <c r="ING1534" s="6"/>
      <c r="INH1534" s="4"/>
      <c r="INI1534" s="6"/>
      <c r="INJ1534" s="4"/>
      <c r="INK1534" s="6"/>
      <c r="INL1534" s="4"/>
      <c r="INM1534" s="6"/>
      <c r="INN1534" s="4"/>
      <c r="INO1534" s="6"/>
      <c r="INP1534" s="4"/>
      <c r="INQ1534" s="6"/>
      <c r="INR1534" s="4"/>
      <c r="INS1534" s="6"/>
      <c r="INT1534" s="4"/>
      <c r="INU1534" s="6"/>
      <c r="INV1534" s="4"/>
      <c r="INW1534" s="6"/>
      <c r="INX1534" s="4"/>
      <c r="INY1534" s="6"/>
      <c r="INZ1534" s="4"/>
      <c r="IOA1534" s="6"/>
      <c r="IOB1534" s="4"/>
      <c r="IOC1534" s="6"/>
      <c r="IOD1534" s="4"/>
      <c r="IOE1534" s="6"/>
      <c r="IOF1534" s="4"/>
      <c r="IOG1534" s="6"/>
      <c r="IOH1534" s="4"/>
      <c r="IOI1534" s="6"/>
      <c r="IOJ1534" s="4"/>
      <c r="IOK1534" s="6"/>
      <c r="IOL1534" s="4"/>
      <c r="IOM1534" s="6"/>
      <c r="ION1534" s="4"/>
      <c r="IOO1534" s="6"/>
      <c r="IOP1534" s="4"/>
      <c r="IOQ1534" s="6"/>
      <c r="IOR1534" s="4"/>
      <c r="IOS1534" s="6"/>
      <c r="IOT1534" s="4"/>
      <c r="IOU1534" s="6"/>
      <c r="IOV1534" s="4"/>
      <c r="IOW1534" s="6"/>
      <c r="IOX1534" s="4"/>
      <c r="IOY1534" s="6"/>
      <c r="IOZ1534" s="4"/>
      <c r="IPA1534" s="6"/>
      <c r="IPB1534" s="4"/>
      <c r="IPC1534" s="6"/>
      <c r="IPD1534" s="4"/>
      <c r="IPE1534" s="6"/>
      <c r="IPF1534" s="4"/>
      <c r="IPG1534" s="6"/>
      <c r="IPH1534" s="4"/>
      <c r="IPI1534" s="6"/>
      <c r="IPJ1534" s="4"/>
      <c r="IPK1534" s="6"/>
      <c r="IPL1534" s="4"/>
      <c r="IPM1534" s="6"/>
      <c r="IPN1534" s="4"/>
      <c r="IPO1534" s="6"/>
      <c r="IPP1534" s="4"/>
      <c r="IPQ1534" s="6"/>
      <c r="IPR1534" s="4"/>
      <c r="IPS1534" s="6"/>
      <c r="IPT1534" s="4"/>
      <c r="IPU1534" s="6"/>
      <c r="IPV1534" s="4"/>
      <c r="IPW1534" s="6"/>
      <c r="IPX1534" s="4"/>
      <c r="IPY1534" s="6"/>
      <c r="IPZ1534" s="4"/>
      <c r="IQA1534" s="6"/>
      <c r="IQB1534" s="4"/>
      <c r="IQC1534" s="6"/>
      <c r="IQD1534" s="4"/>
      <c r="IQE1534" s="6"/>
      <c r="IQF1534" s="4"/>
      <c r="IQG1534" s="6"/>
      <c r="IQH1534" s="4"/>
      <c r="IQI1534" s="6"/>
      <c r="IQJ1534" s="4"/>
      <c r="IQK1534" s="6"/>
      <c r="IQL1534" s="4"/>
      <c r="IQM1534" s="6"/>
      <c r="IQN1534" s="4"/>
      <c r="IQO1534" s="6"/>
      <c r="IQP1534" s="4"/>
      <c r="IQQ1534" s="6"/>
      <c r="IQR1534" s="4"/>
      <c r="IQS1534" s="6"/>
      <c r="IQT1534" s="4"/>
      <c r="IQU1534" s="6"/>
      <c r="IQV1534" s="4"/>
      <c r="IQW1534" s="6"/>
      <c r="IQX1534" s="4"/>
      <c r="IQY1534" s="6"/>
      <c r="IQZ1534" s="4"/>
      <c r="IRA1534" s="6"/>
      <c r="IRB1534" s="4"/>
      <c r="IRC1534" s="6"/>
      <c r="IRD1534" s="4"/>
      <c r="IRE1534" s="6"/>
      <c r="IRF1534" s="4"/>
      <c r="IRG1534" s="6"/>
      <c r="IRH1534" s="4"/>
      <c r="IRI1534" s="6"/>
      <c r="IRJ1534" s="4"/>
      <c r="IRK1534" s="6"/>
      <c r="IRL1534" s="4"/>
      <c r="IRM1534" s="6"/>
      <c r="IRN1534" s="4"/>
      <c r="IRO1534" s="6"/>
      <c r="IRP1534" s="4"/>
      <c r="IRQ1534" s="6"/>
      <c r="IRR1534" s="4"/>
      <c r="IRS1534" s="6"/>
      <c r="IRT1534" s="4"/>
      <c r="IRU1534" s="6"/>
      <c r="IRV1534" s="4"/>
      <c r="IRW1534" s="6"/>
      <c r="IRX1534" s="4"/>
      <c r="IRY1534" s="6"/>
      <c r="IRZ1534" s="4"/>
      <c r="ISA1534" s="6"/>
      <c r="ISB1534" s="4"/>
      <c r="ISC1534" s="6"/>
      <c r="ISD1534" s="4"/>
      <c r="ISE1534" s="6"/>
      <c r="ISF1534" s="4"/>
      <c r="ISG1534" s="6"/>
      <c r="ISH1534" s="4"/>
      <c r="ISI1534" s="6"/>
      <c r="ISJ1534" s="4"/>
      <c r="ISK1534" s="6"/>
      <c r="ISL1534" s="4"/>
      <c r="ISM1534" s="6"/>
      <c r="ISN1534" s="4"/>
      <c r="ISO1534" s="6"/>
      <c r="ISP1534" s="4"/>
      <c r="ISQ1534" s="6"/>
      <c r="ISR1534" s="4"/>
      <c r="ISS1534" s="6"/>
      <c r="IST1534" s="4"/>
      <c r="ISU1534" s="6"/>
      <c r="ISV1534" s="4"/>
      <c r="ISW1534" s="6"/>
      <c r="ISX1534" s="4"/>
      <c r="ISY1534" s="6"/>
      <c r="ISZ1534" s="4"/>
      <c r="ITA1534" s="6"/>
      <c r="ITB1534" s="4"/>
      <c r="ITC1534" s="6"/>
      <c r="ITD1534" s="4"/>
      <c r="ITE1534" s="6"/>
      <c r="ITF1534" s="4"/>
      <c r="ITG1534" s="6"/>
      <c r="ITH1534" s="4"/>
      <c r="ITI1534" s="6"/>
      <c r="ITJ1534" s="4"/>
      <c r="ITK1534" s="6"/>
      <c r="ITL1534" s="4"/>
      <c r="ITM1534" s="6"/>
      <c r="ITN1534" s="4"/>
      <c r="ITO1534" s="6"/>
      <c r="ITP1534" s="4"/>
      <c r="ITQ1534" s="6"/>
      <c r="ITR1534" s="4"/>
      <c r="ITS1534" s="6"/>
      <c r="ITT1534" s="4"/>
      <c r="ITU1534" s="6"/>
      <c r="ITV1534" s="4"/>
      <c r="ITW1534" s="6"/>
      <c r="ITX1534" s="4"/>
      <c r="ITY1534" s="6"/>
      <c r="ITZ1534" s="4"/>
      <c r="IUA1534" s="6"/>
      <c r="IUB1534" s="4"/>
      <c r="IUC1534" s="6"/>
      <c r="IUD1534" s="4"/>
      <c r="IUE1534" s="6"/>
      <c r="IUF1534" s="4"/>
      <c r="IUG1534" s="6"/>
      <c r="IUH1534" s="4"/>
      <c r="IUI1534" s="6"/>
      <c r="IUJ1534" s="4"/>
      <c r="IUK1534" s="6"/>
      <c r="IUL1534" s="4"/>
      <c r="IUM1534" s="6"/>
      <c r="IUN1534" s="4"/>
      <c r="IUO1534" s="6"/>
      <c r="IUP1534" s="4"/>
      <c r="IUQ1534" s="6"/>
      <c r="IUR1534" s="4"/>
      <c r="IUS1534" s="6"/>
      <c r="IUT1534" s="4"/>
      <c r="IUU1534" s="6"/>
      <c r="IUV1534" s="4"/>
      <c r="IUW1534" s="6"/>
      <c r="IUX1534" s="4"/>
      <c r="IUY1534" s="6"/>
      <c r="IUZ1534" s="4"/>
      <c r="IVA1534" s="6"/>
      <c r="IVB1534" s="4"/>
      <c r="IVC1534" s="6"/>
      <c r="IVD1534" s="4"/>
      <c r="IVE1534" s="6"/>
      <c r="IVF1534" s="4"/>
      <c r="IVG1534" s="6"/>
      <c r="IVH1534" s="4"/>
      <c r="IVI1534" s="6"/>
      <c r="IVJ1534" s="4"/>
      <c r="IVK1534" s="6"/>
      <c r="IVL1534" s="4"/>
      <c r="IVM1534" s="6"/>
      <c r="IVN1534" s="4"/>
      <c r="IVO1534" s="6"/>
      <c r="IVP1534" s="4"/>
      <c r="IVQ1534" s="6"/>
      <c r="IVR1534" s="4"/>
      <c r="IVS1534" s="6"/>
      <c r="IVT1534" s="4"/>
      <c r="IVU1534" s="6"/>
      <c r="IVV1534" s="4"/>
      <c r="IVW1534" s="6"/>
      <c r="IVX1534" s="4"/>
      <c r="IVY1534" s="6"/>
      <c r="IVZ1534" s="4"/>
      <c r="IWA1534" s="6"/>
      <c r="IWB1534" s="4"/>
      <c r="IWC1534" s="6"/>
      <c r="IWD1534" s="4"/>
      <c r="IWE1534" s="6"/>
      <c r="IWF1534" s="4"/>
      <c r="IWG1534" s="6"/>
      <c r="IWH1534" s="4"/>
      <c r="IWI1534" s="6"/>
      <c r="IWJ1534" s="4"/>
      <c r="IWK1534" s="6"/>
      <c r="IWL1534" s="4"/>
      <c r="IWM1534" s="6"/>
      <c r="IWN1534" s="4"/>
      <c r="IWO1534" s="6"/>
      <c r="IWP1534" s="4"/>
      <c r="IWQ1534" s="6"/>
      <c r="IWR1534" s="4"/>
      <c r="IWS1534" s="6"/>
      <c r="IWT1534" s="4"/>
      <c r="IWU1534" s="6"/>
      <c r="IWV1534" s="4"/>
      <c r="IWW1534" s="6"/>
      <c r="IWX1534" s="4"/>
      <c r="IWY1534" s="6"/>
      <c r="IWZ1534" s="4"/>
      <c r="IXA1534" s="6"/>
      <c r="IXB1534" s="4"/>
      <c r="IXC1534" s="6"/>
      <c r="IXD1534" s="4"/>
      <c r="IXE1534" s="6"/>
      <c r="IXF1534" s="4"/>
      <c r="IXG1534" s="6"/>
      <c r="IXH1534" s="4"/>
      <c r="IXI1534" s="6"/>
      <c r="IXJ1534" s="4"/>
      <c r="IXK1534" s="6"/>
      <c r="IXL1534" s="4"/>
      <c r="IXM1534" s="6"/>
      <c r="IXN1534" s="4"/>
      <c r="IXO1534" s="6"/>
      <c r="IXP1534" s="4"/>
      <c r="IXQ1534" s="6"/>
      <c r="IXR1534" s="4"/>
      <c r="IXS1534" s="6"/>
      <c r="IXT1534" s="4"/>
      <c r="IXU1534" s="6"/>
      <c r="IXV1534" s="4"/>
      <c r="IXW1534" s="6"/>
      <c r="IXX1534" s="4"/>
      <c r="IXY1534" s="6"/>
      <c r="IXZ1534" s="4"/>
      <c r="IYA1534" s="6"/>
      <c r="IYB1534" s="4"/>
      <c r="IYC1534" s="6"/>
      <c r="IYD1534" s="4"/>
      <c r="IYE1534" s="6"/>
      <c r="IYF1534" s="4"/>
      <c r="IYG1534" s="6"/>
      <c r="IYH1534" s="4"/>
      <c r="IYI1534" s="6"/>
      <c r="IYJ1534" s="4"/>
      <c r="IYK1534" s="6"/>
      <c r="IYL1534" s="4"/>
      <c r="IYM1534" s="6"/>
      <c r="IYN1534" s="4"/>
      <c r="IYO1534" s="6"/>
      <c r="IYP1534" s="4"/>
      <c r="IYQ1534" s="6"/>
      <c r="IYR1534" s="4"/>
      <c r="IYS1534" s="6"/>
      <c r="IYT1534" s="4"/>
      <c r="IYU1534" s="6"/>
      <c r="IYV1534" s="4"/>
      <c r="IYW1534" s="6"/>
      <c r="IYX1534" s="4"/>
      <c r="IYY1534" s="6"/>
      <c r="IYZ1534" s="4"/>
      <c r="IZA1534" s="6"/>
      <c r="IZB1534" s="4"/>
      <c r="IZC1534" s="6"/>
      <c r="IZD1534" s="4"/>
      <c r="IZE1534" s="6"/>
      <c r="IZF1534" s="4"/>
      <c r="IZG1534" s="6"/>
      <c r="IZH1534" s="4"/>
      <c r="IZI1534" s="6"/>
      <c r="IZJ1534" s="4"/>
      <c r="IZK1534" s="6"/>
      <c r="IZL1534" s="4"/>
      <c r="IZM1534" s="6"/>
      <c r="IZN1534" s="4"/>
      <c r="IZO1534" s="6"/>
      <c r="IZP1534" s="4"/>
      <c r="IZQ1534" s="6"/>
      <c r="IZR1534" s="4"/>
      <c r="IZS1534" s="6"/>
      <c r="IZT1534" s="4"/>
      <c r="IZU1534" s="6"/>
      <c r="IZV1534" s="4"/>
      <c r="IZW1534" s="6"/>
      <c r="IZX1534" s="4"/>
      <c r="IZY1534" s="6"/>
      <c r="IZZ1534" s="4"/>
      <c r="JAA1534" s="6"/>
      <c r="JAB1534" s="4"/>
      <c r="JAC1534" s="6"/>
      <c r="JAD1534" s="4"/>
      <c r="JAE1534" s="6"/>
      <c r="JAF1534" s="4"/>
      <c r="JAG1534" s="6"/>
      <c r="JAH1534" s="4"/>
      <c r="JAI1534" s="6"/>
      <c r="JAJ1534" s="4"/>
      <c r="JAK1534" s="6"/>
      <c r="JAL1534" s="4"/>
      <c r="JAM1534" s="6"/>
      <c r="JAN1534" s="4"/>
      <c r="JAO1534" s="6"/>
      <c r="JAP1534" s="4"/>
      <c r="JAQ1534" s="6"/>
      <c r="JAR1534" s="4"/>
      <c r="JAS1534" s="6"/>
      <c r="JAT1534" s="4"/>
      <c r="JAU1534" s="6"/>
      <c r="JAV1534" s="4"/>
      <c r="JAW1534" s="6"/>
      <c r="JAX1534" s="4"/>
      <c r="JAY1534" s="6"/>
      <c r="JAZ1534" s="4"/>
      <c r="JBA1534" s="6"/>
      <c r="JBB1534" s="4"/>
      <c r="JBC1534" s="6"/>
      <c r="JBD1534" s="4"/>
      <c r="JBE1534" s="6"/>
      <c r="JBF1534" s="4"/>
      <c r="JBG1534" s="6"/>
      <c r="JBH1534" s="4"/>
      <c r="JBI1534" s="6"/>
      <c r="JBJ1534" s="4"/>
      <c r="JBK1534" s="6"/>
      <c r="JBL1534" s="4"/>
      <c r="JBM1534" s="6"/>
      <c r="JBN1534" s="4"/>
      <c r="JBO1534" s="6"/>
      <c r="JBP1534" s="4"/>
      <c r="JBQ1534" s="6"/>
      <c r="JBR1534" s="4"/>
      <c r="JBS1534" s="6"/>
      <c r="JBT1534" s="4"/>
      <c r="JBU1534" s="6"/>
      <c r="JBV1534" s="4"/>
      <c r="JBW1534" s="6"/>
      <c r="JBX1534" s="4"/>
      <c r="JBY1534" s="6"/>
      <c r="JBZ1534" s="4"/>
      <c r="JCA1534" s="6"/>
      <c r="JCB1534" s="4"/>
      <c r="JCC1534" s="6"/>
      <c r="JCD1534" s="4"/>
      <c r="JCE1534" s="6"/>
      <c r="JCF1534" s="4"/>
      <c r="JCG1534" s="6"/>
      <c r="JCH1534" s="4"/>
      <c r="JCI1534" s="6"/>
      <c r="JCJ1534" s="4"/>
      <c r="JCK1534" s="6"/>
      <c r="JCL1534" s="4"/>
      <c r="JCM1534" s="6"/>
      <c r="JCN1534" s="4"/>
      <c r="JCO1534" s="6"/>
      <c r="JCP1534" s="4"/>
      <c r="JCQ1534" s="6"/>
      <c r="JCR1534" s="4"/>
      <c r="JCS1534" s="6"/>
      <c r="JCT1534" s="4"/>
      <c r="JCU1534" s="6"/>
      <c r="JCV1534" s="4"/>
      <c r="JCW1534" s="6"/>
      <c r="JCX1534" s="4"/>
      <c r="JCY1534" s="6"/>
      <c r="JCZ1534" s="4"/>
      <c r="JDA1534" s="6"/>
      <c r="JDB1534" s="4"/>
      <c r="JDC1534" s="6"/>
      <c r="JDD1534" s="4"/>
      <c r="JDE1534" s="6"/>
      <c r="JDF1534" s="4"/>
      <c r="JDG1534" s="6"/>
      <c r="JDH1534" s="4"/>
      <c r="JDI1534" s="6"/>
      <c r="JDJ1534" s="4"/>
      <c r="JDK1534" s="6"/>
      <c r="JDL1534" s="4"/>
      <c r="JDM1534" s="6"/>
      <c r="JDN1534" s="4"/>
      <c r="JDO1534" s="6"/>
      <c r="JDP1534" s="4"/>
      <c r="JDQ1534" s="6"/>
      <c r="JDR1534" s="4"/>
      <c r="JDS1534" s="6"/>
      <c r="JDT1534" s="4"/>
      <c r="JDU1534" s="6"/>
      <c r="JDV1534" s="4"/>
      <c r="JDW1534" s="6"/>
      <c r="JDX1534" s="4"/>
      <c r="JDY1534" s="6"/>
      <c r="JDZ1534" s="4"/>
      <c r="JEA1534" s="6"/>
      <c r="JEB1534" s="4"/>
      <c r="JEC1534" s="6"/>
      <c r="JED1534" s="4"/>
      <c r="JEE1534" s="6"/>
      <c r="JEF1534" s="4"/>
      <c r="JEG1534" s="6"/>
      <c r="JEH1534" s="4"/>
      <c r="JEI1534" s="6"/>
      <c r="JEJ1534" s="4"/>
      <c r="JEK1534" s="6"/>
      <c r="JEL1534" s="4"/>
      <c r="JEM1534" s="6"/>
      <c r="JEN1534" s="4"/>
      <c r="JEO1534" s="6"/>
      <c r="JEP1534" s="4"/>
      <c r="JEQ1534" s="6"/>
      <c r="JER1534" s="4"/>
      <c r="JES1534" s="6"/>
      <c r="JET1534" s="4"/>
      <c r="JEU1534" s="6"/>
      <c r="JEV1534" s="4"/>
      <c r="JEW1534" s="6"/>
      <c r="JEX1534" s="4"/>
      <c r="JEY1534" s="6"/>
      <c r="JEZ1534" s="4"/>
      <c r="JFA1534" s="6"/>
      <c r="JFB1534" s="4"/>
      <c r="JFC1534" s="6"/>
      <c r="JFD1534" s="4"/>
      <c r="JFE1534" s="6"/>
      <c r="JFF1534" s="4"/>
      <c r="JFG1534" s="6"/>
      <c r="JFH1534" s="4"/>
      <c r="JFI1534" s="6"/>
      <c r="JFJ1534" s="4"/>
      <c r="JFK1534" s="6"/>
      <c r="JFL1534" s="4"/>
      <c r="JFM1534" s="6"/>
      <c r="JFN1534" s="4"/>
      <c r="JFO1534" s="6"/>
      <c r="JFP1534" s="4"/>
      <c r="JFQ1534" s="6"/>
      <c r="JFR1534" s="4"/>
      <c r="JFS1534" s="6"/>
      <c r="JFT1534" s="4"/>
      <c r="JFU1534" s="6"/>
      <c r="JFV1534" s="4"/>
      <c r="JFW1534" s="6"/>
      <c r="JFX1534" s="4"/>
      <c r="JFY1534" s="6"/>
      <c r="JFZ1534" s="4"/>
      <c r="JGA1534" s="6"/>
      <c r="JGB1534" s="4"/>
      <c r="JGC1534" s="6"/>
      <c r="JGD1534" s="4"/>
      <c r="JGE1534" s="6"/>
      <c r="JGF1534" s="4"/>
      <c r="JGG1534" s="6"/>
      <c r="JGH1534" s="4"/>
      <c r="JGI1534" s="6"/>
      <c r="JGJ1534" s="4"/>
      <c r="JGK1534" s="6"/>
      <c r="JGL1534" s="4"/>
      <c r="JGM1534" s="6"/>
      <c r="JGN1534" s="4"/>
      <c r="JGO1534" s="6"/>
      <c r="JGP1534" s="4"/>
      <c r="JGQ1534" s="6"/>
      <c r="JGR1534" s="4"/>
      <c r="JGS1534" s="6"/>
      <c r="JGT1534" s="4"/>
      <c r="JGU1534" s="6"/>
      <c r="JGV1534" s="4"/>
      <c r="JGW1534" s="6"/>
      <c r="JGX1534" s="4"/>
      <c r="JGY1534" s="6"/>
      <c r="JGZ1534" s="4"/>
      <c r="JHA1534" s="6"/>
      <c r="JHB1534" s="4"/>
      <c r="JHC1534" s="6"/>
      <c r="JHD1534" s="4"/>
      <c r="JHE1534" s="6"/>
      <c r="JHF1534" s="4"/>
      <c r="JHG1534" s="6"/>
      <c r="JHH1534" s="4"/>
      <c r="JHI1534" s="6"/>
      <c r="JHJ1534" s="4"/>
      <c r="JHK1534" s="6"/>
      <c r="JHL1534" s="4"/>
      <c r="JHM1534" s="6"/>
      <c r="JHN1534" s="4"/>
      <c r="JHO1534" s="6"/>
      <c r="JHP1534" s="4"/>
      <c r="JHQ1534" s="6"/>
      <c r="JHR1534" s="4"/>
      <c r="JHS1534" s="6"/>
      <c r="JHT1534" s="4"/>
      <c r="JHU1534" s="6"/>
      <c r="JHV1534" s="4"/>
      <c r="JHW1534" s="6"/>
      <c r="JHX1534" s="4"/>
      <c r="JHY1534" s="6"/>
      <c r="JHZ1534" s="4"/>
      <c r="JIA1534" s="6"/>
      <c r="JIB1534" s="4"/>
      <c r="JIC1534" s="6"/>
      <c r="JID1534" s="4"/>
      <c r="JIE1534" s="6"/>
      <c r="JIF1534" s="4"/>
      <c r="JIG1534" s="6"/>
      <c r="JIH1534" s="4"/>
      <c r="JII1534" s="6"/>
      <c r="JIJ1534" s="4"/>
      <c r="JIK1534" s="6"/>
      <c r="JIL1534" s="4"/>
      <c r="JIM1534" s="6"/>
      <c r="JIN1534" s="4"/>
      <c r="JIO1534" s="6"/>
      <c r="JIP1534" s="4"/>
      <c r="JIQ1534" s="6"/>
      <c r="JIR1534" s="4"/>
      <c r="JIS1534" s="6"/>
      <c r="JIT1534" s="4"/>
      <c r="JIU1534" s="6"/>
      <c r="JIV1534" s="4"/>
      <c r="JIW1534" s="6"/>
      <c r="JIX1534" s="4"/>
      <c r="JIY1534" s="6"/>
      <c r="JIZ1534" s="4"/>
      <c r="JJA1534" s="6"/>
      <c r="JJB1534" s="4"/>
      <c r="JJC1534" s="6"/>
      <c r="JJD1534" s="4"/>
      <c r="JJE1534" s="6"/>
      <c r="JJF1534" s="4"/>
      <c r="JJG1534" s="6"/>
      <c r="JJH1534" s="4"/>
      <c r="JJI1534" s="6"/>
      <c r="JJJ1534" s="4"/>
      <c r="JJK1534" s="6"/>
      <c r="JJL1534" s="4"/>
      <c r="JJM1534" s="6"/>
      <c r="JJN1534" s="4"/>
      <c r="JJO1534" s="6"/>
      <c r="JJP1534" s="4"/>
      <c r="JJQ1534" s="6"/>
      <c r="JJR1534" s="4"/>
      <c r="JJS1534" s="6"/>
      <c r="JJT1534" s="4"/>
      <c r="JJU1534" s="6"/>
      <c r="JJV1534" s="4"/>
      <c r="JJW1534" s="6"/>
      <c r="JJX1534" s="4"/>
      <c r="JJY1534" s="6"/>
      <c r="JJZ1534" s="4"/>
      <c r="JKA1534" s="6"/>
      <c r="JKB1534" s="4"/>
      <c r="JKC1534" s="6"/>
      <c r="JKD1534" s="4"/>
      <c r="JKE1534" s="6"/>
      <c r="JKF1534" s="4"/>
      <c r="JKG1534" s="6"/>
      <c r="JKH1534" s="4"/>
      <c r="JKI1534" s="6"/>
      <c r="JKJ1534" s="4"/>
      <c r="JKK1534" s="6"/>
      <c r="JKL1534" s="4"/>
      <c r="JKM1534" s="6"/>
      <c r="JKN1534" s="4"/>
      <c r="JKO1534" s="6"/>
      <c r="JKP1534" s="4"/>
      <c r="JKQ1534" s="6"/>
      <c r="JKR1534" s="4"/>
      <c r="JKS1534" s="6"/>
      <c r="JKT1534" s="4"/>
      <c r="JKU1534" s="6"/>
      <c r="JKV1534" s="4"/>
      <c r="JKW1534" s="6"/>
      <c r="JKX1534" s="4"/>
      <c r="JKY1534" s="6"/>
      <c r="JKZ1534" s="4"/>
      <c r="JLA1534" s="6"/>
      <c r="JLB1534" s="4"/>
      <c r="JLC1534" s="6"/>
      <c r="JLD1534" s="4"/>
      <c r="JLE1534" s="6"/>
      <c r="JLF1534" s="4"/>
      <c r="JLG1534" s="6"/>
      <c r="JLH1534" s="4"/>
      <c r="JLI1534" s="6"/>
      <c r="JLJ1534" s="4"/>
      <c r="JLK1534" s="6"/>
      <c r="JLL1534" s="4"/>
      <c r="JLM1534" s="6"/>
      <c r="JLN1534" s="4"/>
      <c r="JLO1534" s="6"/>
      <c r="JLP1534" s="4"/>
      <c r="JLQ1534" s="6"/>
      <c r="JLR1534" s="4"/>
      <c r="JLS1534" s="6"/>
      <c r="JLT1534" s="4"/>
      <c r="JLU1534" s="6"/>
      <c r="JLV1534" s="4"/>
      <c r="JLW1534" s="6"/>
      <c r="JLX1534" s="4"/>
      <c r="JLY1534" s="6"/>
      <c r="JLZ1534" s="4"/>
      <c r="JMA1534" s="6"/>
      <c r="JMB1534" s="4"/>
      <c r="JMC1534" s="6"/>
      <c r="JMD1534" s="4"/>
      <c r="JME1534" s="6"/>
      <c r="JMF1534" s="4"/>
      <c r="JMG1534" s="6"/>
      <c r="JMH1534" s="4"/>
      <c r="JMI1534" s="6"/>
      <c r="JMJ1534" s="4"/>
      <c r="JMK1534" s="6"/>
      <c r="JML1534" s="4"/>
      <c r="JMM1534" s="6"/>
      <c r="JMN1534" s="4"/>
      <c r="JMO1534" s="6"/>
      <c r="JMP1534" s="4"/>
      <c r="JMQ1534" s="6"/>
      <c r="JMR1534" s="4"/>
      <c r="JMS1534" s="6"/>
      <c r="JMT1534" s="4"/>
      <c r="JMU1534" s="6"/>
      <c r="JMV1534" s="4"/>
      <c r="JMW1534" s="6"/>
      <c r="JMX1534" s="4"/>
      <c r="JMY1534" s="6"/>
      <c r="JMZ1534" s="4"/>
      <c r="JNA1534" s="6"/>
      <c r="JNB1534" s="4"/>
      <c r="JNC1534" s="6"/>
      <c r="JND1534" s="4"/>
      <c r="JNE1534" s="6"/>
      <c r="JNF1534" s="4"/>
      <c r="JNG1534" s="6"/>
      <c r="JNH1534" s="4"/>
      <c r="JNI1534" s="6"/>
      <c r="JNJ1534" s="4"/>
      <c r="JNK1534" s="6"/>
      <c r="JNL1534" s="4"/>
      <c r="JNM1534" s="6"/>
      <c r="JNN1534" s="4"/>
      <c r="JNO1534" s="6"/>
      <c r="JNP1534" s="4"/>
      <c r="JNQ1534" s="6"/>
      <c r="JNR1534" s="4"/>
      <c r="JNS1534" s="6"/>
      <c r="JNT1534" s="4"/>
      <c r="JNU1534" s="6"/>
      <c r="JNV1534" s="4"/>
      <c r="JNW1534" s="6"/>
      <c r="JNX1534" s="4"/>
      <c r="JNY1534" s="6"/>
      <c r="JNZ1534" s="4"/>
      <c r="JOA1534" s="6"/>
      <c r="JOB1534" s="4"/>
      <c r="JOC1534" s="6"/>
      <c r="JOD1534" s="4"/>
      <c r="JOE1534" s="6"/>
      <c r="JOF1534" s="4"/>
      <c r="JOG1534" s="6"/>
      <c r="JOH1534" s="4"/>
      <c r="JOI1534" s="6"/>
      <c r="JOJ1534" s="4"/>
      <c r="JOK1534" s="6"/>
      <c r="JOL1534" s="4"/>
      <c r="JOM1534" s="6"/>
      <c r="JON1534" s="4"/>
      <c r="JOO1534" s="6"/>
      <c r="JOP1534" s="4"/>
      <c r="JOQ1534" s="6"/>
      <c r="JOR1534" s="4"/>
      <c r="JOS1534" s="6"/>
      <c r="JOT1534" s="4"/>
      <c r="JOU1534" s="6"/>
      <c r="JOV1534" s="4"/>
      <c r="JOW1534" s="6"/>
      <c r="JOX1534" s="4"/>
      <c r="JOY1534" s="6"/>
      <c r="JOZ1534" s="4"/>
      <c r="JPA1534" s="6"/>
      <c r="JPB1534" s="4"/>
      <c r="JPC1534" s="6"/>
      <c r="JPD1534" s="4"/>
      <c r="JPE1534" s="6"/>
      <c r="JPF1534" s="4"/>
      <c r="JPG1534" s="6"/>
      <c r="JPH1534" s="4"/>
      <c r="JPI1534" s="6"/>
      <c r="JPJ1534" s="4"/>
      <c r="JPK1534" s="6"/>
      <c r="JPL1534" s="4"/>
      <c r="JPM1534" s="6"/>
      <c r="JPN1534" s="4"/>
      <c r="JPO1534" s="6"/>
      <c r="JPP1534" s="4"/>
      <c r="JPQ1534" s="6"/>
      <c r="JPR1534" s="4"/>
      <c r="JPS1534" s="6"/>
      <c r="JPT1534" s="4"/>
      <c r="JPU1534" s="6"/>
      <c r="JPV1534" s="4"/>
      <c r="JPW1534" s="6"/>
      <c r="JPX1534" s="4"/>
      <c r="JPY1534" s="6"/>
      <c r="JPZ1534" s="4"/>
      <c r="JQA1534" s="6"/>
      <c r="JQB1534" s="4"/>
      <c r="JQC1534" s="6"/>
      <c r="JQD1534" s="4"/>
      <c r="JQE1534" s="6"/>
      <c r="JQF1534" s="4"/>
      <c r="JQG1534" s="6"/>
      <c r="JQH1534" s="4"/>
      <c r="JQI1534" s="6"/>
      <c r="JQJ1534" s="4"/>
      <c r="JQK1534" s="6"/>
      <c r="JQL1534" s="4"/>
      <c r="JQM1534" s="6"/>
      <c r="JQN1534" s="4"/>
      <c r="JQO1534" s="6"/>
      <c r="JQP1534" s="4"/>
      <c r="JQQ1534" s="6"/>
      <c r="JQR1534" s="4"/>
      <c r="JQS1534" s="6"/>
      <c r="JQT1534" s="4"/>
      <c r="JQU1534" s="6"/>
      <c r="JQV1534" s="4"/>
      <c r="JQW1534" s="6"/>
      <c r="JQX1534" s="4"/>
      <c r="JQY1534" s="6"/>
      <c r="JQZ1534" s="4"/>
      <c r="JRA1534" s="6"/>
      <c r="JRB1534" s="4"/>
      <c r="JRC1534" s="6"/>
      <c r="JRD1534" s="4"/>
      <c r="JRE1534" s="6"/>
      <c r="JRF1534" s="4"/>
      <c r="JRG1534" s="6"/>
      <c r="JRH1534" s="4"/>
      <c r="JRI1534" s="6"/>
      <c r="JRJ1534" s="4"/>
      <c r="JRK1534" s="6"/>
      <c r="JRL1534" s="4"/>
      <c r="JRM1534" s="6"/>
      <c r="JRN1534" s="4"/>
      <c r="JRO1534" s="6"/>
      <c r="JRP1534" s="4"/>
      <c r="JRQ1534" s="6"/>
      <c r="JRR1534" s="4"/>
      <c r="JRS1534" s="6"/>
      <c r="JRT1534" s="4"/>
      <c r="JRU1534" s="6"/>
      <c r="JRV1534" s="4"/>
      <c r="JRW1534" s="6"/>
      <c r="JRX1534" s="4"/>
      <c r="JRY1534" s="6"/>
      <c r="JRZ1534" s="4"/>
      <c r="JSA1534" s="6"/>
      <c r="JSB1534" s="4"/>
      <c r="JSC1534" s="6"/>
      <c r="JSD1534" s="4"/>
      <c r="JSE1534" s="6"/>
      <c r="JSF1534" s="4"/>
      <c r="JSG1534" s="6"/>
      <c r="JSH1534" s="4"/>
      <c r="JSI1534" s="6"/>
      <c r="JSJ1534" s="4"/>
      <c r="JSK1534" s="6"/>
      <c r="JSL1534" s="4"/>
      <c r="JSM1534" s="6"/>
      <c r="JSN1534" s="4"/>
      <c r="JSO1534" s="6"/>
      <c r="JSP1534" s="4"/>
      <c r="JSQ1534" s="6"/>
      <c r="JSR1534" s="4"/>
      <c r="JSS1534" s="6"/>
      <c r="JST1534" s="4"/>
      <c r="JSU1534" s="6"/>
      <c r="JSV1534" s="4"/>
      <c r="JSW1534" s="6"/>
      <c r="JSX1534" s="4"/>
      <c r="JSY1534" s="6"/>
      <c r="JSZ1534" s="4"/>
      <c r="JTA1534" s="6"/>
      <c r="JTB1534" s="4"/>
      <c r="JTC1534" s="6"/>
      <c r="JTD1534" s="4"/>
      <c r="JTE1534" s="6"/>
      <c r="JTF1534" s="4"/>
      <c r="JTG1534" s="6"/>
      <c r="JTH1534" s="4"/>
      <c r="JTI1534" s="6"/>
      <c r="JTJ1534" s="4"/>
      <c r="JTK1534" s="6"/>
      <c r="JTL1534" s="4"/>
      <c r="JTM1534" s="6"/>
      <c r="JTN1534" s="4"/>
      <c r="JTO1534" s="6"/>
      <c r="JTP1534" s="4"/>
      <c r="JTQ1534" s="6"/>
      <c r="JTR1534" s="4"/>
      <c r="JTS1534" s="6"/>
      <c r="JTT1534" s="4"/>
      <c r="JTU1534" s="6"/>
      <c r="JTV1534" s="4"/>
      <c r="JTW1534" s="6"/>
      <c r="JTX1534" s="4"/>
      <c r="JTY1534" s="6"/>
      <c r="JTZ1534" s="4"/>
      <c r="JUA1534" s="6"/>
      <c r="JUB1534" s="4"/>
      <c r="JUC1534" s="6"/>
      <c r="JUD1534" s="4"/>
      <c r="JUE1534" s="6"/>
      <c r="JUF1534" s="4"/>
      <c r="JUG1534" s="6"/>
      <c r="JUH1534" s="4"/>
      <c r="JUI1534" s="6"/>
      <c r="JUJ1534" s="4"/>
      <c r="JUK1534" s="6"/>
      <c r="JUL1534" s="4"/>
      <c r="JUM1534" s="6"/>
      <c r="JUN1534" s="4"/>
      <c r="JUO1534" s="6"/>
      <c r="JUP1534" s="4"/>
      <c r="JUQ1534" s="6"/>
      <c r="JUR1534" s="4"/>
      <c r="JUS1534" s="6"/>
      <c r="JUT1534" s="4"/>
      <c r="JUU1534" s="6"/>
      <c r="JUV1534" s="4"/>
      <c r="JUW1534" s="6"/>
      <c r="JUX1534" s="4"/>
      <c r="JUY1534" s="6"/>
      <c r="JUZ1534" s="4"/>
      <c r="JVA1534" s="6"/>
      <c r="JVB1534" s="4"/>
      <c r="JVC1534" s="6"/>
      <c r="JVD1534" s="4"/>
      <c r="JVE1534" s="6"/>
      <c r="JVF1534" s="4"/>
      <c r="JVG1534" s="6"/>
      <c r="JVH1534" s="4"/>
      <c r="JVI1534" s="6"/>
      <c r="JVJ1534" s="4"/>
      <c r="JVK1534" s="6"/>
      <c r="JVL1534" s="4"/>
      <c r="JVM1534" s="6"/>
      <c r="JVN1534" s="4"/>
      <c r="JVO1534" s="6"/>
      <c r="JVP1534" s="4"/>
      <c r="JVQ1534" s="6"/>
      <c r="JVR1534" s="4"/>
      <c r="JVS1534" s="6"/>
      <c r="JVT1534" s="4"/>
      <c r="JVU1534" s="6"/>
      <c r="JVV1534" s="4"/>
      <c r="JVW1534" s="6"/>
      <c r="JVX1534" s="4"/>
      <c r="JVY1534" s="6"/>
      <c r="JVZ1534" s="4"/>
      <c r="JWA1534" s="6"/>
      <c r="JWB1534" s="4"/>
      <c r="JWC1534" s="6"/>
      <c r="JWD1534" s="4"/>
      <c r="JWE1534" s="6"/>
      <c r="JWF1534" s="4"/>
      <c r="JWG1534" s="6"/>
      <c r="JWH1534" s="4"/>
      <c r="JWI1534" s="6"/>
      <c r="JWJ1534" s="4"/>
      <c r="JWK1534" s="6"/>
      <c r="JWL1534" s="4"/>
      <c r="JWM1534" s="6"/>
      <c r="JWN1534" s="4"/>
      <c r="JWO1534" s="6"/>
      <c r="JWP1534" s="4"/>
      <c r="JWQ1534" s="6"/>
      <c r="JWR1534" s="4"/>
      <c r="JWS1534" s="6"/>
      <c r="JWT1534" s="4"/>
      <c r="JWU1534" s="6"/>
      <c r="JWV1534" s="4"/>
      <c r="JWW1534" s="6"/>
      <c r="JWX1534" s="4"/>
      <c r="JWY1534" s="6"/>
      <c r="JWZ1534" s="4"/>
      <c r="JXA1534" s="6"/>
      <c r="JXB1534" s="4"/>
      <c r="JXC1534" s="6"/>
      <c r="JXD1534" s="4"/>
      <c r="JXE1534" s="6"/>
      <c r="JXF1534" s="4"/>
      <c r="JXG1534" s="6"/>
      <c r="JXH1534" s="4"/>
      <c r="JXI1534" s="6"/>
      <c r="JXJ1534" s="4"/>
      <c r="JXK1534" s="6"/>
      <c r="JXL1534" s="4"/>
      <c r="JXM1534" s="6"/>
      <c r="JXN1534" s="4"/>
      <c r="JXO1534" s="6"/>
      <c r="JXP1534" s="4"/>
      <c r="JXQ1534" s="6"/>
      <c r="JXR1534" s="4"/>
      <c r="JXS1534" s="6"/>
      <c r="JXT1534" s="4"/>
      <c r="JXU1534" s="6"/>
      <c r="JXV1534" s="4"/>
      <c r="JXW1534" s="6"/>
      <c r="JXX1534" s="4"/>
      <c r="JXY1534" s="6"/>
      <c r="JXZ1534" s="4"/>
      <c r="JYA1534" s="6"/>
      <c r="JYB1534" s="4"/>
      <c r="JYC1534" s="6"/>
      <c r="JYD1534" s="4"/>
      <c r="JYE1534" s="6"/>
      <c r="JYF1534" s="4"/>
      <c r="JYG1534" s="6"/>
      <c r="JYH1534" s="4"/>
      <c r="JYI1534" s="6"/>
      <c r="JYJ1534" s="4"/>
      <c r="JYK1534" s="6"/>
      <c r="JYL1534" s="4"/>
      <c r="JYM1534" s="6"/>
      <c r="JYN1534" s="4"/>
      <c r="JYO1534" s="6"/>
      <c r="JYP1534" s="4"/>
      <c r="JYQ1534" s="6"/>
      <c r="JYR1534" s="4"/>
      <c r="JYS1534" s="6"/>
      <c r="JYT1534" s="4"/>
      <c r="JYU1534" s="6"/>
      <c r="JYV1534" s="4"/>
      <c r="JYW1534" s="6"/>
      <c r="JYX1534" s="4"/>
      <c r="JYY1534" s="6"/>
      <c r="JYZ1534" s="4"/>
      <c r="JZA1534" s="6"/>
      <c r="JZB1534" s="4"/>
      <c r="JZC1534" s="6"/>
      <c r="JZD1534" s="4"/>
      <c r="JZE1534" s="6"/>
      <c r="JZF1534" s="4"/>
      <c r="JZG1534" s="6"/>
      <c r="JZH1534" s="4"/>
      <c r="JZI1534" s="6"/>
      <c r="JZJ1534" s="4"/>
      <c r="JZK1534" s="6"/>
      <c r="JZL1534" s="4"/>
      <c r="JZM1534" s="6"/>
      <c r="JZN1534" s="4"/>
      <c r="JZO1534" s="6"/>
      <c r="JZP1534" s="4"/>
      <c r="JZQ1534" s="6"/>
      <c r="JZR1534" s="4"/>
      <c r="JZS1534" s="6"/>
      <c r="JZT1534" s="4"/>
      <c r="JZU1534" s="6"/>
      <c r="JZV1534" s="4"/>
      <c r="JZW1534" s="6"/>
      <c r="JZX1534" s="4"/>
      <c r="JZY1534" s="6"/>
      <c r="JZZ1534" s="4"/>
      <c r="KAA1534" s="6"/>
      <c r="KAB1534" s="4"/>
      <c r="KAC1534" s="6"/>
      <c r="KAD1534" s="4"/>
      <c r="KAE1534" s="6"/>
      <c r="KAF1534" s="4"/>
      <c r="KAG1534" s="6"/>
      <c r="KAH1534" s="4"/>
      <c r="KAI1534" s="6"/>
      <c r="KAJ1534" s="4"/>
      <c r="KAK1534" s="6"/>
      <c r="KAL1534" s="4"/>
      <c r="KAM1534" s="6"/>
      <c r="KAN1534" s="4"/>
      <c r="KAO1534" s="6"/>
      <c r="KAP1534" s="4"/>
      <c r="KAQ1534" s="6"/>
      <c r="KAR1534" s="4"/>
      <c r="KAS1534" s="6"/>
      <c r="KAT1534" s="4"/>
      <c r="KAU1534" s="6"/>
      <c r="KAV1534" s="4"/>
      <c r="KAW1534" s="6"/>
      <c r="KAX1534" s="4"/>
      <c r="KAY1534" s="6"/>
      <c r="KAZ1534" s="4"/>
      <c r="KBA1534" s="6"/>
      <c r="KBB1534" s="4"/>
      <c r="KBC1534" s="6"/>
      <c r="KBD1534" s="4"/>
      <c r="KBE1534" s="6"/>
      <c r="KBF1534" s="4"/>
      <c r="KBG1534" s="6"/>
      <c r="KBH1534" s="4"/>
      <c r="KBI1534" s="6"/>
      <c r="KBJ1534" s="4"/>
      <c r="KBK1534" s="6"/>
      <c r="KBL1534" s="4"/>
      <c r="KBM1534" s="6"/>
      <c r="KBN1534" s="4"/>
      <c r="KBO1534" s="6"/>
      <c r="KBP1534" s="4"/>
      <c r="KBQ1534" s="6"/>
      <c r="KBR1534" s="4"/>
      <c r="KBS1534" s="6"/>
      <c r="KBT1534" s="4"/>
      <c r="KBU1534" s="6"/>
      <c r="KBV1534" s="4"/>
      <c r="KBW1534" s="6"/>
      <c r="KBX1534" s="4"/>
      <c r="KBY1534" s="6"/>
      <c r="KBZ1534" s="4"/>
      <c r="KCA1534" s="6"/>
      <c r="KCB1534" s="4"/>
      <c r="KCC1534" s="6"/>
      <c r="KCD1534" s="4"/>
      <c r="KCE1534" s="6"/>
      <c r="KCF1534" s="4"/>
      <c r="KCG1534" s="6"/>
      <c r="KCH1534" s="4"/>
      <c r="KCI1534" s="6"/>
      <c r="KCJ1534" s="4"/>
      <c r="KCK1534" s="6"/>
      <c r="KCL1534" s="4"/>
      <c r="KCM1534" s="6"/>
      <c r="KCN1534" s="4"/>
      <c r="KCO1534" s="6"/>
      <c r="KCP1534" s="4"/>
      <c r="KCQ1534" s="6"/>
      <c r="KCR1534" s="4"/>
      <c r="KCS1534" s="6"/>
      <c r="KCT1534" s="4"/>
      <c r="KCU1534" s="6"/>
      <c r="KCV1534" s="4"/>
      <c r="KCW1534" s="6"/>
      <c r="KCX1534" s="4"/>
      <c r="KCY1534" s="6"/>
      <c r="KCZ1534" s="4"/>
      <c r="KDA1534" s="6"/>
      <c r="KDB1534" s="4"/>
      <c r="KDC1534" s="6"/>
      <c r="KDD1534" s="4"/>
      <c r="KDE1534" s="6"/>
      <c r="KDF1534" s="4"/>
      <c r="KDG1534" s="6"/>
      <c r="KDH1534" s="4"/>
      <c r="KDI1534" s="6"/>
      <c r="KDJ1534" s="4"/>
      <c r="KDK1534" s="6"/>
      <c r="KDL1534" s="4"/>
      <c r="KDM1534" s="6"/>
      <c r="KDN1534" s="4"/>
      <c r="KDO1534" s="6"/>
      <c r="KDP1534" s="4"/>
      <c r="KDQ1534" s="6"/>
      <c r="KDR1534" s="4"/>
      <c r="KDS1534" s="6"/>
      <c r="KDT1534" s="4"/>
      <c r="KDU1534" s="6"/>
      <c r="KDV1534" s="4"/>
      <c r="KDW1534" s="6"/>
      <c r="KDX1534" s="4"/>
      <c r="KDY1534" s="6"/>
      <c r="KDZ1534" s="4"/>
      <c r="KEA1534" s="6"/>
      <c r="KEB1534" s="4"/>
      <c r="KEC1534" s="6"/>
      <c r="KED1534" s="4"/>
      <c r="KEE1534" s="6"/>
      <c r="KEF1534" s="4"/>
      <c r="KEG1534" s="6"/>
      <c r="KEH1534" s="4"/>
      <c r="KEI1534" s="6"/>
      <c r="KEJ1534" s="4"/>
      <c r="KEK1534" s="6"/>
      <c r="KEL1534" s="4"/>
      <c r="KEM1534" s="6"/>
      <c r="KEN1534" s="4"/>
      <c r="KEO1534" s="6"/>
      <c r="KEP1534" s="4"/>
      <c r="KEQ1534" s="6"/>
      <c r="KER1534" s="4"/>
      <c r="KES1534" s="6"/>
      <c r="KET1534" s="4"/>
      <c r="KEU1534" s="6"/>
      <c r="KEV1534" s="4"/>
      <c r="KEW1534" s="6"/>
      <c r="KEX1534" s="4"/>
      <c r="KEY1534" s="6"/>
      <c r="KEZ1534" s="4"/>
      <c r="KFA1534" s="6"/>
      <c r="KFB1534" s="4"/>
      <c r="KFC1534" s="6"/>
      <c r="KFD1534" s="4"/>
      <c r="KFE1534" s="6"/>
      <c r="KFF1534" s="4"/>
      <c r="KFG1534" s="6"/>
      <c r="KFH1534" s="4"/>
      <c r="KFI1534" s="6"/>
      <c r="KFJ1534" s="4"/>
      <c r="KFK1534" s="6"/>
      <c r="KFL1534" s="4"/>
      <c r="KFM1534" s="6"/>
      <c r="KFN1534" s="4"/>
      <c r="KFO1534" s="6"/>
      <c r="KFP1534" s="4"/>
      <c r="KFQ1534" s="6"/>
      <c r="KFR1534" s="4"/>
      <c r="KFS1534" s="6"/>
      <c r="KFT1534" s="4"/>
      <c r="KFU1534" s="6"/>
      <c r="KFV1534" s="4"/>
      <c r="KFW1534" s="6"/>
      <c r="KFX1534" s="4"/>
      <c r="KFY1534" s="6"/>
      <c r="KFZ1534" s="4"/>
      <c r="KGA1534" s="6"/>
      <c r="KGB1534" s="4"/>
      <c r="KGC1534" s="6"/>
      <c r="KGD1534" s="4"/>
      <c r="KGE1534" s="6"/>
      <c r="KGF1534" s="4"/>
      <c r="KGG1534" s="6"/>
      <c r="KGH1534" s="4"/>
      <c r="KGI1534" s="6"/>
      <c r="KGJ1534" s="4"/>
      <c r="KGK1534" s="6"/>
      <c r="KGL1534" s="4"/>
      <c r="KGM1534" s="6"/>
      <c r="KGN1534" s="4"/>
      <c r="KGO1534" s="6"/>
      <c r="KGP1534" s="4"/>
      <c r="KGQ1534" s="6"/>
      <c r="KGR1534" s="4"/>
      <c r="KGS1534" s="6"/>
      <c r="KGT1534" s="4"/>
      <c r="KGU1534" s="6"/>
      <c r="KGV1534" s="4"/>
      <c r="KGW1534" s="6"/>
      <c r="KGX1534" s="4"/>
      <c r="KGY1534" s="6"/>
      <c r="KGZ1534" s="4"/>
      <c r="KHA1534" s="6"/>
      <c r="KHB1534" s="4"/>
      <c r="KHC1534" s="6"/>
      <c r="KHD1534" s="4"/>
      <c r="KHE1534" s="6"/>
      <c r="KHF1534" s="4"/>
      <c r="KHG1534" s="6"/>
      <c r="KHH1534" s="4"/>
      <c r="KHI1534" s="6"/>
      <c r="KHJ1534" s="4"/>
      <c r="KHK1534" s="6"/>
      <c r="KHL1534" s="4"/>
      <c r="KHM1534" s="6"/>
      <c r="KHN1534" s="4"/>
      <c r="KHO1534" s="6"/>
      <c r="KHP1534" s="4"/>
      <c r="KHQ1534" s="6"/>
      <c r="KHR1534" s="4"/>
      <c r="KHS1534" s="6"/>
      <c r="KHT1534" s="4"/>
      <c r="KHU1534" s="6"/>
      <c r="KHV1534" s="4"/>
      <c r="KHW1534" s="6"/>
      <c r="KHX1534" s="4"/>
      <c r="KHY1534" s="6"/>
      <c r="KHZ1534" s="4"/>
      <c r="KIA1534" s="6"/>
      <c r="KIB1534" s="4"/>
      <c r="KIC1534" s="6"/>
      <c r="KID1534" s="4"/>
      <c r="KIE1534" s="6"/>
      <c r="KIF1534" s="4"/>
      <c r="KIG1534" s="6"/>
      <c r="KIH1534" s="4"/>
      <c r="KII1534" s="6"/>
      <c r="KIJ1534" s="4"/>
      <c r="KIK1534" s="6"/>
      <c r="KIL1534" s="4"/>
      <c r="KIM1534" s="6"/>
      <c r="KIN1534" s="4"/>
      <c r="KIO1534" s="6"/>
      <c r="KIP1534" s="4"/>
      <c r="KIQ1534" s="6"/>
      <c r="KIR1534" s="4"/>
      <c r="KIS1534" s="6"/>
      <c r="KIT1534" s="4"/>
      <c r="KIU1534" s="6"/>
      <c r="KIV1534" s="4"/>
      <c r="KIW1534" s="6"/>
      <c r="KIX1534" s="4"/>
      <c r="KIY1534" s="6"/>
      <c r="KIZ1534" s="4"/>
      <c r="KJA1534" s="6"/>
      <c r="KJB1534" s="4"/>
      <c r="KJC1534" s="6"/>
      <c r="KJD1534" s="4"/>
      <c r="KJE1534" s="6"/>
      <c r="KJF1534" s="4"/>
      <c r="KJG1534" s="6"/>
      <c r="KJH1534" s="4"/>
      <c r="KJI1534" s="6"/>
      <c r="KJJ1534" s="4"/>
      <c r="KJK1534" s="6"/>
      <c r="KJL1534" s="4"/>
      <c r="KJM1534" s="6"/>
      <c r="KJN1534" s="4"/>
      <c r="KJO1534" s="6"/>
      <c r="KJP1534" s="4"/>
      <c r="KJQ1534" s="6"/>
      <c r="KJR1534" s="4"/>
      <c r="KJS1534" s="6"/>
      <c r="KJT1534" s="4"/>
      <c r="KJU1534" s="6"/>
      <c r="KJV1534" s="4"/>
      <c r="KJW1534" s="6"/>
      <c r="KJX1534" s="4"/>
      <c r="KJY1534" s="6"/>
      <c r="KJZ1534" s="4"/>
      <c r="KKA1534" s="6"/>
      <c r="KKB1534" s="4"/>
      <c r="KKC1534" s="6"/>
      <c r="KKD1534" s="4"/>
      <c r="KKE1534" s="6"/>
      <c r="KKF1534" s="4"/>
      <c r="KKG1534" s="6"/>
      <c r="KKH1534" s="4"/>
      <c r="KKI1534" s="6"/>
      <c r="KKJ1534" s="4"/>
      <c r="KKK1534" s="6"/>
      <c r="KKL1534" s="4"/>
      <c r="KKM1534" s="6"/>
      <c r="KKN1534" s="4"/>
      <c r="KKO1534" s="6"/>
      <c r="KKP1534" s="4"/>
      <c r="KKQ1534" s="6"/>
      <c r="KKR1534" s="4"/>
      <c r="KKS1534" s="6"/>
      <c r="KKT1534" s="4"/>
      <c r="KKU1534" s="6"/>
      <c r="KKV1534" s="4"/>
      <c r="KKW1534" s="6"/>
      <c r="KKX1534" s="4"/>
      <c r="KKY1534" s="6"/>
      <c r="KKZ1534" s="4"/>
      <c r="KLA1534" s="6"/>
      <c r="KLB1534" s="4"/>
      <c r="KLC1534" s="6"/>
      <c r="KLD1534" s="4"/>
      <c r="KLE1534" s="6"/>
      <c r="KLF1534" s="4"/>
      <c r="KLG1534" s="6"/>
      <c r="KLH1534" s="4"/>
      <c r="KLI1534" s="6"/>
      <c r="KLJ1534" s="4"/>
      <c r="KLK1534" s="6"/>
      <c r="KLL1534" s="4"/>
      <c r="KLM1534" s="6"/>
      <c r="KLN1534" s="4"/>
      <c r="KLO1534" s="6"/>
      <c r="KLP1534" s="4"/>
      <c r="KLQ1534" s="6"/>
      <c r="KLR1534" s="4"/>
      <c r="KLS1534" s="6"/>
      <c r="KLT1534" s="4"/>
      <c r="KLU1534" s="6"/>
      <c r="KLV1534" s="4"/>
      <c r="KLW1534" s="6"/>
      <c r="KLX1534" s="4"/>
      <c r="KLY1534" s="6"/>
      <c r="KLZ1534" s="4"/>
      <c r="KMA1534" s="6"/>
      <c r="KMB1534" s="4"/>
      <c r="KMC1534" s="6"/>
      <c r="KMD1534" s="4"/>
      <c r="KME1534" s="6"/>
      <c r="KMF1534" s="4"/>
      <c r="KMG1534" s="6"/>
      <c r="KMH1534" s="4"/>
      <c r="KMI1534" s="6"/>
      <c r="KMJ1534" s="4"/>
      <c r="KMK1534" s="6"/>
      <c r="KML1534" s="4"/>
      <c r="KMM1534" s="6"/>
      <c r="KMN1534" s="4"/>
      <c r="KMO1534" s="6"/>
      <c r="KMP1534" s="4"/>
      <c r="KMQ1534" s="6"/>
      <c r="KMR1534" s="4"/>
      <c r="KMS1534" s="6"/>
      <c r="KMT1534" s="4"/>
      <c r="KMU1534" s="6"/>
      <c r="KMV1534" s="4"/>
      <c r="KMW1534" s="6"/>
      <c r="KMX1534" s="4"/>
      <c r="KMY1534" s="6"/>
      <c r="KMZ1534" s="4"/>
      <c r="KNA1534" s="6"/>
      <c r="KNB1534" s="4"/>
      <c r="KNC1534" s="6"/>
      <c r="KND1534" s="4"/>
      <c r="KNE1534" s="6"/>
      <c r="KNF1534" s="4"/>
      <c r="KNG1534" s="6"/>
      <c r="KNH1534" s="4"/>
      <c r="KNI1534" s="6"/>
      <c r="KNJ1534" s="4"/>
      <c r="KNK1534" s="6"/>
      <c r="KNL1534" s="4"/>
      <c r="KNM1534" s="6"/>
      <c r="KNN1534" s="4"/>
      <c r="KNO1534" s="6"/>
      <c r="KNP1534" s="4"/>
      <c r="KNQ1534" s="6"/>
      <c r="KNR1534" s="4"/>
      <c r="KNS1534" s="6"/>
      <c r="KNT1534" s="4"/>
      <c r="KNU1534" s="6"/>
      <c r="KNV1534" s="4"/>
      <c r="KNW1534" s="6"/>
      <c r="KNX1534" s="4"/>
      <c r="KNY1534" s="6"/>
      <c r="KNZ1534" s="4"/>
      <c r="KOA1534" s="6"/>
      <c r="KOB1534" s="4"/>
      <c r="KOC1534" s="6"/>
      <c r="KOD1534" s="4"/>
      <c r="KOE1534" s="6"/>
      <c r="KOF1534" s="4"/>
      <c r="KOG1534" s="6"/>
      <c r="KOH1534" s="4"/>
      <c r="KOI1534" s="6"/>
      <c r="KOJ1534" s="4"/>
      <c r="KOK1534" s="6"/>
      <c r="KOL1534" s="4"/>
      <c r="KOM1534" s="6"/>
      <c r="KON1534" s="4"/>
      <c r="KOO1534" s="6"/>
      <c r="KOP1534" s="4"/>
      <c r="KOQ1534" s="6"/>
      <c r="KOR1534" s="4"/>
      <c r="KOS1534" s="6"/>
      <c r="KOT1534" s="4"/>
      <c r="KOU1534" s="6"/>
      <c r="KOV1534" s="4"/>
      <c r="KOW1534" s="6"/>
      <c r="KOX1534" s="4"/>
      <c r="KOY1534" s="6"/>
      <c r="KOZ1534" s="4"/>
      <c r="KPA1534" s="6"/>
      <c r="KPB1534" s="4"/>
      <c r="KPC1534" s="6"/>
      <c r="KPD1534" s="4"/>
      <c r="KPE1534" s="6"/>
      <c r="KPF1534" s="4"/>
      <c r="KPG1534" s="6"/>
      <c r="KPH1534" s="4"/>
      <c r="KPI1534" s="6"/>
      <c r="KPJ1534" s="4"/>
      <c r="KPK1534" s="6"/>
      <c r="KPL1534" s="4"/>
      <c r="KPM1534" s="6"/>
      <c r="KPN1534" s="4"/>
      <c r="KPO1534" s="6"/>
      <c r="KPP1534" s="4"/>
      <c r="KPQ1534" s="6"/>
      <c r="KPR1534" s="4"/>
      <c r="KPS1534" s="6"/>
      <c r="KPT1534" s="4"/>
      <c r="KPU1534" s="6"/>
      <c r="KPV1534" s="4"/>
      <c r="KPW1534" s="6"/>
      <c r="KPX1534" s="4"/>
      <c r="KPY1534" s="6"/>
      <c r="KPZ1534" s="4"/>
      <c r="KQA1534" s="6"/>
      <c r="KQB1534" s="4"/>
      <c r="KQC1534" s="6"/>
      <c r="KQD1534" s="4"/>
      <c r="KQE1534" s="6"/>
      <c r="KQF1534" s="4"/>
      <c r="KQG1534" s="6"/>
      <c r="KQH1534" s="4"/>
      <c r="KQI1534" s="6"/>
      <c r="KQJ1534" s="4"/>
      <c r="KQK1534" s="6"/>
      <c r="KQL1534" s="4"/>
      <c r="KQM1534" s="6"/>
      <c r="KQN1534" s="4"/>
      <c r="KQO1534" s="6"/>
      <c r="KQP1534" s="4"/>
      <c r="KQQ1534" s="6"/>
      <c r="KQR1534" s="4"/>
      <c r="KQS1534" s="6"/>
      <c r="KQT1534" s="4"/>
      <c r="KQU1534" s="6"/>
      <c r="KQV1534" s="4"/>
      <c r="KQW1534" s="6"/>
      <c r="KQX1534" s="4"/>
      <c r="KQY1534" s="6"/>
      <c r="KQZ1534" s="4"/>
      <c r="KRA1534" s="6"/>
      <c r="KRB1534" s="4"/>
      <c r="KRC1534" s="6"/>
      <c r="KRD1534" s="4"/>
      <c r="KRE1534" s="6"/>
      <c r="KRF1534" s="4"/>
      <c r="KRG1534" s="6"/>
      <c r="KRH1534" s="4"/>
      <c r="KRI1534" s="6"/>
      <c r="KRJ1534" s="4"/>
      <c r="KRK1534" s="6"/>
      <c r="KRL1534" s="4"/>
      <c r="KRM1534" s="6"/>
      <c r="KRN1534" s="4"/>
      <c r="KRO1534" s="6"/>
      <c r="KRP1534" s="4"/>
      <c r="KRQ1534" s="6"/>
      <c r="KRR1534" s="4"/>
      <c r="KRS1534" s="6"/>
      <c r="KRT1534" s="4"/>
      <c r="KRU1534" s="6"/>
      <c r="KRV1534" s="4"/>
      <c r="KRW1534" s="6"/>
      <c r="KRX1534" s="4"/>
      <c r="KRY1534" s="6"/>
      <c r="KRZ1534" s="4"/>
      <c r="KSA1534" s="6"/>
      <c r="KSB1534" s="4"/>
      <c r="KSC1534" s="6"/>
      <c r="KSD1534" s="4"/>
      <c r="KSE1534" s="6"/>
      <c r="KSF1534" s="4"/>
      <c r="KSG1534" s="6"/>
      <c r="KSH1534" s="4"/>
      <c r="KSI1534" s="6"/>
      <c r="KSJ1534" s="4"/>
      <c r="KSK1534" s="6"/>
      <c r="KSL1534" s="4"/>
      <c r="KSM1534" s="6"/>
      <c r="KSN1534" s="4"/>
      <c r="KSO1534" s="6"/>
      <c r="KSP1534" s="4"/>
      <c r="KSQ1534" s="6"/>
      <c r="KSR1534" s="4"/>
      <c r="KSS1534" s="6"/>
      <c r="KST1534" s="4"/>
      <c r="KSU1534" s="6"/>
      <c r="KSV1534" s="4"/>
      <c r="KSW1534" s="6"/>
      <c r="KSX1534" s="4"/>
      <c r="KSY1534" s="6"/>
      <c r="KSZ1534" s="4"/>
      <c r="KTA1534" s="6"/>
      <c r="KTB1534" s="4"/>
      <c r="KTC1534" s="6"/>
      <c r="KTD1534" s="4"/>
      <c r="KTE1534" s="6"/>
      <c r="KTF1534" s="4"/>
      <c r="KTG1534" s="6"/>
      <c r="KTH1534" s="4"/>
      <c r="KTI1534" s="6"/>
      <c r="KTJ1534" s="4"/>
      <c r="KTK1534" s="6"/>
      <c r="KTL1534" s="4"/>
      <c r="KTM1534" s="6"/>
      <c r="KTN1534" s="4"/>
      <c r="KTO1534" s="6"/>
      <c r="KTP1534" s="4"/>
      <c r="KTQ1534" s="6"/>
      <c r="KTR1534" s="4"/>
      <c r="KTS1534" s="6"/>
      <c r="KTT1534" s="4"/>
      <c r="KTU1534" s="6"/>
      <c r="KTV1534" s="4"/>
      <c r="KTW1534" s="6"/>
      <c r="KTX1534" s="4"/>
      <c r="KTY1534" s="6"/>
      <c r="KTZ1534" s="4"/>
      <c r="KUA1534" s="6"/>
      <c r="KUB1534" s="4"/>
      <c r="KUC1534" s="6"/>
      <c r="KUD1534" s="4"/>
      <c r="KUE1534" s="6"/>
      <c r="KUF1534" s="4"/>
      <c r="KUG1534" s="6"/>
      <c r="KUH1534" s="4"/>
      <c r="KUI1534" s="6"/>
      <c r="KUJ1534" s="4"/>
      <c r="KUK1534" s="6"/>
      <c r="KUL1534" s="4"/>
      <c r="KUM1534" s="6"/>
      <c r="KUN1534" s="4"/>
      <c r="KUO1534" s="6"/>
      <c r="KUP1534" s="4"/>
      <c r="KUQ1534" s="6"/>
      <c r="KUR1534" s="4"/>
      <c r="KUS1534" s="6"/>
      <c r="KUT1534" s="4"/>
      <c r="KUU1534" s="6"/>
      <c r="KUV1534" s="4"/>
      <c r="KUW1534" s="6"/>
      <c r="KUX1534" s="4"/>
      <c r="KUY1534" s="6"/>
      <c r="KUZ1534" s="4"/>
      <c r="KVA1534" s="6"/>
      <c r="KVB1534" s="4"/>
      <c r="KVC1534" s="6"/>
      <c r="KVD1534" s="4"/>
      <c r="KVE1534" s="6"/>
      <c r="KVF1534" s="4"/>
      <c r="KVG1534" s="6"/>
      <c r="KVH1534" s="4"/>
      <c r="KVI1534" s="6"/>
      <c r="KVJ1534" s="4"/>
      <c r="KVK1534" s="6"/>
      <c r="KVL1534" s="4"/>
      <c r="KVM1534" s="6"/>
      <c r="KVN1534" s="4"/>
      <c r="KVO1534" s="6"/>
      <c r="KVP1534" s="4"/>
      <c r="KVQ1534" s="6"/>
      <c r="KVR1534" s="4"/>
      <c r="KVS1534" s="6"/>
      <c r="KVT1534" s="4"/>
      <c r="KVU1534" s="6"/>
      <c r="KVV1534" s="4"/>
      <c r="KVW1534" s="6"/>
      <c r="KVX1534" s="4"/>
      <c r="KVY1534" s="6"/>
      <c r="KVZ1534" s="4"/>
      <c r="KWA1534" s="6"/>
      <c r="KWB1534" s="4"/>
      <c r="KWC1534" s="6"/>
      <c r="KWD1534" s="4"/>
      <c r="KWE1534" s="6"/>
      <c r="KWF1534" s="4"/>
      <c r="KWG1534" s="6"/>
      <c r="KWH1534" s="4"/>
      <c r="KWI1534" s="6"/>
      <c r="KWJ1534" s="4"/>
      <c r="KWK1534" s="6"/>
      <c r="KWL1534" s="4"/>
      <c r="KWM1534" s="6"/>
      <c r="KWN1534" s="4"/>
      <c r="KWO1534" s="6"/>
      <c r="KWP1534" s="4"/>
      <c r="KWQ1534" s="6"/>
      <c r="KWR1534" s="4"/>
      <c r="KWS1534" s="6"/>
      <c r="KWT1534" s="4"/>
      <c r="KWU1534" s="6"/>
      <c r="KWV1534" s="4"/>
      <c r="KWW1534" s="6"/>
      <c r="KWX1534" s="4"/>
      <c r="KWY1534" s="6"/>
      <c r="KWZ1534" s="4"/>
      <c r="KXA1534" s="6"/>
      <c r="KXB1534" s="4"/>
      <c r="KXC1534" s="6"/>
      <c r="KXD1534" s="4"/>
      <c r="KXE1534" s="6"/>
      <c r="KXF1534" s="4"/>
      <c r="KXG1534" s="6"/>
      <c r="KXH1534" s="4"/>
      <c r="KXI1534" s="6"/>
      <c r="KXJ1534" s="4"/>
      <c r="KXK1534" s="6"/>
      <c r="KXL1534" s="4"/>
      <c r="KXM1534" s="6"/>
      <c r="KXN1534" s="4"/>
      <c r="KXO1534" s="6"/>
      <c r="KXP1534" s="4"/>
      <c r="KXQ1534" s="6"/>
      <c r="KXR1534" s="4"/>
      <c r="KXS1534" s="6"/>
      <c r="KXT1534" s="4"/>
      <c r="KXU1534" s="6"/>
      <c r="KXV1534" s="4"/>
      <c r="KXW1534" s="6"/>
      <c r="KXX1534" s="4"/>
      <c r="KXY1534" s="6"/>
      <c r="KXZ1534" s="4"/>
      <c r="KYA1534" s="6"/>
      <c r="KYB1534" s="4"/>
      <c r="KYC1534" s="6"/>
      <c r="KYD1534" s="4"/>
      <c r="KYE1534" s="6"/>
      <c r="KYF1534" s="4"/>
      <c r="KYG1534" s="6"/>
      <c r="KYH1534" s="4"/>
      <c r="KYI1534" s="6"/>
      <c r="KYJ1534" s="4"/>
      <c r="KYK1534" s="6"/>
      <c r="KYL1534" s="4"/>
      <c r="KYM1534" s="6"/>
      <c r="KYN1534" s="4"/>
      <c r="KYO1534" s="6"/>
      <c r="KYP1534" s="4"/>
      <c r="KYQ1534" s="6"/>
      <c r="KYR1534" s="4"/>
      <c r="KYS1534" s="6"/>
      <c r="KYT1534" s="4"/>
      <c r="KYU1534" s="6"/>
      <c r="KYV1534" s="4"/>
      <c r="KYW1534" s="6"/>
      <c r="KYX1534" s="4"/>
      <c r="KYY1534" s="6"/>
      <c r="KYZ1534" s="4"/>
      <c r="KZA1534" s="6"/>
      <c r="KZB1534" s="4"/>
      <c r="KZC1534" s="6"/>
      <c r="KZD1534" s="4"/>
      <c r="KZE1534" s="6"/>
      <c r="KZF1534" s="4"/>
      <c r="KZG1534" s="6"/>
      <c r="KZH1534" s="4"/>
      <c r="KZI1534" s="6"/>
      <c r="KZJ1534" s="4"/>
      <c r="KZK1534" s="6"/>
      <c r="KZL1534" s="4"/>
      <c r="KZM1534" s="6"/>
      <c r="KZN1534" s="4"/>
      <c r="KZO1534" s="6"/>
      <c r="KZP1534" s="4"/>
      <c r="KZQ1534" s="6"/>
      <c r="KZR1534" s="4"/>
      <c r="KZS1534" s="6"/>
      <c r="KZT1534" s="4"/>
      <c r="KZU1534" s="6"/>
      <c r="KZV1534" s="4"/>
      <c r="KZW1534" s="6"/>
      <c r="KZX1534" s="4"/>
      <c r="KZY1534" s="6"/>
      <c r="KZZ1534" s="4"/>
      <c r="LAA1534" s="6"/>
      <c r="LAB1534" s="4"/>
      <c r="LAC1534" s="6"/>
      <c r="LAD1534" s="4"/>
      <c r="LAE1534" s="6"/>
      <c r="LAF1534" s="4"/>
      <c r="LAG1534" s="6"/>
      <c r="LAH1534" s="4"/>
      <c r="LAI1534" s="6"/>
      <c r="LAJ1534" s="4"/>
      <c r="LAK1534" s="6"/>
      <c r="LAL1534" s="4"/>
      <c r="LAM1534" s="6"/>
      <c r="LAN1534" s="4"/>
      <c r="LAO1534" s="6"/>
      <c r="LAP1534" s="4"/>
      <c r="LAQ1534" s="6"/>
      <c r="LAR1534" s="4"/>
      <c r="LAS1534" s="6"/>
      <c r="LAT1534" s="4"/>
      <c r="LAU1534" s="6"/>
      <c r="LAV1534" s="4"/>
      <c r="LAW1534" s="6"/>
      <c r="LAX1534" s="4"/>
      <c r="LAY1534" s="6"/>
      <c r="LAZ1534" s="4"/>
      <c r="LBA1534" s="6"/>
      <c r="LBB1534" s="4"/>
      <c r="LBC1534" s="6"/>
      <c r="LBD1534" s="4"/>
      <c r="LBE1534" s="6"/>
      <c r="LBF1534" s="4"/>
      <c r="LBG1534" s="6"/>
      <c r="LBH1534" s="4"/>
      <c r="LBI1534" s="6"/>
      <c r="LBJ1534" s="4"/>
      <c r="LBK1534" s="6"/>
      <c r="LBL1534" s="4"/>
      <c r="LBM1534" s="6"/>
      <c r="LBN1534" s="4"/>
      <c r="LBO1534" s="6"/>
      <c r="LBP1534" s="4"/>
      <c r="LBQ1534" s="6"/>
      <c r="LBR1534" s="4"/>
      <c r="LBS1534" s="6"/>
      <c r="LBT1534" s="4"/>
      <c r="LBU1534" s="6"/>
      <c r="LBV1534" s="4"/>
      <c r="LBW1534" s="6"/>
      <c r="LBX1534" s="4"/>
      <c r="LBY1534" s="6"/>
      <c r="LBZ1534" s="4"/>
      <c r="LCA1534" s="6"/>
      <c r="LCB1534" s="4"/>
      <c r="LCC1534" s="6"/>
      <c r="LCD1534" s="4"/>
      <c r="LCE1534" s="6"/>
      <c r="LCF1534" s="4"/>
      <c r="LCG1534" s="6"/>
      <c r="LCH1534" s="4"/>
      <c r="LCI1534" s="6"/>
      <c r="LCJ1534" s="4"/>
      <c r="LCK1534" s="6"/>
      <c r="LCL1534" s="4"/>
      <c r="LCM1534" s="6"/>
      <c r="LCN1534" s="4"/>
      <c r="LCO1534" s="6"/>
      <c r="LCP1534" s="4"/>
      <c r="LCQ1534" s="6"/>
      <c r="LCR1534" s="4"/>
      <c r="LCS1534" s="6"/>
      <c r="LCT1534" s="4"/>
      <c r="LCU1534" s="6"/>
      <c r="LCV1534" s="4"/>
      <c r="LCW1534" s="6"/>
      <c r="LCX1534" s="4"/>
      <c r="LCY1534" s="6"/>
      <c r="LCZ1534" s="4"/>
      <c r="LDA1534" s="6"/>
      <c r="LDB1534" s="4"/>
      <c r="LDC1534" s="6"/>
      <c r="LDD1534" s="4"/>
      <c r="LDE1534" s="6"/>
      <c r="LDF1534" s="4"/>
      <c r="LDG1534" s="6"/>
      <c r="LDH1534" s="4"/>
      <c r="LDI1534" s="6"/>
      <c r="LDJ1534" s="4"/>
      <c r="LDK1534" s="6"/>
      <c r="LDL1534" s="4"/>
      <c r="LDM1534" s="6"/>
      <c r="LDN1534" s="4"/>
      <c r="LDO1534" s="6"/>
      <c r="LDP1534" s="4"/>
      <c r="LDQ1534" s="6"/>
      <c r="LDR1534" s="4"/>
      <c r="LDS1534" s="6"/>
      <c r="LDT1534" s="4"/>
      <c r="LDU1534" s="6"/>
      <c r="LDV1534" s="4"/>
      <c r="LDW1534" s="6"/>
      <c r="LDX1534" s="4"/>
      <c r="LDY1534" s="6"/>
      <c r="LDZ1534" s="4"/>
      <c r="LEA1534" s="6"/>
      <c r="LEB1534" s="4"/>
      <c r="LEC1534" s="6"/>
      <c r="LED1534" s="4"/>
      <c r="LEE1534" s="6"/>
      <c r="LEF1534" s="4"/>
      <c r="LEG1534" s="6"/>
      <c r="LEH1534" s="4"/>
      <c r="LEI1534" s="6"/>
      <c r="LEJ1534" s="4"/>
      <c r="LEK1534" s="6"/>
      <c r="LEL1534" s="4"/>
      <c r="LEM1534" s="6"/>
      <c r="LEN1534" s="4"/>
      <c r="LEO1534" s="6"/>
      <c r="LEP1534" s="4"/>
      <c r="LEQ1534" s="6"/>
      <c r="LER1534" s="4"/>
      <c r="LES1534" s="6"/>
      <c r="LET1534" s="4"/>
      <c r="LEU1534" s="6"/>
      <c r="LEV1534" s="4"/>
      <c r="LEW1534" s="6"/>
      <c r="LEX1534" s="4"/>
      <c r="LEY1534" s="6"/>
      <c r="LEZ1534" s="4"/>
      <c r="LFA1534" s="6"/>
      <c r="LFB1534" s="4"/>
      <c r="LFC1534" s="6"/>
      <c r="LFD1534" s="4"/>
      <c r="LFE1534" s="6"/>
      <c r="LFF1534" s="4"/>
      <c r="LFG1534" s="6"/>
      <c r="LFH1534" s="4"/>
      <c r="LFI1534" s="6"/>
      <c r="LFJ1534" s="4"/>
      <c r="LFK1534" s="6"/>
      <c r="LFL1534" s="4"/>
      <c r="LFM1534" s="6"/>
      <c r="LFN1534" s="4"/>
      <c r="LFO1534" s="6"/>
      <c r="LFP1534" s="4"/>
      <c r="LFQ1534" s="6"/>
      <c r="LFR1534" s="4"/>
      <c r="LFS1534" s="6"/>
      <c r="LFT1534" s="4"/>
      <c r="LFU1534" s="6"/>
      <c r="LFV1534" s="4"/>
      <c r="LFW1534" s="6"/>
      <c r="LFX1534" s="4"/>
      <c r="LFY1534" s="6"/>
      <c r="LFZ1534" s="4"/>
      <c r="LGA1534" s="6"/>
      <c r="LGB1534" s="4"/>
      <c r="LGC1534" s="6"/>
      <c r="LGD1534" s="4"/>
      <c r="LGE1534" s="6"/>
      <c r="LGF1534" s="4"/>
      <c r="LGG1534" s="6"/>
      <c r="LGH1534" s="4"/>
      <c r="LGI1534" s="6"/>
      <c r="LGJ1534" s="4"/>
      <c r="LGK1534" s="6"/>
      <c r="LGL1534" s="4"/>
      <c r="LGM1534" s="6"/>
      <c r="LGN1534" s="4"/>
      <c r="LGO1534" s="6"/>
      <c r="LGP1534" s="4"/>
      <c r="LGQ1534" s="6"/>
      <c r="LGR1534" s="4"/>
      <c r="LGS1534" s="6"/>
      <c r="LGT1534" s="4"/>
      <c r="LGU1534" s="6"/>
      <c r="LGV1534" s="4"/>
      <c r="LGW1534" s="6"/>
      <c r="LGX1534" s="4"/>
      <c r="LGY1534" s="6"/>
      <c r="LGZ1534" s="4"/>
      <c r="LHA1534" s="6"/>
      <c r="LHB1534" s="4"/>
      <c r="LHC1534" s="6"/>
      <c r="LHD1534" s="4"/>
      <c r="LHE1534" s="6"/>
      <c r="LHF1534" s="4"/>
      <c r="LHG1534" s="6"/>
      <c r="LHH1534" s="4"/>
      <c r="LHI1534" s="6"/>
      <c r="LHJ1534" s="4"/>
      <c r="LHK1534" s="6"/>
      <c r="LHL1534" s="4"/>
      <c r="LHM1534" s="6"/>
      <c r="LHN1534" s="4"/>
      <c r="LHO1534" s="6"/>
      <c r="LHP1534" s="4"/>
      <c r="LHQ1534" s="6"/>
      <c r="LHR1534" s="4"/>
      <c r="LHS1534" s="6"/>
      <c r="LHT1534" s="4"/>
      <c r="LHU1534" s="6"/>
      <c r="LHV1534" s="4"/>
      <c r="LHW1534" s="6"/>
      <c r="LHX1534" s="4"/>
      <c r="LHY1534" s="6"/>
      <c r="LHZ1534" s="4"/>
      <c r="LIA1534" s="6"/>
      <c r="LIB1534" s="4"/>
      <c r="LIC1534" s="6"/>
      <c r="LID1534" s="4"/>
      <c r="LIE1534" s="6"/>
      <c r="LIF1534" s="4"/>
      <c r="LIG1534" s="6"/>
      <c r="LIH1534" s="4"/>
      <c r="LII1534" s="6"/>
      <c r="LIJ1534" s="4"/>
      <c r="LIK1534" s="6"/>
      <c r="LIL1534" s="4"/>
      <c r="LIM1534" s="6"/>
      <c r="LIN1534" s="4"/>
      <c r="LIO1534" s="6"/>
      <c r="LIP1534" s="4"/>
      <c r="LIQ1534" s="6"/>
      <c r="LIR1534" s="4"/>
      <c r="LIS1534" s="6"/>
      <c r="LIT1534" s="4"/>
      <c r="LIU1534" s="6"/>
      <c r="LIV1534" s="4"/>
      <c r="LIW1534" s="6"/>
      <c r="LIX1534" s="4"/>
      <c r="LIY1534" s="6"/>
      <c r="LIZ1534" s="4"/>
      <c r="LJA1534" s="6"/>
      <c r="LJB1534" s="4"/>
      <c r="LJC1534" s="6"/>
      <c r="LJD1534" s="4"/>
      <c r="LJE1534" s="6"/>
      <c r="LJF1534" s="4"/>
      <c r="LJG1534" s="6"/>
      <c r="LJH1534" s="4"/>
      <c r="LJI1534" s="6"/>
      <c r="LJJ1534" s="4"/>
      <c r="LJK1534" s="6"/>
      <c r="LJL1534" s="4"/>
      <c r="LJM1534" s="6"/>
      <c r="LJN1534" s="4"/>
      <c r="LJO1534" s="6"/>
      <c r="LJP1534" s="4"/>
      <c r="LJQ1534" s="6"/>
      <c r="LJR1534" s="4"/>
      <c r="LJS1534" s="6"/>
      <c r="LJT1534" s="4"/>
      <c r="LJU1534" s="6"/>
      <c r="LJV1534" s="4"/>
      <c r="LJW1534" s="6"/>
      <c r="LJX1534" s="4"/>
      <c r="LJY1534" s="6"/>
      <c r="LJZ1534" s="4"/>
      <c r="LKA1534" s="6"/>
      <c r="LKB1534" s="4"/>
      <c r="LKC1534" s="6"/>
      <c r="LKD1534" s="4"/>
      <c r="LKE1534" s="6"/>
      <c r="LKF1534" s="4"/>
      <c r="LKG1534" s="6"/>
      <c r="LKH1534" s="4"/>
      <c r="LKI1534" s="6"/>
      <c r="LKJ1534" s="4"/>
      <c r="LKK1534" s="6"/>
      <c r="LKL1534" s="4"/>
      <c r="LKM1534" s="6"/>
      <c r="LKN1534" s="4"/>
      <c r="LKO1534" s="6"/>
      <c r="LKP1534" s="4"/>
      <c r="LKQ1534" s="6"/>
      <c r="LKR1534" s="4"/>
      <c r="LKS1534" s="6"/>
      <c r="LKT1534" s="4"/>
      <c r="LKU1534" s="6"/>
      <c r="LKV1534" s="4"/>
      <c r="LKW1534" s="6"/>
      <c r="LKX1534" s="4"/>
      <c r="LKY1534" s="6"/>
      <c r="LKZ1534" s="4"/>
      <c r="LLA1534" s="6"/>
      <c r="LLB1534" s="4"/>
      <c r="LLC1534" s="6"/>
      <c r="LLD1534" s="4"/>
      <c r="LLE1534" s="6"/>
      <c r="LLF1534" s="4"/>
      <c r="LLG1534" s="6"/>
      <c r="LLH1534" s="4"/>
      <c r="LLI1534" s="6"/>
      <c r="LLJ1534" s="4"/>
      <c r="LLK1534" s="6"/>
      <c r="LLL1534" s="4"/>
      <c r="LLM1534" s="6"/>
      <c r="LLN1534" s="4"/>
      <c r="LLO1534" s="6"/>
      <c r="LLP1534" s="4"/>
      <c r="LLQ1534" s="6"/>
      <c r="LLR1534" s="4"/>
      <c r="LLS1534" s="6"/>
      <c r="LLT1534" s="4"/>
      <c r="LLU1534" s="6"/>
      <c r="LLV1534" s="4"/>
      <c r="LLW1534" s="6"/>
      <c r="LLX1534" s="4"/>
      <c r="LLY1534" s="6"/>
      <c r="LLZ1534" s="4"/>
      <c r="LMA1534" s="6"/>
      <c r="LMB1534" s="4"/>
      <c r="LMC1534" s="6"/>
      <c r="LMD1534" s="4"/>
      <c r="LME1534" s="6"/>
      <c r="LMF1534" s="4"/>
      <c r="LMG1534" s="6"/>
      <c r="LMH1534" s="4"/>
      <c r="LMI1534" s="6"/>
      <c r="LMJ1534" s="4"/>
      <c r="LMK1534" s="6"/>
      <c r="LML1534" s="4"/>
      <c r="LMM1534" s="6"/>
      <c r="LMN1534" s="4"/>
      <c r="LMO1534" s="6"/>
      <c r="LMP1534" s="4"/>
      <c r="LMQ1534" s="6"/>
      <c r="LMR1534" s="4"/>
      <c r="LMS1534" s="6"/>
      <c r="LMT1534" s="4"/>
      <c r="LMU1534" s="6"/>
      <c r="LMV1534" s="4"/>
      <c r="LMW1534" s="6"/>
      <c r="LMX1534" s="4"/>
      <c r="LMY1534" s="6"/>
      <c r="LMZ1534" s="4"/>
      <c r="LNA1534" s="6"/>
      <c r="LNB1534" s="4"/>
      <c r="LNC1534" s="6"/>
      <c r="LND1534" s="4"/>
      <c r="LNE1534" s="6"/>
      <c r="LNF1534" s="4"/>
      <c r="LNG1534" s="6"/>
      <c r="LNH1534" s="4"/>
      <c r="LNI1534" s="6"/>
      <c r="LNJ1534" s="4"/>
      <c r="LNK1534" s="6"/>
      <c r="LNL1534" s="4"/>
      <c r="LNM1534" s="6"/>
      <c r="LNN1534" s="4"/>
      <c r="LNO1534" s="6"/>
      <c r="LNP1534" s="4"/>
      <c r="LNQ1534" s="6"/>
      <c r="LNR1534" s="4"/>
      <c r="LNS1534" s="6"/>
      <c r="LNT1534" s="4"/>
      <c r="LNU1534" s="6"/>
      <c r="LNV1534" s="4"/>
      <c r="LNW1534" s="6"/>
      <c r="LNX1534" s="4"/>
      <c r="LNY1534" s="6"/>
      <c r="LNZ1534" s="4"/>
      <c r="LOA1534" s="6"/>
      <c r="LOB1534" s="4"/>
      <c r="LOC1534" s="6"/>
      <c r="LOD1534" s="4"/>
      <c r="LOE1534" s="6"/>
      <c r="LOF1534" s="4"/>
      <c r="LOG1534" s="6"/>
      <c r="LOH1534" s="4"/>
      <c r="LOI1534" s="6"/>
      <c r="LOJ1534" s="4"/>
      <c r="LOK1534" s="6"/>
      <c r="LOL1534" s="4"/>
      <c r="LOM1534" s="6"/>
      <c r="LON1534" s="4"/>
      <c r="LOO1534" s="6"/>
      <c r="LOP1534" s="4"/>
      <c r="LOQ1534" s="6"/>
      <c r="LOR1534" s="4"/>
      <c r="LOS1534" s="6"/>
      <c r="LOT1534" s="4"/>
      <c r="LOU1534" s="6"/>
      <c r="LOV1534" s="4"/>
      <c r="LOW1534" s="6"/>
      <c r="LOX1534" s="4"/>
      <c r="LOY1534" s="6"/>
      <c r="LOZ1534" s="4"/>
      <c r="LPA1534" s="6"/>
      <c r="LPB1534" s="4"/>
      <c r="LPC1534" s="6"/>
      <c r="LPD1534" s="4"/>
      <c r="LPE1534" s="6"/>
      <c r="LPF1534" s="4"/>
      <c r="LPG1534" s="6"/>
      <c r="LPH1534" s="4"/>
      <c r="LPI1534" s="6"/>
      <c r="LPJ1534" s="4"/>
      <c r="LPK1534" s="6"/>
      <c r="LPL1534" s="4"/>
      <c r="LPM1534" s="6"/>
      <c r="LPN1534" s="4"/>
      <c r="LPO1534" s="6"/>
      <c r="LPP1534" s="4"/>
      <c r="LPQ1534" s="6"/>
      <c r="LPR1534" s="4"/>
      <c r="LPS1534" s="6"/>
      <c r="LPT1534" s="4"/>
      <c r="LPU1534" s="6"/>
      <c r="LPV1534" s="4"/>
      <c r="LPW1534" s="6"/>
      <c r="LPX1534" s="4"/>
      <c r="LPY1534" s="6"/>
      <c r="LPZ1534" s="4"/>
      <c r="LQA1534" s="6"/>
      <c r="LQB1534" s="4"/>
      <c r="LQC1534" s="6"/>
      <c r="LQD1534" s="4"/>
      <c r="LQE1534" s="6"/>
      <c r="LQF1534" s="4"/>
      <c r="LQG1534" s="6"/>
      <c r="LQH1534" s="4"/>
      <c r="LQI1534" s="6"/>
      <c r="LQJ1534" s="4"/>
      <c r="LQK1534" s="6"/>
      <c r="LQL1534" s="4"/>
      <c r="LQM1534" s="6"/>
      <c r="LQN1534" s="4"/>
      <c r="LQO1534" s="6"/>
      <c r="LQP1534" s="4"/>
      <c r="LQQ1534" s="6"/>
      <c r="LQR1534" s="4"/>
      <c r="LQS1534" s="6"/>
      <c r="LQT1534" s="4"/>
      <c r="LQU1534" s="6"/>
      <c r="LQV1534" s="4"/>
      <c r="LQW1534" s="6"/>
      <c r="LQX1534" s="4"/>
      <c r="LQY1534" s="6"/>
      <c r="LQZ1534" s="4"/>
      <c r="LRA1534" s="6"/>
      <c r="LRB1534" s="4"/>
      <c r="LRC1534" s="6"/>
      <c r="LRD1534" s="4"/>
      <c r="LRE1534" s="6"/>
      <c r="LRF1534" s="4"/>
      <c r="LRG1534" s="6"/>
      <c r="LRH1534" s="4"/>
      <c r="LRI1534" s="6"/>
      <c r="LRJ1534" s="4"/>
      <c r="LRK1534" s="6"/>
      <c r="LRL1534" s="4"/>
      <c r="LRM1534" s="6"/>
      <c r="LRN1534" s="4"/>
      <c r="LRO1534" s="6"/>
      <c r="LRP1534" s="4"/>
      <c r="LRQ1534" s="6"/>
      <c r="LRR1534" s="4"/>
      <c r="LRS1534" s="6"/>
      <c r="LRT1534" s="4"/>
      <c r="LRU1534" s="6"/>
      <c r="LRV1534" s="4"/>
      <c r="LRW1534" s="6"/>
      <c r="LRX1534" s="4"/>
      <c r="LRY1534" s="6"/>
      <c r="LRZ1534" s="4"/>
      <c r="LSA1534" s="6"/>
      <c r="LSB1534" s="4"/>
      <c r="LSC1534" s="6"/>
      <c r="LSD1534" s="4"/>
      <c r="LSE1534" s="6"/>
      <c r="LSF1534" s="4"/>
      <c r="LSG1534" s="6"/>
      <c r="LSH1534" s="4"/>
      <c r="LSI1534" s="6"/>
      <c r="LSJ1534" s="4"/>
      <c r="LSK1534" s="6"/>
      <c r="LSL1534" s="4"/>
      <c r="LSM1534" s="6"/>
      <c r="LSN1534" s="4"/>
      <c r="LSO1534" s="6"/>
      <c r="LSP1534" s="4"/>
      <c r="LSQ1534" s="6"/>
      <c r="LSR1534" s="4"/>
      <c r="LSS1534" s="6"/>
      <c r="LST1534" s="4"/>
      <c r="LSU1534" s="6"/>
      <c r="LSV1534" s="4"/>
      <c r="LSW1534" s="6"/>
      <c r="LSX1534" s="4"/>
      <c r="LSY1534" s="6"/>
      <c r="LSZ1534" s="4"/>
      <c r="LTA1534" s="6"/>
      <c r="LTB1534" s="4"/>
      <c r="LTC1534" s="6"/>
      <c r="LTD1534" s="4"/>
      <c r="LTE1534" s="6"/>
      <c r="LTF1534" s="4"/>
      <c r="LTG1534" s="6"/>
      <c r="LTH1534" s="4"/>
      <c r="LTI1534" s="6"/>
      <c r="LTJ1534" s="4"/>
      <c r="LTK1534" s="6"/>
      <c r="LTL1534" s="4"/>
      <c r="LTM1534" s="6"/>
      <c r="LTN1534" s="4"/>
      <c r="LTO1534" s="6"/>
      <c r="LTP1534" s="4"/>
      <c r="LTQ1534" s="6"/>
      <c r="LTR1534" s="4"/>
      <c r="LTS1534" s="6"/>
      <c r="LTT1534" s="4"/>
      <c r="LTU1534" s="6"/>
      <c r="LTV1534" s="4"/>
      <c r="LTW1534" s="6"/>
      <c r="LTX1534" s="4"/>
      <c r="LTY1534" s="6"/>
      <c r="LTZ1534" s="4"/>
      <c r="LUA1534" s="6"/>
      <c r="LUB1534" s="4"/>
      <c r="LUC1534" s="6"/>
      <c r="LUD1534" s="4"/>
      <c r="LUE1534" s="6"/>
      <c r="LUF1534" s="4"/>
      <c r="LUG1534" s="6"/>
      <c r="LUH1534" s="4"/>
      <c r="LUI1534" s="6"/>
      <c r="LUJ1534" s="4"/>
      <c r="LUK1534" s="6"/>
      <c r="LUL1534" s="4"/>
      <c r="LUM1534" s="6"/>
      <c r="LUN1534" s="4"/>
      <c r="LUO1534" s="6"/>
      <c r="LUP1534" s="4"/>
      <c r="LUQ1534" s="6"/>
      <c r="LUR1534" s="4"/>
      <c r="LUS1534" s="6"/>
      <c r="LUT1534" s="4"/>
      <c r="LUU1534" s="6"/>
      <c r="LUV1534" s="4"/>
      <c r="LUW1534" s="6"/>
      <c r="LUX1534" s="4"/>
      <c r="LUY1534" s="6"/>
      <c r="LUZ1534" s="4"/>
      <c r="LVA1534" s="6"/>
      <c r="LVB1534" s="4"/>
      <c r="LVC1534" s="6"/>
      <c r="LVD1534" s="4"/>
      <c r="LVE1534" s="6"/>
      <c r="LVF1534" s="4"/>
      <c r="LVG1534" s="6"/>
      <c r="LVH1534" s="4"/>
      <c r="LVI1534" s="6"/>
      <c r="LVJ1534" s="4"/>
      <c r="LVK1534" s="6"/>
      <c r="LVL1534" s="4"/>
      <c r="LVM1534" s="6"/>
      <c r="LVN1534" s="4"/>
      <c r="LVO1534" s="6"/>
      <c r="LVP1534" s="4"/>
      <c r="LVQ1534" s="6"/>
      <c r="LVR1534" s="4"/>
      <c r="LVS1534" s="6"/>
      <c r="LVT1534" s="4"/>
      <c r="LVU1534" s="6"/>
      <c r="LVV1534" s="4"/>
      <c r="LVW1534" s="6"/>
      <c r="LVX1534" s="4"/>
      <c r="LVY1534" s="6"/>
      <c r="LVZ1534" s="4"/>
      <c r="LWA1534" s="6"/>
      <c r="LWB1534" s="4"/>
      <c r="LWC1534" s="6"/>
      <c r="LWD1534" s="4"/>
      <c r="LWE1534" s="6"/>
      <c r="LWF1534" s="4"/>
      <c r="LWG1534" s="6"/>
      <c r="LWH1534" s="4"/>
      <c r="LWI1534" s="6"/>
      <c r="LWJ1534" s="4"/>
      <c r="LWK1534" s="6"/>
      <c r="LWL1534" s="4"/>
      <c r="LWM1534" s="6"/>
      <c r="LWN1534" s="4"/>
      <c r="LWO1534" s="6"/>
      <c r="LWP1534" s="4"/>
      <c r="LWQ1534" s="6"/>
      <c r="LWR1534" s="4"/>
      <c r="LWS1534" s="6"/>
      <c r="LWT1534" s="4"/>
      <c r="LWU1534" s="6"/>
      <c r="LWV1534" s="4"/>
      <c r="LWW1534" s="6"/>
      <c r="LWX1534" s="4"/>
      <c r="LWY1534" s="6"/>
      <c r="LWZ1534" s="4"/>
      <c r="LXA1534" s="6"/>
      <c r="LXB1534" s="4"/>
      <c r="LXC1534" s="6"/>
      <c r="LXD1534" s="4"/>
      <c r="LXE1534" s="6"/>
      <c r="LXF1534" s="4"/>
      <c r="LXG1534" s="6"/>
      <c r="LXH1534" s="4"/>
      <c r="LXI1534" s="6"/>
      <c r="LXJ1534" s="4"/>
      <c r="LXK1534" s="6"/>
      <c r="LXL1534" s="4"/>
      <c r="LXM1534" s="6"/>
      <c r="LXN1534" s="4"/>
      <c r="LXO1534" s="6"/>
      <c r="LXP1534" s="4"/>
      <c r="LXQ1534" s="6"/>
      <c r="LXR1534" s="4"/>
      <c r="LXS1534" s="6"/>
      <c r="LXT1534" s="4"/>
      <c r="LXU1534" s="6"/>
      <c r="LXV1534" s="4"/>
      <c r="LXW1534" s="6"/>
      <c r="LXX1534" s="4"/>
      <c r="LXY1534" s="6"/>
      <c r="LXZ1534" s="4"/>
      <c r="LYA1534" s="6"/>
      <c r="LYB1534" s="4"/>
      <c r="LYC1534" s="6"/>
      <c r="LYD1534" s="4"/>
      <c r="LYE1534" s="6"/>
      <c r="LYF1534" s="4"/>
      <c r="LYG1534" s="6"/>
      <c r="LYH1534" s="4"/>
      <c r="LYI1534" s="6"/>
      <c r="LYJ1534" s="4"/>
      <c r="LYK1534" s="6"/>
      <c r="LYL1534" s="4"/>
      <c r="LYM1534" s="6"/>
      <c r="LYN1534" s="4"/>
      <c r="LYO1534" s="6"/>
      <c r="LYP1534" s="4"/>
      <c r="LYQ1534" s="6"/>
      <c r="LYR1534" s="4"/>
      <c r="LYS1534" s="6"/>
      <c r="LYT1534" s="4"/>
      <c r="LYU1534" s="6"/>
      <c r="LYV1534" s="4"/>
      <c r="LYW1534" s="6"/>
      <c r="LYX1534" s="4"/>
      <c r="LYY1534" s="6"/>
      <c r="LYZ1534" s="4"/>
      <c r="LZA1534" s="6"/>
      <c r="LZB1534" s="4"/>
      <c r="LZC1534" s="6"/>
      <c r="LZD1534" s="4"/>
      <c r="LZE1534" s="6"/>
      <c r="LZF1534" s="4"/>
      <c r="LZG1534" s="6"/>
      <c r="LZH1534" s="4"/>
      <c r="LZI1534" s="6"/>
      <c r="LZJ1534" s="4"/>
      <c r="LZK1534" s="6"/>
      <c r="LZL1534" s="4"/>
      <c r="LZM1534" s="6"/>
      <c r="LZN1534" s="4"/>
      <c r="LZO1534" s="6"/>
      <c r="LZP1534" s="4"/>
      <c r="LZQ1534" s="6"/>
      <c r="LZR1534" s="4"/>
      <c r="LZS1534" s="6"/>
      <c r="LZT1534" s="4"/>
      <c r="LZU1534" s="6"/>
      <c r="LZV1534" s="4"/>
      <c r="LZW1534" s="6"/>
      <c r="LZX1534" s="4"/>
      <c r="LZY1534" s="6"/>
      <c r="LZZ1534" s="4"/>
      <c r="MAA1534" s="6"/>
      <c r="MAB1534" s="4"/>
      <c r="MAC1534" s="6"/>
      <c r="MAD1534" s="4"/>
      <c r="MAE1534" s="6"/>
      <c r="MAF1534" s="4"/>
      <c r="MAG1534" s="6"/>
      <c r="MAH1534" s="4"/>
      <c r="MAI1534" s="6"/>
      <c r="MAJ1534" s="4"/>
      <c r="MAK1534" s="6"/>
      <c r="MAL1534" s="4"/>
      <c r="MAM1534" s="6"/>
      <c r="MAN1534" s="4"/>
      <c r="MAO1534" s="6"/>
      <c r="MAP1534" s="4"/>
      <c r="MAQ1534" s="6"/>
      <c r="MAR1534" s="4"/>
      <c r="MAS1534" s="6"/>
      <c r="MAT1534" s="4"/>
      <c r="MAU1534" s="6"/>
      <c r="MAV1534" s="4"/>
      <c r="MAW1534" s="6"/>
      <c r="MAX1534" s="4"/>
      <c r="MAY1534" s="6"/>
      <c r="MAZ1534" s="4"/>
      <c r="MBA1534" s="6"/>
      <c r="MBB1534" s="4"/>
      <c r="MBC1534" s="6"/>
      <c r="MBD1534" s="4"/>
      <c r="MBE1534" s="6"/>
      <c r="MBF1534" s="4"/>
      <c r="MBG1534" s="6"/>
      <c r="MBH1534" s="4"/>
      <c r="MBI1534" s="6"/>
      <c r="MBJ1534" s="4"/>
      <c r="MBK1534" s="6"/>
      <c r="MBL1534" s="4"/>
      <c r="MBM1534" s="6"/>
      <c r="MBN1534" s="4"/>
      <c r="MBO1534" s="6"/>
      <c r="MBP1534" s="4"/>
      <c r="MBQ1534" s="6"/>
      <c r="MBR1534" s="4"/>
      <c r="MBS1534" s="6"/>
      <c r="MBT1534" s="4"/>
      <c r="MBU1534" s="6"/>
      <c r="MBV1534" s="4"/>
      <c r="MBW1534" s="6"/>
      <c r="MBX1534" s="4"/>
      <c r="MBY1534" s="6"/>
      <c r="MBZ1534" s="4"/>
      <c r="MCA1534" s="6"/>
      <c r="MCB1534" s="4"/>
      <c r="MCC1534" s="6"/>
      <c r="MCD1534" s="4"/>
      <c r="MCE1534" s="6"/>
      <c r="MCF1534" s="4"/>
      <c r="MCG1534" s="6"/>
      <c r="MCH1534" s="4"/>
      <c r="MCI1534" s="6"/>
      <c r="MCJ1534" s="4"/>
      <c r="MCK1534" s="6"/>
      <c r="MCL1534" s="4"/>
      <c r="MCM1534" s="6"/>
      <c r="MCN1534" s="4"/>
      <c r="MCO1534" s="6"/>
      <c r="MCP1534" s="4"/>
      <c r="MCQ1534" s="6"/>
      <c r="MCR1534" s="4"/>
      <c r="MCS1534" s="6"/>
      <c r="MCT1534" s="4"/>
      <c r="MCU1534" s="6"/>
      <c r="MCV1534" s="4"/>
      <c r="MCW1534" s="6"/>
      <c r="MCX1534" s="4"/>
      <c r="MCY1534" s="6"/>
      <c r="MCZ1534" s="4"/>
      <c r="MDA1534" s="6"/>
      <c r="MDB1534" s="4"/>
      <c r="MDC1534" s="6"/>
      <c r="MDD1534" s="4"/>
      <c r="MDE1534" s="6"/>
      <c r="MDF1534" s="4"/>
      <c r="MDG1534" s="6"/>
      <c r="MDH1534" s="4"/>
      <c r="MDI1534" s="6"/>
      <c r="MDJ1534" s="4"/>
      <c r="MDK1534" s="6"/>
      <c r="MDL1534" s="4"/>
      <c r="MDM1534" s="6"/>
      <c r="MDN1534" s="4"/>
      <c r="MDO1534" s="6"/>
      <c r="MDP1534" s="4"/>
      <c r="MDQ1534" s="6"/>
      <c r="MDR1534" s="4"/>
      <c r="MDS1534" s="6"/>
      <c r="MDT1534" s="4"/>
      <c r="MDU1534" s="6"/>
      <c r="MDV1534" s="4"/>
      <c r="MDW1534" s="6"/>
      <c r="MDX1534" s="4"/>
      <c r="MDY1534" s="6"/>
      <c r="MDZ1534" s="4"/>
      <c r="MEA1534" s="6"/>
      <c r="MEB1534" s="4"/>
      <c r="MEC1534" s="6"/>
      <c r="MED1534" s="4"/>
      <c r="MEE1534" s="6"/>
      <c r="MEF1534" s="4"/>
      <c r="MEG1534" s="6"/>
      <c r="MEH1534" s="4"/>
      <c r="MEI1534" s="6"/>
      <c r="MEJ1534" s="4"/>
      <c r="MEK1534" s="6"/>
      <c r="MEL1534" s="4"/>
      <c r="MEM1534" s="6"/>
      <c r="MEN1534" s="4"/>
      <c r="MEO1534" s="6"/>
      <c r="MEP1534" s="4"/>
      <c r="MEQ1534" s="6"/>
      <c r="MER1534" s="4"/>
      <c r="MES1534" s="6"/>
      <c r="MET1534" s="4"/>
      <c r="MEU1534" s="6"/>
      <c r="MEV1534" s="4"/>
      <c r="MEW1534" s="6"/>
      <c r="MEX1534" s="4"/>
      <c r="MEY1534" s="6"/>
      <c r="MEZ1534" s="4"/>
      <c r="MFA1534" s="6"/>
      <c r="MFB1534" s="4"/>
      <c r="MFC1534" s="6"/>
      <c r="MFD1534" s="4"/>
      <c r="MFE1534" s="6"/>
      <c r="MFF1534" s="4"/>
      <c r="MFG1534" s="6"/>
      <c r="MFH1534" s="4"/>
      <c r="MFI1534" s="6"/>
      <c r="MFJ1534" s="4"/>
      <c r="MFK1534" s="6"/>
      <c r="MFL1534" s="4"/>
      <c r="MFM1534" s="6"/>
      <c r="MFN1534" s="4"/>
      <c r="MFO1534" s="6"/>
      <c r="MFP1534" s="4"/>
      <c r="MFQ1534" s="6"/>
      <c r="MFR1534" s="4"/>
      <c r="MFS1534" s="6"/>
      <c r="MFT1534" s="4"/>
      <c r="MFU1534" s="6"/>
      <c r="MFV1534" s="4"/>
      <c r="MFW1534" s="6"/>
      <c r="MFX1534" s="4"/>
      <c r="MFY1534" s="6"/>
      <c r="MFZ1534" s="4"/>
      <c r="MGA1534" s="6"/>
      <c r="MGB1534" s="4"/>
      <c r="MGC1534" s="6"/>
      <c r="MGD1534" s="4"/>
      <c r="MGE1534" s="6"/>
      <c r="MGF1534" s="4"/>
      <c r="MGG1534" s="6"/>
      <c r="MGH1534" s="4"/>
      <c r="MGI1534" s="6"/>
      <c r="MGJ1534" s="4"/>
      <c r="MGK1534" s="6"/>
      <c r="MGL1534" s="4"/>
      <c r="MGM1534" s="6"/>
      <c r="MGN1534" s="4"/>
      <c r="MGO1534" s="6"/>
      <c r="MGP1534" s="4"/>
      <c r="MGQ1534" s="6"/>
      <c r="MGR1534" s="4"/>
      <c r="MGS1534" s="6"/>
      <c r="MGT1534" s="4"/>
      <c r="MGU1534" s="6"/>
      <c r="MGV1534" s="4"/>
      <c r="MGW1534" s="6"/>
      <c r="MGX1534" s="4"/>
      <c r="MGY1534" s="6"/>
      <c r="MGZ1534" s="4"/>
      <c r="MHA1534" s="6"/>
      <c r="MHB1534" s="4"/>
      <c r="MHC1534" s="6"/>
      <c r="MHD1534" s="4"/>
      <c r="MHE1534" s="6"/>
      <c r="MHF1534" s="4"/>
      <c r="MHG1534" s="6"/>
      <c r="MHH1534" s="4"/>
      <c r="MHI1534" s="6"/>
      <c r="MHJ1534" s="4"/>
      <c r="MHK1534" s="6"/>
      <c r="MHL1534" s="4"/>
      <c r="MHM1534" s="6"/>
      <c r="MHN1534" s="4"/>
      <c r="MHO1534" s="6"/>
      <c r="MHP1534" s="4"/>
      <c r="MHQ1534" s="6"/>
      <c r="MHR1534" s="4"/>
      <c r="MHS1534" s="6"/>
      <c r="MHT1534" s="4"/>
      <c r="MHU1534" s="6"/>
      <c r="MHV1534" s="4"/>
      <c r="MHW1534" s="6"/>
      <c r="MHX1534" s="4"/>
      <c r="MHY1534" s="6"/>
      <c r="MHZ1534" s="4"/>
      <c r="MIA1534" s="6"/>
      <c r="MIB1534" s="4"/>
      <c r="MIC1534" s="6"/>
      <c r="MID1534" s="4"/>
      <c r="MIE1534" s="6"/>
      <c r="MIF1534" s="4"/>
      <c r="MIG1534" s="6"/>
      <c r="MIH1534" s="4"/>
      <c r="MII1534" s="6"/>
      <c r="MIJ1534" s="4"/>
      <c r="MIK1534" s="6"/>
      <c r="MIL1534" s="4"/>
      <c r="MIM1534" s="6"/>
      <c r="MIN1534" s="4"/>
      <c r="MIO1534" s="6"/>
      <c r="MIP1534" s="4"/>
      <c r="MIQ1534" s="6"/>
      <c r="MIR1534" s="4"/>
      <c r="MIS1534" s="6"/>
      <c r="MIT1534" s="4"/>
      <c r="MIU1534" s="6"/>
      <c r="MIV1534" s="4"/>
      <c r="MIW1534" s="6"/>
      <c r="MIX1534" s="4"/>
      <c r="MIY1534" s="6"/>
      <c r="MIZ1534" s="4"/>
      <c r="MJA1534" s="6"/>
      <c r="MJB1534" s="4"/>
      <c r="MJC1534" s="6"/>
      <c r="MJD1534" s="4"/>
      <c r="MJE1534" s="6"/>
      <c r="MJF1534" s="4"/>
      <c r="MJG1534" s="6"/>
      <c r="MJH1534" s="4"/>
      <c r="MJI1534" s="6"/>
      <c r="MJJ1534" s="4"/>
      <c r="MJK1534" s="6"/>
      <c r="MJL1534" s="4"/>
      <c r="MJM1534" s="6"/>
      <c r="MJN1534" s="4"/>
      <c r="MJO1534" s="6"/>
      <c r="MJP1534" s="4"/>
      <c r="MJQ1534" s="6"/>
      <c r="MJR1534" s="4"/>
      <c r="MJS1534" s="6"/>
      <c r="MJT1534" s="4"/>
      <c r="MJU1534" s="6"/>
      <c r="MJV1534" s="4"/>
      <c r="MJW1534" s="6"/>
      <c r="MJX1534" s="4"/>
      <c r="MJY1534" s="6"/>
      <c r="MJZ1534" s="4"/>
      <c r="MKA1534" s="6"/>
      <c r="MKB1534" s="4"/>
      <c r="MKC1534" s="6"/>
      <c r="MKD1534" s="4"/>
      <c r="MKE1534" s="6"/>
      <c r="MKF1534" s="4"/>
      <c r="MKG1534" s="6"/>
      <c r="MKH1534" s="4"/>
      <c r="MKI1534" s="6"/>
      <c r="MKJ1534" s="4"/>
      <c r="MKK1534" s="6"/>
      <c r="MKL1534" s="4"/>
      <c r="MKM1534" s="6"/>
      <c r="MKN1534" s="4"/>
      <c r="MKO1534" s="6"/>
      <c r="MKP1534" s="4"/>
      <c r="MKQ1534" s="6"/>
      <c r="MKR1534" s="4"/>
      <c r="MKS1534" s="6"/>
      <c r="MKT1534" s="4"/>
      <c r="MKU1534" s="6"/>
      <c r="MKV1534" s="4"/>
      <c r="MKW1534" s="6"/>
      <c r="MKX1534" s="4"/>
      <c r="MKY1534" s="6"/>
      <c r="MKZ1534" s="4"/>
      <c r="MLA1534" s="6"/>
      <c r="MLB1534" s="4"/>
      <c r="MLC1534" s="6"/>
      <c r="MLD1534" s="4"/>
      <c r="MLE1534" s="6"/>
      <c r="MLF1534" s="4"/>
      <c r="MLG1534" s="6"/>
      <c r="MLH1534" s="4"/>
      <c r="MLI1534" s="6"/>
      <c r="MLJ1534" s="4"/>
      <c r="MLK1534" s="6"/>
      <c r="MLL1534" s="4"/>
      <c r="MLM1534" s="6"/>
      <c r="MLN1534" s="4"/>
      <c r="MLO1534" s="6"/>
      <c r="MLP1534" s="4"/>
      <c r="MLQ1534" s="6"/>
      <c r="MLR1534" s="4"/>
      <c r="MLS1534" s="6"/>
      <c r="MLT1534" s="4"/>
      <c r="MLU1534" s="6"/>
      <c r="MLV1534" s="4"/>
      <c r="MLW1534" s="6"/>
      <c r="MLX1534" s="4"/>
      <c r="MLY1534" s="6"/>
      <c r="MLZ1534" s="4"/>
      <c r="MMA1534" s="6"/>
      <c r="MMB1534" s="4"/>
      <c r="MMC1534" s="6"/>
      <c r="MMD1534" s="4"/>
      <c r="MME1534" s="6"/>
      <c r="MMF1534" s="4"/>
      <c r="MMG1534" s="6"/>
      <c r="MMH1534" s="4"/>
      <c r="MMI1534" s="6"/>
      <c r="MMJ1534" s="4"/>
      <c r="MMK1534" s="6"/>
      <c r="MML1534" s="4"/>
      <c r="MMM1534" s="6"/>
      <c r="MMN1534" s="4"/>
      <c r="MMO1534" s="6"/>
      <c r="MMP1534" s="4"/>
      <c r="MMQ1534" s="6"/>
      <c r="MMR1534" s="4"/>
      <c r="MMS1534" s="6"/>
      <c r="MMT1534" s="4"/>
      <c r="MMU1534" s="6"/>
      <c r="MMV1534" s="4"/>
      <c r="MMW1534" s="6"/>
      <c r="MMX1534" s="4"/>
      <c r="MMY1534" s="6"/>
      <c r="MMZ1534" s="4"/>
      <c r="MNA1534" s="6"/>
      <c r="MNB1534" s="4"/>
      <c r="MNC1534" s="6"/>
      <c r="MND1534" s="4"/>
      <c r="MNE1534" s="6"/>
      <c r="MNF1534" s="4"/>
      <c r="MNG1534" s="6"/>
      <c r="MNH1534" s="4"/>
      <c r="MNI1534" s="6"/>
      <c r="MNJ1534" s="4"/>
      <c r="MNK1534" s="6"/>
      <c r="MNL1534" s="4"/>
      <c r="MNM1534" s="6"/>
      <c r="MNN1534" s="4"/>
      <c r="MNO1534" s="6"/>
      <c r="MNP1534" s="4"/>
      <c r="MNQ1534" s="6"/>
      <c r="MNR1534" s="4"/>
      <c r="MNS1534" s="6"/>
      <c r="MNT1534" s="4"/>
      <c r="MNU1534" s="6"/>
      <c r="MNV1534" s="4"/>
      <c r="MNW1534" s="6"/>
      <c r="MNX1534" s="4"/>
      <c r="MNY1534" s="6"/>
      <c r="MNZ1534" s="4"/>
      <c r="MOA1534" s="6"/>
      <c r="MOB1534" s="4"/>
      <c r="MOC1534" s="6"/>
      <c r="MOD1534" s="4"/>
      <c r="MOE1534" s="6"/>
      <c r="MOF1534" s="4"/>
      <c r="MOG1534" s="6"/>
      <c r="MOH1534" s="4"/>
      <c r="MOI1534" s="6"/>
      <c r="MOJ1534" s="4"/>
      <c r="MOK1534" s="6"/>
      <c r="MOL1534" s="4"/>
      <c r="MOM1534" s="6"/>
      <c r="MON1534" s="4"/>
      <c r="MOO1534" s="6"/>
      <c r="MOP1534" s="4"/>
      <c r="MOQ1534" s="6"/>
      <c r="MOR1534" s="4"/>
      <c r="MOS1534" s="6"/>
      <c r="MOT1534" s="4"/>
      <c r="MOU1534" s="6"/>
      <c r="MOV1534" s="4"/>
      <c r="MOW1534" s="6"/>
      <c r="MOX1534" s="4"/>
      <c r="MOY1534" s="6"/>
      <c r="MOZ1534" s="4"/>
      <c r="MPA1534" s="6"/>
      <c r="MPB1534" s="4"/>
      <c r="MPC1534" s="6"/>
      <c r="MPD1534" s="4"/>
      <c r="MPE1534" s="6"/>
      <c r="MPF1534" s="4"/>
      <c r="MPG1534" s="6"/>
      <c r="MPH1534" s="4"/>
      <c r="MPI1534" s="6"/>
      <c r="MPJ1534" s="4"/>
      <c r="MPK1534" s="6"/>
      <c r="MPL1534" s="4"/>
      <c r="MPM1534" s="6"/>
      <c r="MPN1534" s="4"/>
      <c r="MPO1534" s="6"/>
      <c r="MPP1534" s="4"/>
      <c r="MPQ1534" s="6"/>
      <c r="MPR1534" s="4"/>
      <c r="MPS1534" s="6"/>
      <c r="MPT1534" s="4"/>
      <c r="MPU1534" s="6"/>
      <c r="MPV1534" s="4"/>
      <c r="MPW1534" s="6"/>
      <c r="MPX1534" s="4"/>
      <c r="MPY1534" s="6"/>
      <c r="MPZ1534" s="4"/>
      <c r="MQA1534" s="6"/>
      <c r="MQB1534" s="4"/>
      <c r="MQC1534" s="6"/>
      <c r="MQD1534" s="4"/>
      <c r="MQE1534" s="6"/>
      <c r="MQF1534" s="4"/>
      <c r="MQG1534" s="6"/>
      <c r="MQH1534" s="4"/>
      <c r="MQI1534" s="6"/>
      <c r="MQJ1534" s="4"/>
      <c r="MQK1534" s="6"/>
      <c r="MQL1534" s="4"/>
      <c r="MQM1534" s="6"/>
      <c r="MQN1534" s="4"/>
      <c r="MQO1534" s="6"/>
      <c r="MQP1534" s="4"/>
      <c r="MQQ1534" s="6"/>
      <c r="MQR1534" s="4"/>
      <c r="MQS1534" s="6"/>
      <c r="MQT1534" s="4"/>
      <c r="MQU1534" s="6"/>
      <c r="MQV1534" s="4"/>
      <c r="MQW1534" s="6"/>
      <c r="MQX1534" s="4"/>
      <c r="MQY1534" s="6"/>
      <c r="MQZ1534" s="4"/>
      <c r="MRA1534" s="6"/>
      <c r="MRB1534" s="4"/>
      <c r="MRC1534" s="6"/>
      <c r="MRD1534" s="4"/>
      <c r="MRE1534" s="6"/>
      <c r="MRF1534" s="4"/>
      <c r="MRG1534" s="6"/>
      <c r="MRH1534" s="4"/>
      <c r="MRI1534" s="6"/>
      <c r="MRJ1534" s="4"/>
      <c r="MRK1534" s="6"/>
      <c r="MRL1534" s="4"/>
      <c r="MRM1534" s="6"/>
      <c r="MRN1534" s="4"/>
      <c r="MRO1534" s="6"/>
      <c r="MRP1534" s="4"/>
      <c r="MRQ1534" s="6"/>
      <c r="MRR1534" s="4"/>
      <c r="MRS1534" s="6"/>
      <c r="MRT1534" s="4"/>
      <c r="MRU1534" s="6"/>
      <c r="MRV1534" s="4"/>
      <c r="MRW1534" s="6"/>
      <c r="MRX1534" s="4"/>
      <c r="MRY1534" s="6"/>
      <c r="MRZ1534" s="4"/>
      <c r="MSA1534" s="6"/>
      <c r="MSB1534" s="4"/>
      <c r="MSC1534" s="6"/>
      <c r="MSD1534" s="4"/>
      <c r="MSE1534" s="6"/>
      <c r="MSF1534" s="4"/>
      <c r="MSG1534" s="6"/>
      <c r="MSH1534" s="4"/>
      <c r="MSI1534" s="6"/>
      <c r="MSJ1534" s="4"/>
      <c r="MSK1534" s="6"/>
      <c r="MSL1534" s="4"/>
      <c r="MSM1534" s="6"/>
      <c r="MSN1534" s="4"/>
      <c r="MSO1534" s="6"/>
      <c r="MSP1534" s="4"/>
      <c r="MSQ1534" s="6"/>
      <c r="MSR1534" s="4"/>
      <c r="MSS1534" s="6"/>
      <c r="MST1534" s="4"/>
      <c r="MSU1534" s="6"/>
      <c r="MSV1534" s="4"/>
      <c r="MSW1534" s="6"/>
      <c r="MSX1534" s="4"/>
      <c r="MSY1534" s="6"/>
      <c r="MSZ1534" s="4"/>
      <c r="MTA1534" s="6"/>
      <c r="MTB1534" s="4"/>
      <c r="MTC1534" s="6"/>
      <c r="MTD1534" s="4"/>
      <c r="MTE1534" s="6"/>
      <c r="MTF1534" s="4"/>
      <c r="MTG1534" s="6"/>
      <c r="MTH1534" s="4"/>
      <c r="MTI1534" s="6"/>
      <c r="MTJ1534" s="4"/>
      <c r="MTK1534" s="6"/>
      <c r="MTL1534" s="4"/>
      <c r="MTM1534" s="6"/>
      <c r="MTN1534" s="4"/>
      <c r="MTO1534" s="6"/>
      <c r="MTP1534" s="4"/>
      <c r="MTQ1534" s="6"/>
      <c r="MTR1534" s="4"/>
      <c r="MTS1534" s="6"/>
      <c r="MTT1534" s="4"/>
      <c r="MTU1534" s="6"/>
      <c r="MTV1534" s="4"/>
      <c r="MTW1534" s="6"/>
      <c r="MTX1534" s="4"/>
      <c r="MTY1534" s="6"/>
      <c r="MTZ1534" s="4"/>
      <c r="MUA1534" s="6"/>
      <c r="MUB1534" s="4"/>
      <c r="MUC1534" s="6"/>
      <c r="MUD1534" s="4"/>
      <c r="MUE1534" s="6"/>
      <c r="MUF1534" s="4"/>
      <c r="MUG1534" s="6"/>
      <c r="MUH1534" s="4"/>
      <c r="MUI1534" s="6"/>
      <c r="MUJ1534" s="4"/>
      <c r="MUK1534" s="6"/>
      <c r="MUL1534" s="4"/>
      <c r="MUM1534" s="6"/>
      <c r="MUN1534" s="4"/>
      <c r="MUO1534" s="6"/>
      <c r="MUP1534" s="4"/>
      <c r="MUQ1534" s="6"/>
      <c r="MUR1534" s="4"/>
      <c r="MUS1534" s="6"/>
      <c r="MUT1534" s="4"/>
      <c r="MUU1534" s="6"/>
      <c r="MUV1534" s="4"/>
      <c r="MUW1534" s="6"/>
      <c r="MUX1534" s="4"/>
      <c r="MUY1534" s="6"/>
      <c r="MUZ1534" s="4"/>
      <c r="MVA1534" s="6"/>
      <c r="MVB1534" s="4"/>
      <c r="MVC1534" s="6"/>
      <c r="MVD1534" s="4"/>
      <c r="MVE1534" s="6"/>
      <c r="MVF1534" s="4"/>
      <c r="MVG1534" s="6"/>
      <c r="MVH1534" s="4"/>
      <c r="MVI1534" s="6"/>
      <c r="MVJ1534" s="4"/>
      <c r="MVK1534" s="6"/>
      <c r="MVL1534" s="4"/>
      <c r="MVM1534" s="6"/>
      <c r="MVN1534" s="4"/>
      <c r="MVO1534" s="6"/>
      <c r="MVP1534" s="4"/>
      <c r="MVQ1534" s="6"/>
      <c r="MVR1534" s="4"/>
      <c r="MVS1534" s="6"/>
      <c r="MVT1534" s="4"/>
      <c r="MVU1534" s="6"/>
      <c r="MVV1534" s="4"/>
      <c r="MVW1534" s="6"/>
      <c r="MVX1534" s="4"/>
      <c r="MVY1534" s="6"/>
      <c r="MVZ1534" s="4"/>
      <c r="MWA1534" s="6"/>
      <c r="MWB1534" s="4"/>
      <c r="MWC1534" s="6"/>
      <c r="MWD1534" s="4"/>
      <c r="MWE1534" s="6"/>
      <c r="MWF1534" s="4"/>
      <c r="MWG1534" s="6"/>
      <c r="MWH1534" s="4"/>
      <c r="MWI1534" s="6"/>
      <c r="MWJ1534" s="4"/>
      <c r="MWK1534" s="6"/>
      <c r="MWL1534" s="4"/>
      <c r="MWM1534" s="6"/>
      <c r="MWN1534" s="4"/>
      <c r="MWO1534" s="6"/>
      <c r="MWP1534" s="4"/>
      <c r="MWQ1534" s="6"/>
      <c r="MWR1534" s="4"/>
      <c r="MWS1534" s="6"/>
      <c r="MWT1534" s="4"/>
      <c r="MWU1534" s="6"/>
      <c r="MWV1534" s="4"/>
      <c r="MWW1534" s="6"/>
      <c r="MWX1534" s="4"/>
      <c r="MWY1534" s="6"/>
      <c r="MWZ1534" s="4"/>
      <c r="MXA1534" s="6"/>
      <c r="MXB1534" s="4"/>
      <c r="MXC1534" s="6"/>
      <c r="MXD1534" s="4"/>
      <c r="MXE1534" s="6"/>
      <c r="MXF1534" s="4"/>
      <c r="MXG1534" s="6"/>
      <c r="MXH1534" s="4"/>
      <c r="MXI1534" s="6"/>
      <c r="MXJ1534" s="4"/>
      <c r="MXK1534" s="6"/>
      <c r="MXL1534" s="4"/>
      <c r="MXM1534" s="6"/>
      <c r="MXN1534" s="4"/>
      <c r="MXO1534" s="6"/>
      <c r="MXP1534" s="4"/>
      <c r="MXQ1534" s="6"/>
      <c r="MXR1534" s="4"/>
      <c r="MXS1534" s="6"/>
      <c r="MXT1534" s="4"/>
      <c r="MXU1534" s="6"/>
      <c r="MXV1534" s="4"/>
      <c r="MXW1534" s="6"/>
      <c r="MXX1534" s="4"/>
      <c r="MXY1534" s="6"/>
      <c r="MXZ1534" s="4"/>
      <c r="MYA1534" s="6"/>
      <c r="MYB1534" s="4"/>
      <c r="MYC1534" s="6"/>
      <c r="MYD1534" s="4"/>
      <c r="MYE1534" s="6"/>
      <c r="MYF1534" s="4"/>
      <c r="MYG1534" s="6"/>
      <c r="MYH1534" s="4"/>
      <c r="MYI1534" s="6"/>
      <c r="MYJ1534" s="4"/>
      <c r="MYK1534" s="6"/>
      <c r="MYL1534" s="4"/>
      <c r="MYM1534" s="6"/>
      <c r="MYN1534" s="4"/>
      <c r="MYO1534" s="6"/>
      <c r="MYP1534" s="4"/>
      <c r="MYQ1534" s="6"/>
      <c r="MYR1534" s="4"/>
      <c r="MYS1534" s="6"/>
      <c r="MYT1534" s="4"/>
      <c r="MYU1534" s="6"/>
      <c r="MYV1534" s="4"/>
      <c r="MYW1534" s="6"/>
      <c r="MYX1534" s="4"/>
      <c r="MYY1534" s="6"/>
      <c r="MYZ1534" s="4"/>
      <c r="MZA1534" s="6"/>
      <c r="MZB1534" s="4"/>
      <c r="MZC1534" s="6"/>
      <c r="MZD1534" s="4"/>
      <c r="MZE1534" s="6"/>
      <c r="MZF1534" s="4"/>
      <c r="MZG1534" s="6"/>
      <c r="MZH1534" s="4"/>
      <c r="MZI1534" s="6"/>
      <c r="MZJ1534" s="4"/>
      <c r="MZK1534" s="6"/>
      <c r="MZL1534" s="4"/>
      <c r="MZM1534" s="6"/>
      <c r="MZN1534" s="4"/>
      <c r="MZO1534" s="6"/>
      <c r="MZP1534" s="4"/>
      <c r="MZQ1534" s="6"/>
      <c r="MZR1534" s="4"/>
      <c r="MZS1534" s="6"/>
      <c r="MZT1534" s="4"/>
      <c r="MZU1534" s="6"/>
      <c r="MZV1534" s="4"/>
      <c r="MZW1534" s="6"/>
      <c r="MZX1534" s="4"/>
      <c r="MZY1534" s="6"/>
      <c r="MZZ1534" s="4"/>
      <c r="NAA1534" s="6"/>
      <c r="NAB1534" s="4"/>
      <c r="NAC1534" s="6"/>
      <c r="NAD1534" s="4"/>
      <c r="NAE1534" s="6"/>
      <c r="NAF1534" s="4"/>
      <c r="NAG1534" s="6"/>
      <c r="NAH1534" s="4"/>
      <c r="NAI1534" s="6"/>
      <c r="NAJ1534" s="4"/>
      <c r="NAK1534" s="6"/>
      <c r="NAL1534" s="4"/>
      <c r="NAM1534" s="6"/>
      <c r="NAN1534" s="4"/>
      <c r="NAO1534" s="6"/>
      <c r="NAP1534" s="4"/>
      <c r="NAQ1534" s="6"/>
      <c r="NAR1534" s="4"/>
      <c r="NAS1534" s="6"/>
      <c r="NAT1534" s="4"/>
      <c r="NAU1534" s="6"/>
      <c r="NAV1534" s="4"/>
      <c r="NAW1534" s="6"/>
      <c r="NAX1534" s="4"/>
      <c r="NAY1534" s="6"/>
      <c r="NAZ1534" s="4"/>
      <c r="NBA1534" s="6"/>
      <c r="NBB1534" s="4"/>
      <c r="NBC1534" s="6"/>
      <c r="NBD1534" s="4"/>
      <c r="NBE1534" s="6"/>
      <c r="NBF1534" s="4"/>
      <c r="NBG1534" s="6"/>
      <c r="NBH1534" s="4"/>
      <c r="NBI1534" s="6"/>
      <c r="NBJ1534" s="4"/>
      <c r="NBK1534" s="6"/>
      <c r="NBL1534" s="4"/>
      <c r="NBM1534" s="6"/>
      <c r="NBN1534" s="4"/>
      <c r="NBO1534" s="6"/>
      <c r="NBP1534" s="4"/>
      <c r="NBQ1534" s="6"/>
      <c r="NBR1534" s="4"/>
      <c r="NBS1534" s="6"/>
      <c r="NBT1534" s="4"/>
      <c r="NBU1534" s="6"/>
      <c r="NBV1534" s="4"/>
      <c r="NBW1534" s="6"/>
      <c r="NBX1534" s="4"/>
      <c r="NBY1534" s="6"/>
      <c r="NBZ1534" s="4"/>
      <c r="NCA1534" s="6"/>
      <c r="NCB1534" s="4"/>
      <c r="NCC1534" s="6"/>
      <c r="NCD1534" s="4"/>
      <c r="NCE1534" s="6"/>
      <c r="NCF1534" s="4"/>
      <c r="NCG1534" s="6"/>
      <c r="NCH1534" s="4"/>
      <c r="NCI1534" s="6"/>
      <c r="NCJ1534" s="4"/>
      <c r="NCK1534" s="6"/>
      <c r="NCL1534" s="4"/>
      <c r="NCM1534" s="6"/>
      <c r="NCN1534" s="4"/>
      <c r="NCO1534" s="6"/>
      <c r="NCP1534" s="4"/>
      <c r="NCQ1534" s="6"/>
      <c r="NCR1534" s="4"/>
      <c r="NCS1534" s="6"/>
      <c r="NCT1534" s="4"/>
      <c r="NCU1534" s="6"/>
      <c r="NCV1534" s="4"/>
      <c r="NCW1534" s="6"/>
      <c r="NCX1534" s="4"/>
      <c r="NCY1534" s="6"/>
      <c r="NCZ1534" s="4"/>
      <c r="NDA1534" s="6"/>
      <c r="NDB1534" s="4"/>
      <c r="NDC1534" s="6"/>
      <c r="NDD1534" s="4"/>
      <c r="NDE1534" s="6"/>
      <c r="NDF1534" s="4"/>
      <c r="NDG1534" s="6"/>
      <c r="NDH1534" s="4"/>
      <c r="NDI1534" s="6"/>
      <c r="NDJ1534" s="4"/>
      <c r="NDK1534" s="6"/>
      <c r="NDL1534" s="4"/>
      <c r="NDM1534" s="6"/>
      <c r="NDN1534" s="4"/>
      <c r="NDO1534" s="6"/>
      <c r="NDP1534" s="4"/>
      <c r="NDQ1534" s="6"/>
      <c r="NDR1534" s="4"/>
      <c r="NDS1534" s="6"/>
      <c r="NDT1534" s="4"/>
      <c r="NDU1534" s="6"/>
      <c r="NDV1534" s="4"/>
      <c r="NDW1534" s="6"/>
      <c r="NDX1534" s="4"/>
      <c r="NDY1534" s="6"/>
      <c r="NDZ1534" s="4"/>
      <c r="NEA1534" s="6"/>
      <c r="NEB1534" s="4"/>
      <c r="NEC1534" s="6"/>
      <c r="NED1534" s="4"/>
      <c r="NEE1534" s="6"/>
      <c r="NEF1534" s="4"/>
      <c r="NEG1534" s="6"/>
      <c r="NEH1534" s="4"/>
      <c r="NEI1534" s="6"/>
      <c r="NEJ1534" s="4"/>
      <c r="NEK1534" s="6"/>
      <c r="NEL1534" s="4"/>
      <c r="NEM1534" s="6"/>
      <c r="NEN1534" s="4"/>
      <c r="NEO1534" s="6"/>
      <c r="NEP1534" s="4"/>
      <c r="NEQ1534" s="6"/>
      <c r="NER1534" s="4"/>
      <c r="NES1534" s="6"/>
      <c r="NET1534" s="4"/>
      <c r="NEU1534" s="6"/>
      <c r="NEV1534" s="4"/>
      <c r="NEW1534" s="6"/>
      <c r="NEX1534" s="4"/>
      <c r="NEY1534" s="6"/>
      <c r="NEZ1534" s="4"/>
      <c r="NFA1534" s="6"/>
      <c r="NFB1534" s="4"/>
      <c r="NFC1534" s="6"/>
      <c r="NFD1534" s="4"/>
      <c r="NFE1534" s="6"/>
      <c r="NFF1534" s="4"/>
      <c r="NFG1534" s="6"/>
      <c r="NFH1534" s="4"/>
      <c r="NFI1534" s="6"/>
      <c r="NFJ1534" s="4"/>
      <c r="NFK1534" s="6"/>
      <c r="NFL1534" s="4"/>
      <c r="NFM1534" s="6"/>
      <c r="NFN1534" s="4"/>
      <c r="NFO1534" s="6"/>
      <c r="NFP1534" s="4"/>
      <c r="NFQ1534" s="6"/>
      <c r="NFR1534" s="4"/>
      <c r="NFS1534" s="6"/>
      <c r="NFT1534" s="4"/>
      <c r="NFU1534" s="6"/>
      <c r="NFV1534" s="4"/>
      <c r="NFW1534" s="6"/>
      <c r="NFX1534" s="4"/>
      <c r="NFY1534" s="6"/>
      <c r="NFZ1534" s="4"/>
      <c r="NGA1534" s="6"/>
      <c r="NGB1534" s="4"/>
      <c r="NGC1534" s="6"/>
      <c r="NGD1534" s="4"/>
      <c r="NGE1534" s="6"/>
      <c r="NGF1534" s="4"/>
      <c r="NGG1534" s="6"/>
      <c r="NGH1534" s="4"/>
      <c r="NGI1534" s="6"/>
      <c r="NGJ1534" s="4"/>
      <c r="NGK1534" s="6"/>
      <c r="NGL1534" s="4"/>
      <c r="NGM1534" s="6"/>
      <c r="NGN1534" s="4"/>
      <c r="NGO1534" s="6"/>
      <c r="NGP1534" s="4"/>
      <c r="NGQ1534" s="6"/>
      <c r="NGR1534" s="4"/>
      <c r="NGS1534" s="6"/>
      <c r="NGT1534" s="4"/>
      <c r="NGU1534" s="6"/>
      <c r="NGV1534" s="4"/>
      <c r="NGW1534" s="6"/>
      <c r="NGX1534" s="4"/>
      <c r="NGY1534" s="6"/>
      <c r="NGZ1534" s="4"/>
      <c r="NHA1534" s="6"/>
      <c r="NHB1534" s="4"/>
      <c r="NHC1534" s="6"/>
      <c r="NHD1534" s="4"/>
      <c r="NHE1534" s="6"/>
      <c r="NHF1534" s="4"/>
      <c r="NHG1534" s="6"/>
      <c r="NHH1534" s="4"/>
      <c r="NHI1534" s="6"/>
      <c r="NHJ1534" s="4"/>
      <c r="NHK1534" s="6"/>
      <c r="NHL1534" s="4"/>
      <c r="NHM1534" s="6"/>
      <c r="NHN1534" s="4"/>
      <c r="NHO1534" s="6"/>
      <c r="NHP1534" s="4"/>
      <c r="NHQ1534" s="6"/>
      <c r="NHR1534" s="4"/>
      <c r="NHS1534" s="6"/>
      <c r="NHT1534" s="4"/>
      <c r="NHU1534" s="6"/>
      <c r="NHV1534" s="4"/>
      <c r="NHW1534" s="6"/>
      <c r="NHX1534" s="4"/>
      <c r="NHY1534" s="6"/>
      <c r="NHZ1534" s="4"/>
      <c r="NIA1534" s="6"/>
      <c r="NIB1534" s="4"/>
      <c r="NIC1534" s="6"/>
      <c r="NID1534" s="4"/>
      <c r="NIE1534" s="6"/>
      <c r="NIF1534" s="4"/>
      <c r="NIG1534" s="6"/>
      <c r="NIH1534" s="4"/>
      <c r="NII1534" s="6"/>
      <c r="NIJ1534" s="4"/>
      <c r="NIK1534" s="6"/>
      <c r="NIL1534" s="4"/>
      <c r="NIM1534" s="6"/>
      <c r="NIN1534" s="4"/>
      <c r="NIO1534" s="6"/>
      <c r="NIP1534" s="4"/>
      <c r="NIQ1534" s="6"/>
      <c r="NIR1534" s="4"/>
      <c r="NIS1534" s="6"/>
      <c r="NIT1534" s="4"/>
      <c r="NIU1534" s="6"/>
      <c r="NIV1534" s="4"/>
      <c r="NIW1534" s="6"/>
      <c r="NIX1534" s="4"/>
      <c r="NIY1534" s="6"/>
      <c r="NIZ1534" s="4"/>
      <c r="NJA1534" s="6"/>
      <c r="NJB1534" s="4"/>
      <c r="NJC1534" s="6"/>
      <c r="NJD1534" s="4"/>
      <c r="NJE1534" s="6"/>
      <c r="NJF1534" s="4"/>
      <c r="NJG1534" s="6"/>
      <c r="NJH1534" s="4"/>
      <c r="NJI1534" s="6"/>
      <c r="NJJ1534" s="4"/>
      <c r="NJK1534" s="6"/>
      <c r="NJL1534" s="4"/>
      <c r="NJM1534" s="6"/>
      <c r="NJN1534" s="4"/>
      <c r="NJO1534" s="6"/>
      <c r="NJP1534" s="4"/>
      <c r="NJQ1534" s="6"/>
      <c r="NJR1534" s="4"/>
      <c r="NJS1534" s="6"/>
      <c r="NJT1534" s="4"/>
      <c r="NJU1534" s="6"/>
      <c r="NJV1534" s="4"/>
      <c r="NJW1534" s="6"/>
      <c r="NJX1534" s="4"/>
      <c r="NJY1534" s="6"/>
      <c r="NJZ1534" s="4"/>
      <c r="NKA1534" s="6"/>
      <c r="NKB1534" s="4"/>
      <c r="NKC1534" s="6"/>
      <c r="NKD1534" s="4"/>
      <c r="NKE1534" s="6"/>
      <c r="NKF1534" s="4"/>
      <c r="NKG1534" s="6"/>
      <c r="NKH1534" s="4"/>
      <c r="NKI1534" s="6"/>
      <c r="NKJ1534" s="4"/>
      <c r="NKK1534" s="6"/>
      <c r="NKL1534" s="4"/>
      <c r="NKM1534" s="6"/>
      <c r="NKN1534" s="4"/>
      <c r="NKO1534" s="6"/>
      <c r="NKP1534" s="4"/>
      <c r="NKQ1534" s="6"/>
      <c r="NKR1534" s="4"/>
      <c r="NKS1534" s="6"/>
      <c r="NKT1534" s="4"/>
      <c r="NKU1534" s="6"/>
      <c r="NKV1534" s="4"/>
      <c r="NKW1534" s="6"/>
      <c r="NKX1534" s="4"/>
      <c r="NKY1534" s="6"/>
      <c r="NKZ1534" s="4"/>
      <c r="NLA1534" s="6"/>
      <c r="NLB1534" s="4"/>
      <c r="NLC1534" s="6"/>
      <c r="NLD1534" s="4"/>
      <c r="NLE1534" s="6"/>
      <c r="NLF1534" s="4"/>
      <c r="NLG1534" s="6"/>
      <c r="NLH1534" s="4"/>
      <c r="NLI1534" s="6"/>
      <c r="NLJ1534" s="4"/>
      <c r="NLK1534" s="6"/>
      <c r="NLL1534" s="4"/>
      <c r="NLM1534" s="6"/>
      <c r="NLN1534" s="4"/>
      <c r="NLO1534" s="6"/>
      <c r="NLP1534" s="4"/>
      <c r="NLQ1534" s="6"/>
      <c r="NLR1534" s="4"/>
      <c r="NLS1534" s="6"/>
      <c r="NLT1534" s="4"/>
      <c r="NLU1534" s="6"/>
      <c r="NLV1534" s="4"/>
      <c r="NLW1534" s="6"/>
      <c r="NLX1534" s="4"/>
      <c r="NLY1534" s="6"/>
      <c r="NLZ1534" s="4"/>
      <c r="NMA1534" s="6"/>
      <c r="NMB1534" s="4"/>
      <c r="NMC1534" s="6"/>
      <c r="NMD1534" s="4"/>
      <c r="NME1534" s="6"/>
      <c r="NMF1534" s="4"/>
      <c r="NMG1534" s="6"/>
      <c r="NMH1534" s="4"/>
      <c r="NMI1534" s="6"/>
      <c r="NMJ1534" s="4"/>
      <c r="NMK1534" s="6"/>
      <c r="NML1534" s="4"/>
      <c r="NMM1534" s="6"/>
      <c r="NMN1534" s="4"/>
      <c r="NMO1534" s="6"/>
      <c r="NMP1534" s="4"/>
      <c r="NMQ1534" s="6"/>
      <c r="NMR1534" s="4"/>
      <c r="NMS1534" s="6"/>
      <c r="NMT1534" s="4"/>
      <c r="NMU1534" s="6"/>
      <c r="NMV1534" s="4"/>
      <c r="NMW1534" s="6"/>
      <c r="NMX1534" s="4"/>
      <c r="NMY1534" s="6"/>
      <c r="NMZ1534" s="4"/>
      <c r="NNA1534" s="6"/>
      <c r="NNB1534" s="4"/>
      <c r="NNC1534" s="6"/>
      <c r="NND1534" s="4"/>
      <c r="NNE1534" s="6"/>
      <c r="NNF1534" s="4"/>
      <c r="NNG1534" s="6"/>
      <c r="NNH1534" s="4"/>
      <c r="NNI1534" s="6"/>
      <c r="NNJ1534" s="4"/>
      <c r="NNK1534" s="6"/>
      <c r="NNL1534" s="4"/>
      <c r="NNM1534" s="6"/>
      <c r="NNN1534" s="4"/>
      <c r="NNO1534" s="6"/>
      <c r="NNP1534" s="4"/>
      <c r="NNQ1534" s="6"/>
      <c r="NNR1534" s="4"/>
      <c r="NNS1534" s="6"/>
      <c r="NNT1534" s="4"/>
      <c r="NNU1534" s="6"/>
      <c r="NNV1534" s="4"/>
      <c r="NNW1534" s="6"/>
      <c r="NNX1534" s="4"/>
      <c r="NNY1534" s="6"/>
      <c r="NNZ1534" s="4"/>
      <c r="NOA1534" s="6"/>
      <c r="NOB1534" s="4"/>
      <c r="NOC1534" s="6"/>
      <c r="NOD1534" s="4"/>
      <c r="NOE1534" s="6"/>
      <c r="NOF1534" s="4"/>
      <c r="NOG1534" s="6"/>
      <c r="NOH1534" s="4"/>
      <c r="NOI1534" s="6"/>
      <c r="NOJ1534" s="4"/>
      <c r="NOK1534" s="6"/>
      <c r="NOL1534" s="4"/>
      <c r="NOM1534" s="6"/>
      <c r="NON1534" s="4"/>
      <c r="NOO1534" s="6"/>
      <c r="NOP1534" s="4"/>
      <c r="NOQ1534" s="6"/>
      <c r="NOR1534" s="4"/>
      <c r="NOS1534" s="6"/>
      <c r="NOT1534" s="4"/>
      <c r="NOU1534" s="6"/>
      <c r="NOV1534" s="4"/>
      <c r="NOW1534" s="6"/>
      <c r="NOX1534" s="4"/>
      <c r="NOY1534" s="6"/>
      <c r="NOZ1534" s="4"/>
      <c r="NPA1534" s="6"/>
      <c r="NPB1534" s="4"/>
      <c r="NPC1534" s="6"/>
      <c r="NPD1534" s="4"/>
      <c r="NPE1534" s="6"/>
      <c r="NPF1534" s="4"/>
      <c r="NPG1534" s="6"/>
      <c r="NPH1534" s="4"/>
      <c r="NPI1534" s="6"/>
      <c r="NPJ1534" s="4"/>
      <c r="NPK1534" s="6"/>
      <c r="NPL1534" s="4"/>
      <c r="NPM1534" s="6"/>
      <c r="NPN1534" s="4"/>
      <c r="NPO1534" s="6"/>
      <c r="NPP1534" s="4"/>
      <c r="NPQ1534" s="6"/>
      <c r="NPR1534" s="4"/>
      <c r="NPS1534" s="6"/>
      <c r="NPT1534" s="4"/>
      <c r="NPU1534" s="6"/>
      <c r="NPV1534" s="4"/>
      <c r="NPW1534" s="6"/>
      <c r="NPX1534" s="4"/>
      <c r="NPY1534" s="6"/>
      <c r="NPZ1534" s="4"/>
      <c r="NQA1534" s="6"/>
      <c r="NQB1534" s="4"/>
      <c r="NQC1534" s="6"/>
      <c r="NQD1534" s="4"/>
      <c r="NQE1534" s="6"/>
      <c r="NQF1534" s="4"/>
      <c r="NQG1534" s="6"/>
      <c r="NQH1534" s="4"/>
      <c r="NQI1534" s="6"/>
      <c r="NQJ1534" s="4"/>
      <c r="NQK1534" s="6"/>
      <c r="NQL1534" s="4"/>
      <c r="NQM1534" s="6"/>
      <c r="NQN1534" s="4"/>
      <c r="NQO1534" s="6"/>
      <c r="NQP1534" s="4"/>
      <c r="NQQ1534" s="6"/>
      <c r="NQR1534" s="4"/>
      <c r="NQS1534" s="6"/>
      <c r="NQT1534" s="4"/>
      <c r="NQU1534" s="6"/>
      <c r="NQV1534" s="4"/>
      <c r="NQW1534" s="6"/>
      <c r="NQX1534" s="4"/>
      <c r="NQY1534" s="6"/>
      <c r="NQZ1534" s="4"/>
      <c r="NRA1534" s="6"/>
      <c r="NRB1534" s="4"/>
      <c r="NRC1534" s="6"/>
      <c r="NRD1534" s="4"/>
      <c r="NRE1534" s="6"/>
      <c r="NRF1534" s="4"/>
      <c r="NRG1534" s="6"/>
      <c r="NRH1534" s="4"/>
      <c r="NRI1534" s="6"/>
      <c r="NRJ1534" s="4"/>
      <c r="NRK1534" s="6"/>
      <c r="NRL1534" s="4"/>
      <c r="NRM1534" s="6"/>
      <c r="NRN1534" s="4"/>
      <c r="NRO1534" s="6"/>
      <c r="NRP1534" s="4"/>
      <c r="NRQ1534" s="6"/>
      <c r="NRR1534" s="4"/>
      <c r="NRS1534" s="6"/>
      <c r="NRT1534" s="4"/>
      <c r="NRU1534" s="6"/>
      <c r="NRV1534" s="4"/>
      <c r="NRW1534" s="6"/>
      <c r="NRX1534" s="4"/>
      <c r="NRY1534" s="6"/>
      <c r="NRZ1534" s="4"/>
      <c r="NSA1534" s="6"/>
      <c r="NSB1534" s="4"/>
      <c r="NSC1534" s="6"/>
      <c r="NSD1534" s="4"/>
      <c r="NSE1534" s="6"/>
      <c r="NSF1534" s="4"/>
      <c r="NSG1534" s="6"/>
      <c r="NSH1534" s="4"/>
      <c r="NSI1534" s="6"/>
      <c r="NSJ1534" s="4"/>
      <c r="NSK1534" s="6"/>
      <c r="NSL1534" s="4"/>
      <c r="NSM1534" s="6"/>
      <c r="NSN1534" s="4"/>
      <c r="NSO1534" s="6"/>
      <c r="NSP1534" s="4"/>
      <c r="NSQ1534" s="6"/>
      <c r="NSR1534" s="4"/>
      <c r="NSS1534" s="6"/>
      <c r="NST1534" s="4"/>
      <c r="NSU1534" s="6"/>
      <c r="NSV1534" s="4"/>
      <c r="NSW1534" s="6"/>
      <c r="NSX1534" s="4"/>
      <c r="NSY1534" s="6"/>
      <c r="NSZ1534" s="4"/>
      <c r="NTA1534" s="6"/>
      <c r="NTB1534" s="4"/>
      <c r="NTC1534" s="6"/>
      <c r="NTD1534" s="4"/>
      <c r="NTE1534" s="6"/>
      <c r="NTF1534" s="4"/>
      <c r="NTG1534" s="6"/>
      <c r="NTH1534" s="4"/>
      <c r="NTI1534" s="6"/>
      <c r="NTJ1534" s="4"/>
      <c r="NTK1534" s="6"/>
      <c r="NTL1534" s="4"/>
      <c r="NTM1534" s="6"/>
      <c r="NTN1534" s="4"/>
      <c r="NTO1534" s="6"/>
      <c r="NTP1534" s="4"/>
      <c r="NTQ1534" s="6"/>
      <c r="NTR1534" s="4"/>
      <c r="NTS1534" s="6"/>
      <c r="NTT1534" s="4"/>
      <c r="NTU1534" s="6"/>
      <c r="NTV1534" s="4"/>
      <c r="NTW1534" s="6"/>
      <c r="NTX1534" s="4"/>
      <c r="NTY1534" s="6"/>
      <c r="NTZ1534" s="4"/>
      <c r="NUA1534" s="6"/>
      <c r="NUB1534" s="4"/>
      <c r="NUC1534" s="6"/>
      <c r="NUD1534" s="4"/>
      <c r="NUE1534" s="6"/>
      <c r="NUF1534" s="4"/>
      <c r="NUG1534" s="6"/>
      <c r="NUH1534" s="4"/>
      <c r="NUI1534" s="6"/>
      <c r="NUJ1534" s="4"/>
      <c r="NUK1534" s="6"/>
      <c r="NUL1534" s="4"/>
      <c r="NUM1534" s="6"/>
      <c r="NUN1534" s="4"/>
      <c r="NUO1534" s="6"/>
      <c r="NUP1534" s="4"/>
      <c r="NUQ1534" s="6"/>
      <c r="NUR1534" s="4"/>
      <c r="NUS1534" s="6"/>
      <c r="NUT1534" s="4"/>
      <c r="NUU1534" s="6"/>
      <c r="NUV1534" s="4"/>
      <c r="NUW1534" s="6"/>
      <c r="NUX1534" s="4"/>
      <c r="NUY1534" s="6"/>
      <c r="NUZ1534" s="4"/>
      <c r="NVA1534" s="6"/>
      <c r="NVB1534" s="4"/>
      <c r="NVC1534" s="6"/>
      <c r="NVD1534" s="4"/>
      <c r="NVE1534" s="6"/>
      <c r="NVF1534" s="4"/>
      <c r="NVG1534" s="6"/>
      <c r="NVH1534" s="4"/>
      <c r="NVI1534" s="6"/>
      <c r="NVJ1534" s="4"/>
      <c r="NVK1534" s="6"/>
      <c r="NVL1534" s="4"/>
      <c r="NVM1534" s="6"/>
      <c r="NVN1534" s="4"/>
      <c r="NVO1534" s="6"/>
      <c r="NVP1534" s="4"/>
      <c r="NVQ1534" s="6"/>
      <c r="NVR1534" s="4"/>
      <c r="NVS1534" s="6"/>
      <c r="NVT1534" s="4"/>
      <c r="NVU1534" s="6"/>
      <c r="NVV1534" s="4"/>
      <c r="NVW1534" s="6"/>
      <c r="NVX1534" s="4"/>
      <c r="NVY1534" s="6"/>
      <c r="NVZ1534" s="4"/>
      <c r="NWA1534" s="6"/>
      <c r="NWB1534" s="4"/>
      <c r="NWC1534" s="6"/>
      <c r="NWD1534" s="4"/>
      <c r="NWE1534" s="6"/>
      <c r="NWF1534" s="4"/>
      <c r="NWG1534" s="6"/>
      <c r="NWH1534" s="4"/>
      <c r="NWI1534" s="6"/>
      <c r="NWJ1534" s="4"/>
      <c r="NWK1534" s="6"/>
      <c r="NWL1534" s="4"/>
      <c r="NWM1534" s="6"/>
      <c r="NWN1534" s="4"/>
      <c r="NWO1534" s="6"/>
      <c r="NWP1534" s="4"/>
      <c r="NWQ1534" s="6"/>
      <c r="NWR1534" s="4"/>
      <c r="NWS1534" s="6"/>
      <c r="NWT1534" s="4"/>
      <c r="NWU1534" s="6"/>
      <c r="NWV1534" s="4"/>
      <c r="NWW1534" s="6"/>
      <c r="NWX1534" s="4"/>
      <c r="NWY1534" s="6"/>
      <c r="NWZ1534" s="4"/>
      <c r="NXA1534" s="6"/>
      <c r="NXB1534" s="4"/>
      <c r="NXC1534" s="6"/>
      <c r="NXD1534" s="4"/>
      <c r="NXE1534" s="6"/>
      <c r="NXF1534" s="4"/>
      <c r="NXG1534" s="6"/>
      <c r="NXH1534" s="4"/>
      <c r="NXI1534" s="6"/>
      <c r="NXJ1534" s="4"/>
      <c r="NXK1534" s="6"/>
      <c r="NXL1534" s="4"/>
      <c r="NXM1534" s="6"/>
      <c r="NXN1534" s="4"/>
      <c r="NXO1534" s="6"/>
      <c r="NXP1534" s="4"/>
      <c r="NXQ1534" s="6"/>
      <c r="NXR1534" s="4"/>
      <c r="NXS1534" s="6"/>
      <c r="NXT1534" s="4"/>
      <c r="NXU1534" s="6"/>
      <c r="NXV1534" s="4"/>
      <c r="NXW1534" s="6"/>
      <c r="NXX1534" s="4"/>
      <c r="NXY1534" s="6"/>
      <c r="NXZ1534" s="4"/>
      <c r="NYA1534" s="6"/>
      <c r="NYB1534" s="4"/>
      <c r="NYC1534" s="6"/>
      <c r="NYD1534" s="4"/>
      <c r="NYE1534" s="6"/>
      <c r="NYF1534" s="4"/>
      <c r="NYG1534" s="6"/>
      <c r="NYH1534" s="4"/>
      <c r="NYI1534" s="6"/>
      <c r="NYJ1534" s="4"/>
      <c r="NYK1534" s="6"/>
      <c r="NYL1534" s="4"/>
      <c r="NYM1534" s="6"/>
      <c r="NYN1534" s="4"/>
      <c r="NYO1534" s="6"/>
      <c r="NYP1534" s="4"/>
      <c r="NYQ1534" s="6"/>
      <c r="NYR1534" s="4"/>
      <c r="NYS1534" s="6"/>
      <c r="NYT1534" s="4"/>
      <c r="NYU1534" s="6"/>
      <c r="NYV1534" s="4"/>
      <c r="NYW1534" s="6"/>
      <c r="NYX1534" s="4"/>
      <c r="NYY1534" s="6"/>
      <c r="NYZ1534" s="4"/>
      <c r="NZA1534" s="6"/>
      <c r="NZB1534" s="4"/>
      <c r="NZC1534" s="6"/>
      <c r="NZD1534" s="4"/>
      <c r="NZE1534" s="6"/>
      <c r="NZF1534" s="4"/>
      <c r="NZG1534" s="6"/>
      <c r="NZH1534" s="4"/>
      <c r="NZI1534" s="6"/>
      <c r="NZJ1534" s="4"/>
      <c r="NZK1534" s="6"/>
      <c r="NZL1534" s="4"/>
      <c r="NZM1534" s="6"/>
      <c r="NZN1534" s="4"/>
      <c r="NZO1534" s="6"/>
      <c r="NZP1534" s="4"/>
      <c r="NZQ1534" s="6"/>
      <c r="NZR1534" s="4"/>
      <c r="NZS1534" s="6"/>
      <c r="NZT1534" s="4"/>
      <c r="NZU1534" s="6"/>
      <c r="NZV1534" s="4"/>
      <c r="NZW1534" s="6"/>
      <c r="NZX1534" s="4"/>
      <c r="NZY1534" s="6"/>
      <c r="NZZ1534" s="4"/>
      <c r="OAA1534" s="6"/>
      <c r="OAB1534" s="4"/>
      <c r="OAC1534" s="6"/>
      <c r="OAD1534" s="4"/>
      <c r="OAE1534" s="6"/>
      <c r="OAF1534" s="4"/>
      <c r="OAG1534" s="6"/>
      <c r="OAH1534" s="4"/>
      <c r="OAI1534" s="6"/>
      <c r="OAJ1534" s="4"/>
      <c r="OAK1534" s="6"/>
      <c r="OAL1534" s="4"/>
      <c r="OAM1534" s="6"/>
      <c r="OAN1534" s="4"/>
      <c r="OAO1534" s="6"/>
      <c r="OAP1534" s="4"/>
      <c r="OAQ1534" s="6"/>
      <c r="OAR1534" s="4"/>
      <c r="OAS1534" s="6"/>
      <c r="OAT1534" s="4"/>
      <c r="OAU1534" s="6"/>
      <c r="OAV1534" s="4"/>
      <c r="OAW1534" s="6"/>
      <c r="OAX1534" s="4"/>
      <c r="OAY1534" s="6"/>
      <c r="OAZ1534" s="4"/>
      <c r="OBA1534" s="6"/>
      <c r="OBB1534" s="4"/>
      <c r="OBC1534" s="6"/>
      <c r="OBD1534" s="4"/>
      <c r="OBE1534" s="6"/>
      <c r="OBF1534" s="4"/>
      <c r="OBG1534" s="6"/>
      <c r="OBH1534" s="4"/>
      <c r="OBI1534" s="6"/>
      <c r="OBJ1534" s="4"/>
      <c r="OBK1534" s="6"/>
      <c r="OBL1534" s="4"/>
      <c r="OBM1534" s="6"/>
      <c r="OBN1534" s="4"/>
      <c r="OBO1534" s="6"/>
      <c r="OBP1534" s="4"/>
      <c r="OBQ1534" s="6"/>
      <c r="OBR1534" s="4"/>
      <c r="OBS1534" s="6"/>
      <c r="OBT1534" s="4"/>
      <c r="OBU1534" s="6"/>
      <c r="OBV1534" s="4"/>
      <c r="OBW1534" s="6"/>
      <c r="OBX1534" s="4"/>
      <c r="OBY1534" s="6"/>
      <c r="OBZ1534" s="4"/>
      <c r="OCA1534" s="6"/>
      <c r="OCB1534" s="4"/>
      <c r="OCC1534" s="6"/>
      <c r="OCD1534" s="4"/>
      <c r="OCE1534" s="6"/>
      <c r="OCF1534" s="4"/>
      <c r="OCG1534" s="6"/>
      <c r="OCH1534" s="4"/>
      <c r="OCI1534" s="6"/>
      <c r="OCJ1534" s="4"/>
      <c r="OCK1534" s="6"/>
      <c r="OCL1534" s="4"/>
      <c r="OCM1534" s="6"/>
      <c r="OCN1534" s="4"/>
      <c r="OCO1534" s="6"/>
      <c r="OCP1534" s="4"/>
      <c r="OCQ1534" s="6"/>
      <c r="OCR1534" s="4"/>
      <c r="OCS1534" s="6"/>
      <c r="OCT1534" s="4"/>
      <c r="OCU1534" s="6"/>
      <c r="OCV1534" s="4"/>
      <c r="OCW1534" s="6"/>
      <c r="OCX1534" s="4"/>
      <c r="OCY1534" s="6"/>
      <c r="OCZ1534" s="4"/>
      <c r="ODA1534" s="6"/>
      <c r="ODB1534" s="4"/>
      <c r="ODC1534" s="6"/>
      <c r="ODD1534" s="4"/>
      <c r="ODE1534" s="6"/>
      <c r="ODF1534" s="4"/>
      <c r="ODG1534" s="6"/>
      <c r="ODH1534" s="4"/>
      <c r="ODI1534" s="6"/>
      <c r="ODJ1534" s="4"/>
      <c r="ODK1534" s="6"/>
      <c r="ODL1534" s="4"/>
      <c r="ODM1534" s="6"/>
      <c r="ODN1534" s="4"/>
      <c r="ODO1534" s="6"/>
      <c r="ODP1534" s="4"/>
      <c r="ODQ1534" s="6"/>
      <c r="ODR1534" s="4"/>
      <c r="ODS1534" s="6"/>
      <c r="ODT1534" s="4"/>
      <c r="ODU1534" s="6"/>
      <c r="ODV1534" s="4"/>
      <c r="ODW1534" s="6"/>
      <c r="ODX1534" s="4"/>
      <c r="ODY1534" s="6"/>
      <c r="ODZ1534" s="4"/>
      <c r="OEA1534" s="6"/>
      <c r="OEB1534" s="4"/>
      <c r="OEC1534" s="6"/>
      <c r="OED1534" s="4"/>
      <c r="OEE1534" s="6"/>
      <c r="OEF1534" s="4"/>
      <c r="OEG1534" s="6"/>
      <c r="OEH1534" s="4"/>
      <c r="OEI1534" s="6"/>
      <c r="OEJ1534" s="4"/>
      <c r="OEK1534" s="6"/>
      <c r="OEL1534" s="4"/>
      <c r="OEM1534" s="6"/>
      <c r="OEN1534" s="4"/>
      <c r="OEO1534" s="6"/>
      <c r="OEP1534" s="4"/>
      <c r="OEQ1534" s="6"/>
      <c r="OER1534" s="4"/>
      <c r="OES1534" s="6"/>
      <c r="OET1534" s="4"/>
      <c r="OEU1534" s="6"/>
      <c r="OEV1534" s="4"/>
      <c r="OEW1534" s="6"/>
      <c r="OEX1534" s="4"/>
      <c r="OEY1534" s="6"/>
      <c r="OEZ1534" s="4"/>
      <c r="OFA1534" s="6"/>
      <c r="OFB1534" s="4"/>
      <c r="OFC1534" s="6"/>
      <c r="OFD1534" s="4"/>
      <c r="OFE1534" s="6"/>
      <c r="OFF1534" s="4"/>
      <c r="OFG1534" s="6"/>
      <c r="OFH1534" s="4"/>
      <c r="OFI1534" s="6"/>
      <c r="OFJ1534" s="4"/>
      <c r="OFK1534" s="6"/>
      <c r="OFL1534" s="4"/>
      <c r="OFM1534" s="6"/>
      <c r="OFN1534" s="4"/>
      <c r="OFO1534" s="6"/>
      <c r="OFP1534" s="4"/>
      <c r="OFQ1534" s="6"/>
      <c r="OFR1534" s="4"/>
      <c r="OFS1534" s="6"/>
      <c r="OFT1534" s="4"/>
      <c r="OFU1534" s="6"/>
      <c r="OFV1534" s="4"/>
      <c r="OFW1534" s="6"/>
      <c r="OFX1534" s="4"/>
      <c r="OFY1534" s="6"/>
      <c r="OFZ1534" s="4"/>
      <c r="OGA1534" s="6"/>
      <c r="OGB1534" s="4"/>
      <c r="OGC1534" s="6"/>
      <c r="OGD1534" s="4"/>
      <c r="OGE1534" s="6"/>
      <c r="OGF1534" s="4"/>
      <c r="OGG1534" s="6"/>
      <c r="OGH1534" s="4"/>
      <c r="OGI1534" s="6"/>
      <c r="OGJ1534" s="4"/>
      <c r="OGK1534" s="6"/>
      <c r="OGL1534" s="4"/>
      <c r="OGM1534" s="6"/>
      <c r="OGN1534" s="4"/>
      <c r="OGO1534" s="6"/>
      <c r="OGP1534" s="4"/>
      <c r="OGQ1534" s="6"/>
      <c r="OGR1534" s="4"/>
      <c r="OGS1534" s="6"/>
      <c r="OGT1534" s="4"/>
      <c r="OGU1534" s="6"/>
      <c r="OGV1534" s="4"/>
      <c r="OGW1534" s="6"/>
      <c r="OGX1534" s="4"/>
      <c r="OGY1534" s="6"/>
      <c r="OGZ1534" s="4"/>
      <c r="OHA1534" s="6"/>
      <c r="OHB1534" s="4"/>
      <c r="OHC1534" s="6"/>
      <c r="OHD1534" s="4"/>
      <c r="OHE1534" s="6"/>
      <c r="OHF1534" s="4"/>
      <c r="OHG1534" s="6"/>
      <c r="OHH1534" s="4"/>
      <c r="OHI1534" s="6"/>
      <c r="OHJ1534" s="4"/>
      <c r="OHK1534" s="6"/>
      <c r="OHL1534" s="4"/>
      <c r="OHM1534" s="6"/>
      <c r="OHN1534" s="4"/>
      <c r="OHO1534" s="6"/>
      <c r="OHP1534" s="4"/>
      <c r="OHQ1534" s="6"/>
      <c r="OHR1534" s="4"/>
      <c r="OHS1534" s="6"/>
      <c r="OHT1534" s="4"/>
      <c r="OHU1534" s="6"/>
      <c r="OHV1534" s="4"/>
      <c r="OHW1534" s="6"/>
      <c r="OHX1534" s="4"/>
      <c r="OHY1534" s="6"/>
      <c r="OHZ1534" s="4"/>
      <c r="OIA1534" s="6"/>
      <c r="OIB1534" s="4"/>
      <c r="OIC1534" s="6"/>
      <c r="OID1534" s="4"/>
      <c r="OIE1534" s="6"/>
      <c r="OIF1534" s="4"/>
      <c r="OIG1534" s="6"/>
      <c r="OIH1534" s="4"/>
      <c r="OII1534" s="6"/>
      <c r="OIJ1534" s="4"/>
      <c r="OIK1534" s="6"/>
      <c r="OIL1534" s="4"/>
      <c r="OIM1534" s="6"/>
      <c r="OIN1534" s="4"/>
      <c r="OIO1534" s="6"/>
      <c r="OIP1534" s="4"/>
      <c r="OIQ1534" s="6"/>
      <c r="OIR1534" s="4"/>
      <c r="OIS1534" s="6"/>
      <c r="OIT1534" s="4"/>
      <c r="OIU1534" s="6"/>
      <c r="OIV1534" s="4"/>
      <c r="OIW1534" s="6"/>
      <c r="OIX1534" s="4"/>
      <c r="OIY1534" s="6"/>
      <c r="OIZ1534" s="4"/>
      <c r="OJA1534" s="6"/>
      <c r="OJB1534" s="4"/>
      <c r="OJC1534" s="6"/>
      <c r="OJD1534" s="4"/>
      <c r="OJE1534" s="6"/>
      <c r="OJF1534" s="4"/>
      <c r="OJG1534" s="6"/>
      <c r="OJH1534" s="4"/>
      <c r="OJI1534" s="6"/>
      <c r="OJJ1534" s="4"/>
      <c r="OJK1534" s="6"/>
      <c r="OJL1534" s="4"/>
      <c r="OJM1534" s="6"/>
      <c r="OJN1534" s="4"/>
      <c r="OJO1534" s="6"/>
      <c r="OJP1534" s="4"/>
      <c r="OJQ1534" s="6"/>
      <c r="OJR1534" s="4"/>
      <c r="OJS1534" s="6"/>
      <c r="OJT1534" s="4"/>
      <c r="OJU1534" s="6"/>
      <c r="OJV1534" s="4"/>
      <c r="OJW1534" s="6"/>
      <c r="OJX1534" s="4"/>
      <c r="OJY1534" s="6"/>
      <c r="OJZ1534" s="4"/>
      <c r="OKA1534" s="6"/>
      <c r="OKB1534" s="4"/>
      <c r="OKC1534" s="6"/>
      <c r="OKD1534" s="4"/>
      <c r="OKE1534" s="6"/>
      <c r="OKF1534" s="4"/>
      <c r="OKG1534" s="6"/>
      <c r="OKH1534" s="4"/>
      <c r="OKI1534" s="6"/>
      <c r="OKJ1534" s="4"/>
      <c r="OKK1534" s="6"/>
      <c r="OKL1534" s="4"/>
      <c r="OKM1534" s="6"/>
      <c r="OKN1534" s="4"/>
      <c r="OKO1534" s="6"/>
      <c r="OKP1534" s="4"/>
      <c r="OKQ1534" s="6"/>
      <c r="OKR1534" s="4"/>
      <c r="OKS1534" s="6"/>
      <c r="OKT1534" s="4"/>
      <c r="OKU1534" s="6"/>
      <c r="OKV1534" s="4"/>
      <c r="OKW1534" s="6"/>
      <c r="OKX1534" s="4"/>
      <c r="OKY1534" s="6"/>
      <c r="OKZ1534" s="4"/>
      <c r="OLA1534" s="6"/>
      <c r="OLB1534" s="4"/>
      <c r="OLC1534" s="6"/>
      <c r="OLD1534" s="4"/>
      <c r="OLE1534" s="6"/>
      <c r="OLF1534" s="4"/>
      <c r="OLG1534" s="6"/>
      <c r="OLH1534" s="4"/>
      <c r="OLI1534" s="6"/>
      <c r="OLJ1534" s="4"/>
      <c r="OLK1534" s="6"/>
      <c r="OLL1534" s="4"/>
      <c r="OLM1534" s="6"/>
      <c r="OLN1534" s="4"/>
      <c r="OLO1534" s="6"/>
      <c r="OLP1534" s="4"/>
      <c r="OLQ1534" s="6"/>
      <c r="OLR1534" s="4"/>
      <c r="OLS1534" s="6"/>
      <c r="OLT1534" s="4"/>
      <c r="OLU1534" s="6"/>
      <c r="OLV1534" s="4"/>
      <c r="OLW1534" s="6"/>
      <c r="OLX1534" s="4"/>
      <c r="OLY1534" s="6"/>
      <c r="OLZ1534" s="4"/>
      <c r="OMA1534" s="6"/>
      <c r="OMB1534" s="4"/>
      <c r="OMC1534" s="6"/>
      <c r="OMD1534" s="4"/>
      <c r="OME1534" s="6"/>
      <c r="OMF1534" s="4"/>
      <c r="OMG1534" s="6"/>
      <c r="OMH1534" s="4"/>
      <c r="OMI1534" s="6"/>
      <c r="OMJ1534" s="4"/>
      <c r="OMK1534" s="6"/>
      <c r="OML1534" s="4"/>
      <c r="OMM1534" s="6"/>
      <c r="OMN1534" s="4"/>
      <c r="OMO1534" s="6"/>
      <c r="OMP1534" s="4"/>
      <c r="OMQ1534" s="6"/>
      <c r="OMR1534" s="4"/>
      <c r="OMS1534" s="6"/>
      <c r="OMT1534" s="4"/>
      <c r="OMU1534" s="6"/>
      <c r="OMV1534" s="4"/>
      <c r="OMW1534" s="6"/>
      <c r="OMX1534" s="4"/>
      <c r="OMY1534" s="6"/>
      <c r="OMZ1534" s="4"/>
      <c r="ONA1534" s="6"/>
      <c r="ONB1534" s="4"/>
      <c r="ONC1534" s="6"/>
      <c r="OND1534" s="4"/>
      <c r="ONE1534" s="6"/>
      <c r="ONF1534" s="4"/>
      <c r="ONG1534" s="6"/>
      <c r="ONH1534" s="4"/>
      <c r="ONI1534" s="6"/>
      <c r="ONJ1534" s="4"/>
      <c r="ONK1534" s="6"/>
      <c r="ONL1534" s="4"/>
      <c r="ONM1534" s="6"/>
      <c r="ONN1534" s="4"/>
      <c r="ONO1534" s="6"/>
      <c r="ONP1534" s="4"/>
      <c r="ONQ1534" s="6"/>
      <c r="ONR1534" s="4"/>
      <c r="ONS1534" s="6"/>
      <c r="ONT1534" s="4"/>
      <c r="ONU1534" s="6"/>
      <c r="ONV1534" s="4"/>
      <c r="ONW1534" s="6"/>
      <c r="ONX1534" s="4"/>
      <c r="ONY1534" s="6"/>
      <c r="ONZ1534" s="4"/>
      <c r="OOA1534" s="6"/>
      <c r="OOB1534" s="4"/>
      <c r="OOC1534" s="6"/>
      <c r="OOD1534" s="4"/>
      <c r="OOE1534" s="6"/>
      <c r="OOF1534" s="4"/>
      <c r="OOG1534" s="6"/>
      <c r="OOH1534" s="4"/>
      <c r="OOI1534" s="6"/>
      <c r="OOJ1534" s="4"/>
      <c r="OOK1534" s="6"/>
      <c r="OOL1534" s="4"/>
      <c r="OOM1534" s="6"/>
      <c r="OON1534" s="4"/>
      <c r="OOO1534" s="6"/>
      <c r="OOP1534" s="4"/>
      <c r="OOQ1534" s="6"/>
      <c r="OOR1534" s="4"/>
      <c r="OOS1534" s="6"/>
      <c r="OOT1534" s="4"/>
      <c r="OOU1534" s="6"/>
      <c r="OOV1534" s="4"/>
      <c r="OOW1534" s="6"/>
      <c r="OOX1534" s="4"/>
      <c r="OOY1534" s="6"/>
      <c r="OOZ1534" s="4"/>
      <c r="OPA1534" s="6"/>
      <c r="OPB1534" s="4"/>
      <c r="OPC1534" s="6"/>
      <c r="OPD1534" s="4"/>
      <c r="OPE1534" s="6"/>
      <c r="OPF1534" s="4"/>
      <c r="OPG1534" s="6"/>
      <c r="OPH1534" s="4"/>
      <c r="OPI1534" s="6"/>
      <c r="OPJ1534" s="4"/>
      <c r="OPK1534" s="6"/>
      <c r="OPL1534" s="4"/>
      <c r="OPM1534" s="6"/>
      <c r="OPN1534" s="4"/>
      <c r="OPO1534" s="6"/>
      <c r="OPP1534" s="4"/>
      <c r="OPQ1534" s="6"/>
      <c r="OPR1534" s="4"/>
      <c r="OPS1534" s="6"/>
      <c r="OPT1534" s="4"/>
      <c r="OPU1534" s="6"/>
      <c r="OPV1534" s="4"/>
      <c r="OPW1534" s="6"/>
      <c r="OPX1534" s="4"/>
      <c r="OPY1534" s="6"/>
      <c r="OPZ1534" s="4"/>
      <c r="OQA1534" s="6"/>
      <c r="OQB1534" s="4"/>
      <c r="OQC1534" s="6"/>
      <c r="OQD1534" s="4"/>
      <c r="OQE1534" s="6"/>
      <c r="OQF1534" s="4"/>
      <c r="OQG1534" s="6"/>
      <c r="OQH1534" s="4"/>
      <c r="OQI1534" s="6"/>
      <c r="OQJ1534" s="4"/>
      <c r="OQK1534" s="6"/>
      <c r="OQL1534" s="4"/>
      <c r="OQM1534" s="6"/>
      <c r="OQN1534" s="4"/>
      <c r="OQO1534" s="6"/>
      <c r="OQP1534" s="4"/>
      <c r="OQQ1534" s="6"/>
      <c r="OQR1534" s="4"/>
      <c r="OQS1534" s="6"/>
      <c r="OQT1534" s="4"/>
      <c r="OQU1534" s="6"/>
      <c r="OQV1534" s="4"/>
      <c r="OQW1534" s="6"/>
      <c r="OQX1534" s="4"/>
      <c r="OQY1534" s="6"/>
      <c r="OQZ1534" s="4"/>
      <c r="ORA1534" s="6"/>
      <c r="ORB1534" s="4"/>
      <c r="ORC1534" s="6"/>
      <c r="ORD1534" s="4"/>
      <c r="ORE1534" s="6"/>
      <c r="ORF1534" s="4"/>
      <c r="ORG1534" s="6"/>
      <c r="ORH1534" s="4"/>
      <c r="ORI1534" s="6"/>
      <c r="ORJ1534" s="4"/>
      <c r="ORK1534" s="6"/>
      <c r="ORL1534" s="4"/>
      <c r="ORM1534" s="6"/>
      <c r="ORN1534" s="4"/>
      <c r="ORO1534" s="6"/>
      <c r="ORP1534" s="4"/>
      <c r="ORQ1534" s="6"/>
      <c r="ORR1534" s="4"/>
      <c r="ORS1534" s="6"/>
      <c r="ORT1534" s="4"/>
      <c r="ORU1534" s="6"/>
      <c r="ORV1534" s="4"/>
      <c r="ORW1534" s="6"/>
      <c r="ORX1534" s="4"/>
      <c r="ORY1534" s="6"/>
      <c r="ORZ1534" s="4"/>
      <c r="OSA1534" s="6"/>
      <c r="OSB1534" s="4"/>
      <c r="OSC1534" s="6"/>
      <c r="OSD1534" s="4"/>
      <c r="OSE1534" s="6"/>
      <c r="OSF1534" s="4"/>
      <c r="OSG1534" s="6"/>
      <c r="OSH1534" s="4"/>
      <c r="OSI1534" s="6"/>
      <c r="OSJ1534" s="4"/>
      <c r="OSK1534" s="6"/>
      <c r="OSL1534" s="4"/>
      <c r="OSM1534" s="6"/>
      <c r="OSN1534" s="4"/>
      <c r="OSO1534" s="6"/>
      <c r="OSP1534" s="4"/>
      <c r="OSQ1534" s="6"/>
      <c r="OSR1534" s="4"/>
      <c r="OSS1534" s="6"/>
      <c r="OST1534" s="4"/>
      <c r="OSU1534" s="6"/>
      <c r="OSV1534" s="4"/>
      <c r="OSW1534" s="6"/>
      <c r="OSX1534" s="4"/>
      <c r="OSY1534" s="6"/>
      <c r="OSZ1534" s="4"/>
      <c r="OTA1534" s="6"/>
      <c r="OTB1534" s="4"/>
      <c r="OTC1534" s="6"/>
      <c r="OTD1534" s="4"/>
      <c r="OTE1534" s="6"/>
      <c r="OTF1534" s="4"/>
      <c r="OTG1534" s="6"/>
      <c r="OTH1534" s="4"/>
      <c r="OTI1534" s="6"/>
      <c r="OTJ1534" s="4"/>
      <c r="OTK1534" s="6"/>
      <c r="OTL1534" s="4"/>
      <c r="OTM1534" s="6"/>
      <c r="OTN1534" s="4"/>
      <c r="OTO1534" s="6"/>
      <c r="OTP1534" s="4"/>
      <c r="OTQ1534" s="6"/>
      <c r="OTR1534" s="4"/>
      <c r="OTS1534" s="6"/>
      <c r="OTT1534" s="4"/>
      <c r="OTU1534" s="6"/>
      <c r="OTV1534" s="4"/>
      <c r="OTW1534" s="6"/>
      <c r="OTX1534" s="4"/>
      <c r="OTY1534" s="6"/>
      <c r="OTZ1534" s="4"/>
      <c r="OUA1534" s="6"/>
      <c r="OUB1534" s="4"/>
      <c r="OUC1534" s="6"/>
      <c r="OUD1534" s="4"/>
      <c r="OUE1534" s="6"/>
      <c r="OUF1534" s="4"/>
      <c r="OUG1534" s="6"/>
      <c r="OUH1534" s="4"/>
      <c r="OUI1534" s="6"/>
      <c r="OUJ1534" s="4"/>
      <c r="OUK1534" s="6"/>
      <c r="OUL1534" s="4"/>
      <c r="OUM1534" s="6"/>
      <c r="OUN1534" s="4"/>
      <c r="OUO1534" s="6"/>
      <c r="OUP1534" s="4"/>
      <c r="OUQ1534" s="6"/>
      <c r="OUR1534" s="4"/>
      <c r="OUS1534" s="6"/>
      <c r="OUT1534" s="4"/>
      <c r="OUU1534" s="6"/>
      <c r="OUV1534" s="4"/>
      <c r="OUW1534" s="6"/>
      <c r="OUX1534" s="4"/>
      <c r="OUY1534" s="6"/>
      <c r="OUZ1534" s="4"/>
      <c r="OVA1534" s="6"/>
      <c r="OVB1534" s="4"/>
      <c r="OVC1534" s="6"/>
      <c r="OVD1534" s="4"/>
      <c r="OVE1534" s="6"/>
      <c r="OVF1534" s="4"/>
      <c r="OVG1534" s="6"/>
      <c r="OVH1534" s="4"/>
      <c r="OVI1534" s="6"/>
      <c r="OVJ1534" s="4"/>
      <c r="OVK1534" s="6"/>
      <c r="OVL1534" s="4"/>
      <c r="OVM1534" s="6"/>
      <c r="OVN1534" s="4"/>
      <c r="OVO1534" s="6"/>
      <c r="OVP1534" s="4"/>
      <c r="OVQ1534" s="6"/>
      <c r="OVR1534" s="4"/>
      <c r="OVS1534" s="6"/>
      <c r="OVT1534" s="4"/>
      <c r="OVU1534" s="6"/>
      <c r="OVV1534" s="4"/>
      <c r="OVW1534" s="6"/>
      <c r="OVX1534" s="4"/>
      <c r="OVY1534" s="6"/>
      <c r="OVZ1534" s="4"/>
      <c r="OWA1534" s="6"/>
      <c r="OWB1534" s="4"/>
      <c r="OWC1534" s="6"/>
      <c r="OWD1534" s="4"/>
      <c r="OWE1534" s="6"/>
      <c r="OWF1534" s="4"/>
      <c r="OWG1534" s="6"/>
      <c r="OWH1534" s="4"/>
      <c r="OWI1534" s="6"/>
      <c r="OWJ1534" s="4"/>
      <c r="OWK1534" s="6"/>
      <c r="OWL1534" s="4"/>
      <c r="OWM1534" s="6"/>
      <c r="OWN1534" s="4"/>
      <c r="OWO1534" s="6"/>
      <c r="OWP1534" s="4"/>
      <c r="OWQ1534" s="6"/>
      <c r="OWR1534" s="4"/>
      <c r="OWS1534" s="6"/>
      <c r="OWT1534" s="4"/>
      <c r="OWU1534" s="6"/>
      <c r="OWV1534" s="4"/>
      <c r="OWW1534" s="6"/>
      <c r="OWX1534" s="4"/>
      <c r="OWY1534" s="6"/>
      <c r="OWZ1534" s="4"/>
      <c r="OXA1534" s="6"/>
      <c r="OXB1534" s="4"/>
      <c r="OXC1534" s="6"/>
      <c r="OXD1534" s="4"/>
      <c r="OXE1534" s="6"/>
      <c r="OXF1534" s="4"/>
      <c r="OXG1534" s="6"/>
      <c r="OXH1534" s="4"/>
      <c r="OXI1534" s="6"/>
      <c r="OXJ1534" s="4"/>
      <c r="OXK1534" s="6"/>
      <c r="OXL1534" s="4"/>
      <c r="OXM1534" s="6"/>
      <c r="OXN1534" s="4"/>
      <c r="OXO1534" s="6"/>
      <c r="OXP1534" s="4"/>
      <c r="OXQ1534" s="6"/>
      <c r="OXR1534" s="4"/>
      <c r="OXS1534" s="6"/>
      <c r="OXT1534" s="4"/>
      <c r="OXU1534" s="6"/>
      <c r="OXV1534" s="4"/>
      <c r="OXW1534" s="6"/>
      <c r="OXX1534" s="4"/>
      <c r="OXY1534" s="6"/>
      <c r="OXZ1534" s="4"/>
      <c r="OYA1534" s="6"/>
      <c r="OYB1534" s="4"/>
      <c r="OYC1534" s="6"/>
      <c r="OYD1534" s="4"/>
      <c r="OYE1534" s="6"/>
      <c r="OYF1534" s="4"/>
      <c r="OYG1534" s="6"/>
      <c r="OYH1534" s="4"/>
      <c r="OYI1534" s="6"/>
      <c r="OYJ1534" s="4"/>
      <c r="OYK1534" s="6"/>
      <c r="OYL1534" s="4"/>
      <c r="OYM1534" s="6"/>
      <c r="OYN1534" s="4"/>
      <c r="OYO1534" s="6"/>
      <c r="OYP1534" s="4"/>
      <c r="OYQ1534" s="6"/>
      <c r="OYR1534" s="4"/>
      <c r="OYS1534" s="6"/>
      <c r="OYT1534" s="4"/>
      <c r="OYU1534" s="6"/>
      <c r="OYV1534" s="4"/>
      <c r="OYW1534" s="6"/>
      <c r="OYX1534" s="4"/>
      <c r="OYY1534" s="6"/>
      <c r="OYZ1534" s="4"/>
      <c r="OZA1534" s="6"/>
      <c r="OZB1534" s="4"/>
      <c r="OZC1534" s="6"/>
      <c r="OZD1534" s="4"/>
      <c r="OZE1534" s="6"/>
      <c r="OZF1534" s="4"/>
      <c r="OZG1534" s="6"/>
      <c r="OZH1534" s="4"/>
      <c r="OZI1534" s="6"/>
      <c r="OZJ1534" s="4"/>
      <c r="OZK1534" s="6"/>
      <c r="OZL1534" s="4"/>
      <c r="OZM1534" s="6"/>
      <c r="OZN1534" s="4"/>
      <c r="OZO1534" s="6"/>
      <c r="OZP1534" s="4"/>
      <c r="OZQ1534" s="6"/>
      <c r="OZR1534" s="4"/>
      <c r="OZS1534" s="6"/>
      <c r="OZT1534" s="4"/>
      <c r="OZU1534" s="6"/>
      <c r="OZV1534" s="4"/>
      <c r="OZW1534" s="6"/>
      <c r="OZX1534" s="4"/>
      <c r="OZY1534" s="6"/>
      <c r="OZZ1534" s="4"/>
      <c r="PAA1534" s="6"/>
      <c r="PAB1534" s="4"/>
      <c r="PAC1534" s="6"/>
      <c r="PAD1534" s="4"/>
      <c r="PAE1534" s="6"/>
      <c r="PAF1534" s="4"/>
      <c r="PAG1534" s="6"/>
      <c r="PAH1534" s="4"/>
      <c r="PAI1534" s="6"/>
      <c r="PAJ1534" s="4"/>
      <c r="PAK1534" s="6"/>
      <c r="PAL1534" s="4"/>
      <c r="PAM1534" s="6"/>
      <c r="PAN1534" s="4"/>
      <c r="PAO1534" s="6"/>
      <c r="PAP1534" s="4"/>
      <c r="PAQ1534" s="6"/>
      <c r="PAR1534" s="4"/>
      <c r="PAS1534" s="6"/>
      <c r="PAT1534" s="4"/>
      <c r="PAU1534" s="6"/>
      <c r="PAV1534" s="4"/>
      <c r="PAW1534" s="6"/>
      <c r="PAX1534" s="4"/>
      <c r="PAY1534" s="6"/>
      <c r="PAZ1534" s="4"/>
      <c r="PBA1534" s="6"/>
      <c r="PBB1534" s="4"/>
      <c r="PBC1534" s="6"/>
      <c r="PBD1534" s="4"/>
      <c r="PBE1534" s="6"/>
      <c r="PBF1534" s="4"/>
      <c r="PBG1534" s="6"/>
      <c r="PBH1534" s="4"/>
      <c r="PBI1534" s="6"/>
      <c r="PBJ1534" s="4"/>
      <c r="PBK1534" s="6"/>
      <c r="PBL1534" s="4"/>
      <c r="PBM1534" s="6"/>
      <c r="PBN1534" s="4"/>
      <c r="PBO1534" s="6"/>
      <c r="PBP1534" s="4"/>
      <c r="PBQ1534" s="6"/>
      <c r="PBR1534" s="4"/>
      <c r="PBS1534" s="6"/>
      <c r="PBT1534" s="4"/>
      <c r="PBU1534" s="6"/>
      <c r="PBV1534" s="4"/>
      <c r="PBW1534" s="6"/>
      <c r="PBX1534" s="4"/>
      <c r="PBY1534" s="6"/>
      <c r="PBZ1534" s="4"/>
      <c r="PCA1534" s="6"/>
      <c r="PCB1534" s="4"/>
      <c r="PCC1534" s="6"/>
      <c r="PCD1534" s="4"/>
      <c r="PCE1534" s="6"/>
      <c r="PCF1534" s="4"/>
      <c r="PCG1534" s="6"/>
      <c r="PCH1534" s="4"/>
      <c r="PCI1534" s="6"/>
      <c r="PCJ1534" s="4"/>
      <c r="PCK1534" s="6"/>
      <c r="PCL1534" s="4"/>
      <c r="PCM1534" s="6"/>
      <c r="PCN1534" s="4"/>
      <c r="PCO1534" s="6"/>
      <c r="PCP1534" s="4"/>
      <c r="PCQ1534" s="6"/>
      <c r="PCR1534" s="4"/>
      <c r="PCS1534" s="6"/>
      <c r="PCT1534" s="4"/>
      <c r="PCU1534" s="6"/>
      <c r="PCV1534" s="4"/>
      <c r="PCW1534" s="6"/>
      <c r="PCX1534" s="4"/>
      <c r="PCY1534" s="6"/>
      <c r="PCZ1534" s="4"/>
      <c r="PDA1534" s="6"/>
      <c r="PDB1534" s="4"/>
      <c r="PDC1534" s="6"/>
      <c r="PDD1534" s="4"/>
      <c r="PDE1534" s="6"/>
      <c r="PDF1534" s="4"/>
      <c r="PDG1534" s="6"/>
      <c r="PDH1534" s="4"/>
      <c r="PDI1534" s="6"/>
      <c r="PDJ1534" s="4"/>
      <c r="PDK1534" s="6"/>
      <c r="PDL1534" s="4"/>
      <c r="PDM1534" s="6"/>
      <c r="PDN1534" s="4"/>
      <c r="PDO1534" s="6"/>
      <c r="PDP1534" s="4"/>
      <c r="PDQ1534" s="6"/>
      <c r="PDR1534" s="4"/>
      <c r="PDS1534" s="6"/>
      <c r="PDT1534" s="4"/>
      <c r="PDU1534" s="6"/>
      <c r="PDV1534" s="4"/>
      <c r="PDW1534" s="6"/>
      <c r="PDX1534" s="4"/>
      <c r="PDY1534" s="6"/>
      <c r="PDZ1534" s="4"/>
      <c r="PEA1534" s="6"/>
      <c r="PEB1534" s="4"/>
      <c r="PEC1534" s="6"/>
      <c r="PED1534" s="4"/>
      <c r="PEE1534" s="6"/>
      <c r="PEF1534" s="4"/>
      <c r="PEG1534" s="6"/>
      <c r="PEH1534" s="4"/>
      <c r="PEI1534" s="6"/>
      <c r="PEJ1534" s="4"/>
      <c r="PEK1534" s="6"/>
      <c r="PEL1534" s="4"/>
      <c r="PEM1534" s="6"/>
      <c r="PEN1534" s="4"/>
      <c r="PEO1534" s="6"/>
      <c r="PEP1534" s="4"/>
      <c r="PEQ1534" s="6"/>
      <c r="PER1534" s="4"/>
      <c r="PES1534" s="6"/>
      <c r="PET1534" s="4"/>
      <c r="PEU1534" s="6"/>
      <c r="PEV1534" s="4"/>
      <c r="PEW1534" s="6"/>
      <c r="PEX1534" s="4"/>
      <c r="PEY1534" s="6"/>
      <c r="PEZ1534" s="4"/>
      <c r="PFA1534" s="6"/>
      <c r="PFB1534" s="4"/>
      <c r="PFC1534" s="6"/>
      <c r="PFD1534" s="4"/>
      <c r="PFE1534" s="6"/>
      <c r="PFF1534" s="4"/>
      <c r="PFG1534" s="6"/>
      <c r="PFH1534" s="4"/>
      <c r="PFI1534" s="6"/>
      <c r="PFJ1534" s="4"/>
      <c r="PFK1534" s="6"/>
      <c r="PFL1534" s="4"/>
      <c r="PFM1534" s="6"/>
      <c r="PFN1534" s="4"/>
      <c r="PFO1534" s="6"/>
      <c r="PFP1534" s="4"/>
      <c r="PFQ1534" s="6"/>
      <c r="PFR1534" s="4"/>
      <c r="PFS1534" s="6"/>
      <c r="PFT1534" s="4"/>
      <c r="PFU1534" s="6"/>
      <c r="PFV1534" s="4"/>
      <c r="PFW1534" s="6"/>
      <c r="PFX1534" s="4"/>
      <c r="PFY1534" s="6"/>
      <c r="PFZ1534" s="4"/>
      <c r="PGA1534" s="6"/>
      <c r="PGB1534" s="4"/>
      <c r="PGC1534" s="6"/>
      <c r="PGD1534" s="4"/>
      <c r="PGE1534" s="6"/>
      <c r="PGF1534" s="4"/>
      <c r="PGG1534" s="6"/>
      <c r="PGH1534" s="4"/>
      <c r="PGI1534" s="6"/>
      <c r="PGJ1534" s="4"/>
      <c r="PGK1534" s="6"/>
      <c r="PGL1534" s="4"/>
      <c r="PGM1534" s="6"/>
      <c r="PGN1534" s="4"/>
      <c r="PGO1534" s="6"/>
      <c r="PGP1534" s="4"/>
      <c r="PGQ1534" s="6"/>
      <c r="PGR1534" s="4"/>
      <c r="PGS1534" s="6"/>
      <c r="PGT1534" s="4"/>
      <c r="PGU1534" s="6"/>
      <c r="PGV1534" s="4"/>
      <c r="PGW1534" s="6"/>
      <c r="PGX1534" s="4"/>
      <c r="PGY1534" s="6"/>
      <c r="PGZ1534" s="4"/>
      <c r="PHA1534" s="6"/>
      <c r="PHB1534" s="4"/>
      <c r="PHC1534" s="6"/>
      <c r="PHD1534" s="4"/>
      <c r="PHE1534" s="6"/>
      <c r="PHF1534" s="4"/>
      <c r="PHG1534" s="6"/>
      <c r="PHH1534" s="4"/>
      <c r="PHI1534" s="6"/>
      <c r="PHJ1534" s="4"/>
      <c r="PHK1534" s="6"/>
      <c r="PHL1534" s="4"/>
      <c r="PHM1534" s="6"/>
      <c r="PHN1534" s="4"/>
      <c r="PHO1534" s="6"/>
      <c r="PHP1534" s="4"/>
      <c r="PHQ1534" s="6"/>
      <c r="PHR1534" s="4"/>
      <c r="PHS1534" s="6"/>
      <c r="PHT1534" s="4"/>
      <c r="PHU1534" s="6"/>
      <c r="PHV1534" s="4"/>
      <c r="PHW1534" s="6"/>
      <c r="PHX1534" s="4"/>
      <c r="PHY1534" s="6"/>
      <c r="PHZ1534" s="4"/>
      <c r="PIA1534" s="6"/>
      <c r="PIB1534" s="4"/>
      <c r="PIC1534" s="6"/>
      <c r="PID1534" s="4"/>
      <c r="PIE1534" s="6"/>
      <c r="PIF1534" s="4"/>
      <c r="PIG1534" s="6"/>
      <c r="PIH1534" s="4"/>
      <c r="PII1534" s="6"/>
      <c r="PIJ1534" s="4"/>
      <c r="PIK1534" s="6"/>
      <c r="PIL1534" s="4"/>
      <c r="PIM1534" s="6"/>
      <c r="PIN1534" s="4"/>
      <c r="PIO1534" s="6"/>
      <c r="PIP1534" s="4"/>
      <c r="PIQ1534" s="6"/>
      <c r="PIR1534" s="4"/>
      <c r="PIS1534" s="6"/>
      <c r="PIT1534" s="4"/>
      <c r="PIU1534" s="6"/>
      <c r="PIV1534" s="4"/>
      <c r="PIW1534" s="6"/>
      <c r="PIX1534" s="4"/>
      <c r="PIY1534" s="6"/>
      <c r="PIZ1534" s="4"/>
      <c r="PJA1534" s="6"/>
      <c r="PJB1534" s="4"/>
      <c r="PJC1534" s="6"/>
      <c r="PJD1534" s="4"/>
      <c r="PJE1534" s="6"/>
      <c r="PJF1534" s="4"/>
      <c r="PJG1534" s="6"/>
      <c r="PJH1534" s="4"/>
      <c r="PJI1534" s="6"/>
      <c r="PJJ1534" s="4"/>
      <c r="PJK1534" s="6"/>
      <c r="PJL1534" s="4"/>
      <c r="PJM1534" s="6"/>
      <c r="PJN1534" s="4"/>
      <c r="PJO1534" s="6"/>
      <c r="PJP1534" s="4"/>
      <c r="PJQ1534" s="6"/>
      <c r="PJR1534" s="4"/>
      <c r="PJS1534" s="6"/>
      <c r="PJT1534" s="4"/>
      <c r="PJU1534" s="6"/>
      <c r="PJV1534" s="4"/>
      <c r="PJW1534" s="6"/>
      <c r="PJX1534" s="4"/>
      <c r="PJY1534" s="6"/>
      <c r="PJZ1534" s="4"/>
      <c r="PKA1534" s="6"/>
      <c r="PKB1534" s="4"/>
      <c r="PKC1534" s="6"/>
      <c r="PKD1534" s="4"/>
      <c r="PKE1534" s="6"/>
      <c r="PKF1534" s="4"/>
      <c r="PKG1534" s="6"/>
      <c r="PKH1534" s="4"/>
      <c r="PKI1534" s="6"/>
      <c r="PKJ1534" s="4"/>
      <c r="PKK1534" s="6"/>
      <c r="PKL1534" s="4"/>
      <c r="PKM1534" s="6"/>
      <c r="PKN1534" s="4"/>
      <c r="PKO1534" s="6"/>
      <c r="PKP1534" s="4"/>
      <c r="PKQ1534" s="6"/>
      <c r="PKR1534" s="4"/>
      <c r="PKS1534" s="6"/>
      <c r="PKT1534" s="4"/>
      <c r="PKU1534" s="6"/>
      <c r="PKV1534" s="4"/>
      <c r="PKW1534" s="6"/>
      <c r="PKX1534" s="4"/>
      <c r="PKY1534" s="6"/>
      <c r="PKZ1534" s="4"/>
      <c r="PLA1534" s="6"/>
      <c r="PLB1534" s="4"/>
      <c r="PLC1534" s="6"/>
      <c r="PLD1534" s="4"/>
      <c r="PLE1534" s="6"/>
      <c r="PLF1534" s="4"/>
      <c r="PLG1534" s="6"/>
      <c r="PLH1534" s="4"/>
      <c r="PLI1534" s="6"/>
      <c r="PLJ1534" s="4"/>
      <c r="PLK1534" s="6"/>
      <c r="PLL1534" s="4"/>
      <c r="PLM1534" s="6"/>
      <c r="PLN1534" s="4"/>
      <c r="PLO1534" s="6"/>
      <c r="PLP1534" s="4"/>
      <c r="PLQ1534" s="6"/>
      <c r="PLR1534" s="4"/>
      <c r="PLS1534" s="6"/>
      <c r="PLT1534" s="4"/>
      <c r="PLU1534" s="6"/>
      <c r="PLV1534" s="4"/>
      <c r="PLW1534" s="6"/>
      <c r="PLX1534" s="4"/>
      <c r="PLY1534" s="6"/>
      <c r="PLZ1534" s="4"/>
      <c r="PMA1534" s="6"/>
      <c r="PMB1534" s="4"/>
      <c r="PMC1534" s="6"/>
      <c r="PMD1534" s="4"/>
      <c r="PME1534" s="6"/>
      <c r="PMF1534" s="4"/>
      <c r="PMG1534" s="6"/>
      <c r="PMH1534" s="4"/>
      <c r="PMI1534" s="6"/>
      <c r="PMJ1534" s="4"/>
      <c r="PMK1534" s="6"/>
      <c r="PML1534" s="4"/>
      <c r="PMM1534" s="6"/>
      <c r="PMN1534" s="4"/>
      <c r="PMO1534" s="6"/>
      <c r="PMP1534" s="4"/>
      <c r="PMQ1534" s="6"/>
      <c r="PMR1534" s="4"/>
      <c r="PMS1534" s="6"/>
      <c r="PMT1534" s="4"/>
      <c r="PMU1534" s="6"/>
      <c r="PMV1534" s="4"/>
      <c r="PMW1534" s="6"/>
      <c r="PMX1534" s="4"/>
      <c r="PMY1534" s="6"/>
      <c r="PMZ1534" s="4"/>
      <c r="PNA1534" s="6"/>
      <c r="PNB1534" s="4"/>
      <c r="PNC1534" s="6"/>
      <c r="PND1534" s="4"/>
      <c r="PNE1534" s="6"/>
      <c r="PNF1534" s="4"/>
      <c r="PNG1534" s="6"/>
      <c r="PNH1534" s="4"/>
      <c r="PNI1534" s="6"/>
      <c r="PNJ1534" s="4"/>
      <c r="PNK1534" s="6"/>
      <c r="PNL1534" s="4"/>
      <c r="PNM1534" s="6"/>
      <c r="PNN1534" s="4"/>
      <c r="PNO1534" s="6"/>
      <c r="PNP1534" s="4"/>
      <c r="PNQ1534" s="6"/>
      <c r="PNR1534" s="4"/>
      <c r="PNS1534" s="6"/>
      <c r="PNT1534" s="4"/>
      <c r="PNU1534" s="6"/>
      <c r="PNV1534" s="4"/>
      <c r="PNW1534" s="6"/>
      <c r="PNX1534" s="4"/>
      <c r="PNY1534" s="6"/>
      <c r="PNZ1534" s="4"/>
      <c r="POA1534" s="6"/>
      <c r="POB1534" s="4"/>
      <c r="POC1534" s="6"/>
      <c r="POD1534" s="4"/>
      <c r="POE1534" s="6"/>
      <c r="POF1534" s="4"/>
      <c r="POG1534" s="6"/>
      <c r="POH1534" s="4"/>
      <c r="POI1534" s="6"/>
      <c r="POJ1534" s="4"/>
      <c r="POK1534" s="6"/>
      <c r="POL1534" s="4"/>
      <c r="POM1534" s="6"/>
      <c r="PON1534" s="4"/>
      <c r="POO1534" s="6"/>
      <c r="POP1534" s="4"/>
      <c r="POQ1534" s="6"/>
      <c r="POR1534" s="4"/>
      <c r="POS1534" s="6"/>
      <c r="POT1534" s="4"/>
      <c r="POU1534" s="6"/>
      <c r="POV1534" s="4"/>
      <c r="POW1534" s="6"/>
      <c r="POX1534" s="4"/>
      <c r="POY1534" s="6"/>
      <c r="POZ1534" s="4"/>
      <c r="PPA1534" s="6"/>
      <c r="PPB1534" s="4"/>
      <c r="PPC1534" s="6"/>
      <c r="PPD1534" s="4"/>
      <c r="PPE1534" s="6"/>
      <c r="PPF1534" s="4"/>
      <c r="PPG1534" s="6"/>
      <c r="PPH1534" s="4"/>
      <c r="PPI1534" s="6"/>
      <c r="PPJ1534" s="4"/>
      <c r="PPK1534" s="6"/>
      <c r="PPL1534" s="4"/>
      <c r="PPM1534" s="6"/>
      <c r="PPN1534" s="4"/>
      <c r="PPO1534" s="6"/>
      <c r="PPP1534" s="4"/>
      <c r="PPQ1534" s="6"/>
      <c r="PPR1534" s="4"/>
      <c r="PPS1534" s="6"/>
      <c r="PPT1534" s="4"/>
      <c r="PPU1534" s="6"/>
      <c r="PPV1534" s="4"/>
      <c r="PPW1534" s="6"/>
      <c r="PPX1534" s="4"/>
      <c r="PPY1534" s="6"/>
      <c r="PPZ1534" s="4"/>
      <c r="PQA1534" s="6"/>
      <c r="PQB1534" s="4"/>
      <c r="PQC1534" s="6"/>
      <c r="PQD1534" s="4"/>
      <c r="PQE1534" s="6"/>
      <c r="PQF1534" s="4"/>
      <c r="PQG1534" s="6"/>
      <c r="PQH1534" s="4"/>
      <c r="PQI1534" s="6"/>
      <c r="PQJ1534" s="4"/>
      <c r="PQK1534" s="6"/>
      <c r="PQL1534" s="4"/>
      <c r="PQM1534" s="6"/>
      <c r="PQN1534" s="4"/>
      <c r="PQO1534" s="6"/>
      <c r="PQP1534" s="4"/>
      <c r="PQQ1534" s="6"/>
      <c r="PQR1534" s="4"/>
      <c r="PQS1534" s="6"/>
      <c r="PQT1534" s="4"/>
      <c r="PQU1534" s="6"/>
      <c r="PQV1534" s="4"/>
      <c r="PQW1534" s="6"/>
      <c r="PQX1534" s="4"/>
      <c r="PQY1534" s="6"/>
      <c r="PQZ1534" s="4"/>
      <c r="PRA1534" s="6"/>
      <c r="PRB1534" s="4"/>
      <c r="PRC1534" s="6"/>
      <c r="PRD1534" s="4"/>
      <c r="PRE1534" s="6"/>
      <c r="PRF1534" s="4"/>
      <c r="PRG1534" s="6"/>
      <c r="PRH1534" s="4"/>
      <c r="PRI1534" s="6"/>
      <c r="PRJ1534" s="4"/>
      <c r="PRK1534" s="6"/>
      <c r="PRL1534" s="4"/>
      <c r="PRM1534" s="6"/>
      <c r="PRN1534" s="4"/>
      <c r="PRO1534" s="6"/>
      <c r="PRP1534" s="4"/>
      <c r="PRQ1534" s="6"/>
      <c r="PRR1534" s="4"/>
      <c r="PRS1534" s="6"/>
      <c r="PRT1534" s="4"/>
      <c r="PRU1534" s="6"/>
      <c r="PRV1534" s="4"/>
      <c r="PRW1534" s="6"/>
      <c r="PRX1534" s="4"/>
      <c r="PRY1534" s="6"/>
      <c r="PRZ1534" s="4"/>
      <c r="PSA1534" s="6"/>
      <c r="PSB1534" s="4"/>
      <c r="PSC1534" s="6"/>
      <c r="PSD1534" s="4"/>
      <c r="PSE1534" s="6"/>
      <c r="PSF1534" s="4"/>
      <c r="PSG1534" s="6"/>
      <c r="PSH1534" s="4"/>
      <c r="PSI1534" s="6"/>
      <c r="PSJ1534" s="4"/>
      <c r="PSK1534" s="6"/>
      <c r="PSL1534" s="4"/>
      <c r="PSM1534" s="6"/>
      <c r="PSN1534" s="4"/>
      <c r="PSO1534" s="6"/>
      <c r="PSP1534" s="4"/>
      <c r="PSQ1534" s="6"/>
      <c r="PSR1534" s="4"/>
      <c r="PSS1534" s="6"/>
      <c r="PST1534" s="4"/>
      <c r="PSU1534" s="6"/>
      <c r="PSV1534" s="4"/>
      <c r="PSW1534" s="6"/>
      <c r="PSX1534" s="4"/>
      <c r="PSY1534" s="6"/>
      <c r="PSZ1534" s="4"/>
      <c r="PTA1534" s="6"/>
      <c r="PTB1534" s="4"/>
      <c r="PTC1534" s="6"/>
      <c r="PTD1534" s="4"/>
      <c r="PTE1534" s="6"/>
      <c r="PTF1534" s="4"/>
      <c r="PTG1534" s="6"/>
      <c r="PTH1534" s="4"/>
      <c r="PTI1534" s="6"/>
      <c r="PTJ1534" s="4"/>
      <c r="PTK1534" s="6"/>
      <c r="PTL1534" s="4"/>
      <c r="PTM1534" s="6"/>
      <c r="PTN1534" s="4"/>
      <c r="PTO1534" s="6"/>
      <c r="PTP1534" s="4"/>
      <c r="PTQ1534" s="6"/>
      <c r="PTR1534" s="4"/>
      <c r="PTS1534" s="6"/>
      <c r="PTT1534" s="4"/>
      <c r="PTU1534" s="6"/>
      <c r="PTV1534" s="4"/>
      <c r="PTW1534" s="6"/>
      <c r="PTX1534" s="4"/>
      <c r="PTY1534" s="6"/>
      <c r="PTZ1534" s="4"/>
      <c r="PUA1534" s="6"/>
      <c r="PUB1534" s="4"/>
      <c r="PUC1534" s="6"/>
      <c r="PUD1534" s="4"/>
      <c r="PUE1534" s="6"/>
      <c r="PUF1534" s="4"/>
      <c r="PUG1534" s="6"/>
      <c r="PUH1534" s="4"/>
      <c r="PUI1534" s="6"/>
      <c r="PUJ1534" s="4"/>
      <c r="PUK1534" s="6"/>
      <c r="PUL1534" s="4"/>
      <c r="PUM1534" s="6"/>
      <c r="PUN1534" s="4"/>
      <c r="PUO1534" s="6"/>
      <c r="PUP1534" s="4"/>
      <c r="PUQ1534" s="6"/>
      <c r="PUR1534" s="4"/>
      <c r="PUS1534" s="6"/>
      <c r="PUT1534" s="4"/>
      <c r="PUU1534" s="6"/>
      <c r="PUV1534" s="4"/>
      <c r="PUW1534" s="6"/>
      <c r="PUX1534" s="4"/>
      <c r="PUY1534" s="6"/>
      <c r="PUZ1534" s="4"/>
      <c r="PVA1534" s="6"/>
      <c r="PVB1534" s="4"/>
      <c r="PVC1534" s="6"/>
      <c r="PVD1534" s="4"/>
      <c r="PVE1534" s="6"/>
      <c r="PVF1534" s="4"/>
      <c r="PVG1534" s="6"/>
      <c r="PVH1534" s="4"/>
      <c r="PVI1534" s="6"/>
      <c r="PVJ1534" s="4"/>
      <c r="PVK1534" s="6"/>
      <c r="PVL1534" s="4"/>
      <c r="PVM1534" s="6"/>
      <c r="PVN1534" s="4"/>
      <c r="PVO1534" s="6"/>
      <c r="PVP1534" s="4"/>
      <c r="PVQ1534" s="6"/>
      <c r="PVR1534" s="4"/>
      <c r="PVS1534" s="6"/>
      <c r="PVT1534" s="4"/>
      <c r="PVU1534" s="6"/>
      <c r="PVV1534" s="4"/>
      <c r="PVW1534" s="6"/>
      <c r="PVX1534" s="4"/>
      <c r="PVY1534" s="6"/>
      <c r="PVZ1534" s="4"/>
      <c r="PWA1534" s="6"/>
      <c r="PWB1534" s="4"/>
      <c r="PWC1534" s="6"/>
      <c r="PWD1534" s="4"/>
      <c r="PWE1534" s="6"/>
      <c r="PWF1534" s="4"/>
      <c r="PWG1534" s="6"/>
      <c r="PWH1534" s="4"/>
      <c r="PWI1534" s="6"/>
      <c r="PWJ1534" s="4"/>
      <c r="PWK1534" s="6"/>
      <c r="PWL1534" s="4"/>
      <c r="PWM1534" s="6"/>
      <c r="PWN1534" s="4"/>
      <c r="PWO1534" s="6"/>
      <c r="PWP1534" s="4"/>
      <c r="PWQ1534" s="6"/>
      <c r="PWR1534" s="4"/>
      <c r="PWS1534" s="6"/>
      <c r="PWT1534" s="4"/>
      <c r="PWU1534" s="6"/>
      <c r="PWV1534" s="4"/>
      <c r="PWW1534" s="6"/>
      <c r="PWX1534" s="4"/>
      <c r="PWY1534" s="6"/>
      <c r="PWZ1534" s="4"/>
      <c r="PXA1534" s="6"/>
      <c r="PXB1534" s="4"/>
      <c r="PXC1534" s="6"/>
      <c r="PXD1534" s="4"/>
      <c r="PXE1534" s="6"/>
      <c r="PXF1534" s="4"/>
      <c r="PXG1534" s="6"/>
      <c r="PXH1534" s="4"/>
      <c r="PXI1534" s="6"/>
      <c r="PXJ1534" s="4"/>
      <c r="PXK1534" s="6"/>
      <c r="PXL1534" s="4"/>
      <c r="PXM1534" s="6"/>
      <c r="PXN1534" s="4"/>
      <c r="PXO1534" s="6"/>
      <c r="PXP1534" s="4"/>
      <c r="PXQ1534" s="6"/>
      <c r="PXR1534" s="4"/>
      <c r="PXS1534" s="6"/>
      <c r="PXT1534" s="4"/>
      <c r="PXU1534" s="6"/>
      <c r="PXV1534" s="4"/>
      <c r="PXW1534" s="6"/>
      <c r="PXX1534" s="4"/>
      <c r="PXY1534" s="6"/>
      <c r="PXZ1534" s="4"/>
      <c r="PYA1534" s="6"/>
      <c r="PYB1534" s="4"/>
      <c r="PYC1534" s="6"/>
      <c r="PYD1534" s="4"/>
      <c r="PYE1534" s="6"/>
      <c r="PYF1534" s="4"/>
      <c r="PYG1534" s="6"/>
      <c r="PYH1534" s="4"/>
      <c r="PYI1534" s="6"/>
      <c r="PYJ1534" s="4"/>
      <c r="PYK1534" s="6"/>
      <c r="PYL1534" s="4"/>
      <c r="PYM1534" s="6"/>
      <c r="PYN1534" s="4"/>
      <c r="PYO1534" s="6"/>
      <c r="PYP1534" s="4"/>
      <c r="PYQ1534" s="6"/>
      <c r="PYR1534" s="4"/>
      <c r="PYS1534" s="6"/>
      <c r="PYT1534" s="4"/>
      <c r="PYU1534" s="6"/>
      <c r="PYV1534" s="4"/>
      <c r="PYW1534" s="6"/>
      <c r="PYX1534" s="4"/>
      <c r="PYY1534" s="6"/>
      <c r="PYZ1534" s="4"/>
      <c r="PZA1534" s="6"/>
      <c r="PZB1534" s="4"/>
      <c r="PZC1534" s="6"/>
      <c r="PZD1534" s="4"/>
      <c r="PZE1534" s="6"/>
      <c r="PZF1534" s="4"/>
      <c r="PZG1534" s="6"/>
      <c r="PZH1534" s="4"/>
      <c r="PZI1534" s="6"/>
      <c r="PZJ1534" s="4"/>
      <c r="PZK1534" s="6"/>
      <c r="PZL1534" s="4"/>
      <c r="PZM1534" s="6"/>
      <c r="PZN1534" s="4"/>
      <c r="PZO1534" s="6"/>
      <c r="PZP1534" s="4"/>
      <c r="PZQ1534" s="6"/>
      <c r="PZR1534" s="4"/>
      <c r="PZS1534" s="6"/>
      <c r="PZT1534" s="4"/>
      <c r="PZU1534" s="6"/>
      <c r="PZV1534" s="4"/>
      <c r="PZW1534" s="6"/>
      <c r="PZX1534" s="4"/>
      <c r="PZY1534" s="6"/>
      <c r="PZZ1534" s="4"/>
      <c r="QAA1534" s="6"/>
      <c r="QAB1534" s="4"/>
      <c r="QAC1534" s="6"/>
      <c r="QAD1534" s="4"/>
      <c r="QAE1534" s="6"/>
      <c r="QAF1534" s="4"/>
      <c r="QAG1534" s="6"/>
      <c r="QAH1534" s="4"/>
      <c r="QAI1534" s="6"/>
      <c r="QAJ1534" s="4"/>
      <c r="QAK1534" s="6"/>
      <c r="QAL1534" s="4"/>
      <c r="QAM1534" s="6"/>
      <c r="QAN1534" s="4"/>
      <c r="QAO1534" s="6"/>
      <c r="QAP1534" s="4"/>
      <c r="QAQ1534" s="6"/>
      <c r="QAR1534" s="4"/>
      <c r="QAS1534" s="6"/>
      <c r="QAT1534" s="4"/>
      <c r="QAU1534" s="6"/>
      <c r="QAV1534" s="4"/>
      <c r="QAW1534" s="6"/>
      <c r="QAX1534" s="4"/>
      <c r="QAY1534" s="6"/>
      <c r="QAZ1534" s="4"/>
      <c r="QBA1534" s="6"/>
      <c r="QBB1534" s="4"/>
      <c r="QBC1534" s="6"/>
      <c r="QBD1534" s="4"/>
      <c r="QBE1534" s="6"/>
      <c r="QBF1534" s="4"/>
      <c r="QBG1534" s="6"/>
      <c r="QBH1534" s="4"/>
      <c r="QBI1534" s="6"/>
      <c r="QBJ1534" s="4"/>
      <c r="QBK1534" s="6"/>
      <c r="QBL1534" s="4"/>
      <c r="QBM1534" s="6"/>
      <c r="QBN1534" s="4"/>
      <c r="QBO1534" s="6"/>
      <c r="QBP1534" s="4"/>
      <c r="QBQ1534" s="6"/>
      <c r="QBR1534" s="4"/>
      <c r="QBS1534" s="6"/>
      <c r="QBT1534" s="4"/>
      <c r="QBU1534" s="6"/>
      <c r="QBV1534" s="4"/>
      <c r="QBW1534" s="6"/>
      <c r="QBX1534" s="4"/>
      <c r="QBY1534" s="6"/>
      <c r="QBZ1534" s="4"/>
      <c r="QCA1534" s="6"/>
      <c r="QCB1534" s="4"/>
      <c r="QCC1534" s="6"/>
      <c r="QCD1534" s="4"/>
      <c r="QCE1534" s="6"/>
      <c r="QCF1534" s="4"/>
      <c r="QCG1534" s="6"/>
      <c r="QCH1534" s="4"/>
      <c r="QCI1534" s="6"/>
      <c r="QCJ1534" s="4"/>
      <c r="QCK1534" s="6"/>
      <c r="QCL1534" s="4"/>
      <c r="QCM1534" s="6"/>
      <c r="QCN1534" s="4"/>
      <c r="QCO1534" s="6"/>
      <c r="QCP1534" s="4"/>
      <c r="QCQ1534" s="6"/>
      <c r="QCR1534" s="4"/>
      <c r="QCS1534" s="6"/>
      <c r="QCT1534" s="4"/>
      <c r="QCU1534" s="6"/>
      <c r="QCV1534" s="4"/>
      <c r="QCW1534" s="6"/>
      <c r="QCX1534" s="4"/>
      <c r="QCY1534" s="6"/>
      <c r="QCZ1534" s="4"/>
      <c r="QDA1534" s="6"/>
      <c r="QDB1534" s="4"/>
      <c r="QDC1534" s="6"/>
      <c r="QDD1534" s="4"/>
      <c r="QDE1534" s="6"/>
      <c r="QDF1534" s="4"/>
      <c r="QDG1534" s="6"/>
      <c r="QDH1534" s="4"/>
      <c r="QDI1534" s="6"/>
      <c r="QDJ1534" s="4"/>
      <c r="QDK1534" s="6"/>
      <c r="QDL1534" s="4"/>
      <c r="QDM1534" s="6"/>
      <c r="QDN1534" s="4"/>
      <c r="QDO1534" s="6"/>
      <c r="QDP1534" s="4"/>
      <c r="QDQ1534" s="6"/>
      <c r="QDR1534" s="4"/>
      <c r="QDS1534" s="6"/>
      <c r="QDT1534" s="4"/>
      <c r="QDU1534" s="6"/>
      <c r="QDV1534" s="4"/>
      <c r="QDW1534" s="6"/>
      <c r="QDX1534" s="4"/>
      <c r="QDY1534" s="6"/>
      <c r="QDZ1534" s="4"/>
      <c r="QEA1534" s="6"/>
      <c r="QEB1534" s="4"/>
      <c r="QEC1534" s="6"/>
      <c r="QED1534" s="4"/>
      <c r="QEE1534" s="6"/>
      <c r="QEF1534" s="4"/>
      <c r="QEG1534" s="6"/>
      <c r="QEH1534" s="4"/>
      <c r="QEI1534" s="6"/>
      <c r="QEJ1534" s="4"/>
      <c r="QEK1534" s="6"/>
      <c r="QEL1534" s="4"/>
      <c r="QEM1534" s="6"/>
      <c r="QEN1534" s="4"/>
      <c r="QEO1534" s="6"/>
      <c r="QEP1534" s="4"/>
      <c r="QEQ1534" s="6"/>
      <c r="QER1534" s="4"/>
      <c r="QES1534" s="6"/>
      <c r="QET1534" s="4"/>
      <c r="QEU1534" s="6"/>
      <c r="QEV1534" s="4"/>
      <c r="QEW1534" s="6"/>
      <c r="QEX1534" s="4"/>
      <c r="QEY1534" s="6"/>
      <c r="QEZ1534" s="4"/>
      <c r="QFA1534" s="6"/>
      <c r="QFB1534" s="4"/>
      <c r="QFC1534" s="6"/>
      <c r="QFD1534" s="4"/>
      <c r="QFE1534" s="6"/>
      <c r="QFF1534" s="4"/>
      <c r="QFG1534" s="6"/>
      <c r="QFH1534" s="4"/>
      <c r="QFI1534" s="6"/>
      <c r="QFJ1534" s="4"/>
      <c r="QFK1534" s="6"/>
      <c r="QFL1534" s="4"/>
      <c r="QFM1534" s="6"/>
      <c r="QFN1534" s="4"/>
      <c r="QFO1534" s="6"/>
      <c r="QFP1534" s="4"/>
      <c r="QFQ1534" s="6"/>
      <c r="QFR1534" s="4"/>
      <c r="QFS1534" s="6"/>
      <c r="QFT1534" s="4"/>
      <c r="QFU1534" s="6"/>
      <c r="QFV1534" s="4"/>
      <c r="QFW1534" s="6"/>
      <c r="QFX1534" s="4"/>
      <c r="QFY1534" s="6"/>
      <c r="QFZ1534" s="4"/>
      <c r="QGA1534" s="6"/>
      <c r="QGB1534" s="4"/>
      <c r="QGC1534" s="6"/>
      <c r="QGD1534" s="4"/>
      <c r="QGE1534" s="6"/>
      <c r="QGF1534" s="4"/>
      <c r="QGG1534" s="6"/>
      <c r="QGH1534" s="4"/>
      <c r="QGI1534" s="6"/>
      <c r="QGJ1534" s="4"/>
      <c r="QGK1534" s="6"/>
      <c r="QGL1534" s="4"/>
      <c r="QGM1534" s="6"/>
      <c r="QGN1534" s="4"/>
      <c r="QGO1534" s="6"/>
      <c r="QGP1534" s="4"/>
      <c r="QGQ1534" s="6"/>
      <c r="QGR1534" s="4"/>
      <c r="QGS1534" s="6"/>
      <c r="QGT1534" s="4"/>
      <c r="QGU1534" s="6"/>
      <c r="QGV1534" s="4"/>
      <c r="QGW1534" s="6"/>
      <c r="QGX1534" s="4"/>
      <c r="QGY1534" s="6"/>
      <c r="QGZ1534" s="4"/>
      <c r="QHA1534" s="6"/>
      <c r="QHB1534" s="4"/>
      <c r="QHC1534" s="6"/>
      <c r="QHD1534" s="4"/>
      <c r="QHE1534" s="6"/>
      <c r="QHF1534" s="4"/>
      <c r="QHG1534" s="6"/>
      <c r="QHH1534" s="4"/>
      <c r="QHI1534" s="6"/>
      <c r="QHJ1534" s="4"/>
      <c r="QHK1534" s="6"/>
      <c r="QHL1534" s="4"/>
      <c r="QHM1534" s="6"/>
      <c r="QHN1534" s="4"/>
      <c r="QHO1534" s="6"/>
      <c r="QHP1534" s="4"/>
      <c r="QHQ1534" s="6"/>
      <c r="QHR1534" s="4"/>
      <c r="QHS1534" s="6"/>
      <c r="QHT1534" s="4"/>
      <c r="QHU1534" s="6"/>
      <c r="QHV1534" s="4"/>
      <c r="QHW1534" s="6"/>
      <c r="QHX1534" s="4"/>
      <c r="QHY1534" s="6"/>
      <c r="QHZ1534" s="4"/>
      <c r="QIA1534" s="6"/>
      <c r="QIB1534" s="4"/>
      <c r="QIC1534" s="6"/>
      <c r="QID1534" s="4"/>
      <c r="QIE1534" s="6"/>
      <c r="QIF1534" s="4"/>
      <c r="QIG1534" s="6"/>
      <c r="QIH1534" s="4"/>
      <c r="QII1534" s="6"/>
      <c r="QIJ1534" s="4"/>
      <c r="QIK1534" s="6"/>
      <c r="QIL1534" s="4"/>
      <c r="QIM1534" s="6"/>
      <c r="QIN1534" s="4"/>
      <c r="QIO1534" s="6"/>
      <c r="QIP1534" s="4"/>
      <c r="QIQ1534" s="6"/>
      <c r="QIR1534" s="4"/>
      <c r="QIS1534" s="6"/>
      <c r="QIT1534" s="4"/>
      <c r="QIU1534" s="6"/>
      <c r="QIV1534" s="4"/>
      <c r="QIW1534" s="6"/>
      <c r="QIX1534" s="4"/>
      <c r="QIY1534" s="6"/>
      <c r="QIZ1534" s="4"/>
      <c r="QJA1534" s="6"/>
      <c r="QJB1534" s="4"/>
      <c r="QJC1534" s="6"/>
      <c r="QJD1534" s="4"/>
      <c r="QJE1534" s="6"/>
      <c r="QJF1534" s="4"/>
      <c r="QJG1534" s="6"/>
      <c r="QJH1534" s="4"/>
      <c r="QJI1534" s="6"/>
      <c r="QJJ1534" s="4"/>
      <c r="QJK1534" s="6"/>
      <c r="QJL1534" s="4"/>
      <c r="QJM1534" s="6"/>
      <c r="QJN1534" s="4"/>
      <c r="QJO1534" s="6"/>
      <c r="QJP1534" s="4"/>
      <c r="QJQ1534" s="6"/>
      <c r="QJR1534" s="4"/>
      <c r="QJS1534" s="6"/>
      <c r="QJT1534" s="4"/>
      <c r="QJU1534" s="6"/>
      <c r="QJV1534" s="4"/>
      <c r="QJW1534" s="6"/>
      <c r="QJX1534" s="4"/>
      <c r="QJY1534" s="6"/>
      <c r="QJZ1534" s="4"/>
      <c r="QKA1534" s="6"/>
      <c r="QKB1534" s="4"/>
      <c r="QKC1534" s="6"/>
      <c r="QKD1534" s="4"/>
      <c r="QKE1534" s="6"/>
      <c r="QKF1534" s="4"/>
      <c r="QKG1534" s="6"/>
      <c r="QKH1534" s="4"/>
      <c r="QKI1534" s="6"/>
      <c r="QKJ1534" s="4"/>
      <c r="QKK1534" s="6"/>
      <c r="QKL1534" s="4"/>
      <c r="QKM1534" s="6"/>
      <c r="QKN1534" s="4"/>
      <c r="QKO1534" s="6"/>
      <c r="QKP1534" s="4"/>
      <c r="QKQ1534" s="6"/>
      <c r="QKR1534" s="4"/>
      <c r="QKS1534" s="6"/>
      <c r="QKT1534" s="4"/>
      <c r="QKU1534" s="6"/>
      <c r="QKV1534" s="4"/>
      <c r="QKW1534" s="6"/>
      <c r="QKX1534" s="4"/>
      <c r="QKY1534" s="6"/>
      <c r="QKZ1534" s="4"/>
      <c r="QLA1534" s="6"/>
      <c r="QLB1534" s="4"/>
      <c r="QLC1534" s="6"/>
      <c r="QLD1534" s="4"/>
      <c r="QLE1534" s="6"/>
      <c r="QLF1534" s="4"/>
      <c r="QLG1534" s="6"/>
      <c r="QLH1534" s="4"/>
      <c r="QLI1534" s="6"/>
      <c r="QLJ1534" s="4"/>
      <c r="QLK1534" s="6"/>
      <c r="QLL1534" s="4"/>
      <c r="QLM1534" s="6"/>
      <c r="QLN1534" s="4"/>
      <c r="QLO1534" s="6"/>
      <c r="QLP1534" s="4"/>
      <c r="QLQ1534" s="6"/>
      <c r="QLR1534" s="4"/>
      <c r="QLS1534" s="6"/>
      <c r="QLT1534" s="4"/>
      <c r="QLU1534" s="6"/>
      <c r="QLV1534" s="4"/>
      <c r="QLW1534" s="6"/>
      <c r="QLX1534" s="4"/>
      <c r="QLY1534" s="6"/>
      <c r="QLZ1534" s="4"/>
      <c r="QMA1534" s="6"/>
      <c r="QMB1534" s="4"/>
      <c r="QMC1534" s="6"/>
      <c r="QMD1534" s="4"/>
      <c r="QME1534" s="6"/>
      <c r="QMF1534" s="4"/>
      <c r="QMG1534" s="6"/>
      <c r="QMH1534" s="4"/>
      <c r="QMI1534" s="6"/>
      <c r="QMJ1534" s="4"/>
      <c r="QMK1534" s="6"/>
      <c r="QML1534" s="4"/>
      <c r="QMM1534" s="6"/>
      <c r="QMN1534" s="4"/>
      <c r="QMO1534" s="6"/>
      <c r="QMP1534" s="4"/>
      <c r="QMQ1534" s="6"/>
      <c r="QMR1534" s="4"/>
      <c r="QMS1534" s="6"/>
      <c r="QMT1534" s="4"/>
      <c r="QMU1534" s="6"/>
      <c r="QMV1534" s="4"/>
      <c r="QMW1534" s="6"/>
      <c r="QMX1534" s="4"/>
      <c r="QMY1534" s="6"/>
      <c r="QMZ1534" s="4"/>
      <c r="QNA1534" s="6"/>
      <c r="QNB1534" s="4"/>
      <c r="QNC1534" s="6"/>
      <c r="QND1534" s="4"/>
      <c r="QNE1534" s="6"/>
      <c r="QNF1534" s="4"/>
      <c r="QNG1534" s="6"/>
      <c r="QNH1534" s="4"/>
      <c r="QNI1534" s="6"/>
      <c r="QNJ1534" s="4"/>
      <c r="QNK1534" s="6"/>
      <c r="QNL1534" s="4"/>
      <c r="QNM1534" s="6"/>
      <c r="QNN1534" s="4"/>
      <c r="QNO1534" s="6"/>
      <c r="QNP1534" s="4"/>
      <c r="QNQ1534" s="6"/>
      <c r="QNR1534" s="4"/>
      <c r="QNS1534" s="6"/>
      <c r="QNT1534" s="4"/>
      <c r="QNU1534" s="6"/>
      <c r="QNV1534" s="4"/>
      <c r="QNW1534" s="6"/>
      <c r="QNX1534" s="4"/>
      <c r="QNY1534" s="6"/>
      <c r="QNZ1534" s="4"/>
      <c r="QOA1534" s="6"/>
      <c r="QOB1534" s="4"/>
      <c r="QOC1534" s="6"/>
      <c r="QOD1534" s="4"/>
      <c r="QOE1534" s="6"/>
      <c r="QOF1534" s="4"/>
      <c r="QOG1534" s="6"/>
      <c r="QOH1534" s="4"/>
      <c r="QOI1534" s="6"/>
      <c r="QOJ1534" s="4"/>
      <c r="QOK1534" s="6"/>
      <c r="QOL1534" s="4"/>
      <c r="QOM1534" s="6"/>
      <c r="QON1534" s="4"/>
      <c r="QOO1534" s="6"/>
      <c r="QOP1534" s="4"/>
      <c r="QOQ1534" s="6"/>
      <c r="QOR1534" s="4"/>
      <c r="QOS1534" s="6"/>
      <c r="QOT1534" s="4"/>
      <c r="QOU1534" s="6"/>
      <c r="QOV1534" s="4"/>
      <c r="QOW1534" s="6"/>
      <c r="QOX1534" s="4"/>
      <c r="QOY1534" s="6"/>
      <c r="QOZ1534" s="4"/>
      <c r="QPA1534" s="6"/>
      <c r="QPB1534" s="4"/>
      <c r="QPC1534" s="6"/>
      <c r="QPD1534" s="4"/>
      <c r="QPE1534" s="6"/>
      <c r="QPF1534" s="4"/>
      <c r="QPG1534" s="6"/>
      <c r="QPH1534" s="4"/>
      <c r="QPI1534" s="6"/>
      <c r="QPJ1534" s="4"/>
      <c r="QPK1534" s="6"/>
      <c r="QPL1534" s="4"/>
      <c r="QPM1534" s="6"/>
      <c r="QPN1534" s="4"/>
      <c r="QPO1534" s="6"/>
      <c r="QPP1534" s="4"/>
      <c r="QPQ1534" s="6"/>
      <c r="QPR1534" s="4"/>
      <c r="QPS1534" s="6"/>
      <c r="QPT1534" s="4"/>
      <c r="QPU1534" s="6"/>
      <c r="QPV1534" s="4"/>
      <c r="QPW1534" s="6"/>
      <c r="QPX1534" s="4"/>
      <c r="QPY1534" s="6"/>
      <c r="QPZ1534" s="4"/>
      <c r="QQA1534" s="6"/>
      <c r="QQB1534" s="4"/>
      <c r="QQC1534" s="6"/>
      <c r="QQD1534" s="4"/>
      <c r="QQE1534" s="6"/>
      <c r="QQF1534" s="4"/>
      <c r="QQG1534" s="6"/>
      <c r="QQH1534" s="4"/>
      <c r="QQI1534" s="6"/>
      <c r="QQJ1534" s="4"/>
      <c r="QQK1534" s="6"/>
      <c r="QQL1534" s="4"/>
      <c r="QQM1534" s="6"/>
      <c r="QQN1534" s="4"/>
      <c r="QQO1534" s="6"/>
      <c r="QQP1534" s="4"/>
      <c r="QQQ1534" s="6"/>
      <c r="QQR1534" s="4"/>
      <c r="QQS1534" s="6"/>
      <c r="QQT1534" s="4"/>
      <c r="QQU1534" s="6"/>
      <c r="QQV1534" s="4"/>
      <c r="QQW1534" s="6"/>
      <c r="QQX1534" s="4"/>
      <c r="QQY1534" s="6"/>
      <c r="QQZ1534" s="4"/>
      <c r="QRA1534" s="6"/>
      <c r="QRB1534" s="4"/>
      <c r="QRC1534" s="6"/>
      <c r="QRD1534" s="4"/>
      <c r="QRE1534" s="6"/>
      <c r="QRF1534" s="4"/>
      <c r="QRG1534" s="6"/>
      <c r="QRH1534" s="4"/>
      <c r="QRI1534" s="6"/>
      <c r="QRJ1534" s="4"/>
      <c r="QRK1534" s="6"/>
      <c r="QRL1534" s="4"/>
      <c r="QRM1534" s="6"/>
      <c r="QRN1534" s="4"/>
      <c r="QRO1534" s="6"/>
      <c r="QRP1534" s="4"/>
      <c r="QRQ1534" s="6"/>
      <c r="QRR1534" s="4"/>
      <c r="QRS1534" s="6"/>
      <c r="QRT1534" s="4"/>
      <c r="QRU1534" s="6"/>
      <c r="QRV1534" s="4"/>
      <c r="QRW1534" s="6"/>
      <c r="QRX1534" s="4"/>
      <c r="QRY1534" s="6"/>
      <c r="QRZ1534" s="4"/>
      <c r="QSA1534" s="6"/>
      <c r="QSB1534" s="4"/>
      <c r="QSC1534" s="6"/>
      <c r="QSD1534" s="4"/>
      <c r="QSE1534" s="6"/>
      <c r="QSF1534" s="4"/>
      <c r="QSG1534" s="6"/>
      <c r="QSH1534" s="4"/>
      <c r="QSI1534" s="6"/>
      <c r="QSJ1534" s="4"/>
      <c r="QSK1534" s="6"/>
      <c r="QSL1534" s="4"/>
      <c r="QSM1534" s="6"/>
      <c r="QSN1534" s="4"/>
      <c r="QSO1534" s="6"/>
      <c r="QSP1534" s="4"/>
      <c r="QSQ1534" s="6"/>
      <c r="QSR1534" s="4"/>
      <c r="QSS1534" s="6"/>
      <c r="QST1534" s="4"/>
      <c r="QSU1534" s="6"/>
      <c r="QSV1534" s="4"/>
      <c r="QSW1534" s="6"/>
      <c r="QSX1534" s="4"/>
      <c r="QSY1534" s="6"/>
      <c r="QSZ1534" s="4"/>
      <c r="QTA1534" s="6"/>
      <c r="QTB1534" s="4"/>
      <c r="QTC1534" s="6"/>
      <c r="QTD1534" s="4"/>
      <c r="QTE1534" s="6"/>
      <c r="QTF1534" s="4"/>
      <c r="QTG1534" s="6"/>
      <c r="QTH1534" s="4"/>
      <c r="QTI1534" s="6"/>
      <c r="QTJ1534" s="4"/>
      <c r="QTK1534" s="6"/>
      <c r="QTL1534" s="4"/>
      <c r="QTM1534" s="6"/>
      <c r="QTN1534" s="4"/>
      <c r="QTO1534" s="6"/>
      <c r="QTP1534" s="4"/>
      <c r="QTQ1534" s="6"/>
      <c r="QTR1534" s="4"/>
      <c r="QTS1534" s="6"/>
      <c r="QTT1534" s="4"/>
      <c r="QTU1534" s="6"/>
      <c r="QTV1534" s="4"/>
      <c r="QTW1534" s="6"/>
      <c r="QTX1534" s="4"/>
      <c r="QTY1534" s="6"/>
      <c r="QTZ1534" s="4"/>
      <c r="QUA1534" s="6"/>
      <c r="QUB1534" s="4"/>
      <c r="QUC1534" s="6"/>
      <c r="QUD1534" s="4"/>
      <c r="QUE1534" s="6"/>
      <c r="QUF1534" s="4"/>
      <c r="QUG1534" s="6"/>
      <c r="QUH1534" s="4"/>
      <c r="QUI1534" s="6"/>
      <c r="QUJ1534" s="4"/>
      <c r="QUK1534" s="6"/>
      <c r="QUL1534" s="4"/>
      <c r="QUM1534" s="6"/>
      <c r="QUN1534" s="4"/>
      <c r="QUO1534" s="6"/>
      <c r="QUP1534" s="4"/>
      <c r="QUQ1534" s="6"/>
      <c r="QUR1534" s="4"/>
      <c r="QUS1534" s="6"/>
      <c r="QUT1534" s="4"/>
      <c r="QUU1534" s="6"/>
      <c r="QUV1534" s="4"/>
      <c r="QUW1534" s="6"/>
      <c r="QUX1534" s="4"/>
      <c r="QUY1534" s="6"/>
      <c r="QUZ1534" s="4"/>
      <c r="QVA1534" s="6"/>
      <c r="QVB1534" s="4"/>
      <c r="QVC1534" s="6"/>
      <c r="QVD1534" s="4"/>
      <c r="QVE1534" s="6"/>
      <c r="QVF1534" s="4"/>
      <c r="QVG1534" s="6"/>
      <c r="QVH1534" s="4"/>
      <c r="QVI1534" s="6"/>
      <c r="QVJ1534" s="4"/>
      <c r="QVK1534" s="6"/>
      <c r="QVL1534" s="4"/>
      <c r="QVM1534" s="6"/>
      <c r="QVN1534" s="4"/>
      <c r="QVO1534" s="6"/>
      <c r="QVP1534" s="4"/>
      <c r="QVQ1534" s="6"/>
      <c r="QVR1534" s="4"/>
      <c r="QVS1534" s="6"/>
      <c r="QVT1534" s="4"/>
      <c r="QVU1534" s="6"/>
      <c r="QVV1534" s="4"/>
      <c r="QVW1534" s="6"/>
      <c r="QVX1534" s="4"/>
      <c r="QVY1534" s="6"/>
      <c r="QVZ1534" s="4"/>
      <c r="QWA1534" s="6"/>
      <c r="QWB1534" s="4"/>
      <c r="QWC1534" s="6"/>
      <c r="QWD1534" s="4"/>
      <c r="QWE1534" s="6"/>
      <c r="QWF1534" s="4"/>
      <c r="QWG1534" s="6"/>
      <c r="QWH1534" s="4"/>
      <c r="QWI1534" s="6"/>
      <c r="QWJ1534" s="4"/>
      <c r="QWK1534" s="6"/>
      <c r="QWL1534" s="4"/>
      <c r="QWM1534" s="6"/>
      <c r="QWN1534" s="4"/>
      <c r="QWO1534" s="6"/>
      <c r="QWP1534" s="4"/>
      <c r="QWQ1534" s="6"/>
      <c r="QWR1534" s="4"/>
      <c r="QWS1534" s="6"/>
      <c r="QWT1534" s="4"/>
      <c r="QWU1534" s="6"/>
      <c r="QWV1534" s="4"/>
      <c r="QWW1534" s="6"/>
      <c r="QWX1534" s="4"/>
      <c r="QWY1534" s="6"/>
      <c r="QWZ1534" s="4"/>
      <c r="QXA1534" s="6"/>
      <c r="QXB1534" s="4"/>
      <c r="QXC1534" s="6"/>
      <c r="QXD1534" s="4"/>
      <c r="QXE1534" s="6"/>
      <c r="QXF1534" s="4"/>
      <c r="QXG1534" s="6"/>
      <c r="QXH1534" s="4"/>
      <c r="QXI1534" s="6"/>
      <c r="QXJ1534" s="4"/>
      <c r="QXK1534" s="6"/>
      <c r="QXL1534" s="4"/>
      <c r="QXM1534" s="6"/>
      <c r="QXN1534" s="4"/>
      <c r="QXO1534" s="6"/>
      <c r="QXP1534" s="4"/>
      <c r="QXQ1534" s="6"/>
      <c r="QXR1534" s="4"/>
      <c r="QXS1534" s="6"/>
      <c r="QXT1534" s="4"/>
      <c r="QXU1534" s="6"/>
      <c r="QXV1534" s="4"/>
      <c r="QXW1534" s="6"/>
      <c r="QXX1534" s="4"/>
      <c r="QXY1534" s="6"/>
      <c r="QXZ1534" s="4"/>
      <c r="QYA1534" s="6"/>
      <c r="QYB1534" s="4"/>
      <c r="QYC1534" s="6"/>
      <c r="QYD1534" s="4"/>
      <c r="QYE1534" s="6"/>
      <c r="QYF1534" s="4"/>
      <c r="QYG1534" s="6"/>
      <c r="QYH1534" s="4"/>
      <c r="QYI1534" s="6"/>
      <c r="QYJ1534" s="4"/>
      <c r="QYK1534" s="6"/>
      <c r="QYL1534" s="4"/>
      <c r="QYM1534" s="6"/>
      <c r="QYN1534" s="4"/>
      <c r="QYO1534" s="6"/>
      <c r="QYP1534" s="4"/>
      <c r="QYQ1534" s="6"/>
      <c r="QYR1534" s="4"/>
      <c r="QYS1534" s="6"/>
      <c r="QYT1534" s="4"/>
      <c r="QYU1534" s="6"/>
      <c r="QYV1534" s="4"/>
      <c r="QYW1534" s="6"/>
      <c r="QYX1534" s="4"/>
      <c r="QYY1534" s="6"/>
      <c r="QYZ1534" s="4"/>
      <c r="QZA1534" s="6"/>
      <c r="QZB1534" s="4"/>
      <c r="QZC1534" s="6"/>
      <c r="QZD1534" s="4"/>
      <c r="QZE1534" s="6"/>
      <c r="QZF1534" s="4"/>
      <c r="QZG1534" s="6"/>
      <c r="QZH1534" s="4"/>
      <c r="QZI1534" s="6"/>
      <c r="QZJ1534" s="4"/>
      <c r="QZK1534" s="6"/>
      <c r="QZL1534" s="4"/>
      <c r="QZM1534" s="6"/>
      <c r="QZN1534" s="4"/>
      <c r="QZO1534" s="6"/>
      <c r="QZP1534" s="4"/>
      <c r="QZQ1534" s="6"/>
      <c r="QZR1534" s="4"/>
      <c r="QZS1534" s="6"/>
      <c r="QZT1534" s="4"/>
      <c r="QZU1534" s="6"/>
      <c r="QZV1534" s="4"/>
      <c r="QZW1534" s="6"/>
      <c r="QZX1534" s="4"/>
      <c r="QZY1534" s="6"/>
      <c r="QZZ1534" s="4"/>
      <c r="RAA1534" s="6"/>
      <c r="RAB1534" s="4"/>
      <c r="RAC1534" s="6"/>
      <c r="RAD1534" s="4"/>
      <c r="RAE1534" s="6"/>
      <c r="RAF1534" s="4"/>
      <c r="RAG1534" s="6"/>
      <c r="RAH1534" s="4"/>
      <c r="RAI1534" s="6"/>
      <c r="RAJ1534" s="4"/>
      <c r="RAK1534" s="6"/>
      <c r="RAL1534" s="4"/>
      <c r="RAM1534" s="6"/>
      <c r="RAN1534" s="4"/>
      <c r="RAO1534" s="6"/>
      <c r="RAP1534" s="4"/>
      <c r="RAQ1534" s="6"/>
      <c r="RAR1534" s="4"/>
      <c r="RAS1534" s="6"/>
      <c r="RAT1534" s="4"/>
      <c r="RAU1534" s="6"/>
      <c r="RAV1534" s="4"/>
      <c r="RAW1534" s="6"/>
      <c r="RAX1534" s="4"/>
      <c r="RAY1534" s="6"/>
      <c r="RAZ1534" s="4"/>
      <c r="RBA1534" s="6"/>
      <c r="RBB1534" s="4"/>
      <c r="RBC1534" s="6"/>
      <c r="RBD1534" s="4"/>
      <c r="RBE1534" s="6"/>
      <c r="RBF1534" s="4"/>
      <c r="RBG1534" s="6"/>
      <c r="RBH1534" s="4"/>
      <c r="RBI1534" s="6"/>
      <c r="RBJ1534" s="4"/>
      <c r="RBK1534" s="6"/>
      <c r="RBL1534" s="4"/>
      <c r="RBM1534" s="6"/>
      <c r="RBN1534" s="4"/>
      <c r="RBO1534" s="6"/>
      <c r="RBP1534" s="4"/>
      <c r="RBQ1534" s="6"/>
      <c r="RBR1534" s="4"/>
      <c r="RBS1534" s="6"/>
      <c r="RBT1534" s="4"/>
      <c r="RBU1534" s="6"/>
      <c r="RBV1534" s="4"/>
      <c r="RBW1534" s="6"/>
      <c r="RBX1534" s="4"/>
      <c r="RBY1534" s="6"/>
      <c r="RBZ1534" s="4"/>
      <c r="RCA1534" s="6"/>
      <c r="RCB1534" s="4"/>
      <c r="RCC1534" s="6"/>
      <c r="RCD1534" s="4"/>
      <c r="RCE1534" s="6"/>
      <c r="RCF1534" s="4"/>
      <c r="RCG1534" s="6"/>
      <c r="RCH1534" s="4"/>
      <c r="RCI1534" s="6"/>
      <c r="RCJ1534" s="4"/>
      <c r="RCK1534" s="6"/>
      <c r="RCL1534" s="4"/>
      <c r="RCM1534" s="6"/>
      <c r="RCN1534" s="4"/>
      <c r="RCO1534" s="6"/>
      <c r="RCP1534" s="4"/>
      <c r="RCQ1534" s="6"/>
      <c r="RCR1534" s="4"/>
      <c r="RCS1534" s="6"/>
      <c r="RCT1534" s="4"/>
      <c r="RCU1534" s="6"/>
      <c r="RCV1534" s="4"/>
      <c r="RCW1534" s="6"/>
      <c r="RCX1534" s="4"/>
      <c r="RCY1534" s="6"/>
      <c r="RCZ1534" s="4"/>
      <c r="RDA1534" s="6"/>
      <c r="RDB1534" s="4"/>
      <c r="RDC1534" s="6"/>
      <c r="RDD1534" s="4"/>
      <c r="RDE1534" s="6"/>
      <c r="RDF1534" s="4"/>
      <c r="RDG1534" s="6"/>
      <c r="RDH1534" s="4"/>
      <c r="RDI1534" s="6"/>
      <c r="RDJ1534" s="4"/>
      <c r="RDK1534" s="6"/>
      <c r="RDL1534" s="4"/>
      <c r="RDM1534" s="6"/>
      <c r="RDN1534" s="4"/>
      <c r="RDO1534" s="6"/>
      <c r="RDP1534" s="4"/>
      <c r="RDQ1534" s="6"/>
      <c r="RDR1534" s="4"/>
      <c r="RDS1534" s="6"/>
      <c r="RDT1534" s="4"/>
      <c r="RDU1534" s="6"/>
      <c r="RDV1534" s="4"/>
      <c r="RDW1534" s="6"/>
      <c r="RDX1534" s="4"/>
      <c r="RDY1534" s="6"/>
      <c r="RDZ1534" s="4"/>
      <c r="REA1534" s="6"/>
      <c r="REB1534" s="4"/>
      <c r="REC1534" s="6"/>
      <c r="RED1534" s="4"/>
      <c r="REE1534" s="6"/>
      <c r="REF1534" s="4"/>
      <c r="REG1534" s="6"/>
      <c r="REH1534" s="4"/>
      <c r="REI1534" s="6"/>
      <c r="REJ1534" s="4"/>
      <c r="REK1534" s="6"/>
      <c r="REL1534" s="4"/>
      <c r="REM1534" s="6"/>
      <c r="REN1534" s="4"/>
      <c r="REO1534" s="6"/>
      <c r="REP1534" s="4"/>
      <c r="REQ1534" s="6"/>
      <c r="RER1534" s="4"/>
      <c r="RES1534" s="6"/>
      <c r="RET1534" s="4"/>
      <c r="REU1534" s="6"/>
      <c r="REV1534" s="4"/>
      <c r="REW1534" s="6"/>
      <c r="REX1534" s="4"/>
      <c r="REY1534" s="6"/>
      <c r="REZ1534" s="4"/>
      <c r="RFA1534" s="6"/>
      <c r="RFB1534" s="4"/>
      <c r="RFC1534" s="6"/>
      <c r="RFD1534" s="4"/>
      <c r="RFE1534" s="6"/>
      <c r="RFF1534" s="4"/>
      <c r="RFG1534" s="6"/>
      <c r="RFH1534" s="4"/>
      <c r="RFI1534" s="6"/>
      <c r="RFJ1534" s="4"/>
      <c r="RFK1534" s="6"/>
      <c r="RFL1534" s="4"/>
      <c r="RFM1534" s="6"/>
      <c r="RFN1534" s="4"/>
      <c r="RFO1534" s="6"/>
      <c r="RFP1534" s="4"/>
      <c r="RFQ1534" s="6"/>
      <c r="RFR1534" s="4"/>
      <c r="RFS1534" s="6"/>
      <c r="RFT1534" s="4"/>
      <c r="RFU1534" s="6"/>
      <c r="RFV1534" s="4"/>
      <c r="RFW1534" s="6"/>
      <c r="RFX1534" s="4"/>
      <c r="RFY1534" s="6"/>
      <c r="RFZ1534" s="4"/>
      <c r="RGA1534" s="6"/>
      <c r="RGB1534" s="4"/>
      <c r="RGC1534" s="6"/>
      <c r="RGD1534" s="4"/>
      <c r="RGE1534" s="6"/>
      <c r="RGF1534" s="4"/>
      <c r="RGG1534" s="6"/>
      <c r="RGH1534" s="4"/>
      <c r="RGI1534" s="6"/>
      <c r="RGJ1534" s="4"/>
      <c r="RGK1534" s="6"/>
      <c r="RGL1534" s="4"/>
      <c r="RGM1534" s="6"/>
      <c r="RGN1534" s="4"/>
      <c r="RGO1534" s="6"/>
      <c r="RGP1534" s="4"/>
      <c r="RGQ1534" s="6"/>
      <c r="RGR1534" s="4"/>
      <c r="RGS1534" s="6"/>
      <c r="RGT1534" s="4"/>
      <c r="RGU1534" s="6"/>
      <c r="RGV1534" s="4"/>
      <c r="RGW1534" s="6"/>
      <c r="RGX1534" s="4"/>
      <c r="RGY1534" s="6"/>
      <c r="RGZ1534" s="4"/>
      <c r="RHA1534" s="6"/>
      <c r="RHB1534" s="4"/>
      <c r="RHC1534" s="6"/>
      <c r="RHD1534" s="4"/>
      <c r="RHE1534" s="6"/>
      <c r="RHF1534" s="4"/>
      <c r="RHG1534" s="6"/>
      <c r="RHH1534" s="4"/>
      <c r="RHI1534" s="6"/>
      <c r="RHJ1534" s="4"/>
      <c r="RHK1534" s="6"/>
      <c r="RHL1534" s="4"/>
      <c r="RHM1534" s="6"/>
      <c r="RHN1534" s="4"/>
      <c r="RHO1534" s="6"/>
      <c r="RHP1534" s="4"/>
      <c r="RHQ1534" s="6"/>
      <c r="RHR1534" s="4"/>
      <c r="RHS1534" s="6"/>
      <c r="RHT1534" s="4"/>
      <c r="RHU1534" s="6"/>
      <c r="RHV1534" s="4"/>
      <c r="RHW1534" s="6"/>
      <c r="RHX1534" s="4"/>
      <c r="RHY1534" s="6"/>
      <c r="RHZ1534" s="4"/>
      <c r="RIA1534" s="6"/>
      <c r="RIB1534" s="4"/>
      <c r="RIC1534" s="6"/>
      <c r="RID1534" s="4"/>
      <c r="RIE1534" s="6"/>
      <c r="RIF1534" s="4"/>
      <c r="RIG1534" s="6"/>
      <c r="RIH1534" s="4"/>
      <c r="RII1534" s="6"/>
      <c r="RIJ1534" s="4"/>
      <c r="RIK1534" s="6"/>
      <c r="RIL1534" s="4"/>
      <c r="RIM1534" s="6"/>
      <c r="RIN1534" s="4"/>
      <c r="RIO1534" s="6"/>
      <c r="RIP1534" s="4"/>
      <c r="RIQ1534" s="6"/>
      <c r="RIR1534" s="4"/>
      <c r="RIS1534" s="6"/>
      <c r="RIT1534" s="4"/>
      <c r="RIU1534" s="6"/>
      <c r="RIV1534" s="4"/>
      <c r="RIW1534" s="6"/>
      <c r="RIX1534" s="4"/>
      <c r="RIY1534" s="6"/>
      <c r="RIZ1534" s="4"/>
      <c r="RJA1534" s="6"/>
      <c r="RJB1534" s="4"/>
      <c r="RJC1534" s="6"/>
      <c r="RJD1534" s="4"/>
      <c r="RJE1534" s="6"/>
      <c r="RJF1534" s="4"/>
      <c r="RJG1534" s="6"/>
      <c r="RJH1534" s="4"/>
      <c r="RJI1534" s="6"/>
      <c r="RJJ1534" s="4"/>
      <c r="RJK1534" s="6"/>
      <c r="RJL1534" s="4"/>
      <c r="RJM1534" s="6"/>
      <c r="RJN1534" s="4"/>
      <c r="RJO1534" s="6"/>
      <c r="RJP1534" s="4"/>
      <c r="RJQ1534" s="6"/>
      <c r="RJR1534" s="4"/>
      <c r="RJS1534" s="6"/>
      <c r="RJT1534" s="4"/>
      <c r="RJU1534" s="6"/>
      <c r="RJV1534" s="4"/>
      <c r="RJW1534" s="6"/>
      <c r="RJX1534" s="4"/>
      <c r="RJY1534" s="6"/>
      <c r="RJZ1534" s="4"/>
      <c r="RKA1534" s="6"/>
      <c r="RKB1534" s="4"/>
      <c r="RKC1534" s="6"/>
      <c r="RKD1534" s="4"/>
      <c r="RKE1534" s="6"/>
      <c r="RKF1534" s="4"/>
      <c r="RKG1534" s="6"/>
      <c r="RKH1534" s="4"/>
      <c r="RKI1534" s="6"/>
      <c r="RKJ1534" s="4"/>
      <c r="RKK1534" s="6"/>
      <c r="RKL1534" s="4"/>
      <c r="RKM1534" s="6"/>
      <c r="RKN1534" s="4"/>
      <c r="RKO1534" s="6"/>
      <c r="RKP1534" s="4"/>
      <c r="RKQ1534" s="6"/>
      <c r="RKR1534" s="4"/>
      <c r="RKS1534" s="6"/>
      <c r="RKT1534" s="4"/>
      <c r="RKU1534" s="6"/>
      <c r="RKV1534" s="4"/>
      <c r="RKW1534" s="6"/>
      <c r="RKX1534" s="4"/>
      <c r="RKY1534" s="6"/>
      <c r="RKZ1534" s="4"/>
      <c r="RLA1534" s="6"/>
      <c r="RLB1534" s="4"/>
      <c r="RLC1534" s="6"/>
      <c r="RLD1534" s="4"/>
      <c r="RLE1534" s="6"/>
      <c r="RLF1534" s="4"/>
      <c r="RLG1534" s="6"/>
      <c r="RLH1534" s="4"/>
      <c r="RLI1534" s="6"/>
      <c r="RLJ1534" s="4"/>
      <c r="RLK1534" s="6"/>
      <c r="RLL1534" s="4"/>
      <c r="RLM1534" s="6"/>
      <c r="RLN1534" s="4"/>
      <c r="RLO1534" s="6"/>
      <c r="RLP1534" s="4"/>
      <c r="RLQ1534" s="6"/>
      <c r="RLR1534" s="4"/>
      <c r="RLS1534" s="6"/>
      <c r="RLT1534" s="4"/>
      <c r="RLU1534" s="6"/>
      <c r="RLV1534" s="4"/>
      <c r="RLW1534" s="6"/>
      <c r="RLX1534" s="4"/>
      <c r="RLY1534" s="6"/>
      <c r="RLZ1534" s="4"/>
      <c r="RMA1534" s="6"/>
      <c r="RMB1534" s="4"/>
      <c r="RMC1534" s="6"/>
      <c r="RMD1534" s="4"/>
      <c r="RME1534" s="6"/>
      <c r="RMF1534" s="4"/>
      <c r="RMG1534" s="6"/>
      <c r="RMH1534" s="4"/>
      <c r="RMI1534" s="6"/>
      <c r="RMJ1534" s="4"/>
      <c r="RMK1534" s="6"/>
      <c r="RML1534" s="4"/>
      <c r="RMM1534" s="6"/>
      <c r="RMN1534" s="4"/>
      <c r="RMO1534" s="6"/>
      <c r="RMP1534" s="4"/>
      <c r="RMQ1534" s="6"/>
      <c r="RMR1534" s="4"/>
      <c r="RMS1534" s="6"/>
      <c r="RMT1534" s="4"/>
      <c r="RMU1534" s="6"/>
      <c r="RMV1534" s="4"/>
      <c r="RMW1534" s="6"/>
      <c r="RMX1534" s="4"/>
      <c r="RMY1534" s="6"/>
      <c r="RMZ1534" s="4"/>
      <c r="RNA1534" s="6"/>
      <c r="RNB1534" s="4"/>
      <c r="RNC1534" s="6"/>
      <c r="RND1534" s="4"/>
      <c r="RNE1534" s="6"/>
      <c r="RNF1534" s="4"/>
      <c r="RNG1534" s="6"/>
      <c r="RNH1534" s="4"/>
      <c r="RNI1534" s="6"/>
      <c r="RNJ1534" s="4"/>
      <c r="RNK1534" s="6"/>
      <c r="RNL1534" s="4"/>
      <c r="RNM1534" s="6"/>
      <c r="RNN1534" s="4"/>
      <c r="RNO1534" s="6"/>
      <c r="RNP1534" s="4"/>
      <c r="RNQ1534" s="6"/>
      <c r="RNR1534" s="4"/>
      <c r="RNS1534" s="6"/>
      <c r="RNT1534" s="4"/>
      <c r="RNU1534" s="6"/>
      <c r="RNV1534" s="4"/>
      <c r="RNW1534" s="6"/>
      <c r="RNX1534" s="4"/>
      <c r="RNY1534" s="6"/>
      <c r="RNZ1534" s="4"/>
      <c r="ROA1534" s="6"/>
      <c r="ROB1534" s="4"/>
      <c r="ROC1534" s="6"/>
      <c r="ROD1534" s="4"/>
      <c r="ROE1534" s="6"/>
      <c r="ROF1534" s="4"/>
      <c r="ROG1534" s="6"/>
      <c r="ROH1534" s="4"/>
      <c r="ROI1534" s="6"/>
      <c r="ROJ1534" s="4"/>
      <c r="ROK1534" s="6"/>
      <c r="ROL1534" s="4"/>
      <c r="ROM1534" s="6"/>
      <c r="RON1534" s="4"/>
      <c r="ROO1534" s="6"/>
      <c r="ROP1534" s="4"/>
      <c r="ROQ1534" s="6"/>
      <c r="ROR1534" s="4"/>
      <c r="ROS1534" s="6"/>
      <c r="ROT1534" s="4"/>
      <c r="ROU1534" s="6"/>
      <c r="ROV1534" s="4"/>
      <c r="ROW1534" s="6"/>
      <c r="ROX1534" s="4"/>
      <c r="ROY1534" s="6"/>
      <c r="ROZ1534" s="4"/>
      <c r="RPA1534" s="6"/>
      <c r="RPB1534" s="4"/>
      <c r="RPC1534" s="6"/>
      <c r="RPD1534" s="4"/>
      <c r="RPE1534" s="6"/>
      <c r="RPF1534" s="4"/>
      <c r="RPG1534" s="6"/>
      <c r="RPH1534" s="4"/>
      <c r="RPI1534" s="6"/>
      <c r="RPJ1534" s="4"/>
      <c r="RPK1534" s="6"/>
      <c r="RPL1534" s="4"/>
      <c r="RPM1534" s="6"/>
      <c r="RPN1534" s="4"/>
      <c r="RPO1534" s="6"/>
      <c r="RPP1534" s="4"/>
      <c r="RPQ1534" s="6"/>
      <c r="RPR1534" s="4"/>
      <c r="RPS1534" s="6"/>
      <c r="RPT1534" s="4"/>
      <c r="RPU1534" s="6"/>
      <c r="RPV1534" s="4"/>
      <c r="RPW1534" s="6"/>
      <c r="RPX1534" s="4"/>
      <c r="RPY1534" s="6"/>
      <c r="RPZ1534" s="4"/>
      <c r="RQA1534" s="6"/>
      <c r="RQB1534" s="4"/>
      <c r="RQC1534" s="6"/>
      <c r="RQD1534" s="4"/>
      <c r="RQE1534" s="6"/>
      <c r="RQF1534" s="4"/>
      <c r="RQG1534" s="6"/>
      <c r="RQH1534" s="4"/>
      <c r="RQI1534" s="6"/>
      <c r="RQJ1534" s="4"/>
      <c r="RQK1534" s="6"/>
      <c r="RQL1534" s="4"/>
      <c r="RQM1534" s="6"/>
      <c r="RQN1534" s="4"/>
      <c r="RQO1534" s="6"/>
      <c r="RQP1534" s="4"/>
      <c r="RQQ1534" s="6"/>
      <c r="RQR1534" s="4"/>
      <c r="RQS1534" s="6"/>
      <c r="RQT1534" s="4"/>
      <c r="RQU1534" s="6"/>
      <c r="RQV1534" s="4"/>
      <c r="RQW1534" s="6"/>
      <c r="RQX1534" s="4"/>
      <c r="RQY1534" s="6"/>
      <c r="RQZ1534" s="4"/>
      <c r="RRA1534" s="6"/>
      <c r="RRB1534" s="4"/>
      <c r="RRC1534" s="6"/>
      <c r="RRD1534" s="4"/>
      <c r="RRE1534" s="6"/>
      <c r="RRF1534" s="4"/>
      <c r="RRG1534" s="6"/>
      <c r="RRH1534" s="4"/>
      <c r="RRI1534" s="6"/>
      <c r="RRJ1534" s="4"/>
      <c r="RRK1534" s="6"/>
      <c r="RRL1534" s="4"/>
      <c r="RRM1534" s="6"/>
      <c r="RRN1534" s="4"/>
      <c r="RRO1534" s="6"/>
      <c r="RRP1534" s="4"/>
      <c r="RRQ1534" s="6"/>
      <c r="RRR1534" s="4"/>
      <c r="RRS1534" s="6"/>
      <c r="RRT1534" s="4"/>
      <c r="RRU1534" s="6"/>
      <c r="RRV1534" s="4"/>
      <c r="RRW1534" s="6"/>
      <c r="RRX1534" s="4"/>
      <c r="RRY1534" s="6"/>
      <c r="RRZ1534" s="4"/>
      <c r="RSA1534" s="6"/>
      <c r="RSB1534" s="4"/>
      <c r="RSC1534" s="6"/>
      <c r="RSD1534" s="4"/>
      <c r="RSE1534" s="6"/>
      <c r="RSF1534" s="4"/>
      <c r="RSG1534" s="6"/>
      <c r="RSH1534" s="4"/>
      <c r="RSI1534" s="6"/>
      <c r="RSJ1534" s="4"/>
      <c r="RSK1534" s="6"/>
      <c r="RSL1534" s="4"/>
      <c r="RSM1534" s="6"/>
      <c r="RSN1534" s="4"/>
      <c r="RSO1534" s="6"/>
      <c r="RSP1534" s="4"/>
      <c r="RSQ1534" s="6"/>
      <c r="RSR1534" s="4"/>
      <c r="RSS1534" s="6"/>
      <c r="RST1534" s="4"/>
      <c r="RSU1534" s="6"/>
      <c r="RSV1534" s="4"/>
      <c r="RSW1534" s="6"/>
      <c r="RSX1534" s="4"/>
      <c r="RSY1534" s="6"/>
      <c r="RSZ1534" s="4"/>
      <c r="RTA1534" s="6"/>
      <c r="RTB1534" s="4"/>
      <c r="RTC1534" s="6"/>
      <c r="RTD1534" s="4"/>
      <c r="RTE1534" s="6"/>
      <c r="RTF1534" s="4"/>
      <c r="RTG1534" s="6"/>
      <c r="RTH1534" s="4"/>
      <c r="RTI1534" s="6"/>
      <c r="RTJ1534" s="4"/>
      <c r="RTK1534" s="6"/>
      <c r="RTL1534" s="4"/>
      <c r="RTM1534" s="6"/>
      <c r="RTN1534" s="4"/>
      <c r="RTO1534" s="6"/>
      <c r="RTP1534" s="4"/>
      <c r="RTQ1534" s="6"/>
      <c r="RTR1534" s="4"/>
      <c r="RTS1534" s="6"/>
      <c r="RTT1534" s="4"/>
      <c r="RTU1534" s="6"/>
      <c r="RTV1534" s="4"/>
      <c r="RTW1534" s="6"/>
      <c r="RTX1534" s="4"/>
      <c r="RTY1534" s="6"/>
      <c r="RTZ1534" s="4"/>
      <c r="RUA1534" s="6"/>
      <c r="RUB1534" s="4"/>
      <c r="RUC1534" s="6"/>
      <c r="RUD1534" s="4"/>
      <c r="RUE1534" s="6"/>
      <c r="RUF1534" s="4"/>
      <c r="RUG1534" s="6"/>
      <c r="RUH1534" s="4"/>
      <c r="RUI1534" s="6"/>
      <c r="RUJ1534" s="4"/>
      <c r="RUK1534" s="6"/>
      <c r="RUL1534" s="4"/>
      <c r="RUM1534" s="6"/>
      <c r="RUN1534" s="4"/>
      <c r="RUO1534" s="6"/>
      <c r="RUP1534" s="4"/>
      <c r="RUQ1534" s="6"/>
      <c r="RUR1534" s="4"/>
      <c r="RUS1534" s="6"/>
      <c r="RUT1534" s="4"/>
      <c r="RUU1534" s="6"/>
      <c r="RUV1534" s="4"/>
      <c r="RUW1534" s="6"/>
      <c r="RUX1534" s="4"/>
      <c r="RUY1534" s="6"/>
      <c r="RUZ1534" s="4"/>
      <c r="RVA1534" s="6"/>
      <c r="RVB1534" s="4"/>
      <c r="RVC1534" s="6"/>
      <c r="RVD1534" s="4"/>
      <c r="RVE1534" s="6"/>
      <c r="RVF1534" s="4"/>
      <c r="RVG1534" s="6"/>
      <c r="RVH1534" s="4"/>
      <c r="RVI1534" s="6"/>
      <c r="RVJ1534" s="4"/>
      <c r="RVK1534" s="6"/>
      <c r="RVL1534" s="4"/>
      <c r="RVM1534" s="6"/>
      <c r="RVN1534" s="4"/>
      <c r="RVO1534" s="6"/>
      <c r="RVP1534" s="4"/>
      <c r="RVQ1534" s="6"/>
      <c r="RVR1534" s="4"/>
      <c r="RVS1534" s="6"/>
      <c r="RVT1534" s="4"/>
      <c r="RVU1534" s="6"/>
      <c r="RVV1534" s="4"/>
      <c r="RVW1534" s="6"/>
      <c r="RVX1534" s="4"/>
      <c r="RVY1534" s="6"/>
      <c r="RVZ1534" s="4"/>
      <c r="RWA1534" s="6"/>
      <c r="RWB1534" s="4"/>
      <c r="RWC1534" s="6"/>
      <c r="RWD1534" s="4"/>
      <c r="RWE1534" s="6"/>
      <c r="RWF1534" s="4"/>
      <c r="RWG1534" s="6"/>
      <c r="RWH1534" s="4"/>
      <c r="RWI1534" s="6"/>
      <c r="RWJ1534" s="4"/>
      <c r="RWK1534" s="6"/>
      <c r="RWL1534" s="4"/>
      <c r="RWM1534" s="6"/>
      <c r="RWN1534" s="4"/>
      <c r="RWO1534" s="6"/>
      <c r="RWP1534" s="4"/>
      <c r="RWQ1534" s="6"/>
      <c r="RWR1534" s="4"/>
      <c r="RWS1534" s="6"/>
      <c r="RWT1534" s="4"/>
      <c r="RWU1534" s="6"/>
      <c r="RWV1534" s="4"/>
      <c r="RWW1534" s="6"/>
      <c r="RWX1534" s="4"/>
      <c r="RWY1534" s="6"/>
      <c r="RWZ1534" s="4"/>
      <c r="RXA1534" s="6"/>
      <c r="RXB1534" s="4"/>
      <c r="RXC1534" s="6"/>
      <c r="RXD1534" s="4"/>
      <c r="RXE1534" s="6"/>
      <c r="RXF1534" s="4"/>
      <c r="RXG1534" s="6"/>
      <c r="RXH1534" s="4"/>
      <c r="RXI1534" s="6"/>
      <c r="RXJ1534" s="4"/>
      <c r="RXK1534" s="6"/>
      <c r="RXL1534" s="4"/>
      <c r="RXM1534" s="6"/>
      <c r="RXN1534" s="4"/>
      <c r="RXO1534" s="6"/>
      <c r="RXP1534" s="4"/>
      <c r="RXQ1534" s="6"/>
      <c r="RXR1534" s="4"/>
      <c r="RXS1534" s="6"/>
      <c r="RXT1534" s="4"/>
      <c r="RXU1534" s="6"/>
      <c r="RXV1534" s="4"/>
      <c r="RXW1534" s="6"/>
      <c r="RXX1534" s="4"/>
      <c r="RXY1534" s="6"/>
      <c r="RXZ1534" s="4"/>
      <c r="RYA1534" s="6"/>
      <c r="RYB1534" s="4"/>
      <c r="RYC1534" s="6"/>
      <c r="RYD1534" s="4"/>
      <c r="RYE1534" s="6"/>
      <c r="RYF1534" s="4"/>
      <c r="RYG1534" s="6"/>
      <c r="RYH1534" s="4"/>
      <c r="RYI1534" s="6"/>
      <c r="RYJ1534" s="4"/>
      <c r="RYK1534" s="6"/>
      <c r="RYL1534" s="4"/>
      <c r="RYM1534" s="6"/>
      <c r="RYN1534" s="4"/>
      <c r="RYO1534" s="6"/>
      <c r="RYP1534" s="4"/>
      <c r="RYQ1534" s="6"/>
      <c r="RYR1534" s="4"/>
      <c r="RYS1534" s="6"/>
      <c r="RYT1534" s="4"/>
      <c r="RYU1534" s="6"/>
      <c r="RYV1534" s="4"/>
      <c r="RYW1534" s="6"/>
      <c r="RYX1534" s="4"/>
      <c r="RYY1534" s="6"/>
      <c r="RYZ1534" s="4"/>
      <c r="RZA1534" s="6"/>
      <c r="RZB1534" s="4"/>
      <c r="RZC1534" s="6"/>
      <c r="RZD1534" s="4"/>
      <c r="RZE1534" s="6"/>
      <c r="RZF1534" s="4"/>
      <c r="RZG1534" s="6"/>
      <c r="RZH1534" s="4"/>
      <c r="RZI1534" s="6"/>
      <c r="RZJ1534" s="4"/>
      <c r="RZK1534" s="6"/>
      <c r="RZL1534" s="4"/>
      <c r="RZM1534" s="6"/>
      <c r="RZN1534" s="4"/>
      <c r="RZO1534" s="6"/>
      <c r="RZP1534" s="4"/>
      <c r="RZQ1534" s="6"/>
      <c r="RZR1534" s="4"/>
      <c r="RZS1534" s="6"/>
      <c r="RZT1534" s="4"/>
      <c r="RZU1534" s="6"/>
      <c r="RZV1534" s="4"/>
      <c r="RZW1534" s="6"/>
      <c r="RZX1534" s="4"/>
      <c r="RZY1534" s="6"/>
      <c r="RZZ1534" s="4"/>
      <c r="SAA1534" s="6"/>
      <c r="SAB1534" s="4"/>
      <c r="SAC1534" s="6"/>
      <c r="SAD1534" s="4"/>
      <c r="SAE1534" s="6"/>
      <c r="SAF1534" s="4"/>
      <c r="SAG1534" s="6"/>
      <c r="SAH1534" s="4"/>
      <c r="SAI1534" s="6"/>
      <c r="SAJ1534" s="4"/>
      <c r="SAK1534" s="6"/>
      <c r="SAL1534" s="4"/>
      <c r="SAM1534" s="6"/>
      <c r="SAN1534" s="4"/>
      <c r="SAO1534" s="6"/>
      <c r="SAP1534" s="4"/>
      <c r="SAQ1534" s="6"/>
      <c r="SAR1534" s="4"/>
      <c r="SAS1534" s="6"/>
      <c r="SAT1534" s="4"/>
      <c r="SAU1534" s="6"/>
      <c r="SAV1534" s="4"/>
      <c r="SAW1534" s="6"/>
      <c r="SAX1534" s="4"/>
      <c r="SAY1534" s="6"/>
      <c r="SAZ1534" s="4"/>
      <c r="SBA1534" s="6"/>
      <c r="SBB1534" s="4"/>
      <c r="SBC1534" s="6"/>
      <c r="SBD1534" s="4"/>
      <c r="SBE1534" s="6"/>
      <c r="SBF1534" s="4"/>
      <c r="SBG1534" s="6"/>
      <c r="SBH1534" s="4"/>
      <c r="SBI1534" s="6"/>
      <c r="SBJ1534" s="4"/>
      <c r="SBK1534" s="6"/>
      <c r="SBL1534" s="4"/>
      <c r="SBM1534" s="6"/>
      <c r="SBN1534" s="4"/>
      <c r="SBO1534" s="6"/>
      <c r="SBP1534" s="4"/>
      <c r="SBQ1534" s="6"/>
      <c r="SBR1534" s="4"/>
      <c r="SBS1534" s="6"/>
      <c r="SBT1534" s="4"/>
      <c r="SBU1534" s="6"/>
      <c r="SBV1534" s="4"/>
      <c r="SBW1534" s="6"/>
      <c r="SBX1534" s="4"/>
      <c r="SBY1534" s="6"/>
      <c r="SBZ1534" s="4"/>
      <c r="SCA1534" s="6"/>
      <c r="SCB1534" s="4"/>
      <c r="SCC1534" s="6"/>
      <c r="SCD1534" s="4"/>
      <c r="SCE1534" s="6"/>
      <c r="SCF1534" s="4"/>
      <c r="SCG1534" s="6"/>
      <c r="SCH1534" s="4"/>
      <c r="SCI1534" s="6"/>
      <c r="SCJ1534" s="4"/>
      <c r="SCK1534" s="6"/>
      <c r="SCL1534" s="4"/>
      <c r="SCM1534" s="6"/>
      <c r="SCN1534" s="4"/>
      <c r="SCO1534" s="6"/>
      <c r="SCP1534" s="4"/>
      <c r="SCQ1534" s="6"/>
      <c r="SCR1534" s="4"/>
      <c r="SCS1534" s="6"/>
      <c r="SCT1534" s="4"/>
      <c r="SCU1534" s="6"/>
      <c r="SCV1534" s="4"/>
      <c r="SCW1534" s="6"/>
      <c r="SCX1534" s="4"/>
      <c r="SCY1534" s="6"/>
      <c r="SCZ1534" s="4"/>
      <c r="SDA1534" s="6"/>
      <c r="SDB1534" s="4"/>
      <c r="SDC1534" s="6"/>
      <c r="SDD1534" s="4"/>
      <c r="SDE1534" s="6"/>
      <c r="SDF1534" s="4"/>
      <c r="SDG1534" s="6"/>
      <c r="SDH1534" s="4"/>
      <c r="SDI1534" s="6"/>
      <c r="SDJ1534" s="4"/>
      <c r="SDK1534" s="6"/>
      <c r="SDL1534" s="4"/>
      <c r="SDM1534" s="6"/>
      <c r="SDN1534" s="4"/>
      <c r="SDO1534" s="6"/>
      <c r="SDP1534" s="4"/>
      <c r="SDQ1534" s="6"/>
      <c r="SDR1534" s="4"/>
      <c r="SDS1534" s="6"/>
      <c r="SDT1534" s="4"/>
      <c r="SDU1534" s="6"/>
      <c r="SDV1534" s="4"/>
      <c r="SDW1534" s="6"/>
      <c r="SDX1534" s="4"/>
      <c r="SDY1534" s="6"/>
      <c r="SDZ1534" s="4"/>
      <c r="SEA1534" s="6"/>
      <c r="SEB1534" s="4"/>
      <c r="SEC1534" s="6"/>
      <c r="SED1534" s="4"/>
      <c r="SEE1534" s="6"/>
      <c r="SEF1534" s="4"/>
      <c r="SEG1534" s="6"/>
      <c r="SEH1534" s="4"/>
      <c r="SEI1534" s="6"/>
      <c r="SEJ1534" s="4"/>
      <c r="SEK1534" s="6"/>
      <c r="SEL1534" s="4"/>
      <c r="SEM1534" s="6"/>
      <c r="SEN1534" s="4"/>
      <c r="SEO1534" s="6"/>
      <c r="SEP1534" s="4"/>
      <c r="SEQ1534" s="6"/>
      <c r="SER1534" s="4"/>
      <c r="SES1534" s="6"/>
      <c r="SET1534" s="4"/>
      <c r="SEU1534" s="6"/>
      <c r="SEV1534" s="4"/>
      <c r="SEW1534" s="6"/>
      <c r="SEX1534" s="4"/>
      <c r="SEY1534" s="6"/>
      <c r="SEZ1534" s="4"/>
      <c r="SFA1534" s="6"/>
      <c r="SFB1534" s="4"/>
      <c r="SFC1534" s="6"/>
      <c r="SFD1534" s="4"/>
      <c r="SFE1534" s="6"/>
      <c r="SFF1534" s="4"/>
      <c r="SFG1534" s="6"/>
      <c r="SFH1534" s="4"/>
      <c r="SFI1534" s="6"/>
      <c r="SFJ1534" s="4"/>
      <c r="SFK1534" s="6"/>
      <c r="SFL1534" s="4"/>
      <c r="SFM1534" s="6"/>
      <c r="SFN1534" s="4"/>
      <c r="SFO1534" s="6"/>
      <c r="SFP1534" s="4"/>
      <c r="SFQ1534" s="6"/>
      <c r="SFR1534" s="4"/>
      <c r="SFS1534" s="6"/>
      <c r="SFT1534" s="4"/>
      <c r="SFU1534" s="6"/>
      <c r="SFV1534" s="4"/>
      <c r="SFW1534" s="6"/>
      <c r="SFX1534" s="4"/>
      <c r="SFY1534" s="6"/>
      <c r="SFZ1534" s="4"/>
      <c r="SGA1534" s="6"/>
      <c r="SGB1534" s="4"/>
      <c r="SGC1534" s="6"/>
      <c r="SGD1534" s="4"/>
      <c r="SGE1534" s="6"/>
      <c r="SGF1534" s="4"/>
      <c r="SGG1534" s="6"/>
      <c r="SGH1534" s="4"/>
      <c r="SGI1534" s="6"/>
      <c r="SGJ1534" s="4"/>
      <c r="SGK1534" s="6"/>
      <c r="SGL1534" s="4"/>
      <c r="SGM1534" s="6"/>
      <c r="SGN1534" s="4"/>
      <c r="SGO1534" s="6"/>
      <c r="SGP1534" s="4"/>
      <c r="SGQ1534" s="6"/>
      <c r="SGR1534" s="4"/>
      <c r="SGS1534" s="6"/>
      <c r="SGT1534" s="4"/>
      <c r="SGU1534" s="6"/>
      <c r="SGV1534" s="4"/>
      <c r="SGW1534" s="6"/>
      <c r="SGX1534" s="4"/>
      <c r="SGY1534" s="6"/>
      <c r="SGZ1534" s="4"/>
      <c r="SHA1534" s="6"/>
      <c r="SHB1534" s="4"/>
      <c r="SHC1534" s="6"/>
      <c r="SHD1534" s="4"/>
      <c r="SHE1534" s="6"/>
      <c r="SHF1534" s="4"/>
      <c r="SHG1534" s="6"/>
      <c r="SHH1534" s="4"/>
      <c r="SHI1534" s="6"/>
      <c r="SHJ1534" s="4"/>
      <c r="SHK1534" s="6"/>
      <c r="SHL1534" s="4"/>
      <c r="SHM1534" s="6"/>
      <c r="SHN1534" s="4"/>
      <c r="SHO1534" s="6"/>
      <c r="SHP1534" s="4"/>
      <c r="SHQ1534" s="6"/>
      <c r="SHR1534" s="4"/>
      <c r="SHS1534" s="6"/>
      <c r="SHT1534" s="4"/>
      <c r="SHU1534" s="6"/>
      <c r="SHV1534" s="4"/>
      <c r="SHW1534" s="6"/>
      <c r="SHX1534" s="4"/>
      <c r="SHY1534" s="6"/>
      <c r="SHZ1534" s="4"/>
      <c r="SIA1534" s="6"/>
      <c r="SIB1534" s="4"/>
      <c r="SIC1534" s="6"/>
      <c r="SID1534" s="4"/>
      <c r="SIE1534" s="6"/>
      <c r="SIF1534" s="4"/>
      <c r="SIG1534" s="6"/>
      <c r="SIH1534" s="4"/>
      <c r="SII1534" s="6"/>
      <c r="SIJ1534" s="4"/>
      <c r="SIK1534" s="6"/>
      <c r="SIL1534" s="4"/>
      <c r="SIM1534" s="6"/>
      <c r="SIN1534" s="4"/>
      <c r="SIO1534" s="6"/>
      <c r="SIP1534" s="4"/>
      <c r="SIQ1534" s="6"/>
      <c r="SIR1534" s="4"/>
      <c r="SIS1534" s="6"/>
      <c r="SIT1534" s="4"/>
      <c r="SIU1534" s="6"/>
      <c r="SIV1534" s="4"/>
      <c r="SIW1534" s="6"/>
      <c r="SIX1534" s="4"/>
      <c r="SIY1534" s="6"/>
      <c r="SIZ1534" s="4"/>
      <c r="SJA1534" s="6"/>
      <c r="SJB1534" s="4"/>
      <c r="SJC1534" s="6"/>
      <c r="SJD1534" s="4"/>
      <c r="SJE1534" s="6"/>
      <c r="SJF1534" s="4"/>
      <c r="SJG1534" s="6"/>
      <c r="SJH1534" s="4"/>
      <c r="SJI1534" s="6"/>
      <c r="SJJ1534" s="4"/>
      <c r="SJK1534" s="6"/>
      <c r="SJL1534" s="4"/>
      <c r="SJM1534" s="6"/>
      <c r="SJN1534" s="4"/>
      <c r="SJO1534" s="6"/>
      <c r="SJP1534" s="4"/>
      <c r="SJQ1534" s="6"/>
      <c r="SJR1534" s="4"/>
      <c r="SJS1534" s="6"/>
      <c r="SJT1534" s="4"/>
      <c r="SJU1534" s="6"/>
      <c r="SJV1534" s="4"/>
      <c r="SJW1534" s="6"/>
      <c r="SJX1534" s="4"/>
      <c r="SJY1534" s="6"/>
      <c r="SJZ1534" s="4"/>
      <c r="SKA1534" s="6"/>
      <c r="SKB1534" s="4"/>
      <c r="SKC1534" s="6"/>
      <c r="SKD1534" s="4"/>
      <c r="SKE1534" s="6"/>
      <c r="SKF1534" s="4"/>
      <c r="SKG1534" s="6"/>
      <c r="SKH1534" s="4"/>
      <c r="SKI1534" s="6"/>
      <c r="SKJ1534" s="4"/>
      <c r="SKK1534" s="6"/>
      <c r="SKL1534" s="4"/>
      <c r="SKM1534" s="6"/>
      <c r="SKN1534" s="4"/>
      <c r="SKO1534" s="6"/>
      <c r="SKP1534" s="4"/>
      <c r="SKQ1534" s="6"/>
      <c r="SKR1534" s="4"/>
      <c r="SKS1534" s="6"/>
      <c r="SKT1534" s="4"/>
      <c r="SKU1534" s="6"/>
      <c r="SKV1534" s="4"/>
      <c r="SKW1534" s="6"/>
      <c r="SKX1534" s="4"/>
      <c r="SKY1534" s="6"/>
      <c r="SKZ1534" s="4"/>
      <c r="SLA1534" s="6"/>
      <c r="SLB1534" s="4"/>
      <c r="SLC1534" s="6"/>
      <c r="SLD1534" s="4"/>
      <c r="SLE1534" s="6"/>
      <c r="SLF1534" s="4"/>
      <c r="SLG1534" s="6"/>
      <c r="SLH1534" s="4"/>
      <c r="SLI1534" s="6"/>
      <c r="SLJ1534" s="4"/>
      <c r="SLK1534" s="6"/>
      <c r="SLL1534" s="4"/>
      <c r="SLM1534" s="6"/>
      <c r="SLN1534" s="4"/>
      <c r="SLO1534" s="6"/>
      <c r="SLP1534" s="4"/>
      <c r="SLQ1534" s="6"/>
      <c r="SLR1534" s="4"/>
      <c r="SLS1534" s="6"/>
      <c r="SLT1534" s="4"/>
      <c r="SLU1534" s="6"/>
      <c r="SLV1534" s="4"/>
      <c r="SLW1534" s="6"/>
      <c r="SLX1534" s="4"/>
      <c r="SLY1534" s="6"/>
      <c r="SLZ1534" s="4"/>
      <c r="SMA1534" s="6"/>
      <c r="SMB1534" s="4"/>
      <c r="SMC1534" s="6"/>
      <c r="SMD1534" s="4"/>
      <c r="SME1534" s="6"/>
      <c r="SMF1534" s="4"/>
      <c r="SMG1534" s="6"/>
      <c r="SMH1534" s="4"/>
      <c r="SMI1534" s="6"/>
      <c r="SMJ1534" s="4"/>
      <c r="SMK1534" s="6"/>
      <c r="SML1534" s="4"/>
      <c r="SMM1534" s="6"/>
      <c r="SMN1534" s="4"/>
      <c r="SMO1534" s="6"/>
      <c r="SMP1534" s="4"/>
      <c r="SMQ1534" s="6"/>
      <c r="SMR1534" s="4"/>
      <c r="SMS1534" s="6"/>
      <c r="SMT1534" s="4"/>
      <c r="SMU1534" s="6"/>
      <c r="SMV1534" s="4"/>
      <c r="SMW1534" s="6"/>
      <c r="SMX1534" s="4"/>
      <c r="SMY1534" s="6"/>
      <c r="SMZ1534" s="4"/>
      <c r="SNA1534" s="6"/>
      <c r="SNB1534" s="4"/>
      <c r="SNC1534" s="6"/>
      <c r="SND1534" s="4"/>
      <c r="SNE1534" s="6"/>
      <c r="SNF1534" s="4"/>
      <c r="SNG1534" s="6"/>
      <c r="SNH1534" s="4"/>
      <c r="SNI1534" s="6"/>
      <c r="SNJ1534" s="4"/>
      <c r="SNK1534" s="6"/>
      <c r="SNL1534" s="4"/>
      <c r="SNM1534" s="6"/>
      <c r="SNN1534" s="4"/>
      <c r="SNO1534" s="6"/>
      <c r="SNP1534" s="4"/>
      <c r="SNQ1534" s="6"/>
      <c r="SNR1534" s="4"/>
      <c r="SNS1534" s="6"/>
      <c r="SNT1534" s="4"/>
      <c r="SNU1534" s="6"/>
      <c r="SNV1534" s="4"/>
      <c r="SNW1534" s="6"/>
      <c r="SNX1534" s="4"/>
      <c r="SNY1534" s="6"/>
      <c r="SNZ1534" s="4"/>
      <c r="SOA1534" s="6"/>
      <c r="SOB1534" s="4"/>
      <c r="SOC1534" s="6"/>
      <c r="SOD1534" s="4"/>
      <c r="SOE1534" s="6"/>
      <c r="SOF1534" s="4"/>
      <c r="SOG1534" s="6"/>
      <c r="SOH1534" s="4"/>
      <c r="SOI1534" s="6"/>
      <c r="SOJ1534" s="4"/>
      <c r="SOK1534" s="6"/>
      <c r="SOL1534" s="4"/>
      <c r="SOM1534" s="6"/>
      <c r="SON1534" s="4"/>
      <c r="SOO1534" s="6"/>
      <c r="SOP1534" s="4"/>
      <c r="SOQ1534" s="6"/>
      <c r="SOR1534" s="4"/>
      <c r="SOS1534" s="6"/>
      <c r="SOT1534" s="4"/>
      <c r="SOU1534" s="6"/>
      <c r="SOV1534" s="4"/>
      <c r="SOW1534" s="6"/>
      <c r="SOX1534" s="4"/>
      <c r="SOY1534" s="6"/>
      <c r="SOZ1534" s="4"/>
      <c r="SPA1534" s="6"/>
      <c r="SPB1534" s="4"/>
      <c r="SPC1534" s="6"/>
      <c r="SPD1534" s="4"/>
      <c r="SPE1534" s="6"/>
      <c r="SPF1534" s="4"/>
      <c r="SPG1534" s="6"/>
      <c r="SPH1534" s="4"/>
      <c r="SPI1534" s="6"/>
      <c r="SPJ1534" s="4"/>
      <c r="SPK1534" s="6"/>
      <c r="SPL1534" s="4"/>
      <c r="SPM1534" s="6"/>
      <c r="SPN1534" s="4"/>
      <c r="SPO1534" s="6"/>
      <c r="SPP1534" s="4"/>
      <c r="SPQ1534" s="6"/>
      <c r="SPR1534" s="4"/>
      <c r="SPS1534" s="6"/>
      <c r="SPT1534" s="4"/>
      <c r="SPU1534" s="6"/>
      <c r="SPV1534" s="4"/>
      <c r="SPW1534" s="6"/>
      <c r="SPX1534" s="4"/>
      <c r="SPY1534" s="6"/>
      <c r="SPZ1534" s="4"/>
      <c r="SQA1534" s="6"/>
      <c r="SQB1534" s="4"/>
      <c r="SQC1534" s="6"/>
      <c r="SQD1534" s="4"/>
      <c r="SQE1534" s="6"/>
      <c r="SQF1534" s="4"/>
      <c r="SQG1534" s="6"/>
      <c r="SQH1534" s="4"/>
      <c r="SQI1534" s="6"/>
      <c r="SQJ1534" s="4"/>
      <c r="SQK1534" s="6"/>
      <c r="SQL1534" s="4"/>
      <c r="SQM1534" s="6"/>
      <c r="SQN1534" s="4"/>
      <c r="SQO1534" s="6"/>
      <c r="SQP1534" s="4"/>
      <c r="SQQ1534" s="6"/>
      <c r="SQR1534" s="4"/>
      <c r="SQS1534" s="6"/>
      <c r="SQT1534" s="4"/>
      <c r="SQU1534" s="6"/>
      <c r="SQV1534" s="4"/>
      <c r="SQW1534" s="6"/>
      <c r="SQX1534" s="4"/>
      <c r="SQY1534" s="6"/>
      <c r="SQZ1534" s="4"/>
      <c r="SRA1534" s="6"/>
      <c r="SRB1534" s="4"/>
      <c r="SRC1534" s="6"/>
      <c r="SRD1534" s="4"/>
      <c r="SRE1534" s="6"/>
      <c r="SRF1534" s="4"/>
      <c r="SRG1534" s="6"/>
      <c r="SRH1534" s="4"/>
      <c r="SRI1534" s="6"/>
      <c r="SRJ1534" s="4"/>
      <c r="SRK1534" s="6"/>
      <c r="SRL1534" s="4"/>
      <c r="SRM1534" s="6"/>
      <c r="SRN1534" s="4"/>
      <c r="SRO1534" s="6"/>
      <c r="SRP1534" s="4"/>
      <c r="SRQ1534" s="6"/>
      <c r="SRR1534" s="4"/>
      <c r="SRS1534" s="6"/>
      <c r="SRT1534" s="4"/>
      <c r="SRU1534" s="6"/>
      <c r="SRV1534" s="4"/>
      <c r="SRW1534" s="6"/>
      <c r="SRX1534" s="4"/>
      <c r="SRY1534" s="6"/>
      <c r="SRZ1534" s="4"/>
      <c r="SSA1534" s="6"/>
      <c r="SSB1534" s="4"/>
      <c r="SSC1534" s="6"/>
      <c r="SSD1534" s="4"/>
      <c r="SSE1534" s="6"/>
      <c r="SSF1534" s="4"/>
      <c r="SSG1534" s="6"/>
      <c r="SSH1534" s="4"/>
      <c r="SSI1534" s="6"/>
      <c r="SSJ1534" s="4"/>
      <c r="SSK1534" s="6"/>
      <c r="SSL1534" s="4"/>
      <c r="SSM1534" s="6"/>
      <c r="SSN1534" s="4"/>
      <c r="SSO1534" s="6"/>
      <c r="SSP1534" s="4"/>
      <c r="SSQ1534" s="6"/>
      <c r="SSR1534" s="4"/>
      <c r="SSS1534" s="6"/>
      <c r="SST1534" s="4"/>
      <c r="SSU1534" s="6"/>
      <c r="SSV1534" s="4"/>
      <c r="SSW1534" s="6"/>
      <c r="SSX1534" s="4"/>
      <c r="SSY1534" s="6"/>
      <c r="SSZ1534" s="4"/>
      <c r="STA1534" s="6"/>
      <c r="STB1534" s="4"/>
      <c r="STC1534" s="6"/>
      <c r="STD1534" s="4"/>
      <c r="STE1534" s="6"/>
      <c r="STF1534" s="4"/>
      <c r="STG1534" s="6"/>
      <c r="STH1534" s="4"/>
      <c r="STI1534" s="6"/>
      <c r="STJ1534" s="4"/>
      <c r="STK1534" s="6"/>
      <c r="STL1534" s="4"/>
      <c r="STM1534" s="6"/>
      <c r="STN1534" s="4"/>
      <c r="STO1534" s="6"/>
      <c r="STP1534" s="4"/>
      <c r="STQ1534" s="6"/>
      <c r="STR1534" s="4"/>
      <c r="STS1534" s="6"/>
      <c r="STT1534" s="4"/>
      <c r="STU1534" s="6"/>
      <c r="STV1534" s="4"/>
      <c r="STW1534" s="6"/>
      <c r="STX1534" s="4"/>
      <c r="STY1534" s="6"/>
      <c r="STZ1534" s="4"/>
      <c r="SUA1534" s="6"/>
      <c r="SUB1534" s="4"/>
      <c r="SUC1534" s="6"/>
      <c r="SUD1534" s="4"/>
      <c r="SUE1534" s="6"/>
      <c r="SUF1534" s="4"/>
      <c r="SUG1534" s="6"/>
      <c r="SUH1534" s="4"/>
      <c r="SUI1534" s="6"/>
      <c r="SUJ1534" s="4"/>
      <c r="SUK1534" s="6"/>
      <c r="SUL1534" s="4"/>
      <c r="SUM1534" s="6"/>
      <c r="SUN1534" s="4"/>
      <c r="SUO1534" s="6"/>
      <c r="SUP1534" s="4"/>
      <c r="SUQ1534" s="6"/>
      <c r="SUR1534" s="4"/>
      <c r="SUS1534" s="6"/>
      <c r="SUT1534" s="4"/>
      <c r="SUU1534" s="6"/>
      <c r="SUV1534" s="4"/>
      <c r="SUW1534" s="6"/>
      <c r="SUX1534" s="4"/>
      <c r="SUY1534" s="6"/>
      <c r="SUZ1534" s="4"/>
      <c r="SVA1534" s="6"/>
      <c r="SVB1534" s="4"/>
      <c r="SVC1534" s="6"/>
      <c r="SVD1534" s="4"/>
      <c r="SVE1534" s="6"/>
      <c r="SVF1534" s="4"/>
      <c r="SVG1534" s="6"/>
      <c r="SVH1534" s="4"/>
      <c r="SVI1534" s="6"/>
      <c r="SVJ1534" s="4"/>
      <c r="SVK1534" s="6"/>
      <c r="SVL1534" s="4"/>
      <c r="SVM1534" s="6"/>
      <c r="SVN1534" s="4"/>
      <c r="SVO1534" s="6"/>
      <c r="SVP1534" s="4"/>
      <c r="SVQ1534" s="6"/>
      <c r="SVR1534" s="4"/>
      <c r="SVS1534" s="6"/>
      <c r="SVT1534" s="4"/>
      <c r="SVU1534" s="6"/>
      <c r="SVV1534" s="4"/>
      <c r="SVW1534" s="6"/>
      <c r="SVX1534" s="4"/>
      <c r="SVY1534" s="6"/>
      <c r="SVZ1534" s="4"/>
      <c r="SWA1534" s="6"/>
      <c r="SWB1534" s="4"/>
      <c r="SWC1534" s="6"/>
      <c r="SWD1534" s="4"/>
      <c r="SWE1534" s="6"/>
      <c r="SWF1534" s="4"/>
      <c r="SWG1534" s="6"/>
      <c r="SWH1534" s="4"/>
      <c r="SWI1534" s="6"/>
      <c r="SWJ1534" s="4"/>
      <c r="SWK1534" s="6"/>
      <c r="SWL1534" s="4"/>
      <c r="SWM1534" s="6"/>
      <c r="SWN1534" s="4"/>
      <c r="SWO1534" s="6"/>
      <c r="SWP1534" s="4"/>
      <c r="SWQ1534" s="6"/>
      <c r="SWR1534" s="4"/>
      <c r="SWS1534" s="6"/>
      <c r="SWT1534" s="4"/>
      <c r="SWU1534" s="6"/>
      <c r="SWV1534" s="4"/>
      <c r="SWW1534" s="6"/>
      <c r="SWX1534" s="4"/>
      <c r="SWY1534" s="6"/>
      <c r="SWZ1534" s="4"/>
      <c r="SXA1534" s="6"/>
      <c r="SXB1534" s="4"/>
      <c r="SXC1534" s="6"/>
      <c r="SXD1534" s="4"/>
      <c r="SXE1534" s="6"/>
      <c r="SXF1534" s="4"/>
      <c r="SXG1534" s="6"/>
      <c r="SXH1534" s="4"/>
      <c r="SXI1534" s="6"/>
      <c r="SXJ1534" s="4"/>
      <c r="SXK1534" s="6"/>
      <c r="SXL1534" s="4"/>
      <c r="SXM1534" s="6"/>
      <c r="SXN1534" s="4"/>
      <c r="SXO1534" s="6"/>
      <c r="SXP1534" s="4"/>
      <c r="SXQ1534" s="6"/>
      <c r="SXR1534" s="4"/>
      <c r="SXS1534" s="6"/>
      <c r="SXT1534" s="4"/>
      <c r="SXU1534" s="6"/>
      <c r="SXV1534" s="4"/>
      <c r="SXW1534" s="6"/>
      <c r="SXX1534" s="4"/>
      <c r="SXY1534" s="6"/>
      <c r="SXZ1534" s="4"/>
      <c r="SYA1534" s="6"/>
      <c r="SYB1534" s="4"/>
      <c r="SYC1534" s="6"/>
      <c r="SYD1534" s="4"/>
      <c r="SYE1534" s="6"/>
      <c r="SYF1534" s="4"/>
      <c r="SYG1534" s="6"/>
      <c r="SYH1534" s="4"/>
      <c r="SYI1534" s="6"/>
      <c r="SYJ1534" s="4"/>
      <c r="SYK1534" s="6"/>
      <c r="SYL1534" s="4"/>
      <c r="SYM1534" s="6"/>
      <c r="SYN1534" s="4"/>
      <c r="SYO1534" s="6"/>
      <c r="SYP1534" s="4"/>
      <c r="SYQ1534" s="6"/>
      <c r="SYR1534" s="4"/>
      <c r="SYS1534" s="6"/>
      <c r="SYT1534" s="4"/>
      <c r="SYU1534" s="6"/>
      <c r="SYV1534" s="4"/>
      <c r="SYW1534" s="6"/>
      <c r="SYX1534" s="4"/>
      <c r="SYY1534" s="6"/>
      <c r="SYZ1534" s="4"/>
      <c r="SZA1534" s="6"/>
      <c r="SZB1534" s="4"/>
      <c r="SZC1534" s="6"/>
      <c r="SZD1534" s="4"/>
      <c r="SZE1534" s="6"/>
      <c r="SZF1534" s="4"/>
      <c r="SZG1534" s="6"/>
      <c r="SZH1534" s="4"/>
      <c r="SZI1534" s="6"/>
      <c r="SZJ1534" s="4"/>
      <c r="SZK1534" s="6"/>
      <c r="SZL1534" s="4"/>
      <c r="SZM1534" s="6"/>
      <c r="SZN1534" s="4"/>
      <c r="SZO1534" s="6"/>
      <c r="SZP1534" s="4"/>
      <c r="SZQ1534" s="6"/>
      <c r="SZR1534" s="4"/>
      <c r="SZS1534" s="6"/>
      <c r="SZT1534" s="4"/>
      <c r="SZU1534" s="6"/>
      <c r="SZV1534" s="4"/>
      <c r="SZW1534" s="6"/>
      <c r="SZX1534" s="4"/>
      <c r="SZY1534" s="6"/>
      <c r="SZZ1534" s="4"/>
      <c r="TAA1534" s="6"/>
      <c r="TAB1534" s="4"/>
      <c r="TAC1534" s="6"/>
      <c r="TAD1534" s="4"/>
      <c r="TAE1534" s="6"/>
      <c r="TAF1534" s="4"/>
      <c r="TAG1534" s="6"/>
      <c r="TAH1534" s="4"/>
      <c r="TAI1534" s="6"/>
      <c r="TAJ1534" s="4"/>
      <c r="TAK1534" s="6"/>
      <c r="TAL1534" s="4"/>
      <c r="TAM1534" s="6"/>
      <c r="TAN1534" s="4"/>
      <c r="TAO1534" s="6"/>
      <c r="TAP1534" s="4"/>
      <c r="TAQ1534" s="6"/>
      <c r="TAR1534" s="4"/>
      <c r="TAS1534" s="6"/>
      <c r="TAT1534" s="4"/>
      <c r="TAU1534" s="6"/>
      <c r="TAV1534" s="4"/>
      <c r="TAW1534" s="6"/>
      <c r="TAX1534" s="4"/>
      <c r="TAY1534" s="6"/>
      <c r="TAZ1534" s="4"/>
      <c r="TBA1534" s="6"/>
      <c r="TBB1534" s="4"/>
      <c r="TBC1534" s="6"/>
      <c r="TBD1534" s="4"/>
      <c r="TBE1534" s="6"/>
      <c r="TBF1534" s="4"/>
      <c r="TBG1534" s="6"/>
      <c r="TBH1534" s="4"/>
      <c r="TBI1534" s="6"/>
      <c r="TBJ1534" s="4"/>
      <c r="TBK1534" s="6"/>
      <c r="TBL1534" s="4"/>
      <c r="TBM1534" s="6"/>
      <c r="TBN1534" s="4"/>
      <c r="TBO1534" s="6"/>
      <c r="TBP1534" s="4"/>
      <c r="TBQ1534" s="6"/>
      <c r="TBR1534" s="4"/>
      <c r="TBS1534" s="6"/>
      <c r="TBT1534" s="4"/>
      <c r="TBU1534" s="6"/>
      <c r="TBV1534" s="4"/>
      <c r="TBW1534" s="6"/>
      <c r="TBX1534" s="4"/>
      <c r="TBY1534" s="6"/>
      <c r="TBZ1534" s="4"/>
      <c r="TCA1534" s="6"/>
      <c r="TCB1534" s="4"/>
      <c r="TCC1534" s="6"/>
      <c r="TCD1534" s="4"/>
      <c r="TCE1534" s="6"/>
      <c r="TCF1534" s="4"/>
      <c r="TCG1534" s="6"/>
      <c r="TCH1534" s="4"/>
      <c r="TCI1534" s="6"/>
      <c r="TCJ1534" s="4"/>
      <c r="TCK1534" s="6"/>
      <c r="TCL1534" s="4"/>
      <c r="TCM1534" s="6"/>
      <c r="TCN1534" s="4"/>
      <c r="TCO1534" s="6"/>
      <c r="TCP1534" s="4"/>
      <c r="TCQ1534" s="6"/>
      <c r="TCR1534" s="4"/>
      <c r="TCS1534" s="6"/>
      <c r="TCT1534" s="4"/>
      <c r="TCU1534" s="6"/>
      <c r="TCV1534" s="4"/>
      <c r="TCW1534" s="6"/>
      <c r="TCX1534" s="4"/>
      <c r="TCY1534" s="6"/>
      <c r="TCZ1534" s="4"/>
      <c r="TDA1534" s="6"/>
      <c r="TDB1534" s="4"/>
      <c r="TDC1534" s="6"/>
      <c r="TDD1534" s="4"/>
      <c r="TDE1534" s="6"/>
      <c r="TDF1534" s="4"/>
      <c r="TDG1534" s="6"/>
      <c r="TDH1534" s="4"/>
      <c r="TDI1534" s="6"/>
      <c r="TDJ1534" s="4"/>
      <c r="TDK1534" s="6"/>
      <c r="TDL1534" s="4"/>
      <c r="TDM1534" s="6"/>
      <c r="TDN1534" s="4"/>
      <c r="TDO1534" s="6"/>
      <c r="TDP1534" s="4"/>
      <c r="TDQ1534" s="6"/>
      <c r="TDR1534" s="4"/>
      <c r="TDS1534" s="6"/>
      <c r="TDT1534" s="4"/>
      <c r="TDU1534" s="6"/>
      <c r="TDV1534" s="4"/>
      <c r="TDW1534" s="6"/>
      <c r="TDX1534" s="4"/>
      <c r="TDY1534" s="6"/>
      <c r="TDZ1534" s="4"/>
      <c r="TEA1534" s="6"/>
      <c r="TEB1534" s="4"/>
      <c r="TEC1534" s="6"/>
      <c r="TED1534" s="4"/>
      <c r="TEE1534" s="6"/>
      <c r="TEF1534" s="4"/>
      <c r="TEG1534" s="6"/>
      <c r="TEH1534" s="4"/>
      <c r="TEI1534" s="6"/>
      <c r="TEJ1534" s="4"/>
      <c r="TEK1534" s="6"/>
      <c r="TEL1534" s="4"/>
      <c r="TEM1534" s="6"/>
      <c r="TEN1534" s="4"/>
      <c r="TEO1534" s="6"/>
      <c r="TEP1534" s="4"/>
      <c r="TEQ1534" s="6"/>
      <c r="TER1534" s="4"/>
      <c r="TES1534" s="6"/>
      <c r="TET1534" s="4"/>
      <c r="TEU1534" s="6"/>
      <c r="TEV1534" s="4"/>
      <c r="TEW1534" s="6"/>
      <c r="TEX1534" s="4"/>
      <c r="TEY1534" s="6"/>
      <c r="TEZ1534" s="4"/>
      <c r="TFA1534" s="6"/>
      <c r="TFB1534" s="4"/>
      <c r="TFC1534" s="6"/>
      <c r="TFD1534" s="4"/>
      <c r="TFE1534" s="6"/>
      <c r="TFF1534" s="4"/>
      <c r="TFG1534" s="6"/>
      <c r="TFH1534" s="4"/>
      <c r="TFI1534" s="6"/>
      <c r="TFJ1534" s="4"/>
      <c r="TFK1534" s="6"/>
      <c r="TFL1534" s="4"/>
      <c r="TFM1534" s="6"/>
      <c r="TFN1534" s="4"/>
      <c r="TFO1534" s="6"/>
      <c r="TFP1534" s="4"/>
      <c r="TFQ1534" s="6"/>
      <c r="TFR1534" s="4"/>
      <c r="TFS1534" s="6"/>
      <c r="TFT1534" s="4"/>
      <c r="TFU1534" s="6"/>
      <c r="TFV1534" s="4"/>
      <c r="TFW1534" s="6"/>
      <c r="TFX1534" s="4"/>
      <c r="TFY1534" s="6"/>
      <c r="TFZ1534" s="4"/>
      <c r="TGA1534" s="6"/>
      <c r="TGB1534" s="4"/>
      <c r="TGC1534" s="6"/>
      <c r="TGD1534" s="4"/>
      <c r="TGE1534" s="6"/>
      <c r="TGF1534" s="4"/>
      <c r="TGG1534" s="6"/>
      <c r="TGH1534" s="4"/>
      <c r="TGI1534" s="6"/>
      <c r="TGJ1534" s="4"/>
      <c r="TGK1534" s="6"/>
      <c r="TGL1534" s="4"/>
      <c r="TGM1534" s="6"/>
      <c r="TGN1534" s="4"/>
      <c r="TGO1534" s="6"/>
      <c r="TGP1534" s="4"/>
      <c r="TGQ1534" s="6"/>
      <c r="TGR1534" s="4"/>
      <c r="TGS1534" s="6"/>
      <c r="TGT1534" s="4"/>
      <c r="TGU1534" s="6"/>
      <c r="TGV1534" s="4"/>
      <c r="TGW1534" s="6"/>
      <c r="TGX1534" s="4"/>
      <c r="TGY1534" s="6"/>
      <c r="TGZ1534" s="4"/>
      <c r="THA1534" s="6"/>
      <c r="THB1534" s="4"/>
      <c r="THC1534" s="6"/>
      <c r="THD1534" s="4"/>
      <c r="THE1534" s="6"/>
      <c r="THF1534" s="4"/>
      <c r="THG1534" s="6"/>
      <c r="THH1534" s="4"/>
      <c r="THI1534" s="6"/>
      <c r="THJ1534" s="4"/>
      <c r="THK1534" s="6"/>
      <c r="THL1534" s="4"/>
      <c r="THM1534" s="6"/>
      <c r="THN1534" s="4"/>
      <c r="THO1534" s="6"/>
      <c r="THP1534" s="4"/>
      <c r="THQ1534" s="6"/>
      <c r="THR1534" s="4"/>
      <c r="THS1534" s="6"/>
      <c r="THT1534" s="4"/>
      <c r="THU1534" s="6"/>
      <c r="THV1534" s="4"/>
      <c r="THW1534" s="6"/>
      <c r="THX1534" s="4"/>
      <c r="THY1534" s="6"/>
      <c r="THZ1534" s="4"/>
      <c r="TIA1534" s="6"/>
      <c r="TIB1534" s="4"/>
      <c r="TIC1534" s="6"/>
      <c r="TID1534" s="4"/>
      <c r="TIE1534" s="6"/>
      <c r="TIF1534" s="4"/>
      <c r="TIG1534" s="6"/>
      <c r="TIH1534" s="4"/>
      <c r="TII1534" s="6"/>
      <c r="TIJ1534" s="4"/>
      <c r="TIK1534" s="6"/>
      <c r="TIL1534" s="4"/>
      <c r="TIM1534" s="6"/>
      <c r="TIN1534" s="4"/>
      <c r="TIO1534" s="6"/>
      <c r="TIP1534" s="4"/>
      <c r="TIQ1534" s="6"/>
      <c r="TIR1534" s="4"/>
      <c r="TIS1534" s="6"/>
      <c r="TIT1534" s="4"/>
      <c r="TIU1534" s="6"/>
      <c r="TIV1534" s="4"/>
      <c r="TIW1534" s="6"/>
      <c r="TIX1534" s="4"/>
      <c r="TIY1534" s="6"/>
      <c r="TIZ1534" s="4"/>
      <c r="TJA1534" s="6"/>
      <c r="TJB1534" s="4"/>
      <c r="TJC1534" s="6"/>
      <c r="TJD1534" s="4"/>
      <c r="TJE1534" s="6"/>
      <c r="TJF1534" s="4"/>
      <c r="TJG1534" s="6"/>
      <c r="TJH1534" s="4"/>
      <c r="TJI1534" s="6"/>
      <c r="TJJ1534" s="4"/>
      <c r="TJK1534" s="6"/>
      <c r="TJL1534" s="4"/>
      <c r="TJM1534" s="6"/>
      <c r="TJN1534" s="4"/>
      <c r="TJO1534" s="6"/>
      <c r="TJP1534" s="4"/>
      <c r="TJQ1534" s="6"/>
      <c r="TJR1534" s="4"/>
      <c r="TJS1534" s="6"/>
      <c r="TJT1534" s="4"/>
      <c r="TJU1534" s="6"/>
      <c r="TJV1534" s="4"/>
      <c r="TJW1534" s="6"/>
      <c r="TJX1534" s="4"/>
      <c r="TJY1534" s="6"/>
      <c r="TJZ1534" s="4"/>
      <c r="TKA1534" s="6"/>
      <c r="TKB1534" s="4"/>
      <c r="TKC1534" s="6"/>
      <c r="TKD1534" s="4"/>
      <c r="TKE1534" s="6"/>
      <c r="TKF1534" s="4"/>
      <c r="TKG1534" s="6"/>
      <c r="TKH1534" s="4"/>
      <c r="TKI1534" s="6"/>
      <c r="TKJ1534" s="4"/>
      <c r="TKK1534" s="6"/>
      <c r="TKL1534" s="4"/>
      <c r="TKM1534" s="6"/>
      <c r="TKN1534" s="4"/>
      <c r="TKO1534" s="6"/>
      <c r="TKP1534" s="4"/>
      <c r="TKQ1534" s="6"/>
      <c r="TKR1534" s="4"/>
      <c r="TKS1534" s="6"/>
      <c r="TKT1534" s="4"/>
      <c r="TKU1534" s="6"/>
      <c r="TKV1534" s="4"/>
      <c r="TKW1534" s="6"/>
      <c r="TKX1534" s="4"/>
      <c r="TKY1534" s="6"/>
      <c r="TKZ1534" s="4"/>
      <c r="TLA1534" s="6"/>
      <c r="TLB1534" s="4"/>
      <c r="TLC1534" s="6"/>
      <c r="TLD1534" s="4"/>
      <c r="TLE1534" s="6"/>
      <c r="TLF1534" s="4"/>
      <c r="TLG1534" s="6"/>
      <c r="TLH1534" s="4"/>
      <c r="TLI1534" s="6"/>
      <c r="TLJ1534" s="4"/>
      <c r="TLK1534" s="6"/>
      <c r="TLL1534" s="4"/>
      <c r="TLM1534" s="6"/>
      <c r="TLN1534" s="4"/>
      <c r="TLO1534" s="6"/>
      <c r="TLP1534" s="4"/>
      <c r="TLQ1534" s="6"/>
      <c r="TLR1534" s="4"/>
      <c r="TLS1534" s="6"/>
      <c r="TLT1534" s="4"/>
      <c r="TLU1534" s="6"/>
      <c r="TLV1534" s="4"/>
      <c r="TLW1534" s="6"/>
      <c r="TLX1534" s="4"/>
      <c r="TLY1534" s="6"/>
      <c r="TLZ1534" s="4"/>
      <c r="TMA1534" s="6"/>
      <c r="TMB1534" s="4"/>
      <c r="TMC1534" s="6"/>
      <c r="TMD1534" s="4"/>
      <c r="TME1534" s="6"/>
      <c r="TMF1534" s="4"/>
      <c r="TMG1534" s="6"/>
      <c r="TMH1534" s="4"/>
      <c r="TMI1534" s="6"/>
      <c r="TMJ1534" s="4"/>
      <c r="TMK1534" s="6"/>
      <c r="TML1534" s="4"/>
      <c r="TMM1534" s="6"/>
      <c r="TMN1534" s="4"/>
      <c r="TMO1534" s="6"/>
      <c r="TMP1534" s="4"/>
      <c r="TMQ1534" s="6"/>
      <c r="TMR1534" s="4"/>
      <c r="TMS1534" s="6"/>
      <c r="TMT1534" s="4"/>
      <c r="TMU1534" s="6"/>
      <c r="TMV1534" s="4"/>
      <c r="TMW1534" s="6"/>
      <c r="TMX1534" s="4"/>
      <c r="TMY1534" s="6"/>
      <c r="TMZ1534" s="4"/>
      <c r="TNA1534" s="6"/>
      <c r="TNB1534" s="4"/>
      <c r="TNC1534" s="6"/>
      <c r="TND1534" s="4"/>
      <c r="TNE1534" s="6"/>
      <c r="TNF1534" s="4"/>
      <c r="TNG1534" s="6"/>
      <c r="TNH1534" s="4"/>
      <c r="TNI1534" s="6"/>
      <c r="TNJ1534" s="4"/>
      <c r="TNK1534" s="6"/>
      <c r="TNL1534" s="4"/>
      <c r="TNM1534" s="6"/>
      <c r="TNN1534" s="4"/>
      <c r="TNO1534" s="6"/>
      <c r="TNP1534" s="4"/>
      <c r="TNQ1534" s="6"/>
      <c r="TNR1534" s="4"/>
      <c r="TNS1534" s="6"/>
      <c r="TNT1534" s="4"/>
      <c r="TNU1534" s="6"/>
      <c r="TNV1534" s="4"/>
      <c r="TNW1534" s="6"/>
      <c r="TNX1534" s="4"/>
      <c r="TNY1534" s="6"/>
      <c r="TNZ1534" s="4"/>
      <c r="TOA1534" s="6"/>
      <c r="TOB1534" s="4"/>
      <c r="TOC1534" s="6"/>
      <c r="TOD1534" s="4"/>
      <c r="TOE1534" s="6"/>
      <c r="TOF1534" s="4"/>
      <c r="TOG1534" s="6"/>
      <c r="TOH1534" s="4"/>
      <c r="TOI1534" s="6"/>
      <c r="TOJ1534" s="4"/>
      <c r="TOK1534" s="6"/>
      <c r="TOL1534" s="4"/>
      <c r="TOM1534" s="6"/>
      <c r="TON1534" s="4"/>
      <c r="TOO1534" s="6"/>
      <c r="TOP1534" s="4"/>
      <c r="TOQ1534" s="6"/>
      <c r="TOR1534" s="4"/>
      <c r="TOS1534" s="6"/>
      <c r="TOT1534" s="4"/>
      <c r="TOU1534" s="6"/>
      <c r="TOV1534" s="4"/>
      <c r="TOW1534" s="6"/>
      <c r="TOX1534" s="4"/>
      <c r="TOY1534" s="6"/>
      <c r="TOZ1534" s="4"/>
      <c r="TPA1534" s="6"/>
      <c r="TPB1534" s="4"/>
      <c r="TPC1534" s="6"/>
      <c r="TPD1534" s="4"/>
      <c r="TPE1534" s="6"/>
      <c r="TPF1534" s="4"/>
      <c r="TPG1534" s="6"/>
      <c r="TPH1534" s="4"/>
      <c r="TPI1534" s="6"/>
      <c r="TPJ1534" s="4"/>
      <c r="TPK1534" s="6"/>
      <c r="TPL1534" s="4"/>
      <c r="TPM1534" s="6"/>
      <c r="TPN1534" s="4"/>
      <c r="TPO1534" s="6"/>
      <c r="TPP1534" s="4"/>
      <c r="TPQ1534" s="6"/>
      <c r="TPR1534" s="4"/>
      <c r="TPS1534" s="6"/>
      <c r="TPT1534" s="4"/>
      <c r="TPU1534" s="6"/>
      <c r="TPV1534" s="4"/>
      <c r="TPW1534" s="6"/>
      <c r="TPX1534" s="4"/>
      <c r="TPY1534" s="6"/>
      <c r="TPZ1534" s="4"/>
      <c r="TQA1534" s="6"/>
      <c r="TQB1534" s="4"/>
      <c r="TQC1534" s="6"/>
      <c r="TQD1534" s="4"/>
      <c r="TQE1534" s="6"/>
      <c r="TQF1534" s="4"/>
      <c r="TQG1534" s="6"/>
      <c r="TQH1534" s="4"/>
      <c r="TQI1534" s="6"/>
      <c r="TQJ1534" s="4"/>
      <c r="TQK1534" s="6"/>
      <c r="TQL1534" s="4"/>
      <c r="TQM1534" s="6"/>
      <c r="TQN1534" s="4"/>
      <c r="TQO1534" s="6"/>
      <c r="TQP1534" s="4"/>
      <c r="TQQ1534" s="6"/>
      <c r="TQR1534" s="4"/>
      <c r="TQS1534" s="6"/>
      <c r="TQT1534" s="4"/>
      <c r="TQU1534" s="6"/>
      <c r="TQV1534" s="4"/>
      <c r="TQW1534" s="6"/>
      <c r="TQX1534" s="4"/>
      <c r="TQY1534" s="6"/>
      <c r="TQZ1534" s="4"/>
      <c r="TRA1534" s="6"/>
      <c r="TRB1534" s="4"/>
      <c r="TRC1534" s="6"/>
      <c r="TRD1534" s="4"/>
      <c r="TRE1534" s="6"/>
      <c r="TRF1534" s="4"/>
      <c r="TRG1534" s="6"/>
      <c r="TRH1534" s="4"/>
      <c r="TRI1534" s="6"/>
      <c r="TRJ1534" s="4"/>
      <c r="TRK1534" s="6"/>
      <c r="TRL1534" s="4"/>
      <c r="TRM1534" s="6"/>
      <c r="TRN1534" s="4"/>
      <c r="TRO1534" s="6"/>
      <c r="TRP1534" s="4"/>
      <c r="TRQ1534" s="6"/>
      <c r="TRR1534" s="4"/>
      <c r="TRS1534" s="6"/>
      <c r="TRT1534" s="4"/>
      <c r="TRU1534" s="6"/>
      <c r="TRV1534" s="4"/>
      <c r="TRW1534" s="6"/>
      <c r="TRX1534" s="4"/>
      <c r="TRY1534" s="6"/>
      <c r="TRZ1534" s="4"/>
      <c r="TSA1534" s="6"/>
      <c r="TSB1534" s="4"/>
      <c r="TSC1534" s="6"/>
      <c r="TSD1534" s="4"/>
      <c r="TSE1534" s="6"/>
      <c r="TSF1534" s="4"/>
      <c r="TSG1534" s="6"/>
      <c r="TSH1534" s="4"/>
      <c r="TSI1534" s="6"/>
      <c r="TSJ1534" s="4"/>
      <c r="TSK1534" s="6"/>
      <c r="TSL1534" s="4"/>
      <c r="TSM1534" s="6"/>
      <c r="TSN1534" s="4"/>
      <c r="TSO1534" s="6"/>
      <c r="TSP1534" s="4"/>
      <c r="TSQ1534" s="6"/>
      <c r="TSR1534" s="4"/>
      <c r="TSS1534" s="6"/>
      <c r="TST1534" s="4"/>
      <c r="TSU1534" s="6"/>
      <c r="TSV1534" s="4"/>
      <c r="TSW1534" s="6"/>
      <c r="TSX1534" s="4"/>
      <c r="TSY1534" s="6"/>
      <c r="TSZ1534" s="4"/>
      <c r="TTA1534" s="6"/>
      <c r="TTB1534" s="4"/>
      <c r="TTC1534" s="6"/>
      <c r="TTD1534" s="4"/>
      <c r="TTE1534" s="6"/>
      <c r="TTF1534" s="4"/>
      <c r="TTG1534" s="6"/>
      <c r="TTH1534" s="4"/>
      <c r="TTI1534" s="6"/>
      <c r="TTJ1534" s="4"/>
      <c r="TTK1534" s="6"/>
      <c r="TTL1534" s="4"/>
      <c r="TTM1534" s="6"/>
      <c r="TTN1534" s="4"/>
      <c r="TTO1534" s="6"/>
      <c r="TTP1534" s="4"/>
      <c r="TTQ1534" s="6"/>
      <c r="TTR1534" s="4"/>
      <c r="TTS1534" s="6"/>
      <c r="TTT1534" s="4"/>
      <c r="TTU1534" s="6"/>
      <c r="TTV1534" s="4"/>
      <c r="TTW1534" s="6"/>
      <c r="TTX1534" s="4"/>
      <c r="TTY1534" s="6"/>
      <c r="TTZ1534" s="4"/>
      <c r="TUA1534" s="6"/>
      <c r="TUB1534" s="4"/>
      <c r="TUC1534" s="6"/>
      <c r="TUD1534" s="4"/>
      <c r="TUE1534" s="6"/>
      <c r="TUF1534" s="4"/>
      <c r="TUG1534" s="6"/>
      <c r="TUH1534" s="4"/>
      <c r="TUI1534" s="6"/>
      <c r="TUJ1534" s="4"/>
      <c r="TUK1534" s="6"/>
      <c r="TUL1534" s="4"/>
      <c r="TUM1534" s="6"/>
      <c r="TUN1534" s="4"/>
      <c r="TUO1534" s="6"/>
      <c r="TUP1534" s="4"/>
      <c r="TUQ1534" s="6"/>
      <c r="TUR1534" s="4"/>
      <c r="TUS1534" s="6"/>
      <c r="TUT1534" s="4"/>
      <c r="TUU1534" s="6"/>
      <c r="TUV1534" s="4"/>
      <c r="TUW1534" s="6"/>
      <c r="TUX1534" s="4"/>
      <c r="TUY1534" s="6"/>
      <c r="TUZ1534" s="4"/>
      <c r="TVA1534" s="6"/>
      <c r="TVB1534" s="4"/>
      <c r="TVC1534" s="6"/>
      <c r="TVD1534" s="4"/>
      <c r="TVE1534" s="6"/>
      <c r="TVF1534" s="4"/>
      <c r="TVG1534" s="6"/>
      <c r="TVH1534" s="4"/>
      <c r="TVI1534" s="6"/>
      <c r="TVJ1534" s="4"/>
      <c r="TVK1534" s="6"/>
      <c r="TVL1534" s="4"/>
      <c r="TVM1534" s="6"/>
      <c r="TVN1534" s="4"/>
      <c r="TVO1534" s="6"/>
      <c r="TVP1534" s="4"/>
      <c r="TVQ1534" s="6"/>
      <c r="TVR1534" s="4"/>
      <c r="TVS1534" s="6"/>
      <c r="TVT1534" s="4"/>
      <c r="TVU1534" s="6"/>
      <c r="TVV1534" s="4"/>
      <c r="TVW1534" s="6"/>
      <c r="TVX1534" s="4"/>
      <c r="TVY1534" s="6"/>
      <c r="TVZ1534" s="4"/>
      <c r="TWA1534" s="6"/>
      <c r="TWB1534" s="4"/>
      <c r="TWC1534" s="6"/>
      <c r="TWD1534" s="4"/>
      <c r="TWE1534" s="6"/>
      <c r="TWF1534" s="4"/>
      <c r="TWG1534" s="6"/>
      <c r="TWH1534" s="4"/>
      <c r="TWI1534" s="6"/>
      <c r="TWJ1534" s="4"/>
      <c r="TWK1534" s="6"/>
      <c r="TWL1534" s="4"/>
      <c r="TWM1534" s="6"/>
      <c r="TWN1534" s="4"/>
      <c r="TWO1534" s="6"/>
      <c r="TWP1534" s="4"/>
      <c r="TWQ1534" s="6"/>
      <c r="TWR1534" s="4"/>
      <c r="TWS1534" s="6"/>
      <c r="TWT1534" s="4"/>
      <c r="TWU1534" s="6"/>
      <c r="TWV1534" s="4"/>
      <c r="TWW1534" s="6"/>
      <c r="TWX1534" s="4"/>
      <c r="TWY1534" s="6"/>
      <c r="TWZ1534" s="4"/>
      <c r="TXA1534" s="6"/>
      <c r="TXB1534" s="4"/>
      <c r="TXC1534" s="6"/>
      <c r="TXD1534" s="4"/>
      <c r="TXE1534" s="6"/>
      <c r="TXF1534" s="4"/>
      <c r="TXG1534" s="6"/>
      <c r="TXH1534" s="4"/>
      <c r="TXI1534" s="6"/>
      <c r="TXJ1534" s="4"/>
      <c r="TXK1534" s="6"/>
      <c r="TXL1534" s="4"/>
      <c r="TXM1534" s="6"/>
      <c r="TXN1534" s="4"/>
      <c r="TXO1534" s="6"/>
      <c r="TXP1534" s="4"/>
      <c r="TXQ1534" s="6"/>
      <c r="TXR1534" s="4"/>
      <c r="TXS1534" s="6"/>
      <c r="TXT1534" s="4"/>
      <c r="TXU1534" s="6"/>
      <c r="TXV1534" s="4"/>
      <c r="TXW1534" s="6"/>
      <c r="TXX1534" s="4"/>
      <c r="TXY1534" s="6"/>
      <c r="TXZ1534" s="4"/>
      <c r="TYA1534" s="6"/>
      <c r="TYB1534" s="4"/>
      <c r="TYC1534" s="6"/>
      <c r="TYD1534" s="4"/>
      <c r="TYE1534" s="6"/>
      <c r="TYF1534" s="4"/>
      <c r="TYG1534" s="6"/>
      <c r="TYH1534" s="4"/>
      <c r="TYI1534" s="6"/>
      <c r="TYJ1534" s="4"/>
      <c r="TYK1534" s="6"/>
      <c r="TYL1534" s="4"/>
      <c r="TYM1534" s="6"/>
      <c r="TYN1534" s="4"/>
      <c r="TYO1534" s="6"/>
      <c r="TYP1534" s="4"/>
      <c r="TYQ1534" s="6"/>
      <c r="TYR1534" s="4"/>
      <c r="TYS1534" s="6"/>
      <c r="TYT1534" s="4"/>
      <c r="TYU1534" s="6"/>
      <c r="TYV1534" s="4"/>
      <c r="TYW1534" s="6"/>
      <c r="TYX1534" s="4"/>
      <c r="TYY1534" s="6"/>
      <c r="TYZ1534" s="4"/>
      <c r="TZA1534" s="6"/>
      <c r="TZB1534" s="4"/>
      <c r="TZC1534" s="6"/>
      <c r="TZD1534" s="4"/>
      <c r="TZE1534" s="6"/>
      <c r="TZF1534" s="4"/>
      <c r="TZG1534" s="6"/>
      <c r="TZH1534" s="4"/>
      <c r="TZI1534" s="6"/>
      <c r="TZJ1534" s="4"/>
      <c r="TZK1534" s="6"/>
      <c r="TZL1534" s="4"/>
      <c r="TZM1534" s="6"/>
      <c r="TZN1534" s="4"/>
      <c r="TZO1534" s="6"/>
      <c r="TZP1534" s="4"/>
      <c r="TZQ1534" s="6"/>
      <c r="TZR1534" s="4"/>
      <c r="TZS1534" s="6"/>
      <c r="TZT1534" s="4"/>
      <c r="TZU1534" s="6"/>
      <c r="TZV1534" s="4"/>
      <c r="TZW1534" s="6"/>
      <c r="TZX1534" s="4"/>
      <c r="TZY1534" s="6"/>
      <c r="TZZ1534" s="4"/>
      <c r="UAA1534" s="6"/>
      <c r="UAB1534" s="4"/>
      <c r="UAC1534" s="6"/>
      <c r="UAD1534" s="4"/>
      <c r="UAE1534" s="6"/>
      <c r="UAF1534" s="4"/>
      <c r="UAG1534" s="6"/>
      <c r="UAH1534" s="4"/>
      <c r="UAI1534" s="6"/>
      <c r="UAJ1534" s="4"/>
      <c r="UAK1534" s="6"/>
      <c r="UAL1534" s="4"/>
      <c r="UAM1534" s="6"/>
      <c r="UAN1534" s="4"/>
      <c r="UAO1534" s="6"/>
      <c r="UAP1534" s="4"/>
      <c r="UAQ1534" s="6"/>
      <c r="UAR1534" s="4"/>
      <c r="UAS1534" s="6"/>
      <c r="UAT1534" s="4"/>
      <c r="UAU1534" s="6"/>
      <c r="UAV1534" s="4"/>
      <c r="UAW1534" s="6"/>
      <c r="UAX1534" s="4"/>
      <c r="UAY1534" s="6"/>
      <c r="UAZ1534" s="4"/>
      <c r="UBA1534" s="6"/>
      <c r="UBB1534" s="4"/>
      <c r="UBC1534" s="6"/>
      <c r="UBD1534" s="4"/>
      <c r="UBE1534" s="6"/>
      <c r="UBF1534" s="4"/>
      <c r="UBG1534" s="6"/>
      <c r="UBH1534" s="4"/>
      <c r="UBI1534" s="6"/>
      <c r="UBJ1534" s="4"/>
      <c r="UBK1534" s="6"/>
      <c r="UBL1534" s="4"/>
      <c r="UBM1534" s="6"/>
      <c r="UBN1534" s="4"/>
      <c r="UBO1534" s="6"/>
      <c r="UBP1534" s="4"/>
      <c r="UBQ1534" s="6"/>
      <c r="UBR1534" s="4"/>
      <c r="UBS1534" s="6"/>
      <c r="UBT1534" s="4"/>
      <c r="UBU1534" s="6"/>
      <c r="UBV1534" s="4"/>
      <c r="UBW1534" s="6"/>
      <c r="UBX1534" s="4"/>
      <c r="UBY1534" s="6"/>
      <c r="UBZ1534" s="4"/>
      <c r="UCA1534" s="6"/>
      <c r="UCB1534" s="4"/>
      <c r="UCC1534" s="6"/>
      <c r="UCD1534" s="4"/>
      <c r="UCE1534" s="6"/>
      <c r="UCF1534" s="4"/>
      <c r="UCG1534" s="6"/>
      <c r="UCH1534" s="4"/>
      <c r="UCI1534" s="6"/>
      <c r="UCJ1534" s="4"/>
      <c r="UCK1534" s="6"/>
      <c r="UCL1534" s="4"/>
      <c r="UCM1534" s="6"/>
      <c r="UCN1534" s="4"/>
      <c r="UCO1534" s="6"/>
      <c r="UCP1534" s="4"/>
      <c r="UCQ1534" s="6"/>
      <c r="UCR1534" s="4"/>
      <c r="UCS1534" s="6"/>
      <c r="UCT1534" s="4"/>
      <c r="UCU1534" s="6"/>
      <c r="UCV1534" s="4"/>
      <c r="UCW1534" s="6"/>
      <c r="UCX1534" s="4"/>
      <c r="UCY1534" s="6"/>
      <c r="UCZ1534" s="4"/>
      <c r="UDA1534" s="6"/>
      <c r="UDB1534" s="4"/>
      <c r="UDC1534" s="6"/>
      <c r="UDD1534" s="4"/>
      <c r="UDE1534" s="6"/>
      <c r="UDF1534" s="4"/>
      <c r="UDG1534" s="6"/>
      <c r="UDH1534" s="4"/>
      <c r="UDI1534" s="6"/>
      <c r="UDJ1534" s="4"/>
      <c r="UDK1534" s="6"/>
      <c r="UDL1534" s="4"/>
      <c r="UDM1534" s="6"/>
      <c r="UDN1534" s="4"/>
      <c r="UDO1534" s="6"/>
      <c r="UDP1534" s="4"/>
      <c r="UDQ1534" s="6"/>
      <c r="UDR1534" s="4"/>
      <c r="UDS1534" s="6"/>
      <c r="UDT1534" s="4"/>
      <c r="UDU1534" s="6"/>
      <c r="UDV1534" s="4"/>
      <c r="UDW1534" s="6"/>
      <c r="UDX1534" s="4"/>
      <c r="UDY1534" s="6"/>
      <c r="UDZ1534" s="4"/>
      <c r="UEA1534" s="6"/>
      <c r="UEB1534" s="4"/>
      <c r="UEC1534" s="6"/>
      <c r="UED1534" s="4"/>
      <c r="UEE1534" s="6"/>
      <c r="UEF1534" s="4"/>
      <c r="UEG1534" s="6"/>
      <c r="UEH1534" s="4"/>
      <c r="UEI1534" s="6"/>
      <c r="UEJ1534" s="4"/>
      <c r="UEK1534" s="6"/>
      <c r="UEL1534" s="4"/>
      <c r="UEM1534" s="6"/>
      <c r="UEN1534" s="4"/>
      <c r="UEO1534" s="6"/>
      <c r="UEP1534" s="4"/>
      <c r="UEQ1534" s="6"/>
      <c r="UER1534" s="4"/>
      <c r="UES1534" s="6"/>
      <c r="UET1534" s="4"/>
      <c r="UEU1534" s="6"/>
      <c r="UEV1534" s="4"/>
      <c r="UEW1534" s="6"/>
      <c r="UEX1534" s="4"/>
      <c r="UEY1534" s="6"/>
      <c r="UEZ1534" s="4"/>
      <c r="UFA1534" s="6"/>
      <c r="UFB1534" s="4"/>
      <c r="UFC1534" s="6"/>
      <c r="UFD1534" s="4"/>
      <c r="UFE1534" s="6"/>
      <c r="UFF1534" s="4"/>
      <c r="UFG1534" s="6"/>
      <c r="UFH1534" s="4"/>
      <c r="UFI1534" s="6"/>
      <c r="UFJ1534" s="4"/>
      <c r="UFK1534" s="6"/>
      <c r="UFL1534" s="4"/>
      <c r="UFM1534" s="6"/>
      <c r="UFN1534" s="4"/>
      <c r="UFO1534" s="6"/>
      <c r="UFP1534" s="4"/>
      <c r="UFQ1534" s="6"/>
      <c r="UFR1534" s="4"/>
      <c r="UFS1534" s="6"/>
      <c r="UFT1534" s="4"/>
      <c r="UFU1534" s="6"/>
      <c r="UFV1534" s="4"/>
      <c r="UFW1534" s="6"/>
      <c r="UFX1534" s="4"/>
      <c r="UFY1534" s="6"/>
      <c r="UFZ1534" s="4"/>
      <c r="UGA1534" s="6"/>
      <c r="UGB1534" s="4"/>
      <c r="UGC1534" s="6"/>
      <c r="UGD1534" s="4"/>
      <c r="UGE1534" s="6"/>
      <c r="UGF1534" s="4"/>
      <c r="UGG1534" s="6"/>
      <c r="UGH1534" s="4"/>
      <c r="UGI1534" s="6"/>
      <c r="UGJ1534" s="4"/>
      <c r="UGK1534" s="6"/>
      <c r="UGL1534" s="4"/>
      <c r="UGM1534" s="6"/>
      <c r="UGN1534" s="4"/>
      <c r="UGO1534" s="6"/>
      <c r="UGP1534" s="4"/>
      <c r="UGQ1534" s="6"/>
      <c r="UGR1534" s="4"/>
      <c r="UGS1534" s="6"/>
      <c r="UGT1534" s="4"/>
      <c r="UGU1534" s="6"/>
      <c r="UGV1534" s="4"/>
      <c r="UGW1534" s="6"/>
      <c r="UGX1534" s="4"/>
      <c r="UGY1534" s="6"/>
      <c r="UGZ1534" s="4"/>
      <c r="UHA1534" s="6"/>
      <c r="UHB1534" s="4"/>
      <c r="UHC1534" s="6"/>
      <c r="UHD1534" s="4"/>
      <c r="UHE1534" s="6"/>
      <c r="UHF1534" s="4"/>
      <c r="UHG1534" s="6"/>
      <c r="UHH1534" s="4"/>
      <c r="UHI1534" s="6"/>
      <c r="UHJ1534" s="4"/>
      <c r="UHK1534" s="6"/>
      <c r="UHL1534" s="4"/>
      <c r="UHM1534" s="6"/>
      <c r="UHN1534" s="4"/>
      <c r="UHO1534" s="6"/>
      <c r="UHP1534" s="4"/>
      <c r="UHQ1534" s="6"/>
      <c r="UHR1534" s="4"/>
      <c r="UHS1534" s="6"/>
      <c r="UHT1534" s="4"/>
      <c r="UHU1534" s="6"/>
      <c r="UHV1534" s="4"/>
      <c r="UHW1534" s="6"/>
      <c r="UHX1534" s="4"/>
      <c r="UHY1534" s="6"/>
      <c r="UHZ1534" s="4"/>
      <c r="UIA1534" s="6"/>
      <c r="UIB1534" s="4"/>
      <c r="UIC1534" s="6"/>
      <c r="UID1534" s="4"/>
      <c r="UIE1534" s="6"/>
      <c r="UIF1534" s="4"/>
      <c r="UIG1534" s="6"/>
      <c r="UIH1534" s="4"/>
      <c r="UII1534" s="6"/>
      <c r="UIJ1534" s="4"/>
      <c r="UIK1534" s="6"/>
      <c r="UIL1534" s="4"/>
      <c r="UIM1534" s="6"/>
      <c r="UIN1534" s="4"/>
      <c r="UIO1534" s="6"/>
      <c r="UIP1534" s="4"/>
      <c r="UIQ1534" s="6"/>
      <c r="UIR1534" s="4"/>
      <c r="UIS1534" s="6"/>
      <c r="UIT1534" s="4"/>
      <c r="UIU1534" s="6"/>
      <c r="UIV1534" s="4"/>
      <c r="UIW1534" s="6"/>
      <c r="UIX1534" s="4"/>
      <c r="UIY1534" s="6"/>
      <c r="UIZ1534" s="4"/>
      <c r="UJA1534" s="6"/>
      <c r="UJB1534" s="4"/>
      <c r="UJC1534" s="6"/>
      <c r="UJD1534" s="4"/>
      <c r="UJE1534" s="6"/>
      <c r="UJF1534" s="4"/>
      <c r="UJG1534" s="6"/>
      <c r="UJH1534" s="4"/>
      <c r="UJI1534" s="6"/>
      <c r="UJJ1534" s="4"/>
      <c r="UJK1534" s="6"/>
      <c r="UJL1534" s="4"/>
      <c r="UJM1534" s="6"/>
      <c r="UJN1534" s="4"/>
      <c r="UJO1534" s="6"/>
      <c r="UJP1534" s="4"/>
      <c r="UJQ1534" s="6"/>
      <c r="UJR1534" s="4"/>
      <c r="UJS1534" s="6"/>
      <c r="UJT1534" s="4"/>
      <c r="UJU1534" s="6"/>
      <c r="UJV1534" s="4"/>
      <c r="UJW1534" s="6"/>
      <c r="UJX1534" s="4"/>
      <c r="UJY1534" s="6"/>
      <c r="UJZ1534" s="4"/>
      <c r="UKA1534" s="6"/>
      <c r="UKB1534" s="4"/>
      <c r="UKC1534" s="6"/>
      <c r="UKD1534" s="4"/>
      <c r="UKE1534" s="6"/>
      <c r="UKF1534" s="4"/>
      <c r="UKG1534" s="6"/>
      <c r="UKH1534" s="4"/>
      <c r="UKI1534" s="6"/>
      <c r="UKJ1534" s="4"/>
      <c r="UKK1534" s="6"/>
      <c r="UKL1534" s="4"/>
      <c r="UKM1534" s="6"/>
      <c r="UKN1534" s="4"/>
      <c r="UKO1534" s="6"/>
      <c r="UKP1534" s="4"/>
      <c r="UKQ1534" s="6"/>
      <c r="UKR1534" s="4"/>
      <c r="UKS1534" s="6"/>
      <c r="UKT1534" s="4"/>
      <c r="UKU1534" s="6"/>
      <c r="UKV1534" s="4"/>
      <c r="UKW1534" s="6"/>
      <c r="UKX1534" s="4"/>
      <c r="UKY1534" s="6"/>
      <c r="UKZ1534" s="4"/>
      <c r="ULA1534" s="6"/>
      <c r="ULB1534" s="4"/>
      <c r="ULC1534" s="6"/>
      <c r="ULD1534" s="4"/>
      <c r="ULE1534" s="6"/>
      <c r="ULF1534" s="4"/>
      <c r="ULG1534" s="6"/>
      <c r="ULH1534" s="4"/>
      <c r="ULI1534" s="6"/>
      <c r="ULJ1534" s="4"/>
      <c r="ULK1534" s="6"/>
      <c r="ULL1534" s="4"/>
      <c r="ULM1534" s="6"/>
      <c r="ULN1534" s="4"/>
      <c r="ULO1534" s="6"/>
      <c r="ULP1534" s="4"/>
      <c r="ULQ1534" s="6"/>
      <c r="ULR1534" s="4"/>
      <c r="ULS1534" s="6"/>
      <c r="ULT1534" s="4"/>
      <c r="ULU1534" s="6"/>
      <c r="ULV1534" s="4"/>
      <c r="ULW1534" s="6"/>
      <c r="ULX1534" s="4"/>
      <c r="ULY1534" s="6"/>
      <c r="ULZ1534" s="4"/>
      <c r="UMA1534" s="6"/>
      <c r="UMB1534" s="4"/>
      <c r="UMC1534" s="6"/>
      <c r="UMD1534" s="4"/>
      <c r="UME1534" s="6"/>
      <c r="UMF1534" s="4"/>
      <c r="UMG1534" s="6"/>
      <c r="UMH1534" s="4"/>
      <c r="UMI1534" s="6"/>
      <c r="UMJ1534" s="4"/>
      <c r="UMK1534" s="6"/>
      <c r="UML1534" s="4"/>
      <c r="UMM1534" s="6"/>
      <c r="UMN1534" s="4"/>
      <c r="UMO1534" s="6"/>
      <c r="UMP1534" s="4"/>
      <c r="UMQ1534" s="6"/>
      <c r="UMR1534" s="4"/>
      <c r="UMS1534" s="6"/>
      <c r="UMT1534" s="4"/>
      <c r="UMU1534" s="6"/>
      <c r="UMV1534" s="4"/>
      <c r="UMW1534" s="6"/>
      <c r="UMX1534" s="4"/>
      <c r="UMY1534" s="6"/>
      <c r="UMZ1534" s="4"/>
      <c r="UNA1534" s="6"/>
      <c r="UNB1534" s="4"/>
      <c r="UNC1534" s="6"/>
      <c r="UND1534" s="4"/>
      <c r="UNE1534" s="6"/>
      <c r="UNF1534" s="4"/>
      <c r="UNG1534" s="6"/>
      <c r="UNH1534" s="4"/>
      <c r="UNI1534" s="6"/>
      <c r="UNJ1534" s="4"/>
      <c r="UNK1534" s="6"/>
      <c r="UNL1534" s="4"/>
      <c r="UNM1534" s="6"/>
      <c r="UNN1534" s="4"/>
      <c r="UNO1534" s="6"/>
      <c r="UNP1534" s="4"/>
      <c r="UNQ1534" s="6"/>
      <c r="UNR1534" s="4"/>
      <c r="UNS1534" s="6"/>
      <c r="UNT1534" s="4"/>
      <c r="UNU1534" s="6"/>
      <c r="UNV1534" s="4"/>
      <c r="UNW1534" s="6"/>
      <c r="UNX1534" s="4"/>
      <c r="UNY1534" s="6"/>
      <c r="UNZ1534" s="4"/>
      <c r="UOA1534" s="6"/>
      <c r="UOB1534" s="4"/>
      <c r="UOC1534" s="6"/>
      <c r="UOD1534" s="4"/>
      <c r="UOE1534" s="6"/>
      <c r="UOF1534" s="4"/>
      <c r="UOG1534" s="6"/>
      <c r="UOH1534" s="4"/>
      <c r="UOI1534" s="6"/>
      <c r="UOJ1534" s="4"/>
      <c r="UOK1534" s="6"/>
      <c r="UOL1534" s="4"/>
      <c r="UOM1534" s="6"/>
      <c r="UON1534" s="4"/>
      <c r="UOO1534" s="6"/>
      <c r="UOP1534" s="4"/>
      <c r="UOQ1534" s="6"/>
      <c r="UOR1534" s="4"/>
      <c r="UOS1534" s="6"/>
      <c r="UOT1534" s="4"/>
      <c r="UOU1534" s="6"/>
      <c r="UOV1534" s="4"/>
      <c r="UOW1534" s="6"/>
      <c r="UOX1534" s="4"/>
      <c r="UOY1534" s="6"/>
      <c r="UOZ1534" s="4"/>
      <c r="UPA1534" s="6"/>
      <c r="UPB1534" s="4"/>
      <c r="UPC1534" s="6"/>
      <c r="UPD1534" s="4"/>
      <c r="UPE1534" s="6"/>
      <c r="UPF1534" s="4"/>
      <c r="UPG1534" s="6"/>
      <c r="UPH1534" s="4"/>
      <c r="UPI1534" s="6"/>
      <c r="UPJ1534" s="4"/>
      <c r="UPK1534" s="6"/>
      <c r="UPL1534" s="4"/>
      <c r="UPM1534" s="6"/>
      <c r="UPN1534" s="4"/>
      <c r="UPO1534" s="6"/>
      <c r="UPP1534" s="4"/>
      <c r="UPQ1534" s="6"/>
      <c r="UPR1534" s="4"/>
      <c r="UPS1534" s="6"/>
      <c r="UPT1534" s="4"/>
      <c r="UPU1534" s="6"/>
      <c r="UPV1534" s="4"/>
      <c r="UPW1534" s="6"/>
      <c r="UPX1534" s="4"/>
      <c r="UPY1534" s="6"/>
      <c r="UPZ1534" s="4"/>
      <c r="UQA1534" s="6"/>
      <c r="UQB1534" s="4"/>
      <c r="UQC1534" s="6"/>
      <c r="UQD1534" s="4"/>
      <c r="UQE1534" s="6"/>
      <c r="UQF1534" s="4"/>
      <c r="UQG1534" s="6"/>
      <c r="UQH1534" s="4"/>
      <c r="UQI1534" s="6"/>
      <c r="UQJ1534" s="4"/>
      <c r="UQK1534" s="6"/>
      <c r="UQL1534" s="4"/>
      <c r="UQM1534" s="6"/>
      <c r="UQN1534" s="4"/>
      <c r="UQO1534" s="6"/>
      <c r="UQP1534" s="4"/>
      <c r="UQQ1534" s="6"/>
      <c r="UQR1534" s="4"/>
      <c r="UQS1534" s="6"/>
      <c r="UQT1534" s="4"/>
      <c r="UQU1534" s="6"/>
      <c r="UQV1534" s="4"/>
      <c r="UQW1534" s="6"/>
      <c r="UQX1534" s="4"/>
      <c r="UQY1534" s="6"/>
      <c r="UQZ1534" s="4"/>
      <c r="URA1534" s="6"/>
      <c r="URB1534" s="4"/>
      <c r="URC1534" s="6"/>
      <c r="URD1534" s="4"/>
      <c r="URE1534" s="6"/>
      <c r="URF1534" s="4"/>
      <c r="URG1534" s="6"/>
      <c r="URH1534" s="4"/>
      <c r="URI1534" s="6"/>
      <c r="URJ1534" s="4"/>
      <c r="URK1534" s="6"/>
      <c r="URL1534" s="4"/>
      <c r="URM1534" s="6"/>
      <c r="URN1534" s="4"/>
      <c r="URO1534" s="6"/>
      <c r="URP1534" s="4"/>
      <c r="URQ1534" s="6"/>
      <c r="URR1534" s="4"/>
      <c r="URS1534" s="6"/>
      <c r="URT1534" s="4"/>
      <c r="URU1534" s="6"/>
      <c r="URV1534" s="4"/>
      <c r="URW1534" s="6"/>
      <c r="URX1534" s="4"/>
      <c r="URY1534" s="6"/>
      <c r="URZ1534" s="4"/>
      <c r="USA1534" s="6"/>
      <c r="USB1534" s="4"/>
      <c r="USC1534" s="6"/>
      <c r="USD1534" s="4"/>
      <c r="USE1534" s="6"/>
      <c r="USF1534" s="4"/>
      <c r="USG1534" s="6"/>
      <c r="USH1534" s="4"/>
      <c r="USI1534" s="6"/>
      <c r="USJ1534" s="4"/>
      <c r="USK1534" s="6"/>
      <c r="USL1534" s="4"/>
      <c r="USM1534" s="6"/>
      <c r="USN1534" s="4"/>
      <c r="USO1534" s="6"/>
      <c r="USP1534" s="4"/>
      <c r="USQ1534" s="6"/>
      <c r="USR1534" s="4"/>
      <c r="USS1534" s="6"/>
      <c r="UST1534" s="4"/>
      <c r="USU1534" s="6"/>
      <c r="USV1534" s="4"/>
      <c r="USW1534" s="6"/>
      <c r="USX1534" s="4"/>
      <c r="USY1534" s="6"/>
      <c r="USZ1534" s="4"/>
      <c r="UTA1534" s="6"/>
      <c r="UTB1534" s="4"/>
      <c r="UTC1534" s="6"/>
      <c r="UTD1534" s="4"/>
      <c r="UTE1534" s="6"/>
      <c r="UTF1534" s="4"/>
      <c r="UTG1534" s="6"/>
      <c r="UTH1534" s="4"/>
      <c r="UTI1534" s="6"/>
      <c r="UTJ1534" s="4"/>
      <c r="UTK1534" s="6"/>
      <c r="UTL1534" s="4"/>
      <c r="UTM1534" s="6"/>
      <c r="UTN1534" s="4"/>
      <c r="UTO1534" s="6"/>
      <c r="UTP1534" s="4"/>
      <c r="UTQ1534" s="6"/>
      <c r="UTR1534" s="4"/>
      <c r="UTS1534" s="6"/>
      <c r="UTT1534" s="4"/>
      <c r="UTU1534" s="6"/>
      <c r="UTV1534" s="4"/>
      <c r="UTW1534" s="6"/>
      <c r="UTX1534" s="4"/>
      <c r="UTY1534" s="6"/>
      <c r="UTZ1534" s="4"/>
      <c r="UUA1534" s="6"/>
      <c r="UUB1534" s="4"/>
      <c r="UUC1534" s="6"/>
      <c r="UUD1534" s="4"/>
      <c r="UUE1534" s="6"/>
      <c r="UUF1534" s="4"/>
      <c r="UUG1534" s="6"/>
      <c r="UUH1534" s="4"/>
      <c r="UUI1534" s="6"/>
      <c r="UUJ1534" s="4"/>
      <c r="UUK1534" s="6"/>
      <c r="UUL1534" s="4"/>
      <c r="UUM1534" s="6"/>
      <c r="UUN1534" s="4"/>
      <c r="UUO1534" s="6"/>
      <c r="UUP1534" s="4"/>
      <c r="UUQ1534" s="6"/>
      <c r="UUR1534" s="4"/>
      <c r="UUS1534" s="6"/>
      <c r="UUT1534" s="4"/>
      <c r="UUU1534" s="6"/>
      <c r="UUV1534" s="4"/>
      <c r="UUW1534" s="6"/>
      <c r="UUX1534" s="4"/>
      <c r="UUY1534" s="6"/>
      <c r="UUZ1534" s="4"/>
      <c r="UVA1534" s="6"/>
      <c r="UVB1534" s="4"/>
      <c r="UVC1534" s="6"/>
      <c r="UVD1534" s="4"/>
      <c r="UVE1534" s="6"/>
      <c r="UVF1534" s="4"/>
      <c r="UVG1534" s="6"/>
      <c r="UVH1534" s="4"/>
      <c r="UVI1534" s="6"/>
      <c r="UVJ1534" s="4"/>
      <c r="UVK1534" s="6"/>
      <c r="UVL1534" s="4"/>
      <c r="UVM1534" s="6"/>
      <c r="UVN1534" s="4"/>
      <c r="UVO1534" s="6"/>
      <c r="UVP1534" s="4"/>
      <c r="UVQ1534" s="6"/>
      <c r="UVR1534" s="4"/>
      <c r="UVS1534" s="6"/>
      <c r="UVT1534" s="4"/>
      <c r="UVU1534" s="6"/>
      <c r="UVV1534" s="4"/>
      <c r="UVW1534" s="6"/>
      <c r="UVX1534" s="4"/>
      <c r="UVY1534" s="6"/>
      <c r="UVZ1534" s="4"/>
      <c r="UWA1534" s="6"/>
      <c r="UWB1534" s="4"/>
      <c r="UWC1534" s="6"/>
      <c r="UWD1534" s="4"/>
      <c r="UWE1534" s="6"/>
      <c r="UWF1534" s="4"/>
      <c r="UWG1534" s="6"/>
      <c r="UWH1534" s="4"/>
      <c r="UWI1534" s="6"/>
      <c r="UWJ1534" s="4"/>
      <c r="UWK1534" s="6"/>
      <c r="UWL1534" s="4"/>
      <c r="UWM1534" s="6"/>
      <c r="UWN1534" s="4"/>
      <c r="UWO1534" s="6"/>
      <c r="UWP1534" s="4"/>
      <c r="UWQ1534" s="6"/>
      <c r="UWR1534" s="4"/>
      <c r="UWS1534" s="6"/>
      <c r="UWT1534" s="4"/>
      <c r="UWU1534" s="6"/>
      <c r="UWV1534" s="4"/>
      <c r="UWW1534" s="6"/>
      <c r="UWX1534" s="4"/>
      <c r="UWY1534" s="6"/>
      <c r="UWZ1534" s="4"/>
      <c r="UXA1534" s="6"/>
      <c r="UXB1534" s="4"/>
      <c r="UXC1534" s="6"/>
      <c r="UXD1534" s="4"/>
      <c r="UXE1534" s="6"/>
      <c r="UXF1534" s="4"/>
      <c r="UXG1534" s="6"/>
      <c r="UXH1534" s="4"/>
      <c r="UXI1534" s="6"/>
      <c r="UXJ1534" s="4"/>
      <c r="UXK1534" s="6"/>
      <c r="UXL1534" s="4"/>
      <c r="UXM1534" s="6"/>
      <c r="UXN1534" s="4"/>
      <c r="UXO1534" s="6"/>
      <c r="UXP1534" s="4"/>
      <c r="UXQ1534" s="6"/>
      <c r="UXR1534" s="4"/>
      <c r="UXS1534" s="6"/>
      <c r="UXT1534" s="4"/>
      <c r="UXU1534" s="6"/>
      <c r="UXV1534" s="4"/>
      <c r="UXW1534" s="6"/>
      <c r="UXX1534" s="4"/>
      <c r="UXY1534" s="6"/>
      <c r="UXZ1534" s="4"/>
      <c r="UYA1534" s="6"/>
      <c r="UYB1534" s="4"/>
      <c r="UYC1534" s="6"/>
      <c r="UYD1534" s="4"/>
      <c r="UYE1534" s="6"/>
      <c r="UYF1534" s="4"/>
      <c r="UYG1534" s="6"/>
      <c r="UYH1534" s="4"/>
      <c r="UYI1534" s="6"/>
      <c r="UYJ1534" s="4"/>
      <c r="UYK1534" s="6"/>
      <c r="UYL1534" s="4"/>
      <c r="UYM1534" s="6"/>
      <c r="UYN1534" s="4"/>
      <c r="UYO1534" s="6"/>
      <c r="UYP1534" s="4"/>
      <c r="UYQ1534" s="6"/>
      <c r="UYR1534" s="4"/>
      <c r="UYS1534" s="6"/>
      <c r="UYT1534" s="4"/>
      <c r="UYU1534" s="6"/>
      <c r="UYV1534" s="4"/>
      <c r="UYW1534" s="6"/>
      <c r="UYX1534" s="4"/>
      <c r="UYY1534" s="6"/>
      <c r="UYZ1534" s="4"/>
      <c r="UZA1534" s="6"/>
      <c r="UZB1534" s="4"/>
      <c r="UZC1534" s="6"/>
      <c r="UZD1534" s="4"/>
      <c r="UZE1534" s="6"/>
      <c r="UZF1534" s="4"/>
      <c r="UZG1534" s="6"/>
      <c r="UZH1534" s="4"/>
      <c r="UZI1534" s="6"/>
      <c r="UZJ1534" s="4"/>
      <c r="UZK1534" s="6"/>
      <c r="UZL1534" s="4"/>
      <c r="UZM1534" s="6"/>
      <c r="UZN1534" s="4"/>
      <c r="UZO1534" s="6"/>
      <c r="UZP1534" s="4"/>
      <c r="UZQ1534" s="6"/>
      <c r="UZR1534" s="4"/>
      <c r="UZS1534" s="6"/>
      <c r="UZT1534" s="4"/>
      <c r="UZU1534" s="6"/>
      <c r="UZV1534" s="4"/>
      <c r="UZW1534" s="6"/>
      <c r="UZX1534" s="4"/>
      <c r="UZY1534" s="6"/>
      <c r="UZZ1534" s="4"/>
      <c r="VAA1534" s="6"/>
      <c r="VAB1534" s="4"/>
      <c r="VAC1534" s="6"/>
      <c r="VAD1534" s="4"/>
      <c r="VAE1534" s="6"/>
      <c r="VAF1534" s="4"/>
      <c r="VAG1534" s="6"/>
      <c r="VAH1534" s="4"/>
      <c r="VAI1534" s="6"/>
      <c r="VAJ1534" s="4"/>
      <c r="VAK1534" s="6"/>
      <c r="VAL1534" s="4"/>
      <c r="VAM1534" s="6"/>
      <c r="VAN1534" s="4"/>
      <c r="VAO1534" s="6"/>
      <c r="VAP1534" s="4"/>
      <c r="VAQ1534" s="6"/>
      <c r="VAR1534" s="4"/>
      <c r="VAS1534" s="6"/>
      <c r="VAT1534" s="4"/>
      <c r="VAU1534" s="6"/>
      <c r="VAV1534" s="4"/>
      <c r="VAW1534" s="6"/>
      <c r="VAX1534" s="4"/>
      <c r="VAY1534" s="6"/>
      <c r="VAZ1534" s="4"/>
      <c r="VBA1534" s="6"/>
      <c r="VBB1534" s="4"/>
      <c r="VBC1534" s="6"/>
      <c r="VBD1534" s="4"/>
      <c r="VBE1534" s="6"/>
      <c r="VBF1534" s="4"/>
      <c r="VBG1534" s="6"/>
      <c r="VBH1534" s="4"/>
      <c r="VBI1534" s="6"/>
      <c r="VBJ1534" s="4"/>
      <c r="VBK1534" s="6"/>
      <c r="VBL1534" s="4"/>
      <c r="VBM1534" s="6"/>
      <c r="VBN1534" s="4"/>
      <c r="VBO1534" s="6"/>
      <c r="VBP1534" s="4"/>
      <c r="VBQ1534" s="6"/>
      <c r="VBR1534" s="4"/>
      <c r="VBS1534" s="6"/>
      <c r="VBT1534" s="4"/>
      <c r="VBU1534" s="6"/>
      <c r="VBV1534" s="4"/>
      <c r="VBW1534" s="6"/>
      <c r="VBX1534" s="4"/>
      <c r="VBY1534" s="6"/>
      <c r="VBZ1534" s="4"/>
      <c r="VCA1534" s="6"/>
      <c r="VCB1534" s="4"/>
      <c r="VCC1534" s="6"/>
      <c r="VCD1534" s="4"/>
      <c r="VCE1534" s="6"/>
      <c r="VCF1534" s="4"/>
      <c r="VCG1534" s="6"/>
      <c r="VCH1534" s="4"/>
      <c r="VCI1534" s="6"/>
      <c r="VCJ1534" s="4"/>
      <c r="VCK1534" s="6"/>
      <c r="VCL1534" s="4"/>
      <c r="VCM1534" s="6"/>
      <c r="VCN1534" s="4"/>
      <c r="VCO1534" s="6"/>
      <c r="VCP1534" s="4"/>
      <c r="VCQ1534" s="6"/>
      <c r="VCR1534" s="4"/>
      <c r="VCS1534" s="6"/>
      <c r="VCT1534" s="4"/>
      <c r="VCU1534" s="6"/>
      <c r="VCV1534" s="4"/>
      <c r="VCW1534" s="6"/>
      <c r="VCX1534" s="4"/>
      <c r="VCY1534" s="6"/>
      <c r="VCZ1534" s="4"/>
      <c r="VDA1534" s="6"/>
      <c r="VDB1534" s="4"/>
      <c r="VDC1534" s="6"/>
      <c r="VDD1534" s="4"/>
      <c r="VDE1534" s="6"/>
      <c r="VDF1534" s="4"/>
      <c r="VDG1534" s="6"/>
      <c r="VDH1534" s="4"/>
      <c r="VDI1534" s="6"/>
      <c r="VDJ1534" s="4"/>
      <c r="VDK1534" s="6"/>
      <c r="VDL1534" s="4"/>
      <c r="VDM1534" s="6"/>
      <c r="VDN1534" s="4"/>
      <c r="VDO1534" s="6"/>
      <c r="VDP1534" s="4"/>
      <c r="VDQ1534" s="6"/>
      <c r="VDR1534" s="4"/>
      <c r="VDS1534" s="6"/>
      <c r="VDT1534" s="4"/>
      <c r="VDU1534" s="6"/>
      <c r="VDV1534" s="4"/>
      <c r="VDW1534" s="6"/>
      <c r="VDX1534" s="4"/>
      <c r="VDY1534" s="6"/>
      <c r="VDZ1534" s="4"/>
      <c r="VEA1534" s="6"/>
      <c r="VEB1534" s="4"/>
      <c r="VEC1534" s="6"/>
      <c r="VED1534" s="4"/>
      <c r="VEE1534" s="6"/>
      <c r="VEF1534" s="4"/>
      <c r="VEG1534" s="6"/>
      <c r="VEH1534" s="4"/>
      <c r="VEI1534" s="6"/>
      <c r="VEJ1534" s="4"/>
      <c r="VEK1534" s="6"/>
      <c r="VEL1534" s="4"/>
      <c r="VEM1534" s="6"/>
      <c r="VEN1534" s="4"/>
      <c r="VEO1534" s="6"/>
      <c r="VEP1534" s="4"/>
      <c r="VEQ1534" s="6"/>
      <c r="VER1534" s="4"/>
      <c r="VES1534" s="6"/>
      <c r="VET1534" s="4"/>
      <c r="VEU1534" s="6"/>
      <c r="VEV1534" s="4"/>
      <c r="VEW1534" s="6"/>
      <c r="VEX1534" s="4"/>
      <c r="VEY1534" s="6"/>
      <c r="VEZ1534" s="4"/>
      <c r="VFA1534" s="6"/>
      <c r="VFB1534" s="4"/>
      <c r="VFC1534" s="6"/>
      <c r="VFD1534" s="4"/>
      <c r="VFE1534" s="6"/>
      <c r="VFF1534" s="4"/>
      <c r="VFG1534" s="6"/>
      <c r="VFH1534" s="4"/>
      <c r="VFI1534" s="6"/>
      <c r="VFJ1534" s="4"/>
      <c r="VFK1534" s="6"/>
      <c r="VFL1534" s="4"/>
      <c r="VFM1534" s="6"/>
      <c r="VFN1534" s="4"/>
      <c r="VFO1534" s="6"/>
      <c r="VFP1534" s="4"/>
      <c r="VFQ1534" s="6"/>
      <c r="VFR1534" s="4"/>
      <c r="VFS1534" s="6"/>
      <c r="VFT1534" s="4"/>
      <c r="VFU1534" s="6"/>
      <c r="VFV1534" s="4"/>
      <c r="VFW1534" s="6"/>
      <c r="VFX1534" s="4"/>
      <c r="VFY1534" s="6"/>
      <c r="VFZ1534" s="4"/>
      <c r="VGA1534" s="6"/>
      <c r="VGB1534" s="4"/>
      <c r="VGC1534" s="6"/>
      <c r="VGD1534" s="4"/>
      <c r="VGE1534" s="6"/>
      <c r="VGF1534" s="4"/>
      <c r="VGG1534" s="6"/>
      <c r="VGH1534" s="4"/>
      <c r="VGI1534" s="6"/>
      <c r="VGJ1534" s="4"/>
      <c r="VGK1534" s="6"/>
      <c r="VGL1534" s="4"/>
      <c r="VGM1534" s="6"/>
      <c r="VGN1534" s="4"/>
      <c r="VGO1534" s="6"/>
      <c r="VGP1534" s="4"/>
      <c r="VGQ1534" s="6"/>
      <c r="VGR1534" s="4"/>
      <c r="VGS1534" s="6"/>
      <c r="VGT1534" s="4"/>
      <c r="VGU1534" s="6"/>
      <c r="VGV1534" s="4"/>
      <c r="VGW1534" s="6"/>
      <c r="VGX1534" s="4"/>
      <c r="VGY1534" s="6"/>
      <c r="VGZ1534" s="4"/>
      <c r="VHA1534" s="6"/>
      <c r="VHB1534" s="4"/>
      <c r="VHC1534" s="6"/>
      <c r="VHD1534" s="4"/>
      <c r="VHE1534" s="6"/>
      <c r="VHF1534" s="4"/>
      <c r="VHG1534" s="6"/>
      <c r="VHH1534" s="4"/>
      <c r="VHI1534" s="6"/>
      <c r="VHJ1534" s="4"/>
      <c r="VHK1534" s="6"/>
      <c r="VHL1534" s="4"/>
      <c r="VHM1534" s="6"/>
      <c r="VHN1534" s="4"/>
      <c r="VHO1534" s="6"/>
      <c r="VHP1534" s="4"/>
      <c r="VHQ1534" s="6"/>
      <c r="VHR1534" s="4"/>
      <c r="VHS1534" s="6"/>
      <c r="VHT1534" s="4"/>
      <c r="VHU1534" s="6"/>
      <c r="VHV1534" s="4"/>
      <c r="VHW1534" s="6"/>
      <c r="VHX1534" s="4"/>
      <c r="VHY1534" s="6"/>
      <c r="VHZ1534" s="4"/>
      <c r="VIA1534" s="6"/>
      <c r="VIB1534" s="4"/>
      <c r="VIC1534" s="6"/>
      <c r="VID1534" s="4"/>
      <c r="VIE1534" s="6"/>
      <c r="VIF1534" s="4"/>
      <c r="VIG1534" s="6"/>
      <c r="VIH1534" s="4"/>
      <c r="VII1534" s="6"/>
      <c r="VIJ1534" s="4"/>
      <c r="VIK1534" s="6"/>
      <c r="VIL1534" s="4"/>
      <c r="VIM1534" s="6"/>
      <c r="VIN1534" s="4"/>
      <c r="VIO1534" s="6"/>
      <c r="VIP1534" s="4"/>
      <c r="VIQ1534" s="6"/>
      <c r="VIR1534" s="4"/>
      <c r="VIS1534" s="6"/>
      <c r="VIT1534" s="4"/>
      <c r="VIU1534" s="6"/>
      <c r="VIV1534" s="4"/>
      <c r="VIW1534" s="6"/>
      <c r="VIX1534" s="4"/>
      <c r="VIY1534" s="6"/>
      <c r="VIZ1534" s="4"/>
      <c r="VJA1534" s="6"/>
      <c r="VJB1534" s="4"/>
      <c r="VJC1534" s="6"/>
      <c r="VJD1534" s="4"/>
      <c r="VJE1534" s="6"/>
      <c r="VJF1534" s="4"/>
      <c r="VJG1534" s="6"/>
      <c r="VJH1534" s="4"/>
      <c r="VJI1534" s="6"/>
      <c r="VJJ1534" s="4"/>
      <c r="VJK1534" s="6"/>
      <c r="VJL1534" s="4"/>
      <c r="VJM1534" s="6"/>
      <c r="VJN1534" s="4"/>
      <c r="VJO1534" s="6"/>
      <c r="VJP1534" s="4"/>
      <c r="VJQ1534" s="6"/>
      <c r="VJR1534" s="4"/>
      <c r="VJS1534" s="6"/>
      <c r="VJT1534" s="4"/>
      <c r="VJU1534" s="6"/>
      <c r="VJV1534" s="4"/>
      <c r="VJW1534" s="6"/>
      <c r="VJX1534" s="4"/>
      <c r="VJY1534" s="6"/>
      <c r="VJZ1534" s="4"/>
      <c r="VKA1534" s="6"/>
      <c r="VKB1534" s="4"/>
      <c r="VKC1534" s="6"/>
      <c r="VKD1534" s="4"/>
      <c r="VKE1534" s="6"/>
      <c r="VKF1534" s="4"/>
      <c r="VKG1534" s="6"/>
      <c r="VKH1534" s="4"/>
      <c r="VKI1534" s="6"/>
      <c r="VKJ1534" s="4"/>
      <c r="VKK1534" s="6"/>
      <c r="VKL1534" s="4"/>
      <c r="VKM1534" s="6"/>
      <c r="VKN1534" s="4"/>
      <c r="VKO1534" s="6"/>
      <c r="VKP1534" s="4"/>
      <c r="VKQ1534" s="6"/>
      <c r="VKR1534" s="4"/>
      <c r="VKS1534" s="6"/>
      <c r="VKT1534" s="4"/>
      <c r="VKU1534" s="6"/>
      <c r="VKV1534" s="4"/>
      <c r="VKW1534" s="6"/>
      <c r="VKX1534" s="4"/>
      <c r="VKY1534" s="6"/>
      <c r="VKZ1534" s="4"/>
      <c r="VLA1534" s="6"/>
      <c r="VLB1534" s="4"/>
      <c r="VLC1534" s="6"/>
      <c r="VLD1534" s="4"/>
      <c r="VLE1534" s="6"/>
      <c r="VLF1534" s="4"/>
      <c r="VLG1534" s="6"/>
      <c r="VLH1534" s="4"/>
      <c r="VLI1534" s="6"/>
      <c r="VLJ1534" s="4"/>
      <c r="VLK1534" s="6"/>
      <c r="VLL1534" s="4"/>
      <c r="VLM1534" s="6"/>
      <c r="VLN1534" s="4"/>
      <c r="VLO1534" s="6"/>
      <c r="VLP1534" s="4"/>
      <c r="VLQ1534" s="6"/>
      <c r="VLR1534" s="4"/>
      <c r="VLS1534" s="6"/>
      <c r="VLT1534" s="4"/>
      <c r="VLU1534" s="6"/>
      <c r="VLV1534" s="4"/>
      <c r="VLW1534" s="6"/>
      <c r="VLX1534" s="4"/>
      <c r="VLY1534" s="6"/>
      <c r="VLZ1534" s="4"/>
      <c r="VMA1534" s="6"/>
      <c r="VMB1534" s="4"/>
      <c r="VMC1534" s="6"/>
      <c r="VMD1534" s="4"/>
      <c r="VME1534" s="6"/>
      <c r="VMF1534" s="4"/>
      <c r="VMG1534" s="6"/>
      <c r="VMH1534" s="4"/>
      <c r="VMI1534" s="6"/>
      <c r="VMJ1534" s="4"/>
      <c r="VMK1534" s="6"/>
      <c r="VML1534" s="4"/>
      <c r="VMM1534" s="6"/>
      <c r="VMN1534" s="4"/>
      <c r="VMO1534" s="6"/>
      <c r="VMP1534" s="4"/>
      <c r="VMQ1534" s="6"/>
      <c r="VMR1534" s="4"/>
      <c r="VMS1534" s="6"/>
      <c r="VMT1534" s="4"/>
      <c r="VMU1534" s="6"/>
      <c r="VMV1534" s="4"/>
      <c r="VMW1534" s="6"/>
      <c r="VMX1534" s="4"/>
      <c r="VMY1534" s="6"/>
      <c r="VMZ1534" s="4"/>
      <c r="VNA1534" s="6"/>
      <c r="VNB1534" s="4"/>
      <c r="VNC1534" s="6"/>
      <c r="VND1534" s="4"/>
      <c r="VNE1534" s="6"/>
      <c r="VNF1534" s="4"/>
      <c r="VNG1534" s="6"/>
      <c r="VNH1534" s="4"/>
      <c r="VNI1534" s="6"/>
      <c r="VNJ1534" s="4"/>
      <c r="VNK1534" s="6"/>
      <c r="VNL1534" s="4"/>
      <c r="VNM1534" s="6"/>
      <c r="VNN1534" s="4"/>
      <c r="VNO1534" s="6"/>
      <c r="VNP1534" s="4"/>
      <c r="VNQ1534" s="6"/>
      <c r="VNR1534" s="4"/>
      <c r="VNS1534" s="6"/>
      <c r="VNT1534" s="4"/>
      <c r="VNU1534" s="6"/>
      <c r="VNV1534" s="4"/>
      <c r="VNW1534" s="6"/>
      <c r="VNX1534" s="4"/>
      <c r="VNY1534" s="6"/>
      <c r="VNZ1534" s="4"/>
      <c r="VOA1534" s="6"/>
      <c r="VOB1534" s="4"/>
      <c r="VOC1534" s="6"/>
      <c r="VOD1534" s="4"/>
      <c r="VOE1534" s="6"/>
      <c r="VOF1534" s="4"/>
      <c r="VOG1534" s="6"/>
      <c r="VOH1534" s="4"/>
      <c r="VOI1534" s="6"/>
      <c r="VOJ1534" s="4"/>
      <c r="VOK1534" s="6"/>
      <c r="VOL1534" s="4"/>
      <c r="VOM1534" s="6"/>
      <c r="VON1534" s="4"/>
      <c r="VOO1534" s="6"/>
      <c r="VOP1534" s="4"/>
      <c r="VOQ1534" s="6"/>
      <c r="VOR1534" s="4"/>
      <c r="VOS1534" s="6"/>
      <c r="VOT1534" s="4"/>
      <c r="VOU1534" s="6"/>
      <c r="VOV1534" s="4"/>
      <c r="VOW1534" s="6"/>
      <c r="VOX1534" s="4"/>
      <c r="VOY1534" s="6"/>
      <c r="VOZ1534" s="4"/>
      <c r="VPA1534" s="6"/>
      <c r="VPB1534" s="4"/>
      <c r="VPC1534" s="6"/>
      <c r="VPD1534" s="4"/>
      <c r="VPE1534" s="6"/>
      <c r="VPF1534" s="4"/>
      <c r="VPG1534" s="6"/>
      <c r="VPH1534" s="4"/>
      <c r="VPI1534" s="6"/>
      <c r="VPJ1534" s="4"/>
      <c r="VPK1534" s="6"/>
      <c r="VPL1534" s="4"/>
      <c r="VPM1534" s="6"/>
      <c r="VPN1534" s="4"/>
      <c r="VPO1534" s="6"/>
      <c r="VPP1534" s="4"/>
      <c r="VPQ1534" s="6"/>
      <c r="VPR1534" s="4"/>
      <c r="VPS1534" s="6"/>
      <c r="VPT1534" s="4"/>
      <c r="VPU1534" s="6"/>
      <c r="VPV1534" s="4"/>
      <c r="VPW1534" s="6"/>
      <c r="VPX1534" s="4"/>
      <c r="VPY1534" s="6"/>
      <c r="VPZ1534" s="4"/>
      <c r="VQA1534" s="6"/>
      <c r="VQB1534" s="4"/>
      <c r="VQC1534" s="6"/>
      <c r="VQD1534" s="4"/>
      <c r="VQE1534" s="6"/>
      <c r="VQF1534" s="4"/>
      <c r="VQG1534" s="6"/>
      <c r="VQH1534" s="4"/>
      <c r="VQI1534" s="6"/>
      <c r="VQJ1534" s="4"/>
      <c r="VQK1534" s="6"/>
      <c r="VQL1534" s="4"/>
      <c r="VQM1534" s="6"/>
      <c r="VQN1534" s="4"/>
      <c r="VQO1534" s="6"/>
      <c r="VQP1534" s="4"/>
      <c r="VQQ1534" s="6"/>
      <c r="VQR1534" s="4"/>
      <c r="VQS1534" s="6"/>
      <c r="VQT1534" s="4"/>
      <c r="VQU1534" s="6"/>
      <c r="VQV1534" s="4"/>
      <c r="VQW1534" s="6"/>
      <c r="VQX1534" s="4"/>
      <c r="VQY1534" s="6"/>
      <c r="VQZ1534" s="4"/>
      <c r="VRA1534" s="6"/>
      <c r="VRB1534" s="4"/>
      <c r="VRC1534" s="6"/>
      <c r="VRD1534" s="4"/>
      <c r="VRE1534" s="6"/>
      <c r="VRF1534" s="4"/>
      <c r="VRG1534" s="6"/>
      <c r="VRH1534" s="4"/>
      <c r="VRI1534" s="6"/>
      <c r="VRJ1534" s="4"/>
      <c r="VRK1534" s="6"/>
      <c r="VRL1534" s="4"/>
      <c r="VRM1534" s="6"/>
      <c r="VRN1534" s="4"/>
      <c r="VRO1534" s="6"/>
      <c r="VRP1534" s="4"/>
      <c r="VRQ1534" s="6"/>
      <c r="VRR1534" s="4"/>
      <c r="VRS1534" s="6"/>
      <c r="VRT1534" s="4"/>
      <c r="VRU1534" s="6"/>
      <c r="VRV1534" s="4"/>
      <c r="VRW1534" s="6"/>
      <c r="VRX1534" s="4"/>
      <c r="VRY1534" s="6"/>
      <c r="VRZ1534" s="4"/>
      <c r="VSA1534" s="6"/>
      <c r="VSB1534" s="4"/>
      <c r="VSC1534" s="6"/>
      <c r="VSD1534" s="4"/>
      <c r="VSE1534" s="6"/>
      <c r="VSF1534" s="4"/>
      <c r="VSG1534" s="6"/>
      <c r="VSH1534" s="4"/>
      <c r="VSI1534" s="6"/>
      <c r="VSJ1534" s="4"/>
      <c r="VSK1534" s="6"/>
      <c r="VSL1534" s="4"/>
      <c r="VSM1534" s="6"/>
      <c r="VSN1534" s="4"/>
      <c r="VSO1534" s="6"/>
      <c r="VSP1534" s="4"/>
      <c r="VSQ1534" s="6"/>
      <c r="VSR1534" s="4"/>
      <c r="VSS1534" s="6"/>
      <c r="VST1534" s="4"/>
      <c r="VSU1534" s="6"/>
      <c r="VSV1534" s="4"/>
      <c r="VSW1534" s="6"/>
      <c r="VSX1534" s="4"/>
      <c r="VSY1534" s="6"/>
      <c r="VSZ1534" s="4"/>
      <c r="VTA1534" s="6"/>
      <c r="VTB1534" s="4"/>
      <c r="VTC1534" s="6"/>
      <c r="VTD1534" s="4"/>
      <c r="VTE1534" s="6"/>
      <c r="VTF1534" s="4"/>
      <c r="VTG1534" s="6"/>
      <c r="VTH1534" s="4"/>
      <c r="VTI1534" s="6"/>
      <c r="VTJ1534" s="4"/>
      <c r="VTK1534" s="6"/>
      <c r="VTL1534" s="4"/>
      <c r="VTM1534" s="6"/>
      <c r="VTN1534" s="4"/>
      <c r="VTO1534" s="6"/>
      <c r="VTP1534" s="4"/>
      <c r="VTQ1534" s="6"/>
      <c r="VTR1534" s="4"/>
      <c r="VTS1534" s="6"/>
      <c r="VTT1534" s="4"/>
      <c r="VTU1534" s="6"/>
      <c r="VTV1534" s="4"/>
      <c r="VTW1534" s="6"/>
      <c r="VTX1534" s="4"/>
      <c r="VTY1534" s="6"/>
      <c r="VTZ1534" s="4"/>
      <c r="VUA1534" s="6"/>
      <c r="VUB1534" s="4"/>
      <c r="VUC1534" s="6"/>
      <c r="VUD1534" s="4"/>
      <c r="VUE1534" s="6"/>
      <c r="VUF1534" s="4"/>
      <c r="VUG1534" s="6"/>
      <c r="VUH1534" s="4"/>
      <c r="VUI1534" s="6"/>
      <c r="VUJ1534" s="4"/>
      <c r="VUK1534" s="6"/>
      <c r="VUL1534" s="4"/>
      <c r="VUM1534" s="6"/>
      <c r="VUN1534" s="4"/>
      <c r="VUO1534" s="6"/>
      <c r="VUP1534" s="4"/>
      <c r="VUQ1534" s="6"/>
      <c r="VUR1534" s="4"/>
      <c r="VUS1534" s="6"/>
      <c r="VUT1534" s="4"/>
      <c r="VUU1534" s="6"/>
      <c r="VUV1534" s="4"/>
      <c r="VUW1534" s="6"/>
      <c r="VUX1534" s="4"/>
      <c r="VUY1534" s="6"/>
      <c r="VUZ1534" s="4"/>
      <c r="VVA1534" s="6"/>
      <c r="VVB1534" s="4"/>
      <c r="VVC1534" s="6"/>
      <c r="VVD1534" s="4"/>
      <c r="VVE1534" s="6"/>
      <c r="VVF1534" s="4"/>
      <c r="VVG1534" s="6"/>
      <c r="VVH1534" s="4"/>
      <c r="VVI1534" s="6"/>
      <c r="VVJ1534" s="4"/>
      <c r="VVK1534" s="6"/>
      <c r="VVL1534" s="4"/>
      <c r="VVM1534" s="6"/>
      <c r="VVN1534" s="4"/>
      <c r="VVO1534" s="6"/>
      <c r="VVP1534" s="4"/>
      <c r="VVQ1534" s="6"/>
      <c r="VVR1534" s="4"/>
      <c r="VVS1534" s="6"/>
      <c r="VVT1534" s="4"/>
      <c r="VVU1534" s="6"/>
      <c r="VVV1534" s="4"/>
      <c r="VVW1534" s="6"/>
      <c r="VVX1534" s="4"/>
      <c r="VVY1534" s="6"/>
      <c r="VVZ1534" s="4"/>
      <c r="VWA1534" s="6"/>
      <c r="VWB1534" s="4"/>
      <c r="VWC1534" s="6"/>
      <c r="VWD1534" s="4"/>
      <c r="VWE1534" s="6"/>
      <c r="VWF1534" s="4"/>
      <c r="VWG1534" s="6"/>
      <c r="VWH1534" s="4"/>
      <c r="VWI1534" s="6"/>
      <c r="VWJ1534" s="4"/>
      <c r="VWK1534" s="6"/>
      <c r="VWL1534" s="4"/>
      <c r="VWM1534" s="6"/>
      <c r="VWN1534" s="4"/>
      <c r="VWO1534" s="6"/>
      <c r="VWP1534" s="4"/>
      <c r="VWQ1534" s="6"/>
      <c r="VWR1534" s="4"/>
      <c r="VWS1534" s="6"/>
      <c r="VWT1534" s="4"/>
      <c r="VWU1534" s="6"/>
      <c r="VWV1534" s="4"/>
      <c r="VWW1534" s="6"/>
      <c r="VWX1534" s="4"/>
      <c r="VWY1534" s="6"/>
      <c r="VWZ1534" s="4"/>
      <c r="VXA1534" s="6"/>
      <c r="VXB1534" s="4"/>
      <c r="VXC1534" s="6"/>
      <c r="VXD1534" s="4"/>
      <c r="VXE1534" s="6"/>
      <c r="VXF1534" s="4"/>
      <c r="VXG1534" s="6"/>
      <c r="VXH1534" s="4"/>
      <c r="VXI1534" s="6"/>
      <c r="VXJ1534" s="4"/>
      <c r="VXK1534" s="6"/>
      <c r="VXL1534" s="4"/>
      <c r="VXM1534" s="6"/>
      <c r="VXN1534" s="4"/>
      <c r="VXO1534" s="6"/>
      <c r="VXP1534" s="4"/>
      <c r="VXQ1534" s="6"/>
      <c r="VXR1534" s="4"/>
      <c r="VXS1534" s="6"/>
      <c r="VXT1534" s="4"/>
      <c r="VXU1534" s="6"/>
      <c r="VXV1534" s="4"/>
      <c r="VXW1534" s="6"/>
      <c r="VXX1534" s="4"/>
      <c r="VXY1534" s="6"/>
      <c r="VXZ1534" s="4"/>
      <c r="VYA1534" s="6"/>
      <c r="VYB1534" s="4"/>
      <c r="VYC1534" s="6"/>
      <c r="VYD1534" s="4"/>
      <c r="VYE1534" s="6"/>
      <c r="VYF1534" s="4"/>
      <c r="VYG1534" s="6"/>
      <c r="VYH1534" s="4"/>
      <c r="VYI1534" s="6"/>
      <c r="VYJ1534" s="4"/>
      <c r="VYK1534" s="6"/>
      <c r="VYL1534" s="4"/>
      <c r="VYM1534" s="6"/>
      <c r="VYN1534" s="4"/>
      <c r="VYO1534" s="6"/>
      <c r="VYP1534" s="4"/>
      <c r="VYQ1534" s="6"/>
      <c r="VYR1534" s="4"/>
      <c r="VYS1534" s="6"/>
      <c r="VYT1534" s="4"/>
      <c r="VYU1534" s="6"/>
      <c r="VYV1534" s="4"/>
      <c r="VYW1534" s="6"/>
      <c r="VYX1534" s="4"/>
      <c r="VYY1534" s="6"/>
      <c r="VYZ1534" s="4"/>
      <c r="VZA1534" s="6"/>
      <c r="VZB1534" s="4"/>
      <c r="VZC1534" s="6"/>
      <c r="VZD1534" s="4"/>
      <c r="VZE1534" s="6"/>
      <c r="VZF1534" s="4"/>
      <c r="VZG1534" s="6"/>
      <c r="VZH1534" s="4"/>
      <c r="VZI1534" s="6"/>
      <c r="VZJ1534" s="4"/>
      <c r="VZK1534" s="6"/>
      <c r="VZL1534" s="4"/>
      <c r="VZM1534" s="6"/>
      <c r="VZN1534" s="4"/>
      <c r="VZO1534" s="6"/>
      <c r="VZP1534" s="4"/>
      <c r="VZQ1534" s="6"/>
      <c r="VZR1534" s="4"/>
      <c r="VZS1534" s="6"/>
      <c r="VZT1534" s="4"/>
      <c r="VZU1534" s="6"/>
      <c r="VZV1534" s="4"/>
      <c r="VZW1534" s="6"/>
      <c r="VZX1534" s="4"/>
      <c r="VZY1534" s="6"/>
      <c r="VZZ1534" s="4"/>
      <c r="WAA1534" s="6"/>
      <c r="WAB1534" s="4"/>
      <c r="WAC1534" s="6"/>
      <c r="WAD1534" s="4"/>
      <c r="WAE1534" s="6"/>
      <c r="WAF1534" s="4"/>
      <c r="WAG1534" s="6"/>
      <c r="WAH1534" s="4"/>
      <c r="WAI1534" s="6"/>
      <c r="WAJ1534" s="4"/>
      <c r="WAK1534" s="6"/>
      <c r="WAL1534" s="4"/>
      <c r="WAM1534" s="6"/>
      <c r="WAN1534" s="4"/>
      <c r="WAO1534" s="6"/>
      <c r="WAP1534" s="4"/>
      <c r="WAQ1534" s="6"/>
      <c r="WAR1534" s="4"/>
      <c r="WAS1534" s="6"/>
      <c r="WAT1534" s="4"/>
      <c r="WAU1534" s="6"/>
      <c r="WAV1534" s="4"/>
      <c r="WAW1534" s="6"/>
      <c r="WAX1534" s="4"/>
      <c r="WAY1534" s="6"/>
      <c r="WAZ1534" s="4"/>
      <c r="WBA1534" s="6"/>
      <c r="WBB1534" s="4"/>
      <c r="WBC1534" s="6"/>
      <c r="WBD1534" s="4"/>
      <c r="WBE1534" s="6"/>
      <c r="WBF1534" s="4"/>
      <c r="WBG1534" s="6"/>
      <c r="WBH1534" s="4"/>
      <c r="WBI1534" s="6"/>
      <c r="WBJ1534" s="4"/>
      <c r="WBK1534" s="6"/>
      <c r="WBL1534" s="4"/>
      <c r="WBM1534" s="6"/>
      <c r="WBN1534" s="4"/>
      <c r="WBO1534" s="6"/>
      <c r="WBP1534" s="4"/>
      <c r="WBQ1534" s="6"/>
      <c r="WBR1534" s="4"/>
      <c r="WBS1534" s="6"/>
      <c r="WBT1534" s="4"/>
      <c r="WBU1534" s="6"/>
      <c r="WBV1534" s="4"/>
      <c r="WBW1534" s="6"/>
      <c r="WBX1534" s="4"/>
      <c r="WBY1534" s="6"/>
      <c r="WBZ1534" s="4"/>
      <c r="WCA1534" s="6"/>
      <c r="WCB1534" s="4"/>
      <c r="WCC1534" s="6"/>
      <c r="WCD1534" s="4"/>
      <c r="WCE1534" s="6"/>
      <c r="WCF1534" s="4"/>
      <c r="WCG1534" s="6"/>
      <c r="WCH1534" s="4"/>
      <c r="WCI1534" s="6"/>
      <c r="WCJ1534" s="4"/>
      <c r="WCK1534" s="6"/>
      <c r="WCL1534" s="4"/>
      <c r="WCM1534" s="6"/>
      <c r="WCN1534" s="4"/>
      <c r="WCO1534" s="6"/>
      <c r="WCP1534" s="4"/>
      <c r="WCQ1534" s="6"/>
      <c r="WCR1534" s="4"/>
      <c r="WCS1534" s="6"/>
      <c r="WCT1534" s="4"/>
      <c r="WCU1534" s="6"/>
      <c r="WCV1534" s="4"/>
      <c r="WCW1534" s="6"/>
      <c r="WCX1534" s="4"/>
      <c r="WCY1534" s="6"/>
      <c r="WCZ1534" s="4"/>
      <c r="WDA1534" s="6"/>
      <c r="WDB1534" s="4"/>
      <c r="WDC1534" s="6"/>
      <c r="WDD1534" s="4"/>
      <c r="WDE1534" s="6"/>
      <c r="WDF1534" s="4"/>
      <c r="WDG1534" s="6"/>
      <c r="WDH1534" s="4"/>
      <c r="WDI1534" s="6"/>
      <c r="WDJ1534" s="4"/>
      <c r="WDK1534" s="6"/>
      <c r="WDL1534" s="4"/>
      <c r="WDM1534" s="6"/>
      <c r="WDN1534" s="4"/>
      <c r="WDO1534" s="6"/>
      <c r="WDP1534" s="4"/>
      <c r="WDQ1534" s="6"/>
      <c r="WDR1534" s="4"/>
      <c r="WDS1534" s="6"/>
      <c r="WDT1534" s="4"/>
      <c r="WDU1534" s="6"/>
      <c r="WDV1534" s="4"/>
      <c r="WDW1534" s="6"/>
      <c r="WDX1534" s="4"/>
      <c r="WDY1534" s="6"/>
      <c r="WDZ1534" s="4"/>
      <c r="WEA1534" s="6"/>
      <c r="WEB1534" s="4"/>
      <c r="WEC1534" s="6"/>
      <c r="WED1534" s="4"/>
      <c r="WEE1534" s="6"/>
      <c r="WEF1534" s="4"/>
      <c r="WEG1534" s="6"/>
      <c r="WEH1534" s="4"/>
      <c r="WEI1534" s="6"/>
      <c r="WEJ1534" s="4"/>
      <c r="WEK1534" s="6"/>
      <c r="WEL1534" s="4"/>
      <c r="WEM1534" s="6"/>
      <c r="WEN1534" s="4"/>
      <c r="WEO1534" s="6"/>
      <c r="WEP1534" s="4"/>
      <c r="WEQ1534" s="6"/>
      <c r="WER1534" s="4"/>
      <c r="WES1534" s="6"/>
      <c r="WET1534" s="4"/>
      <c r="WEU1534" s="6"/>
      <c r="WEV1534" s="4"/>
      <c r="WEW1534" s="6"/>
      <c r="WEX1534" s="4"/>
      <c r="WEY1534" s="6"/>
      <c r="WEZ1534" s="4"/>
      <c r="WFA1534" s="6"/>
      <c r="WFB1534" s="4"/>
      <c r="WFC1534" s="6"/>
      <c r="WFD1534" s="4"/>
      <c r="WFE1534" s="6"/>
      <c r="WFF1534" s="4"/>
      <c r="WFG1534" s="6"/>
      <c r="WFH1534" s="4"/>
      <c r="WFI1534" s="6"/>
      <c r="WFJ1534" s="4"/>
      <c r="WFK1534" s="6"/>
      <c r="WFL1534" s="4"/>
      <c r="WFM1534" s="6"/>
      <c r="WFN1534" s="4"/>
      <c r="WFO1534" s="6"/>
      <c r="WFP1534" s="4"/>
      <c r="WFQ1534" s="6"/>
      <c r="WFR1534" s="4"/>
      <c r="WFS1534" s="6"/>
      <c r="WFT1534" s="4"/>
      <c r="WFU1534" s="6"/>
      <c r="WFV1534" s="4"/>
      <c r="WFW1534" s="6"/>
      <c r="WFX1534" s="4"/>
      <c r="WFY1534" s="6"/>
      <c r="WFZ1534" s="4"/>
      <c r="WGA1534" s="6"/>
      <c r="WGB1534" s="4"/>
      <c r="WGC1534" s="6"/>
      <c r="WGD1534" s="4"/>
      <c r="WGE1534" s="6"/>
      <c r="WGF1534" s="4"/>
      <c r="WGG1534" s="6"/>
      <c r="WGH1534" s="4"/>
      <c r="WGI1534" s="6"/>
      <c r="WGJ1534" s="4"/>
      <c r="WGK1534" s="6"/>
      <c r="WGL1534" s="4"/>
      <c r="WGM1534" s="6"/>
      <c r="WGN1534" s="4"/>
      <c r="WGO1534" s="6"/>
      <c r="WGP1534" s="4"/>
      <c r="WGQ1534" s="6"/>
      <c r="WGR1534" s="4"/>
      <c r="WGS1534" s="6"/>
      <c r="WGT1534" s="4"/>
      <c r="WGU1534" s="6"/>
      <c r="WGV1534" s="4"/>
      <c r="WGW1534" s="6"/>
      <c r="WGX1534" s="4"/>
      <c r="WGY1534" s="6"/>
      <c r="WGZ1534" s="4"/>
      <c r="WHA1534" s="6"/>
      <c r="WHB1534" s="4"/>
      <c r="WHC1534" s="6"/>
      <c r="WHD1534" s="4"/>
      <c r="WHE1534" s="6"/>
      <c r="WHF1534" s="4"/>
      <c r="WHG1534" s="6"/>
      <c r="WHH1534" s="4"/>
      <c r="WHI1534" s="6"/>
      <c r="WHJ1534" s="4"/>
      <c r="WHK1534" s="6"/>
      <c r="WHL1534" s="4"/>
      <c r="WHM1534" s="6"/>
      <c r="WHN1534" s="4"/>
      <c r="WHO1534" s="6"/>
      <c r="WHP1534" s="4"/>
      <c r="WHQ1534" s="6"/>
      <c r="WHR1534" s="4"/>
      <c r="WHS1534" s="6"/>
      <c r="WHT1534" s="4"/>
      <c r="WHU1534" s="6"/>
      <c r="WHV1534" s="4"/>
      <c r="WHW1534" s="6"/>
      <c r="WHX1534" s="4"/>
      <c r="WHY1534" s="6"/>
      <c r="WHZ1534" s="4"/>
      <c r="WIA1534" s="6"/>
      <c r="WIB1534" s="4"/>
      <c r="WIC1534" s="6"/>
      <c r="WID1534" s="4"/>
      <c r="WIE1534" s="6"/>
      <c r="WIF1534" s="4"/>
      <c r="WIG1534" s="6"/>
      <c r="WIH1534" s="4"/>
      <c r="WII1534" s="6"/>
      <c r="WIJ1534" s="4"/>
      <c r="WIK1534" s="6"/>
      <c r="WIL1534" s="4"/>
      <c r="WIM1534" s="6"/>
      <c r="WIN1534" s="4"/>
      <c r="WIO1534" s="6"/>
      <c r="WIP1534" s="4"/>
      <c r="WIQ1534" s="6"/>
      <c r="WIR1534" s="4"/>
      <c r="WIS1534" s="6"/>
      <c r="WIT1534" s="4"/>
      <c r="WIU1534" s="6"/>
      <c r="WIV1534" s="4"/>
      <c r="WIW1534" s="6"/>
      <c r="WIX1534" s="4"/>
      <c r="WIY1534" s="6"/>
      <c r="WIZ1534" s="4"/>
      <c r="WJA1534" s="6"/>
      <c r="WJB1534" s="4"/>
      <c r="WJC1534" s="6"/>
      <c r="WJD1534" s="4"/>
      <c r="WJE1534" s="6"/>
      <c r="WJF1534" s="4"/>
      <c r="WJG1534" s="6"/>
      <c r="WJH1534" s="4"/>
      <c r="WJI1534" s="6"/>
      <c r="WJJ1534" s="4"/>
      <c r="WJK1534" s="6"/>
      <c r="WJL1534" s="4"/>
      <c r="WJM1534" s="6"/>
      <c r="WJN1534" s="4"/>
      <c r="WJO1534" s="6"/>
      <c r="WJP1534" s="4"/>
      <c r="WJQ1534" s="6"/>
      <c r="WJR1534" s="4"/>
      <c r="WJS1534" s="6"/>
      <c r="WJT1534" s="4"/>
      <c r="WJU1534" s="6"/>
      <c r="WJV1534" s="4"/>
      <c r="WJW1534" s="6"/>
      <c r="WJX1534" s="4"/>
      <c r="WJY1534" s="6"/>
      <c r="WJZ1534" s="4"/>
      <c r="WKA1534" s="6"/>
      <c r="WKB1534" s="4"/>
      <c r="WKC1534" s="6"/>
      <c r="WKD1534" s="4"/>
      <c r="WKE1534" s="6"/>
      <c r="WKF1534" s="4"/>
      <c r="WKG1534" s="6"/>
      <c r="WKH1534" s="4"/>
      <c r="WKI1534" s="6"/>
      <c r="WKJ1534" s="4"/>
      <c r="WKK1534" s="6"/>
      <c r="WKL1534" s="4"/>
      <c r="WKM1534" s="6"/>
      <c r="WKN1534" s="4"/>
      <c r="WKO1534" s="6"/>
      <c r="WKP1534" s="4"/>
      <c r="WKQ1534" s="6"/>
      <c r="WKR1534" s="4"/>
      <c r="WKS1534" s="6"/>
      <c r="WKT1534" s="4"/>
      <c r="WKU1534" s="6"/>
      <c r="WKV1534" s="4"/>
      <c r="WKW1534" s="6"/>
      <c r="WKX1534" s="4"/>
      <c r="WKY1534" s="6"/>
      <c r="WKZ1534" s="4"/>
      <c r="WLA1534" s="6"/>
      <c r="WLB1534" s="4"/>
      <c r="WLC1534" s="6"/>
      <c r="WLD1534" s="4"/>
      <c r="WLE1534" s="6"/>
      <c r="WLF1534" s="4"/>
      <c r="WLG1534" s="6"/>
      <c r="WLH1534" s="4"/>
      <c r="WLI1534" s="6"/>
      <c r="WLJ1534" s="4"/>
      <c r="WLK1534" s="6"/>
      <c r="WLL1534" s="4"/>
      <c r="WLM1534" s="6"/>
      <c r="WLN1534" s="4"/>
      <c r="WLO1534" s="6"/>
      <c r="WLP1534" s="4"/>
      <c r="WLQ1534" s="6"/>
      <c r="WLR1534" s="4"/>
      <c r="WLS1534" s="6"/>
      <c r="WLT1534" s="4"/>
      <c r="WLU1534" s="6"/>
      <c r="WLV1534" s="4"/>
      <c r="WLW1534" s="6"/>
      <c r="WLX1534" s="4"/>
      <c r="WLY1534" s="6"/>
      <c r="WLZ1534" s="4"/>
      <c r="WMA1534" s="6"/>
      <c r="WMB1534" s="4"/>
      <c r="WMC1534" s="6"/>
      <c r="WMD1534" s="4"/>
      <c r="WME1534" s="6"/>
      <c r="WMF1534" s="4"/>
      <c r="WMG1534" s="6"/>
      <c r="WMH1534" s="4"/>
      <c r="WMI1534" s="6"/>
      <c r="WMJ1534" s="4"/>
      <c r="WMK1534" s="6"/>
      <c r="WML1534" s="4"/>
      <c r="WMM1534" s="6"/>
      <c r="WMN1534" s="4"/>
      <c r="WMO1534" s="6"/>
      <c r="WMP1534" s="4"/>
      <c r="WMQ1534" s="6"/>
      <c r="WMR1534" s="4"/>
      <c r="WMS1534" s="6"/>
      <c r="WMT1534" s="4"/>
      <c r="WMU1534" s="6"/>
      <c r="WMV1534" s="4"/>
      <c r="WMW1534" s="6"/>
      <c r="WMX1534" s="4"/>
      <c r="WMY1534" s="6"/>
      <c r="WMZ1534" s="4"/>
      <c r="WNA1534" s="6"/>
      <c r="WNB1534" s="4"/>
      <c r="WNC1534" s="6"/>
      <c r="WND1534" s="4"/>
      <c r="WNE1534" s="6"/>
      <c r="WNF1534" s="4"/>
      <c r="WNG1534" s="6"/>
      <c r="WNH1534" s="4"/>
      <c r="WNI1534" s="6"/>
      <c r="WNJ1534" s="4"/>
      <c r="WNK1534" s="6"/>
      <c r="WNL1534" s="4"/>
      <c r="WNM1534" s="6"/>
      <c r="WNN1534" s="4"/>
      <c r="WNO1534" s="6"/>
      <c r="WNP1534" s="4"/>
      <c r="WNQ1534" s="6"/>
      <c r="WNR1534" s="4"/>
      <c r="WNS1534" s="6"/>
      <c r="WNT1534" s="4"/>
      <c r="WNU1534" s="6"/>
      <c r="WNV1534" s="4"/>
      <c r="WNW1534" s="6"/>
      <c r="WNX1534" s="4"/>
      <c r="WNY1534" s="6"/>
      <c r="WNZ1534" s="4"/>
      <c r="WOA1534" s="6"/>
      <c r="WOB1534" s="4"/>
      <c r="WOC1534" s="6"/>
      <c r="WOD1534" s="4"/>
      <c r="WOE1534" s="6"/>
      <c r="WOF1534" s="4"/>
      <c r="WOG1534" s="6"/>
      <c r="WOH1534" s="4"/>
      <c r="WOI1534" s="6"/>
      <c r="WOJ1534" s="4"/>
      <c r="WOK1534" s="6"/>
      <c r="WOL1534" s="4"/>
      <c r="WOM1534" s="6"/>
      <c r="WON1534" s="4"/>
      <c r="WOO1534" s="6"/>
      <c r="WOP1534" s="4"/>
      <c r="WOQ1534" s="6"/>
      <c r="WOR1534" s="4"/>
      <c r="WOS1534" s="6"/>
      <c r="WOT1534" s="4"/>
      <c r="WOU1534" s="6"/>
      <c r="WOV1534" s="4"/>
      <c r="WOW1534" s="6"/>
      <c r="WOX1534" s="4"/>
      <c r="WOY1534" s="6"/>
      <c r="WOZ1534" s="4"/>
      <c r="WPA1534" s="6"/>
      <c r="WPB1534" s="4"/>
      <c r="WPC1534" s="6"/>
      <c r="WPD1534" s="4"/>
      <c r="WPE1534" s="6"/>
      <c r="WPF1534" s="4"/>
      <c r="WPG1534" s="6"/>
      <c r="WPH1534" s="4"/>
      <c r="WPI1534" s="6"/>
      <c r="WPJ1534" s="4"/>
      <c r="WPK1534" s="6"/>
      <c r="WPL1534" s="4"/>
      <c r="WPM1534" s="6"/>
      <c r="WPN1534" s="4"/>
      <c r="WPO1534" s="6"/>
      <c r="WPP1534" s="4"/>
      <c r="WPQ1534" s="6"/>
      <c r="WPR1534" s="4"/>
      <c r="WPS1534" s="6"/>
      <c r="WPT1534" s="4"/>
      <c r="WPU1534" s="6"/>
      <c r="WPV1534" s="4"/>
      <c r="WPW1534" s="6"/>
      <c r="WPX1534" s="4"/>
      <c r="WPY1534" s="6"/>
      <c r="WPZ1534" s="4"/>
      <c r="WQA1534" s="6"/>
      <c r="WQB1534" s="4"/>
      <c r="WQC1534" s="6"/>
      <c r="WQD1534" s="4"/>
      <c r="WQE1534" s="6"/>
      <c r="WQF1534" s="4"/>
      <c r="WQG1534" s="6"/>
      <c r="WQH1534" s="4"/>
      <c r="WQI1534" s="6"/>
      <c r="WQJ1534" s="4"/>
      <c r="WQK1534" s="6"/>
      <c r="WQL1534" s="4"/>
      <c r="WQM1534" s="6"/>
      <c r="WQN1534" s="4"/>
      <c r="WQO1534" s="6"/>
      <c r="WQP1534" s="4"/>
      <c r="WQQ1534" s="6"/>
      <c r="WQR1534" s="4"/>
      <c r="WQS1534" s="6"/>
      <c r="WQT1534" s="4"/>
      <c r="WQU1534" s="6"/>
      <c r="WQV1534" s="4"/>
      <c r="WQW1534" s="6"/>
      <c r="WQX1534" s="4"/>
      <c r="WQY1534" s="6"/>
      <c r="WQZ1534" s="4"/>
      <c r="WRA1534" s="6"/>
      <c r="WRB1534" s="4"/>
      <c r="WRC1534" s="6"/>
      <c r="WRD1534" s="4"/>
      <c r="WRE1534" s="6"/>
      <c r="WRF1534" s="4"/>
      <c r="WRG1534" s="6"/>
      <c r="WRH1534" s="4"/>
      <c r="WRI1534" s="6"/>
      <c r="WRJ1534" s="4"/>
      <c r="WRK1534" s="6"/>
      <c r="WRL1534" s="4"/>
      <c r="WRM1534" s="6"/>
      <c r="WRN1534" s="4"/>
      <c r="WRO1534" s="6"/>
      <c r="WRP1534" s="4"/>
      <c r="WRQ1534" s="6"/>
      <c r="WRR1534" s="4"/>
      <c r="WRS1534" s="6"/>
      <c r="WRT1534" s="4"/>
      <c r="WRU1534" s="6"/>
      <c r="WRV1534" s="4"/>
      <c r="WRW1534" s="6"/>
      <c r="WRX1534" s="4"/>
      <c r="WRY1534" s="6"/>
      <c r="WRZ1534" s="4"/>
      <c r="WSA1534" s="6"/>
      <c r="WSB1534" s="4"/>
      <c r="WSC1534" s="6"/>
      <c r="WSD1534" s="4"/>
      <c r="WSE1534" s="6"/>
      <c r="WSF1534" s="4"/>
      <c r="WSG1534" s="6"/>
      <c r="WSH1534" s="4"/>
      <c r="WSI1534" s="6"/>
      <c r="WSJ1534" s="4"/>
      <c r="WSK1534" s="6"/>
      <c r="WSL1534" s="4"/>
      <c r="WSM1534" s="6"/>
      <c r="WSN1534" s="4"/>
      <c r="WSO1534" s="6"/>
      <c r="WSP1534" s="4"/>
      <c r="WSQ1534" s="6"/>
      <c r="WSR1534" s="4"/>
      <c r="WSS1534" s="6"/>
      <c r="WST1534" s="4"/>
      <c r="WSU1534" s="6"/>
      <c r="WSV1534" s="4"/>
      <c r="WSW1534" s="6"/>
      <c r="WSX1534" s="4"/>
      <c r="WSY1534" s="6"/>
      <c r="WSZ1534" s="4"/>
      <c r="WTA1534" s="6"/>
      <c r="WTB1534" s="4"/>
      <c r="WTC1534" s="6"/>
      <c r="WTD1534" s="4"/>
      <c r="WTE1534" s="6"/>
      <c r="WTF1534" s="4"/>
      <c r="WTG1534" s="6"/>
      <c r="WTH1534" s="4"/>
      <c r="WTI1534" s="6"/>
      <c r="WTJ1534" s="4"/>
      <c r="WTK1534" s="6"/>
      <c r="WTL1534" s="4"/>
      <c r="WTM1534" s="6"/>
      <c r="WTN1534" s="4"/>
      <c r="WTO1534" s="6"/>
      <c r="WTP1534" s="4"/>
      <c r="WTQ1534" s="6"/>
      <c r="WTR1534" s="4"/>
      <c r="WTS1534" s="6"/>
      <c r="WTT1534" s="4"/>
      <c r="WTU1534" s="6"/>
      <c r="WTV1534" s="4"/>
      <c r="WTW1534" s="6"/>
      <c r="WTX1534" s="4"/>
      <c r="WTY1534" s="6"/>
      <c r="WTZ1534" s="4"/>
      <c r="WUA1534" s="6"/>
      <c r="WUB1534" s="4"/>
      <c r="WUC1534" s="6"/>
      <c r="WUD1534" s="4"/>
      <c r="WUE1534" s="6"/>
      <c r="WUF1534" s="4"/>
      <c r="WUG1534" s="6"/>
      <c r="WUH1534" s="4"/>
      <c r="WUI1534" s="6"/>
      <c r="WUJ1534" s="4"/>
      <c r="WUK1534" s="6"/>
      <c r="WUL1534" s="4"/>
      <c r="WUM1534" s="6"/>
      <c r="WUN1534" s="4"/>
      <c r="WUO1534" s="6"/>
      <c r="WUP1534" s="4"/>
      <c r="WUQ1534" s="6"/>
      <c r="WUR1534" s="4"/>
      <c r="WUS1534" s="6"/>
      <c r="WUT1534" s="4"/>
      <c r="WUU1534" s="6"/>
      <c r="WUV1534" s="4"/>
      <c r="WUW1534" s="6"/>
      <c r="WUX1534" s="4"/>
      <c r="WUY1534" s="6"/>
      <c r="WUZ1534" s="4"/>
      <c r="WVA1534" s="6"/>
      <c r="WVB1534" s="4"/>
      <c r="WVC1534" s="6"/>
      <c r="WVD1534" s="4"/>
      <c r="WVE1534" s="6"/>
      <c r="WVF1534" s="4"/>
      <c r="WVG1534" s="6"/>
      <c r="WVH1534" s="4"/>
      <c r="WVI1534" s="6"/>
      <c r="WVJ1534" s="4"/>
      <c r="WVK1534" s="6"/>
      <c r="WVL1534" s="4"/>
      <c r="WVM1534" s="6"/>
      <c r="WVN1534" s="4"/>
      <c r="WVO1534" s="6"/>
      <c r="WVP1534" s="4"/>
      <c r="WVQ1534" s="6"/>
      <c r="WVR1534" s="4"/>
      <c r="WVS1534" s="6"/>
      <c r="WVT1534" s="4"/>
      <c r="WVU1534" s="6"/>
      <c r="WVV1534" s="4"/>
      <c r="WVW1534" s="6"/>
      <c r="WVX1534" s="4"/>
      <c r="WVY1534" s="6"/>
      <c r="WVZ1534" s="4"/>
      <c r="WWA1534" s="6"/>
      <c r="WWB1534" s="4"/>
      <c r="WWC1534" s="6"/>
      <c r="WWD1534" s="4"/>
      <c r="WWE1534" s="6"/>
      <c r="WWF1534" s="4"/>
      <c r="WWG1534" s="6"/>
      <c r="WWH1534" s="4"/>
      <c r="WWI1534" s="6"/>
      <c r="WWJ1534" s="4"/>
      <c r="WWK1534" s="6"/>
      <c r="WWL1534" s="4"/>
      <c r="WWM1534" s="6"/>
      <c r="WWN1534" s="4"/>
      <c r="WWO1534" s="6"/>
      <c r="WWP1534" s="4"/>
      <c r="WWQ1534" s="6"/>
      <c r="WWR1534" s="4"/>
      <c r="WWS1534" s="6"/>
      <c r="WWT1534" s="4"/>
      <c r="WWU1534" s="6"/>
      <c r="WWV1534" s="4"/>
      <c r="WWW1534" s="6"/>
      <c r="WWX1534" s="4"/>
      <c r="WWY1534" s="6"/>
      <c r="WWZ1534" s="4"/>
      <c r="WXA1534" s="6"/>
      <c r="WXB1534" s="4"/>
      <c r="WXC1534" s="6"/>
      <c r="WXD1534" s="4"/>
      <c r="WXE1534" s="6"/>
      <c r="WXF1534" s="4"/>
      <c r="WXG1534" s="6"/>
      <c r="WXH1534" s="4"/>
      <c r="WXI1534" s="6"/>
      <c r="WXJ1534" s="4"/>
      <c r="WXK1534" s="6"/>
      <c r="WXL1534" s="4"/>
      <c r="WXM1534" s="6"/>
      <c r="WXN1534" s="4"/>
      <c r="WXO1534" s="6"/>
      <c r="WXP1534" s="4"/>
      <c r="WXQ1534" s="6"/>
      <c r="WXR1534" s="4"/>
      <c r="WXS1534" s="6"/>
      <c r="WXT1534" s="4"/>
      <c r="WXU1534" s="6"/>
      <c r="WXV1534" s="4"/>
      <c r="WXW1534" s="6"/>
      <c r="WXX1534" s="4"/>
      <c r="WXY1534" s="6"/>
      <c r="WXZ1534" s="4"/>
      <c r="WYA1534" s="6"/>
      <c r="WYB1534" s="4"/>
      <c r="WYC1534" s="6"/>
      <c r="WYD1534" s="4"/>
      <c r="WYE1534" s="6"/>
      <c r="WYF1534" s="4"/>
      <c r="WYG1534" s="6"/>
      <c r="WYH1534" s="4"/>
      <c r="WYI1534" s="6"/>
      <c r="WYJ1534" s="4"/>
      <c r="WYK1534" s="6"/>
      <c r="WYL1534" s="4"/>
      <c r="WYM1534" s="6"/>
      <c r="WYN1534" s="4"/>
      <c r="WYO1534" s="6"/>
      <c r="WYP1534" s="4"/>
      <c r="WYQ1534" s="6"/>
      <c r="WYR1534" s="4"/>
      <c r="WYS1534" s="6"/>
      <c r="WYT1534" s="4"/>
      <c r="WYU1534" s="6"/>
      <c r="WYV1534" s="4"/>
      <c r="WYW1534" s="6"/>
      <c r="WYX1534" s="4"/>
      <c r="WYY1534" s="6"/>
      <c r="WYZ1534" s="4"/>
      <c r="WZA1534" s="6"/>
      <c r="WZB1534" s="4"/>
      <c r="WZC1534" s="6"/>
      <c r="WZD1534" s="4"/>
      <c r="WZE1534" s="6"/>
      <c r="WZF1534" s="4"/>
      <c r="WZG1534" s="6"/>
      <c r="WZH1534" s="4"/>
      <c r="WZI1534" s="6"/>
      <c r="WZJ1534" s="4"/>
      <c r="WZK1534" s="6"/>
      <c r="WZL1534" s="4"/>
      <c r="WZM1534" s="6"/>
      <c r="WZN1534" s="4"/>
      <c r="WZO1534" s="6"/>
      <c r="WZP1534" s="4"/>
      <c r="WZQ1534" s="6"/>
      <c r="WZR1534" s="4"/>
      <c r="WZS1534" s="6"/>
      <c r="WZT1534" s="4"/>
      <c r="WZU1534" s="6"/>
      <c r="WZV1534" s="4"/>
      <c r="WZW1534" s="6"/>
      <c r="WZX1534" s="4"/>
      <c r="WZY1534" s="6"/>
      <c r="WZZ1534" s="4"/>
      <c r="XAA1534" s="6"/>
      <c r="XAB1534" s="4"/>
      <c r="XAC1534" s="6"/>
      <c r="XAD1534" s="4"/>
      <c r="XAE1534" s="6"/>
      <c r="XAF1534" s="4"/>
      <c r="XAG1534" s="6"/>
      <c r="XAH1534" s="4"/>
      <c r="XAI1534" s="6"/>
      <c r="XAJ1534" s="4"/>
      <c r="XAK1534" s="6"/>
      <c r="XAL1534" s="4"/>
      <c r="XAM1534" s="6"/>
      <c r="XAN1534" s="4"/>
      <c r="XAO1534" s="6"/>
      <c r="XAP1534" s="4"/>
      <c r="XAQ1534" s="6"/>
      <c r="XAR1534" s="4"/>
      <c r="XAS1534" s="6"/>
      <c r="XAT1534" s="4"/>
      <c r="XAU1534" s="6"/>
      <c r="XAV1534" s="4"/>
      <c r="XAW1534" s="6"/>
      <c r="XAX1534" s="4"/>
      <c r="XAY1534" s="6"/>
      <c r="XAZ1534" s="4"/>
      <c r="XBA1534" s="6"/>
      <c r="XBB1534" s="4"/>
      <c r="XBC1534" s="6"/>
      <c r="XBD1534" s="4"/>
      <c r="XBE1534" s="6"/>
      <c r="XBF1534" s="4"/>
      <c r="XBG1534" s="6"/>
      <c r="XBH1534" s="4"/>
      <c r="XBI1534" s="6"/>
      <c r="XBJ1534" s="4"/>
      <c r="XBK1534" s="6"/>
      <c r="XBL1534" s="4"/>
      <c r="XBM1534" s="6"/>
      <c r="XBN1534" s="4"/>
      <c r="XBO1534" s="6"/>
      <c r="XBP1534" s="4"/>
      <c r="XBQ1534" s="6"/>
      <c r="XBR1534" s="4"/>
      <c r="XBS1534" s="6"/>
      <c r="XBT1534" s="4"/>
      <c r="XBU1534" s="6"/>
      <c r="XBV1534" s="4"/>
      <c r="XBW1534" s="6"/>
      <c r="XBX1534" s="4"/>
      <c r="XBY1534" s="6"/>
      <c r="XBZ1534" s="4"/>
      <c r="XCA1534" s="6"/>
      <c r="XCB1534" s="4"/>
      <c r="XCC1534" s="6"/>
      <c r="XCD1534" s="4"/>
      <c r="XCE1534" s="6"/>
      <c r="XCF1534" s="4"/>
      <c r="XCG1534" s="6"/>
      <c r="XCH1534" s="4"/>
      <c r="XCI1534" s="6"/>
      <c r="XCJ1534" s="4"/>
      <c r="XCK1534" s="6"/>
      <c r="XCL1534" s="4"/>
      <c r="XCM1534" s="6"/>
      <c r="XCN1534" s="4"/>
      <c r="XCO1534" s="6"/>
      <c r="XCP1534" s="4"/>
      <c r="XCQ1534" s="6"/>
      <c r="XCR1534" s="4"/>
      <c r="XCS1534" s="6"/>
      <c r="XCT1534" s="4"/>
      <c r="XCU1534" s="6"/>
      <c r="XCV1534" s="4"/>
      <c r="XCW1534" s="6"/>
      <c r="XCX1534" s="4"/>
      <c r="XCY1534" s="6"/>
      <c r="XCZ1534" s="4"/>
      <c r="XDA1534" s="6"/>
      <c r="XDB1534" s="4"/>
      <c r="XDC1534" s="6"/>
      <c r="XDD1534" s="4"/>
      <c r="XDE1534" s="6"/>
      <c r="XDF1534" s="4"/>
      <c r="XDG1534" s="6"/>
      <c r="XDH1534" s="4"/>
      <c r="XDI1534" s="6"/>
      <c r="XDJ1534" s="4"/>
      <c r="XDK1534" s="6"/>
      <c r="XDL1534" s="4"/>
      <c r="XDM1534" s="6"/>
      <c r="XDN1534" s="4"/>
      <c r="XDO1534" s="6"/>
      <c r="XDP1534" s="4"/>
      <c r="XDQ1534" s="6"/>
      <c r="XDR1534" s="4"/>
      <c r="XDS1534" s="6"/>
      <c r="XDT1534" s="4"/>
      <c r="XDU1534" s="6"/>
      <c r="XDV1534" s="4"/>
      <c r="XDW1534" s="6"/>
      <c r="XDX1534" s="4"/>
      <c r="XDY1534" s="6"/>
      <c r="XDZ1534" s="4"/>
      <c r="XEA1534" s="6"/>
      <c r="XEB1534" s="4"/>
      <c r="XEC1534" s="6"/>
      <c r="XED1534" s="4"/>
      <c r="XEE1534" s="6"/>
      <c r="XEF1534" s="4"/>
      <c r="XEG1534" s="6"/>
      <c r="XEH1534" s="4"/>
      <c r="XEI1534" s="6"/>
      <c r="XEJ1534" s="4"/>
      <c r="XEK1534" s="6"/>
      <c r="XEL1534" s="4"/>
      <c r="XEM1534" s="6"/>
      <c r="XEN1534" s="4"/>
      <c r="XEO1534" s="6"/>
      <c r="XEP1534" s="4"/>
      <c r="XEQ1534" s="6"/>
      <c r="XER1534" s="4"/>
      <c r="XES1534" s="6"/>
      <c r="XET1534" s="4"/>
      <c r="XEU1534" s="6"/>
      <c r="XEV1534" s="4"/>
      <c r="XEW1534" s="6"/>
      <c r="XEX1534" s="4"/>
      <c r="XEY1534" s="6"/>
      <c r="XEZ1534" s="4"/>
      <c r="XFA1534" s="6"/>
      <c r="XFB1534" s="4"/>
      <c r="XFC1534" s="6"/>
    </row>
    <row r="1535" spans="1:16383" s="22" customFormat="1" x14ac:dyDescent="0.25">
      <c r="A1535" s="6">
        <v>44026</v>
      </c>
      <c r="B1535" s="59" t="s">
        <v>1859</v>
      </c>
      <c r="C1535" s="22" t="s">
        <v>1858</v>
      </c>
      <c r="D1535" s="59"/>
      <c r="E1535" s="21"/>
      <c r="F1535" s="2">
        <v>1900</v>
      </c>
      <c r="G1535" s="2">
        <f t="shared" si="30"/>
        <v>7.6000000000000005</v>
      </c>
      <c r="H1535" s="4"/>
      <c r="I1535" s="6"/>
      <c r="J1535" s="4"/>
      <c r="K1535" s="6"/>
      <c r="L1535" s="4"/>
      <c r="M1535" s="6"/>
      <c r="N1535" s="4"/>
      <c r="O1535" s="6"/>
      <c r="P1535" s="4"/>
      <c r="Q1535" s="6"/>
      <c r="R1535" s="4"/>
      <c r="S1535" s="6"/>
      <c r="T1535" s="4"/>
      <c r="U1535" s="6"/>
      <c r="V1535" s="4"/>
      <c r="W1535" s="6"/>
      <c r="X1535" s="4"/>
      <c r="Y1535" s="6"/>
      <c r="Z1535" s="4"/>
      <c r="AA1535" s="6"/>
      <c r="AB1535" s="4"/>
      <c r="AC1535" s="6"/>
      <c r="AD1535" s="4"/>
      <c r="AE1535" s="6"/>
      <c r="AF1535" s="4"/>
      <c r="AG1535" s="6"/>
      <c r="AH1535" s="4"/>
      <c r="AI1535" s="6"/>
      <c r="AJ1535" s="4"/>
      <c r="AK1535" s="6"/>
      <c r="AL1535" s="4"/>
      <c r="AM1535" s="6"/>
      <c r="AN1535" s="4"/>
      <c r="AO1535" s="6"/>
      <c r="AP1535" s="4"/>
      <c r="AQ1535" s="6"/>
      <c r="AR1535" s="4"/>
      <c r="AS1535" s="6"/>
      <c r="AT1535" s="4"/>
      <c r="AU1535" s="6"/>
      <c r="AV1535" s="4"/>
      <c r="AW1535" s="6"/>
      <c r="AX1535" s="4"/>
      <c r="AY1535" s="6"/>
      <c r="AZ1535" s="4"/>
      <c r="BA1535" s="6"/>
      <c r="BB1535" s="4"/>
      <c r="BC1535" s="6"/>
      <c r="BD1535" s="4"/>
      <c r="BE1535" s="6"/>
      <c r="BF1535" s="4"/>
      <c r="BG1535" s="6"/>
      <c r="BH1535" s="4"/>
      <c r="BI1535" s="6"/>
      <c r="BJ1535" s="4"/>
      <c r="BK1535" s="6"/>
      <c r="BL1535" s="4"/>
      <c r="BM1535" s="6"/>
      <c r="BN1535" s="4"/>
      <c r="BO1535" s="6"/>
      <c r="BP1535" s="4"/>
      <c r="BQ1535" s="6"/>
      <c r="BR1535" s="4"/>
      <c r="BS1535" s="6"/>
      <c r="BT1535" s="4"/>
      <c r="BU1535" s="6"/>
      <c r="BV1535" s="4"/>
      <c r="BW1535" s="6"/>
      <c r="BX1535" s="4"/>
      <c r="BY1535" s="6"/>
      <c r="BZ1535" s="4"/>
      <c r="CA1535" s="6"/>
      <c r="CB1535" s="4"/>
      <c r="CC1535" s="6"/>
      <c r="CD1535" s="4"/>
      <c r="CE1535" s="6"/>
      <c r="CF1535" s="4"/>
      <c r="CG1535" s="6"/>
      <c r="CH1535" s="4"/>
      <c r="CI1535" s="6"/>
      <c r="CJ1535" s="4"/>
      <c r="CK1535" s="6"/>
      <c r="CL1535" s="4"/>
      <c r="CM1535" s="6"/>
      <c r="CN1535" s="4"/>
      <c r="CO1535" s="6"/>
      <c r="CP1535" s="4"/>
      <c r="CQ1535" s="6"/>
      <c r="CR1535" s="4"/>
      <c r="CS1535" s="6"/>
      <c r="CT1535" s="4"/>
      <c r="CU1535" s="6"/>
      <c r="CV1535" s="4"/>
      <c r="CW1535" s="6"/>
      <c r="CX1535" s="4"/>
      <c r="CY1535" s="6"/>
      <c r="CZ1535" s="4"/>
      <c r="DA1535" s="6"/>
      <c r="DB1535" s="4"/>
      <c r="DC1535" s="6"/>
      <c r="DD1535" s="4"/>
      <c r="DE1535" s="6"/>
      <c r="DF1535" s="4"/>
      <c r="DG1535" s="6"/>
      <c r="DH1535" s="4"/>
      <c r="DI1535" s="6"/>
      <c r="DJ1535" s="4"/>
      <c r="DK1535" s="6"/>
      <c r="DL1535" s="4"/>
      <c r="DM1535" s="6"/>
      <c r="DN1535" s="4"/>
      <c r="DO1535" s="6"/>
      <c r="DP1535" s="4"/>
      <c r="DQ1535" s="6"/>
      <c r="DR1535" s="4"/>
      <c r="DS1535" s="6"/>
      <c r="DT1535" s="4"/>
      <c r="DU1535" s="6"/>
      <c r="DV1535" s="4"/>
      <c r="DW1535" s="6"/>
      <c r="DX1535" s="4"/>
      <c r="DY1535" s="6"/>
      <c r="DZ1535" s="4"/>
      <c r="EA1535" s="6"/>
      <c r="EB1535" s="4"/>
      <c r="EC1535" s="6"/>
      <c r="ED1535" s="4"/>
      <c r="EE1535" s="6"/>
      <c r="EF1535" s="4"/>
      <c r="EG1535" s="6"/>
      <c r="EH1535" s="4"/>
      <c r="EI1535" s="6"/>
      <c r="EJ1535" s="4"/>
      <c r="EK1535" s="6"/>
      <c r="EL1535" s="4"/>
      <c r="EM1535" s="6"/>
      <c r="EN1535" s="4"/>
      <c r="EO1535" s="6"/>
      <c r="EP1535" s="4"/>
      <c r="EQ1535" s="6"/>
      <c r="ER1535" s="4"/>
      <c r="ES1535" s="6"/>
      <c r="ET1535" s="4"/>
      <c r="EU1535" s="6"/>
      <c r="EV1535" s="4"/>
      <c r="EW1535" s="6"/>
      <c r="EX1535" s="4"/>
      <c r="EY1535" s="6"/>
      <c r="EZ1535" s="4"/>
      <c r="FA1535" s="6"/>
      <c r="FB1535" s="4"/>
      <c r="FC1535" s="6"/>
      <c r="FD1535" s="4"/>
      <c r="FE1535" s="6"/>
      <c r="FF1535" s="4"/>
      <c r="FG1535" s="6"/>
      <c r="FH1535" s="4"/>
      <c r="FI1535" s="6"/>
      <c r="FJ1535" s="4"/>
      <c r="FK1535" s="6"/>
      <c r="FL1535" s="4"/>
      <c r="FM1535" s="6"/>
      <c r="FN1535" s="4"/>
      <c r="FO1535" s="6"/>
      <c r="FP1535" s="4"/>
      <c r="FQ1535" s="6"/>
      <c r="FR1535" s="4"/>
      <c r="FS1535" s="6"/>
      <c r="FT1535" s="4"/>
      <c r="FU1535" s="6"/>
      <c r="FV1535" s="4"/>
      <c r="FW1535" s="6"/>
      <c r="FX1535" s="4"/>
      <c r="FY1535" s="6"/>
      <c r="FZ1535" s="4"/>
      <c r="GA1535" s="6"/>
      <c r="GB1535" s="4"/>
      <c r="GC1535" s="6"/>
      <c r="GD1535" s="4"/>
      <c r="GE1535" s="6"/>
      <c r="GF1535" s="4"/>
      <c r="GG1535" s="6"/>
      <c r="GH1535" s="4"/>
      <c r="GI1535" s="6"/>
      <c r="GJ1535" s="4"/>
      <c r="GK1535" s="6"/>
      <c r="GL1535" s="4"/>
      <c r="GM1535" s="6"/>
      <c r="GN1535" s="4"/>
      <c r="GO1535" s="6"/>
      <c r="GP1535" s="4"/>
      <c r="GQ1535" s="6"/>
      <c r="GR1535" s="4"/>
      <c r="GS1535" s="6"/>
      <c r="GT1535" s="4"/>
      <c r="GU1535" s="6"/>
      <c r="GV1535" s="4"/>
      <c r="GW1535" s="6"/>
      <c r="GX1535" s="4"/>
      <c r="GY1535" s="6"/>
      <c r="GZ1535" s="4"/>
      <c r="HA1535" s="6"/>
      <c r="HB1535" s="4"/>
      <c r="HC1535" s="6"/>
      <c r="HD1535" s="4"/>
      <c r="HE1535" s="6"/>
      <c r="HF1535" s="4"/>
      <c r="HG1535" s="6"/>
      <c r="HH1535" s="4"/>
      <c r="HI1535" s="6"/>
      <c r="HJ1535" s="4"/>
      <c r="HK1535" s="6"/>
      <c r="HL1535" s="4"/>
      <c r="HM1535" s="6"/>
      <c r="HN1535" s="4"/>
      <c r="HO1535" s="6"/>
      <c r="HP1535" s="4"/>
      <c r="HQ1535" s="6"/>
      <c r="HR1535" s="4"/>
      <c r="HS1535" s="6"/>
      <c r="HT1535" s="4"/>
      <c r="HU1535" s="6"/>
      <c r="HV1535" s="4"/>
      <c r="HW1535" s="6"/>
      <c r="HX1535" s="4"/>
      <c r="HY1535" s="6"/>
      <c r="HZ1535" s="4"/>
      <c r="IA1535" s="6"/>
      <c r="IB1535" s="4"/>
      <c r="IC1535" s="6"/>
      <c r="ID1535" s="4"/>
      <c r="IE1535" s="6"/>
      <c r="IF1535" s="4"/>
      <c r="IG1535" s="6"/>
      <c r="IH1535" s="4"/>
      <c r="II1535" s="6"/>
      <c r="IJ1535" s="4"/>
      <c r="IK1535" s="6"/>
      <c r="IL1535" s="4"/>
      <c r="IM1535" s="6"/>
      <c r="IN1535" s="4"/>
      <c r="IO1535" s="6"/>
      <c r="IP1535" s="4"/>
      <c r="IQ1535" s="6"/>
      <c r="IR1535" s="4"/>
      <c r="IS1535" s="6"/>
      <c r="IT1535" s="4"/>
      <c r="IU1535" s="6"/>
      <c r="IV1535" s="4"/>
      <c r="IW1535" s="6"/>
      <c r="IX1535" s="4"/>
      <c r="IY1535" s="6"/>
      <c r="IZ1535" s="4"/>
      <c r="JA1535" s="6"/>
      <c r="JB1535" s="4"/>
      <c r="JC1535" s="6"/>
      <c r="JD1535" s="4"/>
      <c r="JE1535" s="6"/>
      <c r="JF1535" s="4"/>
      <c r="JG1535" s="6"/>
      <c r="JH1535" s="4"/>
      <c r="JI1535" s="6"/>
      <c r="JJ1535" s="4"/>
      <c r="JK1535" s="6"/>
      <c r="JL1535" s="4"/>
      <c r="JM1535" s="6"/>
      <c r="JN1535" s="4"/>
      <c r="JO1535" s="6"/>
      <c r="JP1535" s="4"/>
      <c r="JQ1535" s="6"/>
      <c r="JR1535" s="4"/>
      <c r="JS1535" s="6"/>
      <c r="JT1535" s="4"/>
      <c r="JU1535" s="6"/>
      <c r="JV1535" s="4"/>
      <c r="JW1535" s="6"/>
      <c r="JX1535" s="4"/>
      <c r="JY1535" s="6"/>
      <c r="JZ1535" s="4"/>
      <c r="KA1535" s="6"/>
      <c r="KB1535" s="4"/>
      <c r="KC1535" s="6"/>
      <c r="KD1535" s="4"/>
      <c r="KE1535" s="6"/>
      <c r="KF1535" s="4"/>
      <c r="KG1535" s="6"/>
      <c r="KH1535" s="4"/>
      <c r="KI1535" s="6"/>
      <c r="KJ1535" s="4"/>
      <c r="KK1535" s="6"/>
      <c r="KL1535" s="4"/>
      <c r="KM1535" s="6"/>
      <c r="KN1535" s="4"/>
      <c r="KO1535" s="6"/>
      <c r="KP1535" s="4"/>
      <c r="KQ1535" s="6"/>
      <c r="KR1535" s="4"/>
      <c r="KS1535" s="6"/>
      <c r="KT1535" s="4"/>
      <c r="KU1535" s="6"/>
      <c r="KV1535" s="4"/>
      <c r="KW1535" s="6"/>
      <c r="KX1535" s="4"/>
      <c r="KY1535" s="6"/>
      <c r="KZ1535" s="4"/>
      <c r="LA1535" s="6"/>
      <c r="LB1535" s="4"/>
      <c r="LC1535" s="6"/>
      <c r="LD1535" s="4"/>
      <c r="LE1535" s="6"/>
      <c r="LF1535" s="4"/>
      <c r="LG1535" s="6"/>
      <c r="LH1535" s="4"/>
      <c r="LI1535" s="6"/>
      <c r="LJ1535" s="4"/>
      <c r="LK1535" s="6"/>
      <c r="LL1535" s="4"/>
      <c r="LM1535" s="6"/>
      <c r="LN1535" s="4"/>
      <c r="LO1535" s="6"/>
      <c r="LP1535" s="4"/>
      <c r="LQ1535" s="6"/>
      <c r="LR1535" s="4"/>
      <c r="LS1535" s="6"/>
      <c r="LT1535" s="4"/>
      <c r="LU1535" s="6"/>
      <c r="LV1535" s="4"/>
      <c r="LW1535" s="6"/>
      <c r="LX1535" s="4"/>
      <c r="LY1535" s="6"/>
      <c r="LZ1535" s="4"/>
      <c r="MA1535" s="6"/>
      <c r="MB1535" s="4"/>
      <c r="MC1535" s="6"/>
      <c r="MD1535" s="4"/>
      <c r="ME1535" s="6"/>
      <c r="MF1535" s="4"/>
      <c r="MG1535" s="6"/>
      <c r="MH1535" s="4"/>
      <c r="MI1535" s="6"/>
      <c r="MJ1535" s="4"/>
      <c r="MK1535" s="6"/>
      <c r="ML1535" s="4"/>
      <c r="MM1535" s="6"/>
      <c r="MN1535" s="4"/>
      <c r="MO1535" s="6"/>
      <c r="MP1535" s="4"/>
      <c r="MQ1535" s="6"/>
      <c r="MR1535" s="4"/>
      <c r="MS1535" s="6"/>
      <c r="MT1535" s="4"/>
      <c r="MU1535" s="6"/>
      <c r="MV1535" s="4"/>
      <c r="MW1535" s="6"/>
      <c r="MX1535" s="4"/>
      <c r="MY1535" s="6"/>
      <c r="MZ1535" s="4"/>
      <c r="NA1535" s="6"/>
      <c r="NB1535" s="4"/>
      <c r="NC1535" s="6"/>
      <c r="ND1535" s="4"/>
      <c r="NE1535" s="6"/>
      <c r="NF1535" s="4"/>
      <c r="NG1535" s="6"/>
      <c r="NH1535" s="4"/>
      <c r="NI1535" s="6"/>
      <c r="NJ1535" s="4"/>
      <c r="NK1535" s="6"/>
      <c r="NL1535" s="4"/>
      <c r="NM1535" s="6"/>
      <c r="NN1535" s="4"/>
      <c r="NO1535" s="6"/>
      <c r="NP1535" s="4"/>
      <c r="NQ1535" s="6"/>
      <c r="NR1535" s="4"/>
      <c r="NS1535" s="6"/>
      <c r="NT1535" s="4"/>
      <c r="NU1535" s="6"/>
      <c r="NV1535" s="4"/>
      <c r="NW1535" s="6"/>
      <c r="NX1535" s="4"/>
      <c r="NY1535" s="6"/>
      <c r="NZ1535" s="4"/>
      <c r="OA1535" s="6"/>
      <c r="OB1535" s="4"/>
      <c r="OC1535" s="6"/>
      <c r="OD1535" s="4"/>
      <c r="OE1535" s="6"/>
      <c r="OF1535" s="4"/>
      <c r="OG1535" s="6"/>
      <c r="OH1535" s="4"/>
      <c r="OI1535" s="6"/>
      <c r="OJ1535" s="4"/>
      <c r="OK1535" s="6"/>
      <c r="OL1535" s="4"/>
      <c r="OM1535" s="6"/>
      <c r="ON1535" s="4"/>
      <c r="OO1535" s="6"/>
      <c r="OP1535" s="4"/>
      <c r="OQ1535" s="6"/>
      <c r="OR1535" s="4"/>
      <c r="OS1535" s="6"/>
      <c r="OT1535" s="4"/>
      <c r="OU1535" s="6"/>
      <c r="OV1535" s="4"/>
      <c r="OW1535" s="6"/>
      <c r="OX1535" s="4"/>
      <c r="OY1535" s="6"/>
      <c r="OZ1535" s="4"/>
      <c r="PA1535" s="6"/>
      <c r="PB1535" s="4"/>
      <c r="PC1535" s="6"/>
      <c r="PD1535" s="4"/>
      <c r="PE1535" s="6"/>
      <c r="PF1535" s="4"/>
      <c r="PG1535" s="6"/>
      <c r="PH1535" s="4"/>
      <c r="PI1535" s="6"/>
      <c r="PJ1535" s="4"/>
      <c r="PK1535" s="6"/>
      <c r="PL1535" s="4"/>
      <c r="PM1535" s="6"/>
      <c r="PN1535" s="4"/>
      <c r="PO1535" s="6"/>
      <c r="PP1535" s="4"/>
      <c r="PQ1535" s="6"/>
      <c r="PR1535" s="4"/>
      <c r="PS1535" s="6"/>
      <c r="PT1535" s="4"/>
      <c r="PU1535" s="6"/>
      <c r="PV1535" s="4"/>
      <c r="PW1535" s="6"/>
      <c r="PX1535" s="4"/>
      <c r="PY1535" s="6"/>
      <c r="PZ1535" s="4"/>
      <c r="QA1535" s="6"/>
      <c r="QB1535" s="4"/>
      <c r="QC1535" s="6"/>
      <c r="QD1535" s="4"/>
      <c r="QE1535" s="6"/>
      <c r="QF1535" s="4"/>
      <c r="QG1535" s="6"/>
      <c r="QH1535" s="4"/>
      <c r="QI1535" s="6"/>
      <c r="QJ1535" s="4"/>
      <c r="QK1535" s="6"/>
      <c r="QL1535" s="4"/>
      <c r="QM1535" s="6"/>
      <c r="QN1535" s="4"/>
      <c r="QO1535" s="6"/>
      <c r="QP1535" s="4"/>
      <c r="QQ1535" s="6"/>
      <c r="QR1535" s="4"/>
      <c r="QS1535" s="6"/>
      <c r="QT1535" s="4"/>
      <c r="QU1535" s="6"/>
      <c r="QV1535" s="4"/>
      <c r="QW1535" s="6"/>
      <c r="QX1535" s="4"/>
      <c r="QY1535" s="6"/>
      <c r="QZ1535" s="4"/>
      <c r="RA1535" s="6"/>
      <c r="RB1535" s="4"/>
      <c r="RC1535" s="6"/>
      <c r="RD1535" s="4"/>
      <c r="RE1535" s="6"/>
      <c r="RF1535" s="4"/>
      <c r="RG1535" s="6"/>
      <c r="RH1535" s="4"/>
      <c r="RI1535" s="6"/>
      <c r="RJ1535" s="4"/>
      <c r="RK1535" s="6"/>
      <c r="RL1535" s="4"/>
      <c r="RM1535" s="6"/>
      <c r="RN1535" s="4"/>
      <c r="RO1535" s="6"/>
      <c r="RP1535" s="4"/>
      <c r="RQ1535" s="6"/>
      <c r="RR1535" s="4"/>
      <c r="RS1535" s="6"/>
      <c r="RT1535" s="4"/>
      <c r="RU1535" s="6"/>
      <c r="RV1535" s="4"/>
      <c r="RW1535" s="6"/>
      <c r="RX1535" s="4"/>
      <c r="RY1535" s="6"/>
      <c r="RZ1535" s="4"/>
      <c r="SA1535" s="6"/>
      <c r="SB1535" s="4"/>
      <c r="SC1535" s="6"/>
      <c r="SD1535" s="4"/>
      <c r="SE1535" s="6"/>
      <c r="SF1535" s="4"/>
      <c r="SG1535" s="6"/>
      <c r="SH1535" s="4"/>
      <c r="SI1535" s="6"/>
      <c r="SJ1535" s="4"/>
      <c r="SK1535" s="6"/>
      <c r="SL1535" s="4"/>
      <c r="SM1535" s="6"/>
      <c r="SN1535" s="4"/>
      <c r="SO1535" s="6"/>
      <c r="SP1535" s="4"/>
      <c r="SQ1535" s="6"/>
      <c r="SR1535" s="4"/>
      <c r="SS1535" s="6"/>
      <c r="ST1535" s="4"/>
      <c r="SU1535" s="6"/>
      <c r="SV1535" s="4"/>
      <c r="SW1535" s="6"/>
      <c r="SX1535" s="4"/>
      <c r="SY1535" s="6"/>
      <c r="SZ1535" s="4"/>
      <c r="TA1535" s="6"/>
      <c r="TB1535" s="4"/>
      <c r="TC1535" s="6"/>
      <c r="TD1535" s="4"/>
      <c r="TE1535" s="6"/>
      <c r="TF1535" s="4"/>
      <c r="TG1535" s="6"/>
      <c r="TH1535" s="4"/>
      <c r="TI1535" s="6"/>
      <c r="TJ1535" s="4"/>
      <c r="TK1535" s="6"/>
      <c r="TL1535" s="4"/>
      <c r="TM1535" s="6"/>
      <c r="TN1535" s="4"/>
      <c r="TO1535" s="6"/>
      <c r="TP1535" s="4"/>
      <c r="TQ1535" s="6"/>
      <c r="TR1535" s="4"/>
      <c r="TS1535" s="6"/>
      <c r="TT1535" s="4"/>
      <c r="TU1535" s="6"/>
      <c r="TV1535" s="4"/>
      <c r="TW1535" s="6"/>
      <c r="TX1535" s="4"/>
      <c r="TY1535" s="6"/>
      <c r="TZ1535" s="4"/>
      <c r="UA1535" s="6"/>
      <c r="UB1535" s="4"/>
      <c r="UC1535" s="6"/>
      <c r="UD1535" s="4"/>
      <c r="UE1535" s="6"/>
      <c r="UF1535" s="4"/>
      <c r="UG1535" s="6"/>
      <c r="UH1535" s="4"/>
      <c r="UI1535" s="6"/>
      <c r="UJ1535" s="4"/>
      <c r="UK1535" s="6"/>
      <c r="UL1535" s="4"/>
      <c r="UM1535" s="6"/>
      <c r="UN1535" s="4"/>
      <c r="UO1535" s="6"/>
      <c r="UP1535" s="4"/>
      <c r="UQ1535" s="6"/>
      <c r="UR1535" s="4"/>
      <c r="US1535" s="6"/>
      <c r="UT1535" s="4"/>
      <c r="UU1535" s="6"/>
      <c r="UV1535" s="4"/>
      <c r="UW1535" s="6"/>
      <c r="UX1535" s="4"/>
      <c r="UY1535" s="6"/>
      <c r="UZ1535" s="4"/>
      <c r="VA1535" s="6"/>
      <c r="VB1535" s="4"/>
      <c r="VC1535" s="6"/>
      <c r="VD1535" s="4"/>
      <c r="VE1535" s="6"/>
      <c r="VF1535" s="4"/>
      <c r="VG1535" s="6"/>
      <c r="VH1535" s="4"/>
      <c r="VI1535" s="6"/>
      <c r="VJ1535" s="4"/>
      <c r="VK1535" s="6"/>
      <c r="VL1535" s="4"/>
      <c r="VM1535" s="6"/>
      <c r="VN1535" s="4"/>
      <c r="VO1535" s="6"/>
      <c r="VP1535" s="4"/>
      <c r="VQ1535" s="6"/>
      <c r="VR1535" s="4"/>
      <c r="VS1535" s="6"/>
      <c r="VT1535" s="4"/>
      <c r="VU1535" s="6"/>
      <c r="VV1535" s="4"/>
      <c r="VW1535" s="6"/>
      <c r="VX1535" s="4"/>
      <c r="VY1535" s="6"/>
      <c r="VZ1535" s="4"/>
      <c r="WA1535" s="6"/>
      <c r="WB1535" s="4"/>
      <c r="WC1535" s="6"/>
      <c r="WD1535" s="4"/>
      <c r="WE1535" s="6"/>
      <c r="WF1535" s="4"/>
      <c r="WG1535" s="6"/>
      <c r="WH1535" s="4"/>
      <c r="WI1535" s="6"/>
      <c r="WJ1535" s="4"/>
      <c r="WK1535" s="6"/>
      <c r="WL1535" s="4"/>
      <c r="WM1535" s="6"/>
      <c r="WN1535" s="4"/>
      <c r="WO1535" s="6"/>
      <c r="WP1535" s="4"/>
      <c r="WQ1535" s="6"/>
      <c r="WR1535" s="4"/>
      <c r="WS1535" s="6"/>
      <c r="WT1535" s="4"/>
      <c r="WU1535" s="6"/>
      <c r="WV1535" s="4"/>
      <c r="WW1535" s="6"/>
      <c r="WX1535" s="4"/>
      <c r="WY1535" s="6"/>
      <c r="WZ1535" s="4"/>
      <c r="XA1535" s="6"/>
      <c r="XB1535" s="4"/>
      <c r="XC1535" s="6"/>
      <c r="XD1535" s="4"/>
      <c r="XE1535" s="6"/>
      <c r="XF1535" s="4"/>
      <c r="XG1535" s="6"/>
      <c r="XH1535" s="4"/>
      <c r="XI1535" s="6"/>
      <c r="XJ1535" s="4"/>
      <c r="XK1535" s="6"/>
      <c r="XL1535" s="4"/>
      <c r="XM1535" s="6"/>
      <c r="XN1535" s="4"/>
      <c r="XO1535" s="6"/>
      <c r="XP1535" s="4"/>
      <c r="XQ1535" s="6"/>
      <c r="XR1535" s="4"/>
      <c r="XS1535" s="6"/>
      <c r="XT1535" s="4"/>
      <c r="XU1535" s="6"/>
      <c r="XV1535" s="4"/>
      <c r="XW1535" s="6"/>
      <c r="XX1535" s="4"/>
      <c r="XY1535" s="6"/>
      <c r="XZ1535" s="4"/>
      <c r="YA1535" s="6"/>
      <c r="YB1535" s="4"/>
      <c r="YC1535" s="6"/>
      <c r="YD1535" s="4"/>
      <c r="YE1535" s="6"/>
      <c r="YF1535" s="4"/>
      <c r="YG1535" s="6"/>
      <c r="YH1535" s="4"/>
      <c r="YI1535" s="6"/>
      <c r="YJ1535" s="4"/>
      <c r="YK1535" s="6"/>
      <c r="YL1535" s="4"/>
      <c r="YM1535" s="6"/>
      <c r="YN1535" s="4"/>
      <c r="YO1535" s="6"/>
      <c r="YP1535" s="4"/>
      <c r="YQ1535" s="6"/>
      <c r="YR1535" s="4"/>
      <c r="YS1535" s="6"/>
      <c r="YT1535" s="4"/>
      <c r="YU1535" s="6"/>
      <c r="YV1535" s="4"/>
      <c r="YW1535" s="6"/>
      <c r="YX1535" s="4"/>
      <c r="YY1535" s="6"/>
      <c r="YZ1535" s="4"/>
      <c r="ZA1535" s="6"/>
      <c r="ZB1535" s="4"/>
      <c r="ZC1535" s="6"/>
      <c r="ZD1535" s="4"/>
      <c r="ZE1535" s="6"/>
      <c r="ZF1535" s="4"/>
      <c r="ZG1535" s="6"/>
      <c r="ZH1535" s="4"/>
      <c r="ZI1535" s="6"/>
      <c r="ZJ1535" s="4"/>
      <c r="ZK1535" s="6"/>
      <c r="ZL1535" s="4"/>
      <c r="ZM1535" s="6"/>
      <c r="ZN1535" s="4"/>
      <c r="ZO1535" s="6"/>
      <c r="ZP1535" s="4"/>
      <c r="ZQ1535" s="6"/>
      <c r="ZR1535" s="4"/>
      <c r="ZS1535" s="6"/>
      <c r="ZT1535" s="4"/>
      <c r="ZU1535" s="6"/>
      <c r="ZV1535" s="4"/>
      <c r="ZW1535" s="6"/>
      <c r="ZX1535" s="4"/>
      <c r="ZY1535" s="6"/>
      <c r="ZZ1535" s="4"/>
      <c r="AAA1535" s="6"/>
      <c r="AAB1535" s="4"/>
      <c r="AAC1535" s="6"/>
      <c r="AAD1535" s="4"/>
      <c r="AAE1535" s="6"/>
      <c r="AAF1535" s="4"/>
      <c r="AAG1535" s="6"/>
      <c r="AAH1535" s="4"/>
      <c r="AAI1535" s="6"/>
      <c r="AAJ1535" s="4"/>
      <c r="AAK1535" s="6"/>
      <c r="AAL1535" s="4"/>
      <c r="AAM1535" s="6"/>
      <c r="AAN1535" s="4"/>
      <c r="AAO1535" s="6"/>
      <c r="AAP1535" s="4"/>
      <c r="AAQ1535" s="6"/>
      <c r="AAR1535" s="4"/>
      <c r="AAS1535" s="6"/>
      <c r="AAT1535" s="4"/>
      <c r="AAU1535" s="6"/>
      <c r="AAV1535" s="4"/>
      <c r="AAW1535" s="6"/>
      <c r="AAX1535" s="4"/>
      <c r="AAY1535" s="6"/>
      <c r="AAZ1535" s="4"/>
      <c r="ABA1535" s="6"/>
      <c r="ABB1535" s="4"/>
      <c r="ABC1535" s="6"/>
      <c r="ABD1535" s="4"/>
      <c r="ABE1535" s="6"/>
      <c r="ABF1535" s="4"/>
      <c r="ABG1535" s="6"/>
      <c r="ABH1535" s="4"/>
      <c r="ABI1535" s="6"/>
      <c r="ABJ1535" s="4"/>
      <c r="ABK1535" s="6"/>
      <c r="ABL1535" s="4"/>
      <c r="ABM1535" s="6"/>
      <c r="ABN1535" s="4"/>
      <c r="ABO1535" s="6"/>
      <c r="ABP1535" s="4"/>
      <c r="ABQ1535" s="6"/>
      <c r="ABR1535" s="4"/>
      <c r="ABS1535" s="6"/>
      <c r="ABT1535" s="4"/>
      <c r="ABU1535" s="6"/>
      <c r="ABV1535" s="4"/>
      <c r="ABW1535" s="6"/>
      <c r="ABX1535" s="4"/>
      <c r="ABY1535" s="6"/>
      <c r="ABZ1535" s="4"/>
      <c r="ACA1535" s="6"/>
      <c r="ACB1535" s="4"/>
      <c r="ACC1535" s="6"/>
      <c r="ACD1535" s="4"/>
      <c r="ACE1535" s="6"/>
      <c r="ACF1535" s="4"/>
      <c r="ACG1535" s="6"/>
      <c r="ACH1535" s="4"/>
      <c r="ACI1535" s="6"/>
      <c r="ACJ1535" s="4"/>
      <c r="ACK1535" s="6"/>
      <c r="ACL1535" s="4"/>
      <c r="ACM1535" s="6"/>
      <c r="ACN1535" s="4"/>
      <c r="ACO1535" s="6"/>
      <c r="ACP1535" s="4"/>
      <c r="ACQ1535" s="6"/>
      <c r="ACR1535" s="4"/>
      <c r="ACS1535" s="6"/>
      <c r="ACT1535" s="4"/>
      <c r="ACU1535" s="6"/>
      <c r="ACV1535" s="4"/>
      <c r="ACW1535" s="6"/>
      <c r="ACX1535" s="4"/>
      <c r="ACY1535" s="6"/>
      <c r="ACZ1535" s="4"/>
      <c r="ADA1535" s="6"/>
      <c r="ADB1535" s="4"/>
      <c r="ADC1535" s="6"/>
      <c r="ADD1535" s="4"/>
      <c r="ADE1535" s="6"/>
      <c r="ADF1535" s="4"/>
      <c r="ADG1535" s="6"/>
      <c r="ADH1535" s="4"/>
      <c r="ADI1535" s="6"/>
      <c r="ADJ1535" s="4"/>
      <c r="ADK1535" s="6"/>
      <c r="ADL1535" s="4"/>
      <c r="ADM1535" s="6"/>
      <c r="ADN1535" s="4"/>
      <c r="ADO1535" s="6"/>
      <c r="ADP1535" s="4"/>
      <c r="ADQ1535" s="6"/>
      <c r="ADR1535" s="4"/>
      <c r="ADS1535" s="6"/>
      <c r="ADT1535" s="4"/>
      <c r="ADU1535" s="6"/>
      <c r="ADV1535" s="4"/>
      <c r="ADW1535" s="6"/>
      <c r="ADX1535" s="4"/>
      <c r="ADY1535" s="6"/>
      <c r="ADZ1535" s="4"/>
      <c r="AEA1535" s="6"/>
      <c r="AEB1535" s="4"/>
      <c r="AEC1535" s="6"/>
      <c r="AED1535" s="4"/>
      <c r="AEE1535" s="6"/>
      <c r="AEF1535" s="4"/>
      <c r="AEG1535" s="6"/>
      <c r="AEH1535" s="4"/>
      <c r="AEI1535" s="6"/>
      <c r="AEJ1535" s="4"/>
      <c r="AEK1535" s="6"/>
      <c r="AEL1535" s="4"/>
      <c r="AEM1535" s="6"/>
      <c r="AEN1535" s="4"/>
      <c r="AEO1535" s="6"/>
      <c r="AEP1535" s="4"/>
      <c r="AEQ1535" s="6"/>
      <c r="AER1535" s="4"/>
      <c r="AES1535" s="6"/>
      <c r="AET1535" s="4"/>
      <c r="AEU1535" s="6"/>
      <c r="AEV1535" s="4"/>
      <c r="AEW1535" s="6"/>
      <c r="AEX1535" s="4"/>
      <c r="AEY1535" s="6"/>
      <c r="AEZ1535" s="4"/>
      <c r="AFA1535" s="6"/>
      <c r="AFB1535" s="4"/>
      <c r="AFC1535" s="6"/>
      <c r="AFD1535" s="4"/>
      <c r="AFE1535" s="6"/>
      <c r="AFF1535" s="4"/>
      <c r="AFG1535" s="6"/>
      <c r="AFH1535" s="4"/>
      <c r="AFI1535" s="6"/>
      <c r="AFJ1535" s="4"/>
      <c r="AFK1535" s="6"/>
      <c r="AFL1535" s="4"/>
      <c r="AFM1535" s="6"/>
      <c r="AFN1535" s="4"/>
      <c r="AFO1535" s="6"/>
      <c r="AFP1535" s="4"/>
      <c r="AFQ1535" s="6"/>
      <c r="AFR1535" s="4"/>
      <c r="AFS1535" s="6"/>
      <c r="AFT1535" s="4"/>
      <c r="AFU1535" s="6"/>
      <c r="AFV1535" s="4"/>
      <c r="AFW1535" s="6"/>
      <c r="AFX1535" s="4"/>
      <c r="AFY1535" s="6"/>
      <c r="AFZ1535" s="4"/>
      <c r="AGA1535" s="6"/>
      <c r="AGB1535" s="4"/>
      <c r="AGC1535" s="6"/>
      <c r="AGD1535" s="4"/>
      <c r="AGE1535" s="6"/>
      <c r="AGF1535" s="4"/>
      <c r="AGG1535" s="6"/>
      <c r="AGH1535" s="4"/>
      <c r="AGI1535" s="6"/>
      <c r="AGJ1535" s="4"/>
      <c r="AGK1535" s="6"/>
      <c r="AGL1535" s="4"/>
      <c r="AGM1535" s="6"/>
      <c r="AGN1535" s="4"/>
      <c r="AGO1535" s="6"/>
      <c r="AGP1535" s="4"/>
      <c r="AGQ1535" s="6"/>
      <c r="AGR1535" s="4"/>
      <c r="AGS1535" s="6"/>
      <c r="AGT1535" s="4"/>
      <c r="AGU1535" s="6"/>
      <c r="AGV1535" s="4"/>
      <c r="AGW1535" s="6"/>
      <c r="AGX1535" s="4"/>
      <c r="AGY1535" s="6"/>
      <c r="AGZ1535" s="4"/>
      <c r="AHA1535" s="6"/>
      <c r="AHB1535" s="4"/>
      <c r="AHC1535" s="6"/>
      <c r="AHD1535" s="4"/>
      <c r="AHE1535" s="6"/>
      <c r="AHF1535" s="4"/>
      <c r="AHG1535" s="6"/>
      <c r="AHH1535" s="4"/>
      <c r="AHI1535" s="6"/>
      <c r="AHJ1535" s="4"/>
      <c r="AHK1535" s="6"/>
      <c r="AHL1535" s="4"/>
      <c r="AHM1535" s="6"/>
      <c r="AHN1535" s="4"/>
      <c r="AHO1535" s="6"/>
      <c r="AHP1535" s="4"/>
      <c r="AHQ1535" s="6"/>
      <c r="AHR1535" s="4"/>
      <c r="AHS1535" s="6"/>
      <c r="AHT1535" s="4"/>
      <c r="AHU1535" s="6"/>
      <c r="AHV1535" s="4"/>
      <c r="AHW1535" s="6"/>
      <c r="AHX1535" s="4"/>
      <c r="AHY1535" s="6"/>
      <c r="AHZ1535" s="4"/>
      <c r="AIA1535" s="6"/>
      <c r="AIB1535" s="4"/>
      <c r="AIC1535" s="6"/>
      <c r="AID1535" s="4"/>
      <c r="AIE1535" s="6"/>
      <c r="AIF1535" s="4"/>
      <c r="AIG1535" s="6"/>
      <c r="AIH1535" s="4"/>
      <c r="AII1535" s="6"/>
      <c r="AIJ1535" s="4"/>
      <c r="AIK1535" s="6"/>
      <c r="AIL1535" s="4"/>
      <c r="AIM1535" s="6"/>
      <c r="AIN1535" s="4"/>
      <c r="AIO1535" s="6"/>
      <c r="AIP1535" s="4"/>
      <c r="AIQ1535" s="6"/>
      <c r="AIR1535" s="4"/>
      <c r="AIS1535" s="6"/>
      <c r="AIT1535" s="4"/>
      <c r="AIU1535" s="6"/>
      <c r="AIV1535" s="4"/>
      <c r="AIW1535" s="6"/>
      <c r="AIX1535" s="4"/>
      <c r="AIY1535" s="6"/>
      <c r="AIZ1535" s="4"/>
      <c r="AJA1535" s="6"/>
      <c r="AJB1535" s="4"/>
      <c r="AJC1535" s="6"/>
      <c r="AJD1535" s="4"/>
      <c r="AJE1535" s="6"/>
      <c r="AJF1535" s="4"/>
      <c r="AJG1535" s="6"/>
      <c r="AJH1535" s="4"/>
      <c r="AJI1535" s="6"/>
      <c r="AJJ1535" s="4"/>
      <c r="AJK1535" s="6"/>
      <c r="AJL1535" s="4"/>
      <c r="AJM1535" s="6"/>
      <c r="AJN1535" s="4"/>
      <c r="AJO1535" s="6"/>
      <c r="AJP1535" s="4"/>
      <c r="AJQ1535" s="6"/>
      <c r="AJR1535" s="4"/>
      <c r="AJS1535" s="6"/>
      <c r="AJT1535" s="4"/>
      <c r="AJU1535" s="6"/>
      <c r="AJV1535" s="4"/>
      <c r="AJW1535" s="6"/>
      <c r="AJX1535" s="4"/>
      <c r="AJY1535" s="6"/>
      <c r="AJZ1535" s="4"/>
      <c r="AKA1535" s="6"/>
      <c r="AKB1535" s="4"/>
      <c r="AKC1535" s="6"/>
      <c r="AKD1535" s="4"/>
      <c r="AKE1535" s="6"/>
      <c r="AKF1535" s="4"/>
      <c r="AKG1535" s="6"/>
      <c r="AKH1535" s="4"/>
      <c r="AKI1535" s="6"/>
      <c r="AKJ1535" s="4"/>
      <c r="AKK1535" s="6"/>
      <c r="AKL1535" s="4"/>
      <c r="AKM1535" s="6"/>
      <c r="AKN1535" s="4"/>
      <c r="AKO1535" s="6"/>
      <c r="AKP1535" s="4"/>
      <c r="AKQ1535" s="6"/>
      <c r="AKR1535" s="4"/>
      <c r="AKS1535" s="6"/>
      <c r="AKT1535" s="4"/>
      <c r="AKU1535" s="6"/>
      <c r="AKV1535" s="4"/>
      <c r="AKW1535" s="6"/>
      <c r="AKX1535" s="4"/>
      <c r="AKY1535" s="6"/>
      <c r="AKZ1535" s="4"/>
      <c r="ALA1535" s="6"/>
      <c r="ALB1535" s="4"/>
      <c r="ALC1535" s="6"/>
      <c r="ALD1535" s="4"/>
      <c r="ALE1535" s="6"/>
      <c r="ALF1535" s="4"/>
      <c r="ALG1535" s="6"/>
      <c r="ALH1535" s="4"/>
      <c r="ALI1535" s="6"/>
      <c r="ALJ1535" s="4"/>
      <c r="ALK1535" s="6"/>
      <c r="ALL1535" s="4"/>
      <c r="ALM1535" s="6"/>
      <c r="ALN1535" s="4"/>
      <c r="ALO1535" s="6"/>
      <c r="ALP1535" s="4"/>
      <c r="ALQ1535" s="6"/>
      <c r="ALR1535" s="4"/>
      <c r="ALS1535" s="6"/>
      <c r="ALT1535" s="4"/>
      <c r="ALU1535" s="6"/>
      <c r="ALV1535" s="4"/>
      <c r="ALW1535" s="6"/>
      <c r="ALX1535" s="4"/>
      <c r="ALY1535" s="6"/>
      <c r="ALZ1535" s="4"/>
      <c r="AMA1535" s="6"/>
      <c r="AMB1535" s="4"/>
      <c r="AMC1535" s="6"/>
      <c r="AMD1535" s="4"/>
      <c r="AME1535" s="6"/>
      <c r="AMF1535" s="4"/>
      <c r="AMG1535" s="6"/>
      <c r="AMH1535" s="4"/>
      <c r="AMI1535" s="6"/>
      <c r="AMJ1535" s="4"/>
      <c r="AMK1535" s="6"/>
      <c r="AML1535" s="4"/>
      <c r="AMM1535" s="6"/>
      <c r="AMN1535" s="4"/>
      <c r="AMO1535" s="6"/>
      <c r="AMP1535" s="4"/>
      <c r="AMQ1535" s="6"/>
      <c r="AMR1535" s="4"/>
      <c r="AMS1535" s="6"/>
      <c r="AMT1535" s="4"/>
      <c r="AMU1535" s="6"/>
      <c r="AMV1535" s="4"/>
      <c r="AMW1535" s="6"/>
      <c r="AMX1535" s="4"/>
      <c r="AMY1535" s="6"/>
      <c r="AMZ1535" s="4"/>
      <c r="ANA1535" s="6"/>
      <c r="ANB1535" s="4"/>
      <c r="ANC1535" s="6"/>
      <c r="AND1535" s="4"/>
      <c r="ANE1535" s="6"/>
      <c r="ANF1535" s="4"/>
      <c r="ANG1535" s="6"/>
      <c r="ANH1535" s="4"/>
      <c r="ANI1535" s="6"/>
      <c r="ANJ1535" s="4"/>
      <c r="ANK1535" s="6"/>
      <c r="ANL1535" s="4"/>
      <c r="ANM1535" s="6"/>
      <c r="ANN1535" s="4"/>
      <c r="ANO1535" s="6"/>
      <c r="ANP1535" s="4"/>
      <c r="ANQ1535" s="6"/>
      <c r="ANR1535" s="4"/>
      <c r="ANS1535" s="6"/>
      <c r="ANT1535" s="4"/>
      <c r="ANU1535" s="6"/>
      <c r="ANV1535" s="4"/>
      <c r="ANW1535" s="6"/>
      <c r="ANX1535" s="4"/>
      <c r="ANY1535" s="6"/>
      <c r="ANZ1535" s="4"/>
      <c r="AOA1535" s="6"/>
      <c r="AOB1535" s="4"/>
      <c r="AOC1535" s="6"/>
      <c r="AOD1535" s="4"/>
      <c r="AOE1535" s="6"/>
      <c r="AOF1535" s="4"/>
      <c r="AOG1535" s="6"/>
      <c r="AOH1535" s="4"/>
      <c r="AOI1535" s="6"/>
      <c r="AOJ1535" s="4"/>
      <c r="AOK1535" s="6"/>
      <c r="AOL1535" s="4"/>
      <c r="AOM1535" s="6"/>
      <c r="AON1535" s="4"/>
      <c r="AOO1535" s="6"/>
      <c r="AOP1535" s="4"/>
      <c r="AOQ1535" s="6"/>
      <c r="AOR1535" s="4"/>
      <c r="AOS1535" s="6"/>
      <c r="AOT1535" s="4"/>
      <c r="AOU1535" s="6"/>
      <c r="AOV1535" s="4"/>
      <c r="AOW1535" s="6"/>
      <c r="AOX1535" s="4"/>
      <c r="AOY1535" s="6"/>
      <c r="AOZ1535" s="4"/>
      <c r="APA1535" s="6"/>
      <c r="APB1535" s="4"/>
      <c r="APC1535" s="6"/>
      <c r="APD1535" s="4"/>
      <c r="APE1535" s="6"/>
      <c r="APF1535" s="4"/>
      <c r="APG1535" s="6"/>
      <c r="APH1535" s="4"/>
      <c r="API1535" s="6"/>
      <c r="APJ1535" s="4"/>
      <c r="APK1535" s="6"/>
      <c r="APL1535" s="4"/>
      <c r="APM1535" s="6"/>
      <c r="APN1535" s="4"/>
      <c r="APO1535" s="6"/>
      <c r="APP1535" s="4"/>
      <c r="APQ1535" s="6"/>
      <c r="APR1535" s="4"/>
      <c r="APS1535" s="6"/>
      <c r="APT1535" s="4"/>
      <c r="APU1535" s="6"/>
      <c r="APV1535" s="4"/>
      <c r="APW1535" s="6"/>
      <c r="APX1535" s="4"/>
      <c r="APY1535" s="6"/>
      <c r="APZ1535" s="4"/>
      <c r="AQA1535" s="6"/>
      <c r="AQB1535" s="4"/>
      <c r="AQC1535" s="6"/>
      <c r="AQD1535" s="4"/>
      <c r="AQE1535" s="6"/>
      <c r="AQF1535" s="4"/>
      <c r="AQG1535" s="6"/>
      <c r="AQH1535" s="4"/>
      <c r="AQI1535" s="6"/>
      <c r="AQJ1535" s="4"/>
      <c r="AQK1535" s="6"/>
      <c r="AQL1535" s="4"/>
      <c r="AQM1535" s="6"/>
      <c r="AQN1535" s="4"/>
      <c r="AQO1535" s="6"/>
      <c r="AQP1535" s="4"/>
      <c r="AQQ1535" s="6"/>
      <c r="AQR1535" s="4"/>
      <c r="AQS1535" s="6"/>
      <c r="AQT1535" s="4"/>
      <c r="AQU1535" s="6"/>
      <c r="AQV1535" s="4"/>
      <c r="AQW1535" s="6"/>
      <c r="AQX1535" s="4"/>
      <c r="AQY1535" s="6"/>
      <c r="AQZ1535" s="4"/>
      <c r="ARA1535" s="6"/>
      <c r="ARB1535" s="4"/>
      <c r="ARC1535" s="6"/>
      <c r="ARD1535" s="4"/>
      <c r="ARE1535" s="6"/>
      <c r="ARF1535" s="4"/>
      <c r="ARG1535" s="6"/>
      <c r="ARH1535" s="4"/>
      <c r="ARI1535" s="6"/>
      <c r="ARJ1535" s="4"/>
      <c r="ARK1535" s="6"/>
      <c r="ARL1535" s="4"/>
      <c r="ARM1535" s="6"/>
      <c r="ARN1535" s="4"/>
      <c r="ARO1535" s="6"/>
      <c r="ARP1535" s="4"/>
      <c r="ARQ1535" s="6"/>
      <c r="ARR1535" s="4"/>
      <c r="ARS1535" s="6"/>
      <c r="ART1535" s="4"/>
      <c r="ARU1535" s="6"/>
      <c r="ARV1535" s="4"/>
      <c r="ARW1535" s="6"/>
      <c r="ARX1535" s="4"/>
      <c r="ARY1535" s="6"/>
      <c r="ARZ1535" s="4"/>
      <c r="ASA1535" s="6"/>
      <c r="ASB1535" s="4"/>
      <c r="ASC1535" s="6"/>
      <c r="ASD1535" s="4"/>
      <c r="ASE1535" s="6"/>
      <c r="ASF1535" s="4"/>
      <c r="ASG1535" s="6"/>
      <c r="ASH1535" s="4"/>
      <c r="ASI1535" s="6"/>
      <c r="ASJ1535" s="4"/>
      <c r="ASK1535" s="6"/>
      <c r="ASL1535" s="4"/>
      <c r="ASM1535" s="6"/>
      <c r="ASN1535" s="4"/>
      <c r="ASO1535" s="6"/>
      <c r="ASP1535" s="4"/>
      <c r="ASQ1535" s="6"/>
      <c r="ASR1535" s="4"/>
      <c r="ASS1535" s="6"/>
      <c r="AST1535" s="4"/>
      <c r="ASU1535" s="6"/>
      <c r="ASV1535" s="4"/>
      <c r="ASW1535" s="6"/>
      <c r="ASX1535" s="4"/>
      <c r="ASY1535" s="6"/>
      <c r="ASZ1535" s="4"/>
      <c r="ATA1535" s="6"/>
      <c r="ATB1535" s="4"/>
      <c r="ATC1535" s="6"/>
      <c r="ATD1535" s="4"/>
      <c r="ATE1535" s="6"/>
      <c r="ATF1535" s="4"/>
      <c r="ATG1535" s="6"/>
      <c r="ATH1535" s="4"/>
      <c r="ATI1535" s="6"/>
      <c r="ATJ1535" s="4"/>
      <c r="ATK1535" s="6"/>
      <c r="ATL1535" s="4"/>
      <c r="ATM1535" s="6"/>
      <c r="ATN1535" s="4"/>
      <c r="ATO1535" s="6"/>
      <c r="ATP1535" s="4"/>
      <c r="ATQ1535" s="6"/>
      <c r="ATR1535" s="4"/>
      <c r="ATS1535" s="6"/>
      <c r="ATT1535" s="4"/>
      <c r="ATU1535" s="6"/>
      <c r="ATV1535" s="4"/>
      <c r="ATW1535" s="6"/>
      <c r="ATX1535" s="4"/>
      <c r="ATY1535" s="6"/>
      <c r="ATZ1535" s="4"/>
      <c r="AUA1535" s="6"/>
      <c r="AUB1535" s="4"/>
      <c r="AUC1535" s="6"/>
      <c r="AUD1535" s="4"/>
      <c r="AUE1535" s="6"/>
      <c r="AUF1535" s="4"/>
      <c r="AUG1535" s="6"/>
      <c r="AUH1535" s="4"/>
      <c r="AUI1535" s="6"/>
      <c r="AUJ1535" s="4"/>
      <c r="AUK1535" s="6"/>
      <c r="AUL1535" s="4"/>
      <c r="AUM1535" s="6"/>
      <c r="AUN1535" s="4"/>
      <c r="AUO1535" s="6"/>
      <c r="AUP1535" s="4"/>
      <c r="AUQ1535" s="6"/>
      <c r="AUR1535" s="4"/>
      <c r="AUS1535" s="6"/>
      <c r="AUT1535" s="4"/>
      <c r="AUU1535" s="6"/>
      <c r="AUV1535" s="4"/>
      <c r="AUW1535" s="6"/>
      <c r="AUX1535" s="4"/>
      <c r="AUY1535" s="6"/>
      <c r="AUZ1535" s="4"/>
      <c r="AVA1535" s="6"/>
      <c r="AVB1535" s="4"/>
      <c r="AVC1535" s="6"/>
      <c r="AVD1535" s="4"/>
      <c r="AVE1535" s="6"/>
      <c r="AVF1535" s="4"/>
      <c r="AVG1535" s="6"/>
      <c r="AVH1535" s="4"/>
      <c r="AVI1535" s="6"/>
      <c r="AVJ1535" s="4"/>
      <c r="AVK1535" s="6"/>
      <c r="AVL1535" s="4"/>
      <c r="AVM1535" s="6"/>
      <c r="AVN1535" s="4"/>
      <c r="AVO1535" s="6"/>
      <c r="AVP1535" s="4"/>
      <c r="AVQ1535" s="6"/>
      <c r="AVR1535" s="4"/>
      <c r="AVS1535" s="6"/>
      <c r="AVT1535" s="4"/>
      <c r="AVU1535" s="6"/>
      <c r="AVV1535" s="4"/>
      <c r="AVW1535" s="6"/>
      <c r="AVX1535" s="4"/>
      <c r="AVY1535" s="6"/>
      <c r="AVZ1535" s="4"/>
      <c r="AWA1535" s="6"/>
      <c r="AWB1535" s="4"/>
      <c r="AWC1535" s="6"/>
      <c r="AWD1535" s="4"/>
      <c r="AWE1535" s="6"/>
      <c r="AWF1535" s="4"/>
      <c r="AWG1535" s="6"/>
      <c r="AWH1535" s="4"/>
      <c r="AWI1535" s="6"/>
      <c r="AWJ1535" s="4"/>
      <c r="AWK1535" s="6"/>
      <c r="AWL1535" s="4"/>
      <c r="AWM1535" s="6"/>
      <c r="AWN1535" s="4"/>
      <c r="AWO1535" s="6"/>
      <c r="AWP1535" s="4"/>
      <c r="AWQ1535" s="6"/>
      <c r="AWR1535" s="4"/>
      <c r="AWS1535" s="6"/>
      <c r="AWT1535" s="4"/>
      <c r="AWU1535" s="6"/>
      <c r="AWV1535" s="4"/>
      <c r="AWW1535" s="6"/>
      <c r="AWX1535" s="4"/>
      <c r="AWY1535" s="6"/>
      <c r="AWZ1535" s="4"/>
      <c r="AXA1535" s="6"/>
      <c r="AXB1535" s="4"/>
      <c r="AXC1535" s="6"/>
      <c r="AXD1535" s="4"/>
      <c r="AXE1535" s="6"/>
      <c r="AXF1535" s="4"/>
      <c r="AXG1535" s="6"/>
      <c r="AXH1535" s="4"/>
      <c r="AXI1535" s="6"/>
      <c r="AXJ1535" s="4"/>
      <c r="AXK1535" s="6"/>
      <c r="AXL1535" s="4"/>
      <c r="AXM1535" s="6"/>
      <c r="AXN1535" s="4"/>
      <c r="AXO1535" s="6"/>
      <c r="AXP1535" s="4"/>
      <c r="AXQ1535" s="6"/>
      <c r="AXR1535" s="4"/>
      <c r="AXS1535" s="6"/>
      <c r="AXT1535" s="4"/>
      <c r="AXU1535" s="6"/>
      <c r="AXV1535" s="4"/>
      <c r="AXW1535" s="6"/>
      <c r="AXX1535" s="4"/>
      <c r="AXY1535" s="6"/>
      <c r="AXZ1535" s="4"/>
      <c r="AYA1535" s="6"/>
      <c r="AYB1535" s="4"/>
      <c r="AYC1535" s="6"/>
      <c r="AYD1535" s="4"/>
      <c r="AYE1535" s="6"/>
      <c r="AYF1535" s="4"/>
      <c r="AYG1535" s="6"/>
      <c r="AYH1535" s="4"/>
      <c r="AYI1535" s="6"/>
      <c r="AYJ1535" s="4"/>
      <c r="AYK1535" s="6"/>
      <c r="AYL1535" s="4"/>
      <c r="AYM1535" s="6"/>
      <c r="AYN1535" s="4"/>
      <c r="AYO1535" s="6"/>
      <c r="AYP1535" s="4"/>
      <c r="AYQ1535" s="6"/>
      <c r="AYR1535" s="4"/>
      <c r="AYS1535" s="6"/>
      <c r="AYT1535" s="4"/>
      <c r="AYU1535" s="6"/>
      <c r="AYV1535" s="4"/>
      <c r="AYW1535" s="6"/>
      <c r="AYX1535" s="4"/>
      <c r="AYY1535" s="6"/>
      <c r="AYZ1535" s="4"/>
      <c r="AZA1535" s="6"/>
      <c r="AZB1535" s="4"/>
      <c r="AZC1535" s="6"/>
      <c r="AZD1535" s="4"/>
      <c r="AZE1535" s="6"/>
      <c r="AZF1535" s="4"/>
      <c r="AZG1535" s="6"/>
      <c r="AZH1535" s="4"/>
      <c r="AZI1535" s="6"/>
      <c r="AZJ1535" s="4"/>
      <c r="AZK1535" s="6"/>
      <c r="AZL1535" s="4"/>
      <c r="AZM1535" s="6"/>
      <c r="AZN1535" s="4"/>
      <c r="AZO1535" s="6"/>
      <c r="AZP1535" s="4"/>
      <c r="AZQ1535" s="6"/>
      <c r="AZR1535" s="4"/>
      <c r="AZS1535" s="6"/>
      <c r="AZT1535" s="4"/>
      <c r="AZU1535" s="6"/>
      <c r="AZV1535" s="4"/>
      <c r="AZW1535" s="6"/>
      <c r="AZX1535" s="4"/>
      <c r="AZY1535" s="6"/>
      <c r="AZZ1535" s="4"/>
      <c r="BAA1535" s="6"/>
      <c r="BAB1535" s="4"/>
      <c r="BAC1535" s="6"/>
      <c r="BAD1535" s="4"/>
      <c r="BAE1535" s="6"/>
      <c r="BAF1535" s="4"/>
      <c r="BAG1535" s="6"/>
      <c r="BAH1535" s="4"/>
      <c r="BAI1535" s="6"/>
      <c r="BAJ1535" s="4"/>
      <c r="BAK1535" s="6"/>
      <c r="BAL1535" s="4"/>
      <c r="BAM1535" s="6"/>
      <c r="BAN1535" s="4"/>
      <c r="BAO1535" s="6"/>
      <c r="BAP1535" s="4"/>
      <c r="BAQ1535" s="6"/>
      <c r="BAR1535" s="4"/>
      <c r="BAS1535" s="6"/>
      <c r="BAT1535" s="4"/>
      <c r="BAU1535" s="6"/>
      <c r="BAV1535" s="4"/>
      <c r="BAW1535" s="6"/>
      <c r="BAX1535" s="4"/>
      <c r="BAY1535" s="6"/>
      <c r="BAZ1535" s="4"/>
      <c r="BBA1535" s="6"/>
      <c r="BBB1535" s="4"/>
      <c r="BBC1535" s="6"/>
      <c r="BBD1535" s="4"/>
      <c r="BBE1535" s="6"/>
      <c r="BBF1535" s="4"/>
      <c r="BBG1535" s="6"/>
      <c r="BBH1535" s="4"/>
      <c r="BBI1535" s="6"/>
      <c r="BBJ1535" s="4"/>
      <c r="BBK1535" s="6"/>
      <c r="BBL1535" s="4"/>
      <c r="BBM1535" s="6"/>
      <c r="BBN1535" s="4"/>
      <c r="BBO1535" s="6"/>
      <c r="BBP1535" s="4"/>
      <c r="BBQ1535" s="6"/>
      <c r="BBR1535" s="4"/>
      <c r="BBS1535" s="6"/>
      <c r="BBT1535" s="4"/>
      <c r="BBU1535" s="6"/>
      <c r="BBV1535" s="4"/>
      <c r="BBW1535" s="6"/>
      <c r="BBX1535" s="4"/>
      <c r="BBY1535" s="6"/>
      <c r="BBZ1535" s="4"/>
      <c r="BCA1535" s="6"/>
      <c r="BCB1535" s="4"/>
      <c r="BCC1535" s="6"/>
      <c r="BCD1535" s="4"/>
      <c r="BCE1535" s="6"/>
      <c r="BCF1535" s="4"/>
      <c r="BCG1535" s="6"/>
      <c r="BCH1535" s="4"/>
      <c r="BCI1535" s="6"/>
      <c r="BCJ1535" s="4"/>
      <c r="BCK1535" s="6"/>
      <c r="BCL1535" s="4"/>
      <c r="BCM1535" s="6"/>
      <c r="BCN1535" s="4"/>
      <c r="BCO1535" s="6"/>
      <c r="BCP1535" s="4"/>
      <c r="BCQ1535" s="6"/>
      <c r="BCR1535" s="4"/>
      <c r="BCS1535" s="6"/>
      <c r="BCT1535" s="4"/>
      <c r="BCU1535" s="6"/>
      <c r="BCV1535" s="4"/>
      <c r="BCW1535" s="6"/>
      <c r="BCX1535" s="4"/>
      <c r="BCY1535" s="6"/>
      <c r="BCZ1535" s="4"/>
      <c r="BDA1535" s="6"/>
      <c r="BDB1535" s="4"/>
      <c r="BDC1535" s="6"/>
      <c r="BDD1535" s="4"/>
      <c r="BDE1535" s="6"/>
      <c r="BDF1535" s="4"/>
      <c r="BDG1535" s="6"/>
      <c r="BDH1535" s="4"/>
      <c r="BDI1535" s="6"/>
      <c r="BDJ1535" s="4"/>
      <c r="BDK1535" s="6"/>
      <c r="BDL1535" s="4"/>
      <c r="BDM1535" s="6"/>
      <c r="BDN1535" s="4"/>
      <c r="BDO1535" s="6"/>
      <c r="BDP1535" s="4"/>
      <c r="BDQ1535" s="6"/>
      <c r="BDR1535" s="4"/>
      <c r="BDS1535" s="6"/>
      <c r="BDT1535" s="4"/>
      <c r="BDU1535" s="6"/>
      <c r="BDV1535" s="4"/>
      <c r="BDW1535" s="6"/>
      <c r="BDX1535" s="4"/>
      <c r="BDY1535" s="6"/>
      <c r="BDZ1535" s="4"/>
      <c r="BEA1535" s="6"/>
      <c r="BEB1535" s="4"/>
      <c r="BEC1535" s="6"/>
      <c r="BED1535" s="4"/>
      <c r="BEE1535" s="6"/>
      <c r="BEF1535" s="4"/>
      <c r="BEG1535" s="6"/>
      <c r="BEH1535" s="4"/>
      <c r="BEI1535" s="6"/>
      <c r="BEJ1535" s="4"/>
      <c r="BEK1535" s="6"/>
      <c r="BEL1535" s="4"/>
      <c r="BEM1535" s="6"/>
      <c r="BEN1535" s="4"/>
      <c r="BEO1535" s="6"/>
      <c r="BEP1535" s="4"/>
      <c r="BEQ1535" s="6"/>
      <c r="BER1535" s="4"/>
      <c r="BES1535" s="6"/>
      <c r="BET1535" s="4"/>
      <c r="BEU1535" s="6"/>
      <c r="BEV1535" s="4"/>
      <c r="BEW1535" s="6"/>
      <c r="BEX1535" s="4"/>
      <c r="BEY1535" s="6"/>
      <c r="BEZ1535" s="4"/>
      <c r="BFA1535" s="6"/>
      <c r="BFB1535" s="4"/>
      <c r="BFC1535" s="6"/>
      <c r="BFD1535" s="4"/>
      <c r="BFE1535" s="6"/>
      <c r="BFF1535" s="4"/>
      <c r="BFG1535" s="6"/>
      <c r="BFH1535" s="4"/>
      <c r="BFI1535" s="6"/>
      <c r="BFJ1535" s="4"/>
      <c r="BFK1535" s="6"/>
      <c r="BFL1535" s="4"/>
      <c r="BFM1535" s="6"/>
      <c r="BFN1535" s="4"/>
      <c r="BFO1535" s="6"/>
      <c r="BFP1535" s="4"/>
      <c r="BFQ1535" s="6"/>
      <c r="BFR1535" s="4"/>
      <c r="BFS1535" s="6"/>
      <c r="BFT1535" s="4"/>
      <c r="BFU1535" s="6"/>
      <c r="BFV1535" s="4"/>
      <c r="BFW1535" s="6"/>
      <c r="BFX1535" s="4"/>
      <c r="BFY1535" s="6"/>
      <c r="BFZ1535" s="4"/>
      <c r="BGA1535" s="6"/>
      <c r="BGB1535" s="4"/>
      <c r="BGC1535" s="6"/>
      <c r="BGD1535" s="4"/>
      <c r="BGE1535" s="6"/>
      <c r="BGF1535" s="4"/>
      <c r="BGG1535" s="6"/>
      <c r="BGH1535" s="4"/>
      <c r="BGI1535" s="6"/>
      <c r="BGJ1535" s="4"/>
      <c r="BGK1535" s="6"/>
      <c r="BGL1535" s="4"/>
      <c r="BGM1535" s="6"/>
      <c r="BGN1535" s="4"/>
      <c r="BGO1535" s="6"/>
      <c r="BGP1535" s="4"/>
      <c r="BGQ1535" s="6"/>
      <c r="BGR1535" s="4"/>
      <c r="BGS1535" s="6"/>
      <c r="BGT1535" s="4"/>
      <c r="BGU1535" s="6"/>
      <c r="BGV1535" s="4"/>
      <c r="BGW1535" s="6"/>
      <c r="BGX1535" s="4"/>
      <c r="BGY1535" s="6"/>
      <c r="BGZ1535" s="4"/>
      <c r="BHA1535" s="6"/>
      <c r="BHB1535" s="4"/>
      <c r="BHC1535" s="6"/>
      <c r="BHD1535" s="4"/>
      <c r="BHE1535" s="6"/>
      <c r="BHF1535" s="4"/>
      <c r="BHG1535" s="6"/>
      <c r="BHH1535" s="4"/>
      <c r="BHI1535" s="6"/>
      <c r="BHJ1535" s="4"/>
      <c r="BHK1535" s="6"/>
      <c r="BHL1535" s="4"/>
      <c r="BHM1535" s="6"/>
      <c r="BHN1535" s="4"/>
      <c r="BHO1535" s="6"/>
      <c r="BHP1535" s="4"/>
      <c r="BHQ1535" s="6"/>
      <c r="BHR1535" s="4"/>
      <c r="BHS1535" s="6"/>
      <c r="BHT1535" s="4"/>
      <c r="BHU1535" s="6"/>
      <c r="BHV1535" s="4"/>
      <c r="BHW1535" s="6"/>
      <c r="BHX1535" s="4"/>
      <c r="BHY1535" s="6"/>
      <c r="BHZ1535" s="4"/>
      <c r="BIA1535" s="6"/>
      <c r="BIB1535" s="4"/>
      <c r="BIC1535" s="6"/>
      <c r="BID1535" s="4"/>
      <c r="BIE1535" s="6"/>
      <c r="BIF1535" s="4"/>
      <c r="BIG1535" s="6"/>
      <c r="BIH1535" s="4"/>
      <c r="BII1535" s="6"/>
      <c r="BIJ1535" s="4"/>
      <c r="BIK1535" s="6"/>
      <c r="BIL1535" s="4"/>
      <c r="BIM1535" s="6"/>
      <c r="BIN1535" s="4"/>
      <c r="BIO1535" s="6"/>
      <c r="BIP1535" s="4"/>
      <c r="BIQ1535" s="6"/>
      <c r="BIR1535" s="4"/>
      <c r="BIS1535" s="6"/>
      <c r="BIT1535" s="4"/>
      <c r="BIU1535" s="6"/>
      <c r="BIV1535" s="4"/>
      <c r="BIW1535" s="6"/>
      <c r="BIX1535" s="4"/>
      <c r="BIY1535" s="6"/>
      <c r="BIZ1535" s="4"/>
      <c r="BJA1535" s="6"/>
      <c r="BJB1535" s="4"/>
      <c r="BJC1535" s="6"/>
      <c r="BJD1535" s="4"/>
      <c r="BJE1535" s="6"/>
      <c r="BJF1535" s="4"/>
      <c r="BJG1535" s="6"/>
      <c r="BJH1535" s="4"/>
      <c r="BJI1535" s="6"/>
      <c r="BJJ1535" s="4"/>
      <c r="BJK1535" s="6"/>
      <c r="BJL1535" s="4"/>
      <c r="BJM1535" s="6"/>
      <c r="BJN1535" s="4"/>
      <c r="BJO1535" s="6"/>
      <c r="BJP1535" s="4"/>
      <c r="BJQ1535" s="6"/>
      <c r="BJR1535" s="4"/>
      <c r="BJS1535" s="6"/>
      <c r="BJT1535" s="4"/>
      <c r="BJU1535" s="6"/>
      <c r="BJV1535" s="4"/>
      <c r="BJW1535" s="6"/>
      <c r="BJX1535" s="4"/>
      <c r="BJY1535" s="6"/>
      <c r="BJZ1535" s="4"/>
      <c r="BKA1535" s="6"/>
      <c r="BKB1535" s="4"/>
      <c r="BKC1535" s="6"/>
      <c r="BKD1535" s="4"/>
      <c r="BKE1535" s="6"/>
      <c r="BKF1535" s="4"/>
      <c r="BKG1535" s="6"/>
      <c r="BKH1535" s="4"/>
      <c r="BKI1535" s="6"/>
      <c r="BKJ1535" s="4"/>
      <c r="BKK1535" s="6"/>
      <c r="BKL1535" s="4"/>
      <c r="BKM1535" s="6"/>
      <c r="BKN1535" s="4"/>
      <c r="BKO1535" s="6"/>
      <c r="BKP1535" s="4"/>
      <c r="BKQ1535" s="6"/>
      <c r="BKR1535" s="4"/>
      <c r="BKS1535" s="6"/>
      <c r="BKT1535" s="4"/>
      <c r="BKU1535" s="6"/>
      <c r="BKV1535" s="4"/>
      <c r="BKW1535" s="6"/>
      <c r="BKX1535" s="4"/>
      <c r="BKY1535" s="6"/>
      <c r="BKZ1535" s="4"/>
      <c r="BLA1535" s="6"/>
      <c r="BLB1535" s="4"/>
      <c r="BLC1535" s="6"/>
      <c r="BLD1535" s="4"/>
      <c r="BLE1535" s="6"/>
      <c r="BLF1535" s="4"/>
      <c r="BLG1535" s="6"/>
      <c r="BLH1535" s="4"/>
      <c r="BLI1535" s="6"/>
      <c r="BLJ1535" s="4"/>
      <c r="BLK1535" s="6"/>
      <c r="BLL1535" s="4"/>
      <c r="BLM1535" s="6"/>
      <c r="BLN1535" s="4"/>
      <c r="BLO1535" s="6"/>
      <c r="BLP1535" s="4"/>
      <c r="BLQ1535" s="6"/>
      <c r="BLR1535" s="4"/>
      <c r="BLS1535" s="6"/>
      <c r="BLT1535" s="4"/>
      <c r="BLU1535" s="6"/>
      <c r="BLV1535" s="4"/>
      <c r="BLW1535" s="6"/>
      <c r="BLX1535" s="4"/>
      <c r="BLY1535" s="6"/>
      <c r="BLZ1535" s="4"/>
      <c r="BMA1535" s="6"/>
      <c r="BMB1535" s="4"/>
      <c r="BMC1535" s="6"/>
      <c r="BMD1535" s="4"/>
      <c r="BME1535" s="6"/>
      <c r="BMF1535" s="4"/>
      <c r="BMG1535" s="6"/>
      <c r="BMH1535" s="4"/>
      <c r="BMI1535" s="6"/>
      <c r="BMJ1535" s="4"/>
      <c r="BMK1535" s="6"/>
      <c r="BML1535" s="4"/>
      <c r="BMM1535" s="6"/>
      <c r="BMN1535" s="4"/>
      <c r="BMO1535" s="6"/>
      <c r="BMP1535" s="4"/>
      <c r="BMQ1535" s="6"/>
      <c r="BMR1535" s="4"/>
      <c r="BMS1535" s="6"/>
      <c r="BMT1535" s="4"/>
      <c r="BMU1535" s="6"/>
      <c r="BMV1535" s="4"/>
      <c r="BMW1535" s="6"/>
      <c r="BMX1535" s="4"/>
      <c r="BMY1535" s="6"/>
      <c r="BMZ1535" s="4"/>
      <c r="BNA1535" s="6"/>
      <c r="BNB1535" s="4"/>
      <c r="BNC1535" s="6"/>
      <c r="BND1535" s="4"/>
      <c r="BNE1535" s="6"/>
      <c r="BNF1535" s="4"/>
      <c r="BNG1535" s="6"/>
      <c r="BNH1535" s="4"/>
      <c r="BNI1535" s="6"/>
      <c r="BNJ1535" s="4"/>
      <c r="BNK1535" s="6"/>
      <c r="BNL1535" s="4"/>
      <c r="BNM1535" s="6"/>
      <c r="BNN1535" s="4"/>
      <c r="BNO1535" s="6"/>
      <c r="BNP1535" s="4"/>
      <c r="BNQ1535" s="6"/>
      <c r="BNR1535" s="4"/>
      <c r="BNS1535" s="6"/>
      <c r="BNT1535" s="4"/>
      <c r="BNU1535" s="6"/>
      <c r="BNV1535" s="4"/>
      <c r="BNW1535" s="6"/>
      <c r="BNX1535" s="4"/>
      <c r="BNY1535" s="6"/>
      <c r="BNZ1535" s="4"/>
      <c r="BOA1535" s="6"/>
      <c r="BOB1535" s="4"/>
      <c r="BOC1535" s="6"/>
      <c r="BOD1535" s="4"/>
      <c r="BOE1535" s="6"/>
      <c r="BOF1535" s="4"/>
      <c r="BOG1535" s="6"/>
      <c r="BOH1535" s="4"/>
      <c r="BOI1535" s="6"/>
      <c r="BOJ1535" s="4"/>
      <c r="BOK1535" s="6"/>
      <c r="BOL1535" s="4"/>
      <c r="BOM1535" s="6"/>
      <c r="BON1535" s="4"/>
      <c r="BOO1535" s="6"/>
      <c r="BOP1535" s="4"/>
      <c r="BOQ1535" s="6"/>
      <c r="BOR1535" s="4"/>
      <c r="BOS1535" s="6"/>
      <c r="BOT1535" s="4"/>
      <c r="BOU1535" s="6"/>
      <c r="BOV1535" s="4"/>
      <c r="BOW1535" s="6"/>
      <c r="BOX1535" s="4"/>
      <c r="BOY1535" s="6"/>
      <c r="BOZ1535" s="4"/>
      <c r="BPA1535" s="6"/>
      <c r="BPB1535" s="4"/>
      <c r="BPC1535" s="6"/>
      <c r="BPD1535" s="4"/>
      <c r="BPE1535" s="6"/>
      <c r="BPF1535" s="4"/>
      <c r="BPG1535" s="6"/>
      <c r="BPH1535" s="4"/>
      <c r="BPI1535" s="6"/>
      <c r="BPJ1535" s="4"/>
      <c r="BPK1535" s="6"/>
      <c r="BPL1535" s="4"/>
      <c r="BPM1535" s="6"/>
      <c r="BPN1535" s="4"/>
      <c r="BPO1535" s="6"/>
      <c r="BPP1535" s="4"/>
      <c r="BPQ1535" s="6"/>
      <c r="BPR1535" s="4"/>
      <c r="BPS1535" s="6"/>
      <c r="BPT1535" s="4"/>
      <c r="BPU1535" s="6"/>
      <c r="BPV1535" s="4"/>
      <c r="BPW1535" s="6"/>
      <c r="BPX1535" s="4"/>
      <c r="BPY1535" s="6"/>
      <c r="BPZ1535" s="4"/>
      <c r="BQA1535" s="6"/>
      <c r="BQB1535" s="4"/>
      <c r="BQC1535" s="6"/>
      <c r="BQD1535" s="4"/>
      <c r="BQE1535" s="6"/>
      <c r="BQF1535" s="4"/>
      <c r="BQG1535" s="6"/>
      <c r="BQH1535" s="4"/>
      <c r="BQI1535" s="6"/>
      <c r="BQJ1535" s="4"/>
      <c r="BQK1535" s="6"/>
      <c r="BQL1535" s="4"/>
      <c r="BQM1535" s="6"/>
      <c r="BQN1535" s="4"/>
      <c r="BQO1535" s="6"/>
      <c r="BQP1535" s="4"/>
      <c r="BQQ1535" s="6"/>
      <c r="BQR1535" s="4"/>
      <c r="BQS1535" s="6"/>
      <c r="BQT1535" s="4"/>
      <c r="BQU1535" s="6"/>
      <c r="BQV1535" s="4"/>
      <c r="BQW1535" s="6"/>
      <c r="BQX1535" s="4"/>
      <c r="BQY1535" s="6"/>
      <c r="BQZ1535" s="4"/>
      <c r="BRA1535" s="6"/>
      <c r="BRB1535" s="4"/>
      <c r="BRC1535" s="6"/>
      <c r="BRD1535" s="4"/>
      <c r="BRE1535" s="6"/>
      <c r="BRF1535" s="4"/>
      <c r="BRG1535" s="6"/>
      <c r="BRH1535" s="4"/>
      <c r="BRI1535" s="6"/>
      <c r="BRJ1535" s="4"/>
      <c r="BRK1535" s="6"/>
      <c r="BRL1535" s="4"/>
      <c r="BRM1535" s="6"/>
      <c r="BRN1535" s="4"/>
      <c r="BRO1535" s="6"/>
      <c r="BRP1535" s="4"/>
      <c r="BRQ1535" s="6"/>
      <c r="BRR1535" s="4"/>
      <c r="BRS1535" s="6"/>
      <c r="BRT1535" s="4"/>
      <c r="BRU1535" s="6"/>
      <c r="BRV1535" s="4"/>
      <c r="BRW1535" s="6"/>
      <c r="BRX1535" s="4"/>
      <c r="BRY1535" s="6"/>
      <c r="BRZ1535" s="4"/>
      <c r="BSA1535" s="6"/>
      <c r="BSB1535" s="4"/>
      <c r="BSC1535" s="6"/>
      <c r="BSD1535" s="4"/>
      <c r="BSE1535" s="6"/>
      <c r="BSF1535" s="4"/>
      <c r="BSG1535" s="6"/>
      <c r="BSH1535" s="4"/>
      <c r="BSI1535" s="6"/>
      <c r="BSJ1535" s="4"/>
      <c r="BSK1535" s="6"/>
      <c r="BSL1535" s="4"/>
      <c r="BSM1535" s="6"/>
      <c r="BSN1535" s="4"/>
      <c r="BSO1535" s="6"/>
      <c r="BSP1535" s="4"/>
      <c r="BSQ1535" s="6"/>
      <c r="BSR1535" s="4"/>
      <c r="BSS1535" s="6"/>
      <c r="BST1535" s="4"/>
      <c r="BSU1535" s="6"/>
      <c r="BSV1535" s="4"/>
      <c r="BSW1535" s="6"/>
      <c r="BSX1535" s="4"/>
      <c r="BSY1535" s="6"/>
      <c r="BSZ1535" s="4"/>
      <c r="BTA1535" s="6"/>
      <c r="BTB1535" s="4"/>
      <c r="BTC1535" s="6"/>
      <c r="BTD1535" s="4"/>
      <c r="BTE1535" s="6"/>
      <c r="BTF1535" s="4"/>
      <c r="BTG1535" s="6"/>
      <c r="BTH1535" s="4"/>
      <c r="BTI1535" s="6"/>
      <c r="BTJ1535" s="4"/>
      <c r="BTK1535" s="6"/>
      <c r="BTL1535" s="4"/>
      <c r="BTM1535" s="6"/>
      <c r="BTN1535" s="4"/>
      <c r="BTO1535" s="6"/>
      <c r="BTP1535" s="4"/>
      <c r="BTQ1535" s="6"/>
      <c r="BTR1535" s="4"/>
      <c r="BTS1535" s="6"/>
      <c r="BTT1535" s="4"/>
      <c r="BTU1535" s="6"/>
      <c r="BTV1535" s="4"/>
      <c r="BTW1535" s="6"/>
      <c r="BTX1535" s="4"/>
      <c r="BTY1535" s="6"/>
      <c r="BTZ1535" s="4"/>
      <c r="BUA1535" s="6"/>
      <c r="BUB1535" s="4"/>
      <c r="BUC1535" s="6"/>
      <c r="BUD1535" s="4"/>
      <c r="BUE1535" s="6"/>
      <c r="BUF1535" s="4"/>
      <c r="BUG1535" s="6"/>
      <c r="BUH1535" s="4"/>
      <c r="BUI1535" s="6"/>
      <c r="BUJ1535" s="4"/>
      <c r="BUK1535" s="6"/>
      <c r="BUL1535" s="4"/>
      <c r="BUM1535" s="6"/>
      <c r="BUN1535" s="4"/>
      <c r="BUO1535" s="6"/>
      <c r="BUP1535" s="4"/>
      <c r="BUQ1535" s="6"/>
      <c r="BUR1535" s="4"/>
      <c r="BUS1535" s="6"/>
      <c r="BUT1535" s="4"/>
      <c r="BUU1535" s="6"/>
      <c r="BUV1535" s="4"/>
      <c r="BUW1535" s="6"/>
      <c r="BUX1535" s="4"/>
      <c r="BUY1535" s="6"/>
      <c r="BUZ1535" s="4"/>
      <c r="BVA1535" s="6"/>
      <c r="BVB1535" s="4"/>
      <c r="BVC1535" s="6"/>
      <c r="BVD1535" s="4"/>
      <c r="BVE1535" s="6"/>
      <c r="BVF1535" s="4"/>
      <c r="BVG1535" s="6"/>
      <c r="BVH1535" s="4"/>
      <c r="BVI1535" s="6"/>
      <c r="BVJ1535" s="4"/>
      <c r="BVK1535" s="6"/>
      <c r="BVL1535" s="4"/>
      <c r="BVM1535" s="6"/>
      <c r="BVN1535" s="4"/>
      <c r="BVO1535" s="6"/>
      <c r="BVP1535" s="4"/>
      <c r="BVQ1535" s="6"/>
      <c r="BVR1535" s="4"/>
      <c r="BVS1535" s="6"/>
      <c r="BVT1535" s="4"/>
      <c r="BVU1535" s="6"/>
      <c r="BVV1535" s="4"/>
      <c r="BVW1535" s="6"/>
      <c r="BVX1535" s="4"/>
      <c r="BVY1535" s="6"/>
      <c r="BVZ1535" s="4"/>
      <c r="BWA1535" s="6"/>
      <c r="BWB1535" s="4"/>
      <c r="BWC1535" s="6"/>
      <c r="BWD1535" s="4"/>
      <c r="BWE1535" s="6"/>
      <c r="BWF1535" s="4"/>
      <c r="BWG1535" s="6"/>
      <c r="BWH1535" s="4"/>
      <c r="BWI1535" s="6"/>
      <c r="BWJ1535" s="4"/>
      <c r="BWK1535" s="6"/>
      <c r="BWL1535" s="4"/>
      <c r="BWM1535" s="6"/>
      <c r="BWN1535" s="4"/>
      <c r="BWO1535" s="6"/>
      <c r="BWP1535" s="4"/>
      <c r="BWQ1535" s="6"/>
      <c r="BWR1535" s="4"/>
      <c r="BWS1535" s="6"/>
      <c r="BWT1535" s="4"/>
      <c r="BWU1535" s="6"/>
      <c r="BWV1535" s="4"/>
      <c r="BWW1535" s="6"/>
      <c r="BWX1535" s="4"/>
      <c r="BWY1535" s="6"/>
      <c r="BWZ1535" s="4"/>
      <c r="BXA1535" s="6"/>
      <c r="BXB1535" s="4"/>
      <c r="BXC1535" s="6"/>
      <c r="BXD1535" s="4"/>
      <c r="BXE1535" s="6"/>
      <c r="BXF1535" s="4"/>
      <c r="BXG1535" s="6"/>
      <c r="BXH1535" s="4"/>
      <c r="BXI1535" s="6"/>
      <c r="BXJ1535" s="4"/>
      <c r="BXK1535" s="6"/>
      <c r="BXL1535" s="4"/>
      <c r="BXM1535" s="6"/>
      <c r="BXN1535" s="4"/>
      <c r="BXO1535" s="6"/>
      <c r="BXP1535" s="4"/>
      <c r="BXQ1535" s="6"/>
      <c r="BXR1535" s="4"/>
      <c r="BXS1535" s="6"/>
      <c r="BXT1535" s="4"/>
      <c r="BXU1535" s="6"/>
      <c r="BXV1535" s="4"/>
      <c r="BXW1535" s="6"/>
      <c r="BXX1535" s="4"/>
      <c r="BXY1535" s="6"/>
      <c r="BXZ1535" s="4"/>
      <c r="BYA1535" s="6"/>
      <c r="BYB1535" s="4"/>
      <c r="BYC1535" s="6"/>
      <c r="BYD1535" s="4"/>
      <c r="BYE1535" s="6"/>
      <c r="BYF1535" s="4"/>
      <c r="BYG1535" s="6"/>
      <c r="BYH1535" s="4"/>
      <c r="BYI1535" s="6"/>
      <c r="BYJ1535" s="4"/>
      <c r="BYK1535" s="6"/>
      <c r="BYL1535" s="4"/>
      <c r="BYM1535" s="6"/>
      <c r="BYN1535" s="4"/>
      <c r="BYO1535" s="6"/>
      <c r="BYP1535" s="4"/>
      <c r="BYQ1535" s="6"/>
      <c r="BYR1535" s="4"/>
      <c r="BYS1535" s="6"/>
      <c r="BYT1535" s="4"/>
      <c r="BYU1535" s="6"/>
      <c r="BYV1535" s="4"/>
      <c r="BYW1535" s="6"/>
      <c r="BYX1535" s="4"/>
      <c r="BYY1535" s="6"/>
      <c r="BYZ1535" s="4"/>
      <c r="BZA1535" s="6"/>
      <c r="BZB1535" s="4"/>
      <c r="BZC1535" s="6"/>
      <c r="BZD1535" s="4"/>
      <c r="BZE1535" s="6"/>
      <c r="BZF1535" s="4"/>
      <c r="BZG1535" s="6"/>
      <c r="BZH1535" s="4"/>
      <c r="BZI1535" s="6"/>
      <c r="BZJ1535" s="4"/>
      <c r="BZK1535" s="6"/>
      <c r="BZL1535" s="4"/>
      <c r="BZM1535" s="6"/>
      <c r="BZN1535" s="4"/>
      <c r="BZO1535" s="6"/>
      <c r="BZP1535" s="4"/>
      <c r="BZQ1535" s="6"/>
      <c r="BZR1535" s="4"/>
      <c r="BZS1535" s="6"/>
      <c r="BZT1535" s="4"/>
      <c r="BZU1535" s="6"/>
      <c r="BZV1535" s="4"/>
      <c r="BZW1535" s="6"/>
      <c r="BZX1535" s="4"/>
      <c r="BZY1535" s="6"/>
      <c r="BZZ1535" s="4"/>
      <c r="CAA1535" s="6"/>
      <c r="CAB1535" s="4"/>
      <c r="CAC1535" s="6"/>
      <c r="CAD1535" s="4"/>
      <c r="CAE1535" s="6"/>
      <c r="CAF1535" s="4"/>
      <c r="CAG1535" s="6"/>
      <c r="CAH1535" s="4"/>
      <c r="CAI1535" s="6"/>
      <c r="CAJ1535" s="4"/>
      <c r="CAK1535" s="6"/>
      <c r="CAL1535" s="4"/>
      <c r="CAM1535" s="6"/>
      <c r="CAN1535" s="4"/>
      <c r="CAO1535" s="6"/>
      <c r="CAP1535" s="4"/>
      <c r="CAQ1535" s="6"/>
      <c r="CAR1535" s="4"/>
      <c r="CAS1535" s="6"/>
      <c r="CAT1535" s="4"/>
      <c r="CAU1535" s="6"/>
      <c r="CAV1535" s="4"/>
      <c r="CAW1535" s="6"/>
      <c r="CAX1535" s="4"/>
      <c r="CAY1535" s="6"/>
      <c r="CAZ1535" s="4"/>
      <c r="CBA1535" s="6"/>
      <c r="CBB1535" s="4"/>
      <c r="CBC1535" s="6"/>
      <c r="CBD1535" s="4"/>
      <c r="CBE1535" s="6"/>
      <c r="CBF1535" s="4"/>
      <c r="CBG1535" s="6"/>
      <c r="CBH1535" s="4"/>
      <c r="CBI1535" s="6"/>
      <c r="CBJ1535" s="4"/>
      <c r="CBK1535" s="6"/>
      <c r="CBL1535" s="4"/>
      <c r="CBM1535" s="6"/>
      <c r="CBN1535" s="4"/>
      <c r="CBO1535" s="6"/>
      <c r="CBP1535" s="4"/>
      <c r="CBQ1535" s="6"/>
      <c r="CBR1535" s="4"/>
      <c r="CBS1535" s="6"/>
      <c r="CBT1535" s="4"/>
      <c r="CBU1535" s="6"/>
      <c r="CBV1535" s="4"/>
      <c r="CBW1535" s="6"/>
      <c r="CBX1535" s="4"/>
      <c r="CBY1535" s="6"/>
      <c r="CBZ1535" s="4"/>
      <c r="CCA1535" s="6"/>
      <c r="CCB1535" s="4"/>
      <c r="CCC1535" s="6"/>
      <c r="CCD1535" s="4"/>
      <c r="CCE1535" s="6"/>
      <c r="CCF1535" s="4"/>
      <c r="CCG1535" s="6"/>
      <c r="CCH1535" s="4"/>
      <c r="CCI1535" s="6"/>
      <c r="CCJ1535" s="4"/>
      <c r="CCK1535" s="6"/>
      <c r="CCL1535" s="4"/>
      <c r="CCM1535" s="6"/>
      <c r="CCN1535" s="4"/>
      <c r="CCO1535" s="6"/>
      <c r="CCP1535" s="4"/>
      <c r="CCQ1535" s="6"/>
      <c r="CCR1535" s="4"/>
      <c r="CCS1535" s="6"/>
      <c r="CCT1535" s="4"/>
      <c r="CCU1535" s="6"/>
      <c r="CCV1535" s="4"/>
      <c r="CCW1535" s="6"/>
      <c r="CCX1535" s="4"/>
      <c r="CCY1535" s="6"/>
      <c r="CCZ1535" s="4"/>
      <c r="CDA1535" s="6"/>
      <c r="CDB1535" s="4"/>
      <c r="CDC1535" s="6"/>
      <c r="CDD1535" s="4"/>
      <c r="CDE1535" s="6"/>
      <c r="CDF1535" s="4"/>
      <c r="CDG1535" s="6"/>
      <c r="CDH1535" s="4"/>
      <c r="CDI1535" s="6"/>
      <c r="CDJ1535" s="4"/>
      <c r="CDK1535" s="6"/>
      <c r="CDL1535" s="4"/>
      <c r="CDM1535" s="6"/>
      <c r="CDN1535" s="4"/>
      <c r="CDO1535" s="6"/>
      <c r="CDP1535" s="4"/>
      <c r="CDQ1535" s="6"/>
      <c r="CDR1535" s="4"/>
      <c r="CDS1535" s="6"/>
      <c r="CDT1535" s="4"/>
      <c r="CDU1535" s="6"/>
      <c r="CDV1535" s="4"/>
      <c r="CDW1535" s="6"/>
      <c r="CDX1535" s="4"/>
      <c r="CDY1535" s="6"/>
      <c r="CDZ1535" s="4"/>
      <c r="CEA1535" s="6"/>
      <c r="CEB1535" s="4"/>
      <c r="CEC1535" s="6"/>
      <c r="CED1535" s="4"/>
      <c r="CEE1535" s="6"/>
      <c r="CEF1535" s="4"/>
      <c r="CEG1535" s="6"/>
      <c r="CEH1535" s="4"/>
      <c r="CEI1535" s="6"/>
      <c r="CEJ1535" s="4"/>
      <c r="CEK1535" s="6"/>
      <c r="CEL1535" s="4"/>
      <c r="CEM1535" s="6"/>
      <c r="CEN1535" s="4"/>
      <c r="CEO1535" s="6"/>
      <c r="CEP1535" s="4"/>
      <c r="CEQ1535" s="6"/>
      <c r="CER1535" s="4"/>
      <c r="CES1535" s="6"/>
      <c r="CET1535" s="4"/>
      <c r="CEU1535" s="6"/>
      <c r="CEV1535" s="4"/>
      <c r="CEW1535" s="6"/>
      <c r="CEX1535" s="4"/>
      <c r="CEY1535" s="6"/>
      <c r="CEZ1535" s="4"/>
      <c r="CFA1535" s="6"/>
      <c r="CFB1535" s="4"/>
      <c r="CFC1535" s="6"/>
      <c r="CFD1535" s="4"/>
      <c r="CFE1535" s="6"/>
      <c r="CFF1535" s="4"/>
      <c r="CFG1535" s="6"/>
      <c r="CFH1535" s="4"/>
      <c r="CFI1535" s="6"/>
      <c r="CFJ1535" s="4"/>
      <c r="CFK1535" s="6"/>
      <c r="CFL1535" s="4"/>
      <c r="CFM1535" s="6"/>
      <c r="CFN1535" s="4"/>
      <c r="CFO1535" s="6"/>
      <c r="CFP1535" s="4"/>
      <c r="CFQ1535" s="6"/>
      <c r="CFR1535" s="4"/>
      <c r="CFS1535" s="6"/>
      <c r="CFT1535" s="4"/>
      <c r="CFU1535" s="6"/>
      <c r="CFV1535" s="4"/>
      <c r="CFW1535" s="6"/>
      <c r="CFX1535" s="4"/>
      <c r="CFY1535" s="6"/>
      <c r="CFZ1535" s="4"/>
      <c r="CGA1535" s="6"/>
      <c r="CGB1535" s="4"/>
      <c r="CGC1535" s="6"/>
      <c r="CGD1535" s="4"/>
      <c r="CGE1535" s="6"/>
      <c r="CGF1535" s="4"/>
      <c r="CGG1535" s="6"/>
      <c r="CGH1535" s="4"/>
      <c r="CGI1535" s="6"/>
      <c r="CGJ1535" s="4"/>
      <c r="CGK1535" s="6"/>
      <c r="CGL1535" s="4"/>
      <c r="CGM1535" s="6"/>
      <c r="CGN1535" s="4"/>
      <c r="CGO1535" s="6"/>
      <c r="CGP1535" s="4"/>
      <c r="CGQ1535" s="6"/>
      <c r="CGR1535" s="4"/>
      <c r="CGS1535" s="6"/>
      <c r="CGT1535" s="4"/>
      <c r="CGU1535" s="6"/>
      <c r="CGV1535" s="4"/>
      <c r="CGW1535" s="6"/>
      <c r="CGX1535" s="4"/>
      <c r="CGY1535" s="6"/>
      <c r="CGZ1535" s="4"/>
      <c r="CHA1535" s="6"/>
      <c r="CHB1535" s="4"/>
      <c r="CHC1535" s="6"/>
      <c r="CHD1535" s="4"/>
      <c r="CHE1535" s="6"/>
      <c r="CHF1535" s="4"/>
      <c r="CHG1535" s="6"/>
      <c r="CHH1535" s="4"/>
      <c r="CHI1535" s="6"/>
      <c r="CHJ1535" s="4"/>
      <c r="CHK1535" s="6"/>
      <c r="CHL1535" s="4"/>
      <c r="CHM1535" s="6"/>
      <c r="CHN1535" s="4"/>
      <c r="CHO1535" s="6"/>
      <c r="CHP1535" s="4"/>
      <c r="CHQ1535" s="6"/>
      <c r="CHR1535" s="4"/>
      <c r="CHS1535" s="6"/>
      <c r="CHT1535" s="4"/>
      <c r="CHU1535" s="6"/>
      <c r="CHV1535" s="4"/>
      <c r="CHW1535" s="6"/>
      <c r="CHX1535" s="4"/>
      <c r="CHY1535" s="6"/>
      <c r="CHZ1535" s="4"/>
      <c r="CIA1535" s="6"/>
      <c r="CIB1535" s="4"/>
      <c r="CIC1535" s="6"/>
      <c r="CID1535" s="4"/>
      <c r="CIE1535" s="6"/>
      <c r="CIF1535" s="4"/>
      <c r="CIG1535" s="6"/>
      <c r="CIH1535" s="4"/>
      <c r="CII1535" s="6"/>
      <c r="CIJ1535" s="4"/>
      <c r="CIK1535" s="6"/>
      <c r="CIL1535" s="4"/>
      <c r="CIM1535" s="6"/>
      <c r="CIN1535" s="4"/>
      <c r="CIO1535" s="6"/>
      <c r="CIP1535" s="4"/>
      <c r="CIQ1535" s="6"/>
      <c r="CIR1535" s="4"/>
      <c r="CIS1535" s="6"/>
      <c r="CIT1535" s="4"/>
      <c r="CIU1535" s="6"/>
      <c r="CIV1535" s="4"/>
      <c r="CIW1535" s="6"/>
      <c r="CIX1535" s="4"/>
      <c r="CIY1535" s="6"/>
      <c r="CIZ1535" s="4"/>
      <c r="CJA1535" s="6"/>
      <c r="CJB1535" s="4"/>
      <c r="CJC1535" s="6"/>
      <c r="CJD1535" s="4"/>
      <c r="CJE1535" s="6"/>
      <c r="CJF1535" s="4"/>
      <c r="CJG1535" s="6"/>
      <c r="CJH1535" s="4"/>
      <c r="CJI1535" s="6"/>
      <c r="CJJ1535" s="4"/>
      <c r="CJK1535" s="6"/>
      <c r="CJL1535" s="4"/>
      <c r="CJM1535" s="6"/>
      <c r="CJN1535" s="4"/>
      <c r="CJO1535" s="6"/>
      <c r="CJP1535" s="4"/>
      <c r="CJQ1535" s="6"/>
      <c r="CJR1535" s="4"/>
      <c r="CJS1535" s="6"/>
      <c r="CJT1535" s="4"/>
      <c r="CJU1535" s="6"/>
      <c r="CJV1535" s="4"/>
      <c r="CJW1535" s="6"/>
      <c r="CJX1535" s="4"/>
      <c r="CJY1535" s="6"/>
      <c r="CJZ1535" s="4"/>
      <c r="CKA1535" s="6"/>
      <c r="CKB1535" s="4"/>
      <c r="CKC1535" s="6"/>
      <c r="CKD1535" s="4"/>
      <c r="CKE1535" s="6"/>
      <c r="CKF1535" s="4"/>
      <c r="CKG1535" s="6"/>
      <c r="CKH1535" s="4"/>
      <c r="CKI1535" s="6"/>
      <c r="CKJ1535" s="4"/>
      <c r="CKK1535" s="6"/>
      <c r="CKL1535" s="4"/>
      <c r="CKM1535" s="6"/>
      <c r="CKN1535" s="4"/>
      <c r="CKO1535" s="6"/>
      <c r="CKP1535" s="4"/>
      <c r="CKQ1535" s="6"/>
      <c r="CKR1535" s="4"/>
      <c r="CKS1535" s="6"/>
      <c r="CKT1535" s="4"/>
      <c r="CKU1535" s="6"/>
      <c r="CKV1535" s="4"/>
      <c r="CKW1535" s="6"/>
      <c r="CKX1535" s="4"/>
      <c r="CKY1535" s="6"/>
      <c r="CKZ1535" s="4"/>
      <c r="CLA1535" s="6"/>
      <c r="CLB1535" s="4"/>
      <c r="CLC1535" s="6"/>
      <c r="CLD1535" s="4"/>
      <c r="CLE1535" s="6"/>
      <c r="CLF1535" s="4"/>
      <c r="CLG1535" s="6"/>
      <c r="CLH1535" s="4"/>
      <c r="CLI1535" s="6"/>
      <c r="CLJ1535" s="4"/>
      <c r="CLK1535" s="6"/>
      <c r="CLL1535" s="4"/>
      <c r="CLM1535" s="6"/>
      <c r="CLN1535" s="4"/>
      <c r="CLO1535" s="6"/>
      <c r="CLP1535" s="4"/>
      <c r="CLQ1535" s="6"/>
      <c r="CLR1535" s="4"/>
      <c r="CLS1535" s="6"/>
      <c r="CLT1535" s="4"/>
      <c r="CLU1535" s="6"/>
      <c r="CLV1535" s="4"/>
      <c r="CLW1535" s="6"/>
      <c r="CLX1535" s="4"/>
      <c r="CLY1535" s="6"/>
      <c r="CLZ1535" s="4"/>
      <c r="CMA1535" s="6"/>
      <c r="CMB1535" s="4"/>
      <c r="CMC1535" s="6"/>
      <c r="CMD1535" s="4"/>
      <c r="CME1535" s="6"/>
      <c r="CMF1535" s="4"/>
      <c r="CMG1535" s="6"/>
      <c r="CMH1535" s="4"/>
      <c r="CMI1535" s="6"/>
      <c r="CMJ1535" s="4"/>
      <c r="CMK1535" s="6"/>
      <c r="CML1535" s="4"/>
      <c r="CMM1535" s="6"/>
      <c r="CMN1535" s="4"/>
      <c r="CMO1535" s="6"/>
      <c r="CMP1535" s="4"/>
      <c r="CMQ1535" s="6"/>
      <c r="CMR1535" s="4"/>
      <c r="CMS1535" s="6"/>
      <c r="CMT1535" s="4"/>
      <c r="CMU1535" s="6"/>
      <c r="CMV1535" s="4"/>
      <c r="CMW1535" s="6"/>
      <c r="CMX1535" s="4"/>
      <c r="CMY1535" s="6"/>
      <c r="CMZ1535" s="4"/>
      <c r="CNA1535" s="6"/>
      <c r="CNB1535" s="4"/>
      <c r="CNC1535" s="6"/>
      <c r="CND1535" s="4"/>
      <c r="CNE1535" s="6"/>
      <c r="CNF1535" s="4"/>
      <c r="CNG1535" s="6"/>
      <c r="CNH1535" s="4"/>
      <c r="CNI1535" s="6"/>
      <c r="CNJ1535" s="4"/>
      <c r="CNK1535" s="6"/>
      <c r="CNL1535" s="4"/>
      <c r="CNM1535" s="6"/>
      <c r="CNN1535" s="4"/>
      <c r="CNO1535" s="6"/>
      <c r="CNP1535" s="4"/>
      <c r="CNQ1535" s="6"/>
      <c r="CNR1535" s="4"/>
      <c r="CNS1535" s="6"/>
      <c r="CNT1535" s="4"/>
      <c r="CNU1535" s="6"/>
      <c r="CNV1535" s="4"/>
      <c r="CNW1535" s="6"/>
      <c r="CNX1535" s="4"/>
      <c r="CNY1535" s="6"/>
      <c r="CNZ1535" s="4"/>
      <c r="COA1535" s="6"/>
      <c r="COB1535" s="4"/>
      <c r="COC1535" s="6"/>
      <c r="COD1535" s="4"/>
      <c r="COE1535" s="6"/>
      <c r="COF1535" s="4"/>
      <c r="COG1535" s="6"/>
      <c r="COH1535" s="4"/>
      <c r="COI1535" s="6"/>
      <c r="COJ1535" s="4"/>
      <c r="COK1535" s="6"/>
      <c r="COL1535" s="4"/>
      <c r="COM1535" s="6"/>
      <c r="CON1535" s="4"/>
      <c r="COO1535" s="6"/>
      <c r="COP1535" s="4"/>
      <c r="COQ1535" s="6"/>
      <c r="COR1535" s="4"/>
      <c r="COS1535" s="6"/>
      <c r="COT1535" s="4"/>
      <c r="COU1535" s="6"/>
      <c r="COV1535" s="4"/>
      <c r="COW1535" s="6"/>
      <c r="COX1535" s="4"/>
      <c r="COY1535" s="6"/>
      <c r="COZ1535" s="4"/>
      <c r="CPA1535" s="6"/>
      <c r="CPB1535" s="4"/>
      <c r="CPC1535" s="6"/>
      <c r="CPD1535" s="4"/>
      <c r="CPE1535" s="6"/>
      <c r="CPF1535" s="4"/>
      <c r="CPG1535" s="6"/>
      <c r="CPH1535" s="4"/>
      <c r="CPI1535" s="6"/>
      <c r="CPJ1535" s="4"/>
      <c r="CPK1535" s="6"/>
      <c r="CPL1535" s="4"/>
      <c r="CPM1535" s="6"/>
      <c r="CPN1535" s="4"/>
      <c r="CPO1535" s="6"/>
      <c r="CPP1535" s="4"/>
      <c r="CPQ1535" s="6"/>
      <c r="CPR1535" s="4"/>
      <c r="CPS1535" s="6"/>
      <c r="CPT1535" s="4"/>
      <c r="CPU1535" s="6"/>
      <c r="CPV1535" s="4"/>
      <c r="CPW1535" s="6"/>
      <c r="CPX1535" s="4"/>
      <c r="CPY1535" s="6"/>
      <c r="CPZ1535" s="4"/>
      <c r="CQA1535" s="6"/>
      <c r="CQB1535" s="4"/>
      <c r="CQC1535" s="6"/>
      <c r="CQD1535" s="4"/>
      <c r="CQE1535" s="6"/>
      <c r="CQF1535" s="4"/>
      <c r="CQG1535" s="6"/>
      <c r="CQH1535" s="4"/>
      <c r="CQI1535" s="6"/>
      <c r="CQJ1535" s="4"/>
      <c r="CQK1535" s="6"/>
      <c r="CQL1535" s="4"/>
      <c r="CQM1535" s="6"/>
      <c r="CQN1535" s="4"/>
      <c r="CQO1535" s="6"/>
      <c r="CQP1535" s="4"/>
      <c r="CQQ1535" s="6"/>
      <c r="CQR1535" s="4"/>
      <c r="CQS1535" s="6"/>
      <c r="CQT1535" s="4"/>
      <c r="CQU1535" s="6"/>
      <c r="CQV1535" s="4"/>
      <c r="CQW1535" s="6"/>
      <c r="CQX1535" s="4"/>
      <c r="CQY1535" s="6"/>
      <c r="CQZ1535" s="4"/>
      <c r="CRA1535" s="6"/>
      <c r="CRB1535" s="4"/>
      <c r="CRC1535" s="6"/>
      <c r="CRD1535" s="4"/>
      <c r="CRE1535" s="6"/>
      <c r="CRF1535" s="4"/>
      <c r="CRG1535" s="6"/>
      <c r="CRH1535" s="4"/>
      <c r="CRI1535" s="6"/>
      <c r="CRJ1535" s="4"/>
      <c r="CRK1535" s="6"/>
      <c r="CRL1535" s="4"/>
      <c r="CRM1535" s="6"/>
      <c r="CRN1535" s="4"/>
      <c r="CRO1535" s="6"/>
      <c r="CRP1535" s="4"/>
      <c r="CRQ1535" s="6"/>
      <c r="CRR1535" s="4"/>
      <c r="CRS1535" s="6"/>
      <c r="CRT1535" s="4"/>
      <c r="CRU1535" s="6"/>
      <c r="CRV1535" s="4"/>
      <c r="CRW1535" s="6"/>
      <c r="CRX1535" s="4"/>
      <c r="CRY1535" s="6"/>
      <c r="CRZ1535" s="4"/>
      <c r="CSA1535" s="6"/>
      <c r="CSB1535" s="4"/>
      <c r="CSC1535" s="6"/>
      <c r="CSD1535" s="4"/>
      <c r="CSE1535" s="6"/>
      <c r="CSF1535" s="4"/>
      <c r="CSG1535" s="6"/>
      <c r="CSH1535" s="4"/>
      <c r="CSI1535" s="6"/>
      <c r="CSJ1535" s="4"/>
      <c r="CSK1535" s="6"/>
      <c r="CSL1535" s="4"/>
      <c r="CSM1535" s="6"/>
      <c r="CSN1535" s="4"/>
      <c r="CSO1535" s="6"/>
      <c r="CSP1535" s="4"/>
      <c r="CSQ1535" s="6"/>
      <c r="CSR1535" s="4"/>
      <c r="CSS1535" s="6"/>
      <c r="CST1535" s="4"/>
      <c r="CSU1535" s="6"/>
      <c r="CSV1535" s="4"/>
      <c r="CSW1535" s="6"/>
      <c r="CSX1535" s="4"/>
      <c r="CSY1535" s="6"/>
      <c r="CSZ1535" s="4"/>
      <c r="CTA1535" s="6"/>
      <c r="CTB1535" s="4"/>
      <c r="CTC1535" s="6"/>
      <c r="CTD1535" s="4"/>
      <c r="CTE1535" s="6"/>
      <c r="CTF1535" s="4"/>
      <c r="CTG1535" s="6"/>
      <c r="CTH1535" s="4"/>
      <c r="CTI1535" s="6"/>
      <c r="CTJ1535" s="4"/>
      <c r="CTK1535" s="6"/>
      <c r="CTL1535" s="4"/>
      <c r="CTM1535" s="6"/>
      <c r="CTN1535" s="4"/>
      <c r="CTO1535" s="6"/>
      <c r="CTP1535" s="4"/>
      <c r="CTQ1535" s="6"/>
      <c r="CTR1535" s="4"/>
      <c r="CTS1535" s="6"/>
      <c r="CTT1535" s="4"/>
      <c r="CTU1535" s="6"/>
      <c r="CTV1535" s="4"/>
      <c r="CTW1535" s="6"/>
      <c r="CTX1535" s="4"/>
      <c r="CTY1535" s="6"/>
      <c r="CTZ1535" s="4"/>
      <c r="CUA1535" s="6"/>
      <c r="CUB1535" s="4"/>
      <c r="CUC1535" s="6"/>
      <c r="CUD1535" s="4"/>
      <c r="CUE1535" s="6"/>
      <c r="CUF1535" s="4"/>
      <c r="CUG1535" s="6"/>
      <c r="CUH1535" s="4"/>
      <c r="CUI1535" s="6"/>
      <c r="CUJ1535" s="4"/>
      <c r="CUK1535" s="6"/>
      <c r="CUL1535" s="4"/>
      <c r="CUM1535" s="6"/>
      <c r="CUN1535" s="4"/>
      <c r="CUO1535" s="6"/>
      <c r="CUP1535" s="4"/>
      <c r="CUQ1535" s="6"/>
      <c r="CUR1535" s="4"/>
      <c r="CUS1535" s="6"/>
      <c r="CUT1535" s="4"/>
      <c r="CUU1535" s="6"/>
      <c r="CUV1535" s="4"/>
      <c r="CUW1535" s="6"/>
      <c r="CUX1535" s="4"/>
      <c r="CUY1535" s="6"/>
      <c r="CUZ1535" s="4"/>
      <c r="CVA1535" s="6"/>
      <c r="CVB1535" s="4"/>
      <c r="CVC1535" s="6"/>
      <c r="CVD1535" s="4"/>
      <c r="CVE1535" s="6"/>
      <c r="CVF1535" s="4"/>
      <c r="CVG1535" s="6"/>
      <c r="CVH1535" s="4"/>
      <c r="CVI1535" s="6"/>
      <c r="CVJ1535" s="4"/>
      <c r="CVK1535" s="6"/>
      <c r="CVL1535" s="4"/>
      <c r="CVM1535" s="6"/>
      <c r="CVN1535" s="4"/>
      <c r="CVO1535" s="6"/>
      <c r="CVP1535" s="4"/>
      <c r="CVQ1535" s="6"/>
      <c r="CVR1535" s="4"/>
      <c r="CVS1535" s="6"/>
      <c r="CVT1535" s="4"/>
      <c r="CVU1535" s="6"/>
      <c r="CVV1535" s="4"/>
      <c r="CVW1535" s="6"/>
      <c r="CVX1535" s="4"/>
      <c r="CVY1535" s="6"/>
      <c r="CVZ1535" s="4"/>
      <c r="CWA1535" s="6"/>
      <c r="CWB1535" s="4"/>
      <c r="CWC1535" s="6"/>
      <c r="CWD1535" s="4"/>
      <c r="CWE1535" s="6"/>
      <c r="CWF1535" s="4"/>
      <c r="CWG1535" s="6"/>
      <c r="CWH1535" s="4"/>
      <c r="CWI1535" s="6"/>
      <c r="CWJ1535" s="4"/>
      <c r="CWK1535" s="6"/>
      <c r="CWL1535" s="4"/>
      <c r="CWM1535" s="6"/>
      <c r="CWN1535" s="4"/>
      <c r="CWO1535" s="6"/>
      <c r="CWP1535" s="4"/>
      <c r="CWQ1535" s="6"/>
      <c r="CWR1535" s="4"/>
      <c r="CWS1535" s="6"/>
      <c r="CWT1535" s="4"/>
      <c r="CWU1535" s="6"/>
      <c r="CWV1535" s="4"/>
      <c r="CWW1535" s="6"/>
      <c r="CWX1535" s="4"/>
      <c r="CWY1535" s="6"/>
      <c r="CWZ1535" s="4"/>
      <c r="CXA1535" s="6"/>
      <c r="CXB1535" s="4"/>
      <c r="CXC1535" s="6"/>
      <c r="CXD1535" s="4"/>
      <c r="CXE1535" s="6"/>
      <c r="CXF1535" s="4"/>
      <c r="CXG1535" s="6"/>
      <c r="CXH1535" s="4"/>
      <c r="CXI1535" s="6"/>
      <c r="CXJ1535" s="4"/>
      <c r="CXK1535" s="6"/>
      <c r="CXL1535" s="4"/>
      <c r="CXM1535" s="6"/>
      <c r="CXN1535" s="4"/>
      <c r="CXO1535" s="6"/>
      <c r="CXP1535" s="4"/>
      <c r="CXQ1535" s="6"/>
      <c r="CXR1535" s="4"/>
      <c r="CXS1535" s="6"/>
      <c r="CXT1535" s="4"/>
      <c r="CXU1535" s="6"/>
      <c r="CXV1535" s="4"/>
      <c r="CXW1535" s="6"/>
      <c r="CXX1535" s="4"/>
      <c r="CXY1535" s="6"/>
      <c r="CXZ1535" s="4"/>
      <c r="CYA1535" s="6"/>
      <c r="CYB1535" s="4"/>
      <c r="CYC1535" s="6"/>
      <c r="CYD1535" s="4"/>
      <c r="CYE1535" s="6"/>
      <c r="CYF1535" s="4"/>
      <c r="CYG1535" s="6"/>
      <c r="CYH1535" s="4"/>
      <c r="CYI1535" s="6"/>
      <c r="CYJ1535" s="4"/>
      <c r="CYK1535" s="6"/>
      <c r="CYL1535" s="4"/>
      <c r="CYM1535" s="6"/>
      <c r="CYN1535" s="4"/>
      <c r="CYO1535" s="6"/>
      <c r="CYP1535" s="4"/>
      <c r="CYQ1535" s="6"/>
      <c r="CYR1535" s="4"/>
      <c r="CYS1535" s="6"/>
      <c r="CYT1535" s="4"/>
      <c r="CYU1535" s="6"/>
      <c r="CYV1535" s="4"/>
      <c r="CYW1535" s="6"/>
      <c r="CYX1535" s="4"/>
      <c r="CYY1535" s="6"/>
      <c r="CYZ1535" s="4"/>
      <c r="CZA1535" s="6"/>
      <c r="CZB1535" s="4"/>
      <c r="CZC1535" s="6"/>
      <c r="CZD1535" s="4"/>
      <c r="CZE1535" s="6"/>
      <c r="CZF1535" s="4"/>
      <c r="CZG1535" s="6"/>
      <c r="CZH1535" s="4"/>
      <c r="CZI1535" s="6"/>
      <c r="CZJ1535" s="4"/>
      <c r="CZK1535" s="6"/>
      <c r="CZL1535" s="4"/>
      <c r="CZM1535" s="6"/>
      <c r="CZN1535" s="4"/>
      <c r="CZO1535" s="6"/>
      <c r="CZP1535" s="4"/>
      <c r="CZQ1535" s="6"/>
      <c r="CZR1535" s="4"/>
      <c r="CZS1535" s="6"/>
      <c r="CZT1535" s="4"/>
      <c r="CZU1535" s="6"/>
      <c r="CZV1535" s="4"/>
      <c r="CZW1535" s="6"/>
      <c r="CZX1535" s="4"/>
      <c r="CZY1535" s="6"/>
      <c r="CZZ1535" s="4"/>
      <c r="DAA1535" s="6"/>
      <c r="DAB1535" s="4"/>
      <c r="DAC1535" s="6"/>
      <c r="DAD1535" s="4"/>
      <c r="DAE1535" s="6"/>
      <c r="DAF1535" s="4"/>
      <c r="DAG1535" s="6"/>
      <c r="DAH1535" s="4"/>
      <c r="DAI1535" s="6"/>
      <c r="DAJ1535" s="4"/>
      <c r="DAK1535" s="6"/>
      <c r="DAL1535" s="4"/>
      <c r="DAM1535" s="6"/>
      <c r="DAN1535" s="4"/>
      <c r="DAO1535" s="6"/>
      <c r="DAP1535" s="4"/>
      <c r="DAQ1535" s="6"/>
      <c r="DAR1535" s="4"/>
      <c r="DAS1535" s="6"/>
      <c r="DAT1535" s="4"/>
      <c r="DAU1535" s="6"/>
      <c r="DAV1535" s="4"/>
      <c r="DAW1535" s="6"/>
      <c r="DAX1535" s="4"/>
      <c r="DAY1535" s="6"/>
      <c r="DAZ1535" s="4"/>
      <c r="DBA1535" s="6"/>
      <c r="DBB1535" s="4"/>
      <c r="DBC1535" s="6"/>
      <c r="DBD1535" s="4"/>
      <c r="DBE1535" s="6"/>
      <c r="DBF1535" s="4"/>
      <c r="DBG1535" s="6"/>
      <c r="DBH1535" s="4"/>
      <c r="DBI1535" s="6"/>
      <c r="DBJ1535" s="4"/>
      <c r="DBK1535" s="6"/>
      <c r="DBL1535" s="4"/>
      <c r="DBM1535" s="6"/>
      <c r="DBN1535" s="4"/>
      <c r="DBO1535" s="6"/>
      <c r="DBP1535" s="4"/>
      <c r="DBQ1535" s="6"/>
      <c r="DBR1535" s="4"/>
      <c r="DBS1535" s="6"/>
      <c r="DBT1535" s="4"/>
      <c r="DBU1535" s="6"/>
      <c r="DBV1535" s="4"/>
      <c r="DBW1535" s="6"/>
      <c r="DBX1535" s="4"/>
      <c r="DBY1535" s="6"/>
      <c r="DBZ1535" s="4"/>
      <c r="DCA1535" s="6"/>
      <c r="DCB1535" s="4"/>
      <c r="DCC1535" s="6"/>
      <c r="DCD1535" s="4"/>
      <c r="DCE1535" s="6"/>
      <c r="DCF1535" s="4"/>
      <c r="DCG1535" s="6"/>
      <c r="DCH1535" s="4"/>
      <c r="DCI1535" s="6"/>
      <c r="DCJ1535" s="4"/>
      <c r="DCK1535" s="6"/>
      <c r="DCL1535" s="4"/>
      <c r="DCM1535" s="6"/>
      <c r="DCN1535" s="4"/>
      <c r="DCO1535" s="6"/>
      <c r="DCP1535" s="4"/>
      <c r="DCQ1535" s="6"/>
      <c r="DCR1535" s="4"/>
      <c r="DCS1535" s="6"/>
      <c r="DCT1535" s="4"/>
      <c r="DCU1535" s="6"/>
      <c r="DCV1535" s="4"/>
      <c r="DCW1535" s="6"/>
      <c r="DCX1535" s="4"/>
      <c r="DCY1535" s="6"/>
      <c r="DCZ1535" s="4"/>
      <c r="DDA1535" s="6"/>
      <c r="DDB1535" s="4"/>
      <c r="DDC1535" s="6"/>
      <c r="DDD1535" s="4"/>
      <c r="DDE1535" s="6"/>
      <c r="DDF1535" s="4"/>
      <c r="DDG1535" s="6"/>
      <c r="DDH1535" s="4"/>
      <c r="DDI1535" s="6"/>
      <c r="DDJ1535" s="4"/>
      <c r="DDK1535" s="6"/>
      <c r="DDL1535" s="4"/>
      <c r="DDM1535" s="6"/>
      <c r="DDN1535" s="4"/>
      <c r="DDO1535" s="6"/>
      <c r="DDP1535" s="4"/>
      <c r="DDQ1535" s="6"/>
      <c r="DDR1535" s="4"/>
      <c r="DDS1535" s="6"/>
      <c r="DDT1535" s="4"/>
      <c r="DDU1535" s="6"/>
      <c r="DDV1535" s="4"/>
      <c r="DDW1535" s="6"/>
      <c r="DDX1535" s="4"/>
      <c r="DDY1535" s="6"/>
      <c r="DDZ1535" s="4"/>
      <c r="DEA1535" s="6"/>
      <c r="DEB1535" s="4"/>
      <c r="DEC1535" s="6"/>
      <c r="DED1535" s="4"/>
      <c r="DEE1535" s="6"/>
      <c r="DEF1535" s="4"/>
      <c r="DEG1535" s="6"/>
      <c r="DEH1535" s="4"/>
      <c r="DEI1535" s="6"/>
      <c r="DEJ1535" s="4"/>
      <c r="DEK1535" s="6"/>
      <c r="DEL1535" s="4"/>
      <c r="DEM1535" s="6"/>
      <c r="DEN1535" s="4"/>
      <c r="DEO1535" s="6"/>
      <c r="DEP1535" s="4"/>
      <c r="DEQ1535" s="6"/>
      <c r="DER1535" s="4"/>
      <c r="DES1535" s="6"/>
      <c r="DET1535" s="4"/>
      <c r="DEU1535" s="6"/>
      <c r="DEV1535" s="4"/>
      <c r="DEW1535" s="6"/>
      <c r="DEX1535" s="4"/>
      <c r="DEY1535" s="6"/>
      <c r="DEZ1535" s="4"/>
      <c r="DFA1535" s="6"/>
      <c r="DFB1535" s="4"/>
      <c r="DFC1535" s="6"/>
      <c r="DFD1535" s="4"/>
      <c r="DFE1535" s="6"/>
      <c r="DFF1535" s="4"/>
      <c r="DFG1535" s="6"/>
      <c r="DFH1535" s="4"/>
      <c r="DFI1535" s="6"/>
      <c r="DFJ1535" s="4"/>
      <c r="DFK1535" s="6"/>
      <c r="DFL1535" s="4"/>
      <c r="DFM1535" s="6"/>
      <c r="DFN1535" s="4"/>
      <c r="DFO1535" s="6"/>
      <c r="DFP1535" s="4"/>
      <c r="DFQ1535" s="6"/>
      <c r="DFR1535" s="4"/>
      <c r="DFS1535" s="6"/>
      <c r="DFT1535" s="4"/>
      <c r="DFU1535" s="6"/>
      <c r="DFV1535" s="4"/>
      <c r="DFW1535" s="6"/>
      <c r="DFX1535" s="4"/>
      <c r="DFY1535" s="6"/>
      <c r="DFZ1535" s="4"/>
      <c r="DGA1535" s="6"/>
      <c r="DGB1535" s="4"/>
      <c r="DGC1535" s="6"/>
      <c r="DGD1535" s="4"/>
      <c r="DGE1535" s="6"/>
      <c r="DGF1535" s="4"/>
      <c r="DGG1535" s="6"/>
      <c r="DGH1535" s="4"/>
      <c r="DGI1535" s="6"/>
      <c r="DGJ1535" s="4"/>
      <c r="DGK1535" s="6"/>
      <c r="DGL1535" s="4"/>
      <c r="DGM1535" s="6"/>
      <c r="DGN1535" s="4"/>
      <c r="DGO1535" s="6"/>
      <c r="DGP1535" s="4"/>
      <c r="DGQ1535" s="6"/>
      <c r="DGR1535" s="4"/>
      <c r="DGS1535" s="6"/>
      <c r="DGT1535" s="4"/>
      <c r="DGU1535" s="6"/>
      <c r="DGV1535" s="4"/>
      <c r="DGW1535" s="6"/>
      <c r="DGX1535" s="4"/>
      <c r="DGY1535" s="6"/>
      <c r="DGZ1535" s="4"/>
      <c r="DHA1535" s="6"/>
      <c r="DHB1535" s="4"/>
      <c r="DHC1535" s="6"/>
      <c r="DHD1535" s="4"/>
      <c r="DHE1535" s="6"/>
      <c r="DHF1535" s="4"/>
      <c r="DHG1535" s="6"/>
      <c r="DHH1535" s="4"/>
      <c r="DHI1535" s="6"/>
      <c r="DHJ1535" s="4"/>
      <c r="DHK1535" s="6"/>
      <c r="DHL1535" s="4"/>
      <c r="DHM1535" s="6"/>
      <c r="DHN1535" s="4"/>
      <c r="DHO1535" s="6"/>
      <c r="DHP1535" s="4"/>
      <c r="DHQ1535" s="6"/>
      <c r="DHR1535" s="4"/>
      <c r="DHS1535" s="6"/>
      <c r="DHT1535" s="4"/>
      <c r="DHU1535" s="6"/>
      <c r="DHV1535" s="4"/>
      <c r="DHW1535" s="6"/>
      <c r="DHX1535" s="4"/>
      <c r="DHY1535" s="6"/>
      <c r="DHZ1535" s="4"/>
      <c r="DIA1535" s="6"/>
      <c r="DIB1535" s="4"/>
      <c r="DIC1535" s="6"/>
      <c r="DID1535" s="4"/>
      <c r="DIE1535" s="6"/>
      <c r="DIF1535" s="4"/>
      <c r="DIG1535" s="6"/>
      <c r="DIH1535" s="4"/>
      <c r="DII1535" s="6"/>
      <c r="DIJ1535" s="4"/>
      <c r="DIK1535" s="6"/>
      <c r="DIL1535" s="4"/>
      <c r="DIM1535" s="6"/>
      <c r="DIN1535" s="4"/>
      <c r="DIO1535" s="6"/>
      <c r="DIP1535" s="4"/>
      <c r="DIQ1535" s="6"/>
      <c r="DIR1535" s="4"/>
      <c r="DIS1535" s="6"/>
      <c r="DIT1535" s="4"/>
      <c r="DIU1535" s="6"/>
      <c r="DIV1535" s="4"/>
      <c r="DIW1535" s="6"/>
      <c r="DIX1535" s="4"/>
      <c r="DIY1535" s="6"/>
      <c r="DIZ1535" s="4"/>
      <c r="DJA1535" s="6"/>
      <c r="DJB1535" s="4"/>
      <c r="DJC1535" s="6"/>
      <c r="DJD1535" s="4"/>
      <c r="DJE1535" s="6"/>
      <c r="DJF1535" s="4"/>
      <c r="DJG1535" s="6"/>
      <c r="DJH1535" s="4"/>
      <c r="DJI1535" s="6"/>
      <c r="DJJ1535" s="4"/>
      <c r="DJK1535" s="6"/>
      <c r="DJL1535" s="4"/>
      <c r="DJM1535" s="6"/>
      <c r="DJN1535" s="4"/>
      <c r="DJO1535" s="6"/>
      <c r="DJP1535" s="4"/>
      <c r="DJQ1535" s="6"/>
      <c r="DJR1535" s="4"/>
      <c r="DJS1535" s="6"/>
      <c r="DJT1535" s="4"/>
      <c r="DJU1535" s="6"/>
      <c r="DJV1535" s="4"/>
      <c r="DJW1535" s="6"/>
      <c r="DJX1535" s="4"/>
      <c r="DJY1535" s="6"/>
      <c r="DJZ1535" s="4"/>
      <c r="DKA1535" s="6"/>
      <c r="DKB1535" s="4"/>
      <c r="DKC1535" s="6"/>
      <c r="DKD1535" s="4"/>
      <c r="DKE1535" s="6"/>
      <c r="DKF1535" s="4"/>
      <c r="DKG1535" s="6"/>
      <c r="DKH1535" s="4"/>
      <c r="DKI1535" s="6"/>
      <c r="DKJ1535" s="4"/>
      <c r="DKK1535" s="6"/>
      <c r="DKL1535" s="4"/>
      <c r="DKM1535" s="6"/>
      <c r="DKN1535" s="4"/>
      <c r="DKO1535" s="6"/>
      <c r="DKP1535" s="4"/>
      <c r="DKQ1535" s="6"/>
      <c r="DKR1535" s="4"/>
      <c r="DKS1535" s="6"/>
      <c r="DKT1535" s="4"/>
      <c r="DKU1535" s="6"/>
      <c r="DKV1535" s="4"/>
      <c r="DKW1535" s="6"/>
      <c r="DKX1535" s="4"/>
      <c r="DKY1535" s="6"/>
      <c r="DKZ1535" s="4"/>
      <c r="DLA1535" s="6"/>
      <c r="DLB1535" s="4"/>
      <c r="DLC1535" s="6"/>
      <c r="DLD1535" s="4"/>
      <c r="DLE1535" s="6"/>
      <c r="DLF1535" s="4"/>
      <c r="DLG1535" s="6"/>
      <c r="DLH1535" s="4"/>
      <c r="DLI1535" s="6"/>
      <c r="DLJ1535" s="4"/>
      <c r="DLK1535" s="6"/>
      <c r="DLL1535" s="4"/>
      <c r="DLM1535" s="6"/>
      <c r="DLN1535" s="4"/>
      <c r="DLO1535" s="6"/>
      <c r="DLP1535" s="4"/>
      <c r="DLQ1535" s="6"/>
      <c r="DLR1535" s="4"/>
      <c r="DLS1535" s="6"/>
      <c r="DLT1535" s="4"/>
      <c r="DLU1535" s="6"/>
      <c r="DLV1535" s="4"/>
      <c r="DLW1535" s="6"/>
      <c r="DLX1535" s="4"/>
      <c r="DLY1535" s="6"/>
      <c r="DLZ1535" s="4"/>
      <c r="DMA1535" s="6"/>
      <c r="DMB1535" s="4"/>
      <c r="DMC1535" s="6"/>
      <c r="DMD1535" s="4"/>
      <c r="DME1535" s="6"/>
      <c r="DMF1535" s="4"/>
      <c r="DMG1535" s="6"/>
      <c r="DMH1535" s="4"/>
      <c r="DMI1535" s="6"/>
      <c r="DMJ1535" s="4"/>
      <c r="DMK1535" s="6"/>
      <c r="DML1535" s="4"/>
      <c r="DMM1535" s="6"/>
      <c r="DMN1535" s="4"/>
      <c r="DMO1535" s="6"/>
      <c r="DMP1535" s="4"/>
      <c r="DMQ1535" s="6"/>
      <c r="DMR1535" s="4"/>
      <c r="DMS1535" s="6"/>
      <c r="DMT1535" s="4"/>
      <c r="DMU1535" s="6"/>
      <c r="DMV1535" s="4"/>
      <c r="DMW1535" s="6"/>
      <c r="DMX1535" s="4"/>
      <c r="DMY1535" s="6"/>
      <c r="DMZ1535" s="4"/>
      <c r="DNA1535" s="6"/>
      <c r="DNB1535" s="4"/>
      <c r="DNC1535" s="6"/>
      <c r="DND1535" s="4"/>
      <c r="DNE1535" s="6"/>
      <c r="DNF1535" s="4"/>
      <c r="DNG1535" s="6"/>
      <c r="DNH1535" s="4"/>
      <c r="DNI1535" s="6"/>
      <c r="DNJ1535" s="4"/>
      <c r="DNK1535" s="6"/>
      <c r="DNL1535" s="4"/>
      <c r="DNM1535" s="6"/>
      <c r="DNN1535" s="4"/>
      <c r="DNO1535" s="6"/>
      <c r="DNP1535" s="4"/>
      <c r="DNQ1535" s="6"/>
      <c r="DNR1535" s="4"/>
      <c r="DNS1535" s="6"/>
      <c r="DNT1535" s="4"/>
      <c r="DNU1535" s="6"/>
      <c r="DNV1535" s="4"/>
      <c r="DNW1535" s="6"/>
      <c r="DNX1535" s="4"/>
      <c r="DNY1535" s="6"/>
      <c r="DNZ1535" s="4"/>
      <c r="DOA1535" s="6"/>
      <c r="DOB1535" s="4"/>
      <c r="DOC1535" s="6"/>
      <c r="DOD1535" s="4"/>
      <c r="DOE1535" s="6"/>
      <c r="DOF1535" s="4"/>
      <c r="DOG1535" s="6"/>
      <c r="DOH1535" s="4"/>
      <c r="DOI1535" s="6"/>
      <c r="DOJ1535" s="4"/>
      <c r="DOK1535" s="6"/>
      <c r="DOL1535" s="4"/>
      <c r="DOM1535" s="6"/>
      <c r="DON1535" s="4"/>
      <c r="DOO1535" s="6"/>
      <c r="DOP1535" s="4"/>
      <c r="DOQ1535" s="6"/>
      <c r="DOR1535" s="4"/>
      <c r="DOS1535" s="6"/>
      <c r="DOT1535" s="4"/>
      <c r="DOU1535" s="6"/>
      <c r="DOV1535" s="4"/>
      <c r="DOW1535" s="6"/>
      <c r="DOX1535" s="4"/>
      <c r="DOY1535" s="6"/>
      <c r="DOZ1535" s="4"/>
      <c r="DPA1535" s="6"/>
      <c r="DPB1535" s="4"/>
      <c r="DPC1535" s="6"/>
      <c r="DPD1535" s="4"/>
      <c r="DPE1535" s="6"/>
      <c r="DPF1535" s="4"/>
      <c r="DPG1535" s="6"/>
      <c r="DPH1535" s="4"/>
      <c r="DPI1535" s="6"/>
      <c r="DPJ1535" s="4"/>
      <c r="DPK1535" s="6"/>
      <c r="DPL1535" s="4"/>
      <c r="DPM1535" s="6"/>
      <c r="DPN1535" s="4"/>
      <c r="DPO1535" s="6"/>
      <c r="DPP1535" s="4"/>
      <c r="DPQ1535" s="6"/>
      <c r="DPR1535" s="4"/>
      <c r="DPS1535" s="6"/>
      <c r="DPT1535" s="4"/>
      <c r="DPU1535" s="6"/>
      <c r="DPV1535" s="4"/>
      <c r="DPW1535" s="6"/>
      <c r="DPX1535" s="4"/>
      <c r="DPY1535" s="6"/>
      <c r="DPZ1535" s="4"/>
      <c r="DQA1535" s="6"/>
      <c r="DQB1535" s="4"/>
      <c r="DQC1535" s="6"/>
      <c r="DQD1535" s="4"/>
      <c r="DQE1535" s="6"/>
      <c r="DQF1535" s="4"/>
      <c r="DQG1535" s="6"/>
      <c r="DQH1535" s="4"/>
      <c r="DQI1535" s="6"/>
      <c r="DQJ1535" s="4"/>
      <c r="DQK1535" s="6"/>
      <c r="DQL1535" s="4"/>
      <c r="DQM1535" s="6"/>
      <c r="DQN1535" s="4"/>
      <c r="DQO1535" s="6"/>
      <c r="DQP1535" s="4"/>
      <c r="DQQ1535" s="6"/>
      <c r="DQR1535" s="4"/>
      <c r="DQS1535" s="6"/>
      <c r="DQT1535" s="4"/>
      <c r="DQU1535" s="6"/>
      <c r="DQV1535" s="4"/>
      <c r="DQW1535" s="6"/>
      <c r="DQX1535" s="4"/>
      <c r="DQY1535" s="6"/>
      <c r="DQZ1535" s="4"/>
      <c r="DRA1535" s="6"/>
      <c r="DRB1535" s="4"/>
      <c r="DRC1535" s="6"/>
      <c r="DRD1535" s="4"/>
      <c r="DRE1535" s="6"/>
      <c r="DRF1535" s="4"/>
      <c r="DRG1535" s="6"/>
      <c r="DRH1535" s="4"/>
      <c r="DRI1535" s="6"/>
      <c r="DRJ1535" s="4"/>
      <c r="DRK1535" s="6"/>
      <c r="DRL1535" s="4"/>
      <c r="DRM1535" s="6"/>
      <c r="DRN1535" s="4"/>
      <c r="DRO1535" s="6"/>
      <c r="DRP1535" s="4"/>
      <c r="DRQ1535" s="6"/>
      <c r="DRR1535" s="4"/>
      <c r="DRS1535" s="6"/>
      <c r="DRT1535" s="4"/>
      <c r="DRU1535" s="6"/>
      <c r="DRV1535" s="4"/>
      <c r="DRW1535" s="6"/>
      <c r="DRX1535" s="4"/>
      <c r="DRY1535" s="6"/>
      <c r="DRZ1535" s="4"/>
      <c r="DSA1535" s="6"/>
      <c r="DSB1535" s="4"/>
      <c r="DSC1535" s="6"/>
      <c r="DSD1535" s="4"/>
      <c r="DSE1535" s="6"/>
      <c r="DSF1535" s="4"/>
      <c r="DSG1535" s="6"/>
      <c r="DSH1535" s="4"/>
      <c r="DSI1535" s="6"/>
      <c r="DSJ1535" s="4"/>
      <c r="DSK1535" s="6"/>
      <c r="DSL1535" s="4"/>
      <c r="DSM1535" s="6"/>
      <c r="DSN1535" s="4"/>
      <c r="DSO1535" s="6"/>
      <c r="DSP1535" s="4"/>
      <c r="DSQ1535" s="6"/>
      <c r="DSR1535" s="4"/>
      <c r="DSS1535" s="6"/>
      <c r="DST1535" s="4"/>
      <c r="DSU1535" s="6"/>
      <c r="DSV1535" s="4"/>
      <c r="DSW1535" s="6"/>
      <c r="DSX1535" s="4"/>
      <c r="DSY1535" s="6"/>
      <c r="DSZ1535" s="4"/>
      <c r="DTA1535" s="6"/>
      <c r="DTB1535" s="4"/>
      <c r="DTC1535" s="6"/>
      <c r="DTD1535" s="4"/>
      <c r="DTE1535" s="6"/>
      <c r="DTF1535" s="4"/>
      <c r="DTG1535" s="6"/>
      <c r="DTH1535" s="4"/>
      <c r="DTI1535" s="6"/>
      <c r="DTJ1535" s="4"/>
      <c r="DTK1535" s="6"/>
      <c r="DTL1535" s="4"/>
      <c r="DTM1535" s="6"/>
      <c r="DTN1535" s="4"/>
      <c r="DTO1535" s="6"/>
      <c r="DTP1535" s="4"/>
      <c r="DTQ1535" s="6"/>
      <c r="DTR1535" s="4"/>
      <c r="DTS1535" s="6"/>
      <c r="DTT1535" s="4"/>
      <c r="DTU1535" s="6"/>
      <c r="DTV1535" s="4"/>
      <c r="DTW1535" s="6"/>
      <c r="DTX1535" s="4"/>
      <c r="DTY1535" s="6"/>
      <c r="DTZ1535" s="4"/>
      <c r="DUA1535" s="6"/>
      <c r="DUB1535" s="4"/>
      <c r="DUC1535" s="6"/>
      <c r="DUD1535" s="4"/>
      <c r="DUE1535" s="6"/>
      <c r="DUF1535" s="4"/>
      <c r="DUG1535" s="6"/>
      <c r="DUH1535" s="4"/>
      <c r="DUI1535" s="6"/>
      <c r="DUJ1535" s="4"/>
      <c r="DUK1535" s="6"/>
      <c r="DUL1535" s="4"/>
      <c r="DUM1535" s="6"/>
      <c r="DUN1535" s="4"/>
      <c r="DUO1535" s="6"/>
      <c r="DUP1535" s="4"/>
      <c r="DUQ1535" s="6"/>
      <c r="DUR1535" s="4"/>
      <c r="DUS1535" s="6"/>
      <c r="DUT1535" s="4"/>
      <c r="DUU1535" s="6"/>
      <c r="DUV1535" s="4"/>
      <c r="DUW1535" s="6"/>
      <c r="DUX1535" s="4"/>
      <c r="DUY1535" s="6"/>
      <c r="DUZ1535" s="4"/>
      <c r="DVA1535" s="6"/>
      <c r="DVB1535" s="4"/>
      <c r="DVC1535" s="6"/>
      <c r="DVD1535" s="4"/>
      <c r="DVE1535" s="6"/>
      <c r="DVF1535" s="4"/>
      <c r="DVG1535" s="6"/>
      <c r="DVH1535" s="4"/>
      <c r="DVI1535" s="6"/>
      <c r="DVJ1535" s="4"/>
      <c r="DVK1535" s="6"/>
      <c r="DVL1535" s="4"/>
      <c r="DVM1535" s="6"/>
      <c r="DVN1535" s="4"/>
      <c r="DVO1535" s="6"/>
      <c r="DVP1535" s="4"/>
      <c r="DVQ1535" s="6"/>
      <c r="DVR1535" s="4"/>
      <c r="DVS1535" s="6"/>
      <c r="DVT1535" s="4"/>
      <c r="DVU1535" s="6"/>
      <c r="DVV1535" s="4"/>
      <c r="DVW1535" s="6"/>
      <c r="DVX1535" s="4"/>
      <c r="DVY1535" s="6"/>
      <c r="DVZ1535" s="4"/>
      <c r="DWA1535" s="6"/>
      <c r="DWB1535" s="4"/>
      <c r="DWC1535" s="6"/>
      <c r="DWD1535" s="4"/>
      <c r="DWE1535" s="6"/>
      <c r="DWF1535" s="4"/>
      <c r="DWG1535" s="6"/>
      <c r="DWH1535" s="4"/>
      <c r="DWI1535" s="6"/>
      <c r="DWJ1535" s="4"/>
      <c r="DWK1535" s="6"/>
      <c r="DWL1535" s="4"/>
      <c r="DWM1535" s="6"/>
      <c r="DWN1535" s="4"/>
      <c r="DWO1535" s="6"/>
      <c r="DWP1535" s="4"/>
      <c r="DWQ1535" s="6"/>
      <c r="DWR1535" s="4"/>
      <c r="DWS1535" s="6"/>
      <c r="DWT1535" s="4"/>
      <c r="DWU1535" s="6"/>
      <c r="DWV1535" s="4"/>
      <c r="DWW1535" s="6"/>
      <c r="DWX1535" s="4"/>
      <c r="DWY1535" s="6"/>
      <c r="DWZ1535" s="4"/>
      <c r="DXA1535" s="6"/>
      <c r="DXB1535" s="4"/>
      <c r="DXC1535" s="6"/>
      <c r="DXD1535" s="4"/>
      <c r="DXE1535" s="6"/>
      <c r="DXF1535" s="4"/>
      <c r="DXG1535" s="6"/>
      <c r="DXH1535" s="4"/>
      <c r="DXI1535" s="6"/>
      <c r="DXJ1535" s="4"/>
      <c r="DXK1535" s="6"/>
      <c r="DXL1535" s="4"/>
      <c r="DXM1535" s="6"/>
      <c r="DXN1535" s="4"/>
      <c r="DXO1535" s="6"/>
      <c r="DXP1535" s="4"/>
      <c r="DXQ1535" s="6"/>
      <c r="DXR1535" s="4"/>
      <c r="DXS1535" s="6"/>
      <c r="DXT1535" s="4"/>
      <c r="DXU1535" s="6"/>
      <c r="DXV1535" s="4"/>
      <c r="DXW1535" s="6"/>
      <c r="DXX1535" s="4"/>
      <c r="DXY1535" s="6"/>
      <c r="DXZ1535" s="4"/>
      <c r="DYA1535" s="6"/>
      <c r="DYB1535" s="4"/>
      <c r="DYC1535" s="6"/>
      <c r="DYD1535" s="4"/>
      <c r="DYE1535" s="6"/>
      <c r="DYF1535" s="4"/>
      <c r="DYG1535" s="6"/>
      <c r="DYH1535" s="4"/>
      <c r="DYI1535" s="6"/>
      <c r="DYJ1535" s="4"/>
      <c r="DYK1535" s="6"/>
      <c r="DYL1535" s="4"/>
      <c r="DYM1535" s="6"/>
      <c r="DYN1535" s="4"/>
      <c r="DYO1535" s="6"/>
      <c r="DYP1535" s="4"/>
      <c r="DYQ1535" s="6"/>
      <c r="DYR1535" s="4"/>
      <c r="DYS1535" s="6"/>
      <c r="DYT1535" s="4"/>
      <c r="DYU1535" s="6"/>
      <c r="DYV1535" s="4"/>
      <c r="DYW1535" s="6"/>
      <c r="DYX1535" s="4"/>
      <c r="DYY1535" s="6"/>
      <c r="DYZ1535" s="4"/>
      <c r="DZA1535" s="6"/>
      <c r="DZB1535" s="4"/>
      <c r="DZC1535" s="6"/>
      <c r="DZD1535" s="4"/>
      <c r="DZE1535" s="6"/>
      <c r="DZF1535" s="4"/>
      <c r="DZG1535" s="6"/>
      <c r="DZH1535" s="4"/>
      <c r="DZI1535" s="6"/>
      <c r="DZJ1535" s="4"/>
      <c r="DZK1535" s="6"/>
      <c r="DZL1535" s="4"/>
      <c r="DZM1535" s="6"/>
      <c r="DZN1535" s="4"/>
      <c r="DZO1535" s="6"/>
      <c r="DZP1535" s="4"/>
      <c r="DZQ1535" s="6"/>
      <c r="DZR1535" s="4"/>
      <c r="DZS1535" s="6"/>
      <c r="DZT1535" s="4"/>
      <c r="DZU1535" s="6"/>
      <c r="DZV1535" s="4"/>
      <c r="DZW1535" s="6"/>
      <c r="DZX1535" s="4"/>
      <c r="DZY1535" s="6"/>
      <c r="DZZ1535" s="4"/>
      <c r="EAA1535" s="6"/>
      <c r="EAB1535" s="4"/>
      <c r="EAC1535" s="6"/>
      <c r="EAD1535" s="4"/>
      <c r="EAE1535" s="6"/>
      <c r="EAF1535" s="4"/>
      <c r="EAG1535" s="6"/>
      <c r="EAH1535" s="4"/>
      <c r="EAI1535" s="6"/>
      <c r="EAJ1535" s="4"/>
      <c r="EAK1535" s="6"/>
      <c r="EAL1535" s="4"/>
      <c r="EAM1535" s="6"/>
      <c r="EAN1535" s="4"/>
      <c r="EAO1535" s="6"/>
      <c r="EAP1535" s="4"/>
      <c r="EAQ1535" s="6"/>
      <c r="EAR1535" s="4"/>
      <c r="EAS1535" s="6"/>
      <c r="EAT1535" s="4"/>
      <c r="EAU1535" s="6"/>
      <c r="EAV1535" s="4"/>
      <c r="EAW1535" s="6"/>
      <c r="EAX1535" s="4"/>
      <c r="EAY1535" s="6"/>
      <c r="EAZ1535" s="4"/>
      <c r="EBA1535" s="6"/>
      <c r="EBB1535" s="4"/>
      <c r="EBC1535" s="6"/>
      <c r="EBD1535" s="4"/>
      <c r="EBE1535" s="6"/>
      <c r="EBF1535" s="4"/>
      <c r="EBG1535" s="6"/>
      <c r="EBH1535" s="4"/>
      <c r="EBI1535" s="6"/>
      <c r="EBJ1535" s="4"/>
      <c r="EBK1535" s="6"/>
      <c r="EBL1535" s="4"/>
      <c r="EBM1535" s="6"/>
      <c r="EBN1535" s="4"/>
      <c r="EBO1535" s="6"/>
      <c r="EBP1535" s="4"/>
      <c r="EBQ1535" s="6"/>
      <c r="EBR1535" s="4"/>
      <c r="EBS1535" s="6"/>
      <c r="EBT1535" s="4"/>
      <c r="EBU1535" s="6"/>
      <c r="EBV1535" s="4"/>
      <c r="EBW1535" s="6"/>
      <c r="EBX1535" s="4"/>
      <c r="EBY1535" s="6"/>
      <c r="EBZ1535" s="4"/>
      <c r="ECA1535" s="6"/>
      <c r="ECB1535" s="4"/>
      <c r="ECC1535" s="6"/>
      <c r="ECD1535" s="4"/>
      <c r="ECE1535" s="6"/>
      <c r="ECF1535" s="4"/>
      <c r="ECG1535" s="6"/>
      <c r="ECH1535" s="4"/>
      <c r="ECI1535" s="6"/>
      <c r="ECJ1535" s="4"/>
      <c r="ECK1535" s="6"/>
      <c r="ECL1535" s="4"/>
      <c r="ECM1535" s="6"/>
      <c r="ECN1535" s="4"/>
      <c r="ECO1535" s="6"/>
      <c r="ECP1535" s="4"/>
      <c r="ECQ1535" s="6"/>
      <c r="ECR1535" s="4"/>
      <c r="ECS1535" s="6"/>
      <c r="ECT1535" s="4"/>
      <c r="ECU1535" s="6"/>
      <c r="ECV1535" s="4"/>
      <c r="ECW1535" s="6"/>
      <c r="ECX1535" s="4"/>
      <c r="ECY1535" s="6"/>
      <c r="ECZ1535" s="4"/>
      <c r="EDA1535" s="6"/>
      <c r="EDB1535" s="4"/>
      <c r="EDC1535" s="6"/>
      <c r="EDD1535" s="4"/>
      <c r="EDE1535" s="6"/>
      <c r="EDF1535" s="4"/>
      <c r="EDG1535" s="6"/>
      <c r="EDH1535" s="4"/>
      <c r="EDI1535" s="6"/>
      <c r="EDJ1535" s="4"/>
      <c r="EDK1535" s="6"/>
      <c r="EDL1535" s="4"/>
      <c r="EDM1535" s="6"/>
      <c r="EDN1535" s="4"/>
      <c r="EDO1535" s="6"/>
      <c r="EDP1535" s="4"/>
      <c r="EDQ1535" s="6"/>
      <c r="EDR1535" s="4"/>
      <c r="EDS1535" s="6"/>
      <c r="EDT1535" s="4"/>
      <c r="EDU1535" s="6"/>
      <c r="EDV1535" s="4"/>
      <c r="EDW1535" s="6"/>
      <c r="EDX1535" s="4"/>
      <c r="EDY1535" s="6"/>
      <c r="EDZ1535" s="4"/>
      <c r="EEA1535" s="6"/>
      <c r="EEB1535" s="4"/>
      <c r="EEC1535" s="6"/>
      <c r="EED1535" s="4"/>
      <c r="EEE1535" s="6"/>
      <c r="EEF1535" s="4"/>
      <c r="EEG1535" s="6"/>
      <c r="EEH1535" s="4"/>
      <c r="EEI1535" s="6"/>
      <c r="EEJ1535" s="4"/>
      <c r="EEK1535" s="6"/>
      <c r="EEL1535" s="4"/>
      <c r="EEM1535" s="6"/>
      <c r="EEN1535" s="4"/>
      <c r="EEO1535" s="6"/>
      <c r="EEP1535" s="4"/>
      <c r="EEQ1535" s="6"/>
      <c r="EER1535" s="4"/>
      <c r="EES1535" s="6"/>
      <c r="EET1535" s="4"/>
      <c r="EEU1535" s="6"/>
      <c r="EEV1535" s="4"/>
      <c r="EEW1535" s="6"/>
      <c r="EEX1535" s="4"/>
      <c r="EEY1535" s="6"/>
      <c r="EEZ1535" s="4"/>
      <c r="EFA1535" s="6"/>
      <c r="EFB1535" s="4"/>
      <c r="EFC1535" s="6"/>
      <c r="EFD1535" s="4"/>
      <c r="EFE1535" s="6"/>
      <c r="EFF1535" s="4"/>
      <c r="EFG1535" s="6"/>
      <c r="EFH1535" s="4"/>
      <c r="EFI1535" s="6"/>
      <c r="EFJ1535" s="4"/>
      <c r="EFK1535" s="6"/>
      <c r="EFL1535" s="4"/>
      <c r="EFM1535" s="6"/>
      <c r="EFN1535" s="4"/>
      <c r="EFO1535" s="6"/>
      <c r="EFP1535" s="4"/>
      <c r="EFQ1535" s="6"/>
      <c r="EFR1535" s="4"/>
      <c r="EFS1535" s="6"/>
      <c r="EFT1535" s="4"/>
      <c r="EFU1535" s="6"/>
      <c r="EFV1535" s="4"/>
      <c r="EFW1535" s="6"/>
      <c r="EFX1535" s="4"/>
      <c r="EFY1535" s="6"/>
      <c r="EFZ1535" s="4"/>
      <c r="EGA1535" s="6"/>
      <c r="EGB1535" s="4"/>
      <c r="EGC1535" s="6"/>
      <c r="EGD1535" s="4"/>
      <c r="EGE1535" s="6"/>
      <c r="EGF1535" s="4"/>
      <c r="EGG1535" s="6"/>
      <c r="EGH1535" s="4"/>
      <c r="EGI1535" s="6"/>
      <c r="EGJ1535" s="4"/>
      <c r="EGK1535" s="6"/>
      <c r="EGL1535" s="4"/>
      <c r="EGM1535" s="6"/>
      <c r="EGN1535" s="4"/>
      <c r="EGO1535" s="6"/>
      <c r="EGP1535" s="4"/>
      <c r="EGQ1535" s="6"/>
      <c r="EGR1535" s="4"/>
      <c r="EGS1535" s="6"/>
      <c r="EGT1535" s="4"/>
      <c r="EGU1535" s="6"/>
      <c r="EGV1535" s="4"/>
      <c r="EGW1535" s="6"/>
      <c r="EGX1535" s="4"/>
      <c r="EGY1535" s="6"/>
      <c r="EGZ1535" s="4"/>
      <c r="EHA1535" s="6"/>
      <c r="EHB1535" s="4"/>
      <c r="EHC1535" s="6"/>
      <c r="EHD1535" s="4"/>
      <c r="EHE1535" s="6"/>
      <c r="EHF1535" s="4"/>
      <c r="EHG1535" s="6"/>
      <c r="EHH1535" s="4"/>
      <c r="EHI1535" s="6"/>
      <c r="EHJ1535" s="4"/>
      <c r="EHK1535" s="6"/>
      <c r="EHL1535" s="4"/>
      <c r="EHM1535" s="6"/>
      <c r="EHN1535" s="4"/>
      <c r="EHO1535" s="6"/>
      <c r="EHP1535" s="4"/>
      <c r="EHQ1535" s="6"/>
      <c r="EHR1535" s="4"/>
      <c r="EHS1535" s="6"/>
      <c r="EHT1535" s="4"/>
      <c r="EHU1535" s="6"/>
      <c r="EHV1535" s="4"/>
      <c r="EHW1535" s="6"/>
      <c r="EHX1535" s="4"/>
      <c r="EHY1535" s="6"/>
      <c r="EHZ1535" s="4"/>
      <c r="EIA1535" s="6"/>
      <c r="EIB1535" s="4"/>
      <c r="EIC1535" s="6"/>
      <c r="EID1535" s="4"/>
      <c r="EIE1535" s="6"/>
      <c r="EIF1535" s="4"/>
      <c r="EIG1535" s="6"/>
      <c r="EIH1535" s="4"/>
      <c r="EII1535" s="6"/>
      <c r="EIJ1535" s="4"/>
      <c r="EIK1535" s="6"/>
      <c r="EIL1535" s="4"/>
      <c r="EIM1535" s="6"/>
      <c r="EIN1535" s="4"/>
      <c r="EIO1535" s="6"/>
      <c r="EIP1535" s="4"/>
      <c r="EIQ1535" s="6"/>
      <c r="EIR1535" s="4"/>
      <c r="EIS1535" s="6"/>
      <c r="EIT1535" s="4"/>
      <c r="EIU1535" s="6"/>
      <c r="EIV1535" s="4"/>
      <c r="EIW1535" s="6"/>
      <c r="EIX1535" s="4"/>
      <c r="EIY1535" s="6"/>
      <c r="EIZ1535" s="4"/>
      <c r="EJA1535" s="6"/>
      <c r="EJB1535" s="4"/>
      <c r="EJC1535" s="6"/>
      <c r="EJD1535" s="4"/>
      <c r="EJE1535" s="6"/>
      <c r="EJF1535" s="4"/>
      <c r="EJG1535" s="6"/>
      <c r="EJH1535" s="4"/>
      <c r="EJI1535" s="6"/>
      <c r="EJJ1535" s="4"/>
      <c r="EJK1535" s="6"/>
      <c r="EJL1535" s="4"/>
      <c r="EJM1535" s="6"/>
      <c r="EJN1535" s="4"/>
      <c r="EJO1535" s="6"/>
      <c r="EJP1535" s="4"/>
      <c r="EJQ1535" s="6"/>
      <c r="EJR1535" s="4"/>
      <c r="EJS1535" s="6"/>
      <c r="EJT1535" s="4"/>
      <c r="EJU1535" s="6"/>
      <c r="EJV1535" s="4"/>
      <c r="EJW1535" s="6"/>
      <c r="EJX1535" s="4"/>
      <c r="EJY1535" s="6"/>
      <c r="EJZ1535" s="4"/>
      <c r="EKA1535" s="6"/>
      <c r="EKB1535" s="4"/>
      <c r="EKC1535" s="6"/>
      <c r="EKD1535" s="4"/>
      <c r="EKE1535" s="6"/>
      <c r="EKF1535" s="4"/>
      <c r="EKG1535" s="6"/>
      <c r="EKH1535" s="4"/>
      <c r="EKI1535" s="6"/>
      <c r="EKJ1535" s="4"/>
      <c r="EKK1535" s="6"/>
      <c r="EKL1535" s="4"/>
      <c r="EKM1535" s="6"/>
      <c r="EKN1535" s="4"/>
      <c r="EKO1535" s="6"/>
      <c r="EKP1535" s="4"/>
      <c r="EKQ1535" s="6"/>
      <c r="EKR1535" s="4"/>
      <c r="EKS1535" s="6"/>
      <c r="EKT1535" s="4"/>
      <c r="EKU1535" s="6"/>
      <c r="EKV1535" s="4"/>
      <c r="EKW1535" s="6"/>
      <c r="EKX1535" s="4"/>
      <c r="EKY1535" s="6"/>
      <c r="EKZ1535" s="4"/>
      <c r="ELA1535" s="6"/>
      <c r="ELB1535" s="4"/>
      <c r="ELC1535" s="6"/>
      <c r="ELD1535" s="4"/>
      <c r="ELE1535" s="6"/>
      <c r="ELF1535" s="4"/>
      <c r="ELG1535" s="6"/>
      <c r="ELH1535" s="4"/>
      <c r="ELI1535" s="6"/>
      <c r="ELJ1535" s="4"/>
      <c r="ELK1535" s="6"/>
      <c r="ELL1535" s="4"/>
      <c r="ELM1535" s="6"/>
      <c r="ELN1535" s="4"/>
      <c r="ELO1535" s="6"/>
      <c r="ELP1535" s="4"/>
      <c r="ELQ1535" s="6"/>
      <c r="ELR1535" s="4"/>
      <c r="ELS1535" s="6"/>
      <c r="ELT1535" s="4"/>
      <c r="ELU1535" s="6"/>
      <c r="ELV1535" s="4"/>
      <c r="ELW1535" s="6"/>
      <c r="ELX1535" s="4"/>
      <c r="ELY1535" s="6"/>
      <c r="ELZ1535" s="4"/>
      <c r="EMA1535" s="6"/>
      <c r="EMB1535" s="4"/>
      <c r="EMC1535" s="6"/>
      <c r="EMD1535" s="4"/>
      <c r="EME1535" s="6"/>
      <c r="EMF1535" s="4"/>
      <c r="EMG1535" s="6"/>
      <c r="EMH1535" s="4"/>
      <c r="EMI1535" s="6"/>
      <c r="EMJ1535" s="4"/>
      <c r="EMK1535" s="6"/>
      <c r="EML1535" s="4"/>
      <c r="EMM1535" s="6"/>
      <c r="EMN1535" s="4"/>
      <c r="EMO1535" s="6"/>
      <c r="EMP1535" s="4"/>
      <c r="EMQ1535" s="6"/>
      <c r="EMR1535" s="4"/>
      <c r="EMS1535" s="6"/>
      <c r="EMT1535" s="4"/>
      <c r="EMU1535" s="6"/>
      <c r="EMV1535" s="4"/>
      <c r="EMW1535" s="6"/>
      <c r="EMX1535" s="4"/>
      <c r="EMY1535" s="6"/>
      <c r="EMZ1535" s="4"/>
      <c r="ENA1535" s="6"/>
      <c r="ENB1535" s="4"/>
      <c r="ENC1535" s="6"/>
      <c r="END1535" s="4"/>
      <c r="ENE1535" s="6"/>
      <c r="ENF1535" s="4"/>
      <c r="ENG1535" s="6"/>
      <c r="ENH1535" s="4"/>
      <c r="ENI1535" s="6"/>
      <c r="ENJ1535" s="4"/>
      <c r="ENK1535" s="6"/>
      <c r="ENL1535" s="4"/>
      <c r="ENM1535" s="6"/>
      <c r="ENN1535" s="4"/>
      <c r="ENO1535" s="6"/>
      <c r="ENP1535" s="4"/>
      <c r="ENQ1535" s="6"/>
      <c r="ENR1535" s="4"/>
      <c r="ENS1535" s="6"/>
      <c r="ENT1535" s="4"/>
      <c r="ENU1535" s="6"/>
      <c r="ENV1535" s="4"/>
      <c r="ENW1535" s="6"/>
      <c r="ENX1535" s="4"/>
      <c r="ENY1535" s="6"/>
      <c r="ENZ1535" s="4"/>
      <c r="EOA1535" s="6"/>
      <c r="EOB1535" s="4"/>
      <c r="EOC1535" s="6"/>
      <c r="EOD1535" s="4"/>
      <c r="EOE1535" s="6"/>
      <c r="EOF1535" s="4"/>
      <c r="EOG1535" s="6"/>
      <c r="EOH1535" s="4"/>
      <c r="EOI1535" s="6"/>
      <c r="EOJ1535" s="4"/>
      <c r="EOK1535" s="6"/>
      <c r="EOL1535" s="4"/>
      <c r="EOM1535" s="6"/>
      <c r="EON1535" s="4"/>
      <c r="EOO1535" s="6"/>
      <c r="EOP1535" s="4"/>
      <c r="EOQ1535" s="6"/>
      <c r="EOR1535" s="4"/>
      <c r="EOS1535" s="6"/>
      <c r="EOT1535" s="4"/>
      <c r="EOU1535" s="6"/>
      <c r="EOV1535" s="4"/>
      <c r="EOW1535" s="6"/>
      <c r="EOX1535" s="4"/>
      <c r="EOY1535" s="6"/>
      <c r="EOZ1535" s="4"/>
      <c r="EPA1535" s="6"/>
      <c r="EPB1535" s="4"/>
      <c r="EPC1535" s="6"/>
      <c r="EPD1535" s="4"/>
      <c r="EPE1535" s="6"/>
      <c r="EPF1535" s="4"/>
      <c r="EPG1535" s="6"/>
      <c r="EPH1535" s="4"/>
      <c r="EPI1535" s="6"/>
      <c r="EPJ1535" s="4"/>
      <c r="EPK1535" s="6"/>
      <c r="EPL1535" s="4"/>
      <c r="EPM1535" s="6"/>
      <c r="EPN1535" s="4"/>
      <c r="EPO1535" s="6"/>
      <c r="EPP1535" s="4"/>
      <c r="EPQ1535" s="6"/>
      <c r="EPR1535" s="4"/>
      <c r="EPS1535" s="6"/>
      <c r="EPT1535" s="4"/>
      <c r="EPU1535" s="6"/>
      <c r="EPV1535" s="4"/>
      <c r="EPW1535" s="6"/>
      <c r="EPX1535" s="4"/>
      <c r="EPY1535" s="6"/>
      <c r="EPZ1535" s="4"/>
      <c r="EQA1535" s="6"/>
      <c r="EQB1535" s="4"/>
      <c r="EQC1535" s="6"/>
      <c r="EQD1535" s="4"/>
      <c r="EQE1535" s="6"/>
      <c r="EQF1535" s="4"/>
      <c r="EQG1535" s="6"/>
      <c r="EQH1535" s="4"/>
      <c r="EQI1535" s="6"/>
      <c r="EQJ1535" s="4"/>
      <c r="EQK1535" s="6"/>
      <c r="EQL1535" s="4"/>
      <c r="EQM1535" s="6"/>
      <c r="EQN1535" s="4"/>
      <c r="EQO1535" s="6"/>
      <c r="EQP1535" s="4"/>
      <c r="EQQ1535" s="6"/>
      <c r="EQR1535" s="4"/>
      <c r="EQS1535" s="6"/>
      <c r="EQT1535" s="4"/>
      <c r="EQU1535" s="6"/>
      <c r="EQV1535" s="4"/>
      <c r="EQW1535" s="6"/>
      <c r="EQX1535" s="4"/>
      <c r="EQY1535" s="6"/>
      <c r="EQZ1535" s="4"/>
      <c r="ERA1535" s="6"/>
      <c r="ERB1535" s="4"/>
      <c r="ERC1535" s="6"/>
      <c r="ERD1535" s="4"/>
      <c r="ERE1535" s="6"/>
      <c r="ERF1535" s="4"/>
      <c r="ERG1535" s="6"/>
      <c r="ERH1535" s="4"/>
      <c r="ERI1535" s="6"/>
      <c r="ERJ1535" s="4"/>
      <c r="ERK1535" s="6"/>
      <c r="ERL1535" s="4"/>
      <c r="ERM1535" s="6"/>
      <c r="ERN1535" s="4"/>
      <c r="ERO1535" s="6"/>
      <c r="ERP1535" s="4"/>
      <c r="ERQ1535" s="6"/>
      <c r="ERR1535" s="4"/>
      <c r="ERS1535" s="6"/>
      <c r="ERT1535" s="4"/>
      <c r="ERU1535" s="6"/>
      <c r="ERV1535" s="4"/>
      <c r="ERW1535" s="6"/>
      <c r="ERX1535" s="4"/>
      <c r="ERY1535" s="6"/>
      <c r="ERZ1535" s="4"/>
      <c r="ESA1535" s="6"/>
      <c r="ESB1535" s="4"/>
      <c r="ESC1535" s="6"/>
      <c r="ESD1535" s="4"/>
      <c r="ESE1535" s="6"/>
      <c r="ESF1535" s="4"/>
      <c r="ESG1535" s="6"/>
      <c r="ESH1535" s="4"/>
      <c r="ESI1535" s="6"/>
      <c r="ESJ1535" s="4"/>
      <c r="ESK1535" s="6"/>
      <c r="ESL1535" s="4"/>
      <c r="ESM1535" s="6"/>
      <c r="ESN1535" s="4"/>
      <c r="ESO1535" s="6"/>
      <c r="ESP1535" s="4"/>
      <c r="ESQ1535" s="6"/>
      <c r="ESR1535" s="4"/>
      <c r="ESS1535" s="6"/>
      <c r="EST1535" s="4"/>
      <c r="ESU1535" s="6"/>
      <c r="ESV1535" s="4"/>
      <c r="ESW1535" s="6"/>
      <c r="ESX1535" s="4"/>
      <c r="ESY1535" s="6"/>
      <c r="ESZ1535" s="4"/>
      <c r="ETA1535" s="6"/>
      <c r="ETB1535" s="4"/>
      <c r="ETC1535" s="6"/>
      <c r="ETD1535" s="4"/>
      <c r="ETE1535" s="6"/>
      <c r="ETF1535" s="4"/>
      <c r="ETG1535" s="6"/>
      <c r="ETH1535" s="4"/>
      <c r="ETI1535" s="6"/>
      <c r="ETJ1535" s="4"/>
      <c r="ETK1535" s="6"/>
      <c r="ETL1535" s="4"/>
      <c r="ETM1535" s="6"/>
      <c r="ETN1535" s="4"/>
      <c r="ETO1535" s="6"/>
      <c r="ETP1535" s="4"/>
      <c r="ETQ1535" s="6"/>
      <c r="ETR1535" s="4"/>
      <c r="ETS1535" s="6"/>
      <c r="ETT1535" s="4"/>
      <c r="ETU1535" s="6"/>
      <c r="ETV1535" s="4"/>
      <c r="ETW1535" s="6"/>
      <c r="ETX1535" s="4"/>
      <c r="ETY1535" s="6"/>
      <c r="ETZ1535" s="4"/>
      <c r="EUA1535" s="6"/>
      <c r="EUB1535" s="4"/>
      <c r="EUC1535" s="6"/>
      <c r="EUD1535" s="4"/>
      <c r="EUE1535" s="6"/>
      <c r="EUF1535" s="4"/>
      <c r="EUG1535" s="6"/>
      <c r="EUH1535" s="4"/>
      <c r="EUI1535" s="6"/>
      <c r="EUJ1535" s="4"/>
      <c r="EUK1535" s="6"/>
      <c r="EUL1535" s="4"/>
      <c r="EUM1535" s="6"/>
      <c r="EUN1535" s="4"/>
      <c r="EUO1535" s="6"/>
      <c r="EUP1535" s="4"/>
      <c r="EUQ1535" s="6"/>
      <c r="EUR1535" s="4"/>
      <c r="EUS1535" s="6"/>
      <c r="EUT1535" s="4"/>
      <c r="EUU1535" s="6"/>
      <c r="EUV1535" s="4"/>
      <c r="EUW1535" s="6"/>
      <c r="EUX1535" s="4"/>
      <c r="EUY1535" s="6"/>
      <c r="EUZ1535" s="4"/>
      <c r="EVA1535" s="6"/>
      <c r="EVB1535" s="4"/>
      <c r="EVC1535" s="6"/>
      <c r="EVD1535" s="4"/>
      <c r="EVE1535" s="6"/>
      <c r="EVF1535" s="4"/>
      <c r="EVG1535" s="6"/>
      <c r="EVH1535" s="4"/>
      <c r="EVI1535" s="6"/>
      <c r="EVJ1535" s="4"/>
      <c r="EVK1535" s="6"/>
      <c r="EVL1535" s="4"/>
      <c r="EVM1535" s="6"/>
      <c r="EVN1535" s="4"/>
      <c r="EVO1535" s="6"/>
      <c r="EVP1535" s="4"/>
      <c r="EVQ1535" s="6"/>
      <c r="EVR1535" s="4"/>
      <c r="EVS1535" s="6"/>
      <c r="EVT1535" s="4"/>
      <c r="EVU1535" s="6"/>
      <c r="EVV1535" s="4"/>
      <c r="EVW1535" s="6"/>
      <c r="EVX1535" s="4"/>
      <c r="EVY1535" s="6"/>
      <c r="EVZ1535" s="4"/>
      <c r="EWA1535" s="6"/>
      <c r="EWB1535" s="4"/>
      <c r="EWC1535" s="6"/>
      <c r="EWD1535" s="4"/>
      <c r="EWE1535" s="6"/>
      <c r="EWF1535" s="4"/>
      <c r="EWG1535" s="6"/>
      <c r="EWH1535" s="4"/>
      <c r="EWI1535" s="6"/>
      <c r="EWJ1535" s="4"/>
      <c r="EWK1535" s="6"/>
      <c r="EWL1535" s="4"/>
      <c r="EWM1535" s="6"/>
      <c r="EWN1535" s="4"/>
      <c r="EWO1535" s="6"/>
      <c r="EWP1535" s="4"/>
      <c r="EWQ1535" s="6"/>
      <c r="EWR1535" s="4"/>
      <c r="EWS1535" s="6"/>
      <c r="EWT1535" s="4"/>
      <c r="EWU1535" s="6"/>
      <c r="EWV1535" s="4"/>
      <c r="EWW1535" s="6"/>
      <c r="EWX1535" s="4"/>
      <c r="EWY1535" s="6"/>
      <c r="EWZ1535" s="4"/>
      <c r="EXA1535" s="6"/>
      <c r="EXB1535" s="4"/>
      <c r="EXC1535" s="6"/>
      <c r="EXD1535" s="4"/>
      <c r="EXE1535" s="6"/>
      <c r="EXF1535" s="4"/>
      <c r="EXG1535" s="6"/>
      <c r="EXH1535" s="4"/>
      <c r="EXI1535" s="6"/>
      <c r="EXJ1535" s="4"/>
      <c r="EXK1535" s="6"/>
      <c r="EXL1535" s="4"/>
      <c r="EXM1535" s="6"/>
      <c r="EXN1535" s="4"/>
      <c r="EXO1535" s="6"/>
      <c r="EXP1535" s="4"/>
      <c r="EXQ1535" s="6"/>
      <c r="EXR1535" s="4"/>
      <c r="EXS1535" s="6"/>
      <c r="EXT1535" s="4"/>
      <c r="EXU1535" s="6"/>
      <c r="EXV1535" s="4"/>
      <c r="EXW1535" s="6"/>
      <c r="EXX1535" s="4"/>
      <c r="EXY1535" s="6"/>
      <c r="EXZ1535" s="4"/>
      <c r="EYA1535" s="6"/>
      <c r="EYB1535" s="4"/>
      <c r="EYC1535" s="6"/>
      <c r="EYD1535" s="4"/>
      <c r="EYE1535" s="6"/>
      <c r="EYF1535" s="4"/>
      <c r="EYG1535" s="6"/>
      <c r="EYH1535" s="4"/>
      <c r="EYI1535" s="6"/>
      <c r="EYJ1535" s="4"/>
      <c r="EYK1535" s="6"/>
      <c r="EYL1535" s="4"/>
      <c r="EYM1535" s="6"/>
      <c r="EYN1535" s="4"/>
      <c r="EYO1535" s="6"/>
      <c r="EYP1535" s="4"/>
      <c r="EYQ1535" s="6"/>
      <c r="EYR1535" s="4"/>
      <c r="EYS1535" s="6"/>
      <c r="EYT1535" s="4"/>
      <c r="EYU1535" s="6"/>
      <c r="EYV1535" s="4"/>
      <c r="EYW1535" s="6"/>
      <c r="EYX1535" s="4"/>
      <c r="EYY1535" s="6"/>
      <c r="EYZ1535" s="4"/>
      <c r="EZA1535" s="6"/>
      <c r="EZB1535" s="4"/>
      <c r="EZC1535" s="6"/>
      <c r="EZD1535" s="4"/>
      <c r="EZE1535" s="6"/>
      <c r="EZF1535" s="4"/>
      <c r="EZG1535" s="6"/>
      <c r="EZH1535" s="4"/>
      <c r="EZI1535" s="6"/>
      <c r="EZJ1535" s="4"/>
      <c r="EZK1535" s="6"/>
      <c r="EZL1535" s="4"/>
      <c r="EZM1535" s="6"/>
      <c r="EZN1535" s="4"/>
      <c r="EZO1535" s="6"/>
      <c r="EZP1535" s="4"/>
      <c r="EZQ1535" s="6"/>
      <c r="EZR1535" s="4"/>
      <c r="EZS1535" s="6"/>
      <c r="EZT1535" s="4"/>
      <c r="EZU1535" s="6"/>
      <c r="EZV1535" s="4"/>
      <c r="EZW1535" s="6"/>
      <c r="EZX1535" s="4"/>
      <c r="EZY1535" s="6"/>
      <c r="EZZ1535" s="4"/>
      <c r="FAA1535" s="6"/>
      <c r="FAB1535" s="4"/>
      <c r="FAC1535" s="6"/>
      <c r="FAD1535" s="4"/>
      <c r="FAE1535" s="6"/>
      <c r="FAF1535" s="4"/>
      <c r="FAG1535" s="6"/>
      <c r="FAH1535" s="4"/>
      <c r="FAI1535" s="6"/>
      <c r="FAJ1535" s="4"/>
      <c r="FAK1535" s="6"/>
      <c r="FAL1535" s="4"/>
      <c r="FAM1535" s="6"/>
      <c r="FAN1535" s="4"/>
      <c r="FAO1535" s="6"/>
      <c r="FAP1535" s="4"/>
      <c r="FAQ1535" s="6"/>
      <c r="FAR1535" s="4"/>
      <c r="FAS1535" s="6"/>
      <c r="FAT1535" s="4"/>
      <c r="FAU1535" s="6"/>
      <c r="FAV1535" s="4"/>
      <c r="FAW1535" s="6"/>
      <c r="FAX1535" s="4"/>
      <c r="FAY1535" s="6"/>
      <c r="FAZ1535" s="4"/>
      <c r="FBA1535" s="6"/>
      <c r="FBB1535" s="4"/>
      <c r="FBC1535" s="6"/>
      <c r="FBD1535" s="4"/>
      <c r="FBE1535" s="6"/>
      <c r="FBF1535" s="4"/>
      <c r="FBG1535" s="6"/>
      <c r="FBH1535" s="4"/>
      <c r="FBI1535" s="6"/>
      <c r="FBJ1535" s="4"/>
      <c r="FBK1535" s="6"/>
      <c r="FBL1535" s="4"/>
      <c r="FBM1535" s="6"/>
      <c r="FBN1535" s="4"/>
      <c r="FBO1535" s="6"/>
      <c r="FBP1535" s="4"/>
      <c r="FBQ1535" s="6"/>
      <c r="FBR1535" s="4"/>
      <c r="FBS1535" s="6"/>
      <c r="FBT1535" s="4"/>
      <c r="FBU1535" s="6"/>
      <c r="FBV1535" s="4"/>
      <c r="FBW1535" s="6"/>
      <c r="FBX1535" s="4"/>
      <c r="FBY1535" s="6"/>
      <c r="FBZ1535" s="4"/>
      <c r="FCA1535" s="6"/>
      <c r="FCB1535" s="4"/>
      <c r="FCC1535" s="6"/>
      <c r="FCD1535" s="4"/>
      <c r="FCE1535" s="6"/>
      <c r="FCF1535" s="4"/>
      <c r="FCG1535" s="6"/>
      <c r="FCH1535" s="4"/>
      <c r="FCI1535" s="6"/>
      <c r="FCJ1535" s="4"/>
      <c r="FCK1535" s="6"/>
      <c r="FCL1535" s="4"/>
      <c r="FCM1535" s="6"/>
      <c r="FCN1535" s="4"/>
      <c r="FCO1535" s="6"/>
      <c r="FCP1535" s="4"/>
      <c r="FCQ1535" s="6"/>
      <c r="FCR1535" s="4"/>
      <c r="FCS1535" s="6"/>
      <c r="FCT1535" s="4"/>
      <c r="FCU1535" s="6"/>
      <c r="FCV1535" s="4"/>
      <c r="FCW1535" s="6"/>
      <c r="FCX1535" s="4"/>
      <c r="FCY1535" s="6"/>
      <c r="FCZ1535" s="4"/>
      <c r="FDA1535" s="6"/>
      <c r="FDB1535" s="4"/>
      <c r="FDC1535" s="6"/>
      <c r="FDD1535" s="4"/>
      <c r="FDE1535" s="6"/>
      <c r="FDF1535" s="4"/>
      <c r="FDG1535" s="6"/>
      <c r="FDH1535" s="4"/>
      <c r="FDI1535" s="6"/>
      <c r="FDJ1535" s="4"/>
      <c r="FDK1535" s="6"/>
      <c r="FDL1535" s="4"/>
      <c r="FDM1535" s="6"/>
      <c r="FDN1535" s="4"/>
      <c r="FDO1535" s="6"/>
      <c r="FDP1535" s="4"/>
      <c r="FDQ1535" s="6"/>
      <c r="FDR1535" s="4"/>
      <c r="FDS1535" s="6"/>
      <c r="FDT1535" s="4"/>
      <c r="FDU1535" s="6"/>
      <c r="FDV1535" s="4"/>
      <c r="FDW1535" s="6"/>
      <c r="FDX1535" s="4"/>
      <c r="FDY1535" s="6"/>
      <c r="FDZ1535" s="4"/>
      <c r="FEA1535" s="6"/>
      <c r="FEB1535" s="4"/>
      <c r="FEC1535" s="6"/>
      <c r="FED1535" s="4"/>
      <c r="FEE1535" s="6"/>
      <c r="FEF1535" s="4"/>
      <c r="FEG1535" s="6"/>
      <c r="FEH1535" s="4"/>
      <c r="FEI1535" s="6"/>
      <c r="FEJ1535" s="4"/>
      <c r="FEK1535" s="6"/>
      <c r="FEL1535" s="4"/>
      <c r="FEM1535" s="6"/>
      <c r="FEN1535" s="4"/>
      <c r="FEO1535" s="6"/>
      <c r="FEP1535" s="4"/>
      <c r="FEQ1535" s="6"/>
      <c r="FER1535" s="4"/>
      <c r="FES1535" s="6"/>
      <c r="FET1535" s="4"/>
      <c r="FEU1535" s="6"/>
      <c r="FEV1535" s="4"/>
      <c r="FEW1535" s="6"/>
      <c r="FEX1535" s="4"/>
      <c r="FEY1535" s="6"/>
      <c r="FEZ1535" s="4"/>
      <c r="FFA1535" s="6"/>
      <c r="FFB1535" s="4"/>
      <c r="FFC1535" s="6"/>
      <c r="FFD1535" s="4"/>
      <c r="FFE1535" s="6"/>
      <c r="FFF1535" s="4"/>
      <c r="FFG1535" s="6"/>
      <c r="FFH1535" s="4"/>
      <c r="FFI1535" s="6"/>
      <c r="FFJ1535" s="4"/>
      <c r="FFK1535" s="6"/>
      <c r="FFL1535" s="4"/>
      <c r="FFM1535" s="6"/>
      <c r="FFN1535" s="4"/>
      <c r="FFO1535" s="6"/>
      <c r="FFP1535" s="4"/>
      <c r="FFQ1535" s="6"/>
      <c r="FFR1535" s="4"/>
      <c r="FFS1535" s="6"/>
      <c r="FFT1535" s="4"/>
      <c r="FFU1535" s="6"/>
      <c r="FFV1535" s="4"/>
      <c r="FFW1535" s="6"/>
      <c r="FFX1535" s="4"/>
      <c r="FFY1535" s="6"/>
      <c r="FFZ1535" s="4"/>
      <c r="FGA1535" s="6"/>
      <c r="FGB1535" s="4"/>
      <c r="FGC1535" s="6"/>
      <c r="FGD1535" s="4"/>
      <c r="FGE1535" s="6"/>
      <c r="FGF1535" s="4"/>
      <c r="FGG1535" s="6"/>
      <c r="FGH1535" s="4"/>
      <c r="FGI1535" s="6"/>
      <c r="FGJ1535" s="4"/>
      <c r="FGK1535" s="6"/>
      <c r="FGL1535" s="4"/>
      <c r="FGM1535" s="6"/>
      <c r="FGN1535" s="4"/>
      <c r="FGO1535" s="6"/>
      <c r="FGP1535" s="4"/>
      <c r="FGQ1535" s="6"/>
      <c r="FGR1535" s="4"/>
      <c r="FGS1535" s="6"/>
      <c r="FGT1535" s="4"/>
      <c r="FGU1535" s="6"/>
      <c r="FGV1535" s="4"/>
      <c r="FGW1535" s="6"/>
      <c r="FGX1535" s="4"/>
      <c r="FGY1535" s="6"/>
      <c r="FGZ1535" s="4"/>
      <c r="FHA1535" s="6"/>
      <c r="FHB1535" s="4"/>
      <c r="FHC1535" s="6"/>
      <c r="FHD1535" s="4"/>
      <c r="FHE1535" s="6"/>
      <c r="FHF1535" s="4"/>
      <c r="FHG1535" s="6"/>
      <c r="FHH1535" s="4"/>
      <c r="FHI1535" s="6"/>
      <c r="FHJ1535" s="4"/>
      <c r="FHK1535" s="6"/>
      <c r="FHL1535" s="4"/>
      <c r="FHM1535" s="6"/>
      <c r="FHN1535" s="4"/>
      <c r="FHO1535" s="6"/>
      <c r="FHP1535" s="4"/>
      <c r="FHQ1535" s="6"/>
      <c r="FHR1535" s="4"/>
      <c r="FHS1535" s="6"/>
      <c r="FHT1535" s="4"/>
      <c r="FHU1535" s="6"/>
      <c r="FHV1535" s="4"/>
      <c r="FHW1535" s="6"/>
      <c r="FHX1535" s="4"/>
      <c r="FHY1535" s="6"/>
      <c r="FHZ1535" s="4"/>
      <c r="FIA1535" s="6"/>
      <c r="FIB1535" s="4"/>
      <c r="FIC1535" s="6"/>
      <c r="FID1535" s="4"/>
      <c r="FIE1535" s="6"/>
      <c r="FIF1535" s="4"/>
      <c r="FIG1535" s="6"/>
      <c r="FIH1535" s="4"/>
      <c r="FII1535" s="6"/>
      <c r="FIJ1535" s="4"/>
      <c r="FIK1535" s="6"/>
      <c r="FIL1535" s="4"/>
      <c r="FIM1535" s="6"/>
      <c r="FIN1535" s="4"/>
      <c r="FIO1535" s="6"/>
      <c r="FIP1535" s="4"/>
      <c r="FIQ1535" s="6"/>
      <c r="FIR1535" s="4"/>
      <c r="FIS1535" s="6"/>
      <c r="FIT1535" s="4"/>
      <c r="FIU1535" s="6"/>
      <c r="FIV1535" s="4"/>
      <c r="FIW1535" s="6"/>
      <c r="FIX1535" s="4"/>
      <c r="FIY1535" s="6"/>
      <c r="FIZ1535" s="4"/>
      <c r="FJA1535" s="6"/>
      <c r="FJB1535" s="4"/>
      <c r="FJC1535" s="6"/>
      <c r="FJD1535" s="4"/>
      <c r="FJE1535" s="6"/>
      <c r="FJF1535" s="4"/>
      <c r="FJG1535" s="6"/>
      <c r="FJH1535" s="4"/>
      <c r="FJI1535" s="6"/>
      <c r="FJJ1535" s="4"/>
      <c r="FJK1535" s="6"/>
      <c r="FJL1535" s="4"/>
      <c r="FJM1535" s="6"/>
      <c r="FJN1535" s="4"/>
      <c r="FJO1535" s="6"/>
      <c r="FJP1535" s="4"/>
      <c r="FJQ1535" s="6"/>
      <c r="FJR1535" s="4"/>
      <c r="FJS1535" s="6"/>
      <c r="FJT1535" s="4"/>
      <c r="FJU1535" s="6"/>
      <c r="FJV1535" s="4"/>
      <c r="FJW1535" s="6"/>
      <c r="FJX1535" s="4"/>
      <c r="FJY1535" s="6"/>
      <c r="FJZ1535" s="4"/>
      <c r="FKA1535" s="6"/>
      <c r="FKB1535" s="4"/>
      <c r="FKC1535" s="6"/>
      <c r="FKD1535" s="4"/>
      <c r="FKE1535" s="6"/>
      <c r="FKF1535" s="4"/>
      <c r="FKG1535" s="6"/>
      <c r="FKH1535" s="4"/>
      <c r="FKI1535" s="6"/>
      <c r="FKJ1535" s="4"/>
      <c r="FKK1535" s="6"/>
      <c r="FKL1535" s="4"/>
      <c r="FKM1535" s="6"/>
      <c r="FKN1535" s="4"/>
      <c r="FKO1535" s="6"/>
      <c r="FKP1535" s="4"/>
      <c r="FKQ1535" s="6"/>
      <c r="FKR1535" s="4"/>
      <c r="FKS1535" s="6"/>
      <c r="FKT1535" s="4"/>
      <c r="FKU1535" s="6"/>
      <c r="FKV1535" s="4"/>
      <c r="FKW1535" s="6"/>
      <c r="FKX1535" s="4"/>
      <c r="FKY1535" s="6"/>
      <c r="FKZ1535" s="4"/>
      <c r="FLA1535" s="6"/>
      <c r="FLB1535" s="4"/>
      <c r="FLC1535" s="6"/>
      <c r="FLD1535" s="4"/>
      <c r="FLE1535" s="6"/>
      <c r="FLF1535" s="4"/>
      <c r="FLG1535" s="6"/>
      <c r="FLH1535" s="4"/>
      <c r="FLI1535" s="6"/>
      <c r="FLJ1535" s="4"/>
      <c r="FLK1535" s="6"/>
      <c r="FLL1535" s="4"/>
      <c r="FLM1535" s="6"/>
      <c r="FLN1535" s="4"/>
      <c r="FLO1535" s="6"/>
      <c r="FLP1535" s="4"/>
      <c r="FLQ1535" s="6"/>
      <c r="FLR1535" s="4"/>
      <c r="FLS1535" s="6"/>
      <c r="FLT1535" s="4"/>
      <c r="FLU1535" s="6"/>
      <c r="FLV1535" s="4"/>
      <c r="FLW1535" s="6"/>
      <c r="FLX1535" s="4"/>
      <c r="FLY1535" s="6"/>
      <c r="FLZ1535" s="4"/>
      <c r="FMA1535" s="6"/>
      <c r="FMB1535" s="4"/>
      <c r="FMC1535" s="6"/>
      <c r="FMD1535" s="4"/>
      <c r="FME1535" s="6"/>
      <c r="FMF1535" s="4"/>
      <c r="FMG1535" s="6"/>
      <c r="FMH1535" s="4"/>
      <c r="FMI1535" s="6"/>
      <c r="FMJ1535" s="4"/>
      <c r="FMK1535" s="6"/>
      <c r="FML1535" s="4"/>
      <c r="FMM1535" s="6"/>
      <c r="FMN1535" s="4"/>
      <c r="FMO1535" s="6"/>
      <c r="FMP1535" s="4"/>
      <c r="FMQ1535" s="6"/>
      <c r="FMR1535" s="4"/>
      <c r="FMS1535" s="6"/>
      <c r="FMT1535" s="4"/>
      <c r="FMU1535" s="6"/>
      <c r="FMV1535" s="4"/>
      <c r="FMW1535" s="6"/>
      <c r="FMX1535" s="4"/>
      <c r="FMY1535" s="6"/>
      <c r="FMZ1535" s="4"/>
      <c r="FNA1535" s="6"/>
      <c r="FNB1535" s="4"/>
      <c r="FNC1535" s="6"/>
      <c r="FND1535" s="4"/>
      <c r="FNE1535" s="6"/>
      <c r="FNF1535" s="4"/>
      <c r="FNG1535" s="6"/>
      <c r="FNH1535" s="4"/>
      <c r="FNI1535" s="6"/>
      <c r="FNJ1535" s="4"/>
      <c r="FNK1535" s="6"/>
      <c r="FNL1535" s="4"/>
      <c r="FNM1535" s="6"/>
      <c r="FNN1535" s="4"/>
      <c r="FNO1535" s="6"/>
      <c r="FNP1535" s="4"/>
      <c r="FNQ1535" s="6"/>
      <c r="FNR1535" s="4"/>
      <c r="FNS1535" s="6"/>
      <c r="FNT1535" s="4"/>
      <c r="FNU1535" s="6"/>
      <c r="FNV1535" s="4"/>
      <c r="FNW1535" s="6"/>
      <c r="FNX1535" s="4"/>
      <c r="FNY1535" s="6"/>
      <c r="FNZ1535" s="4"/>
      <c r="FOA1535" s="6"/>
      <c r="FOB1535" s="4"/>
      <c r="FOC1535" s="6"/>
      <c r="FOD1535" s="4"/>
      <c r="FOE1535" s="6"/>
      <c r="FOF1535" s="4"/>
      <c r="FOG1535" s="6"/>
      <c r="FOH1535" s="4"/>
      <c r="FOI1535" s="6"/>
      <c r="FOJ1535" s="4"/>
      <c r="FOK1535" s="6"/>
      <c r="FOL1535" s="4"/>
      <c r="FOM1535" s="6"/>
      <c r="FON1535" s="4"/>
      <c r="FOO1535" s="6"/>
      <c r="FOP1535" s="4"/>
      <c r="FOQ1535" s="6"/>
      <c r="FOR1535" s="4"/>
      <c r="FOS1535" s="6"/>
      <c r="FOT1535" s="4"/>
      <c r="FOU1535" s="6"/>
      <c r="FOV1535" s="4"/>
      <c r="FOW1535" s="6"/>
      <c r="FOX1535" s="4"/>
      <c r="FOY1535" s="6"/>
      <c r="FOZ1535" s="4"/>
      <c r="FPA1535" s="6"/>
      <c r="FPB1535" s="4"/>
      <c r="FPC1535" s="6"/>
      <c r="FPD1535" s="4"/>
      <c r="FPE1535" s="6"/>
      <c r="FPF1535" s="4"/>
      <c r="FPG1535" s="6"/>
      <c r="FPH1535" s="4"/>
      <c r="FPI1535" s="6"/>
      <c r="FPJ1535" s="4"/>
      <c r="FPK1535" s="6"/>
      <c r="FPL1535" s="4"/>
      <c r="FPM1535" s="6"/>
      <c r="FPN1535" s="4"/>
      <c r="FPO1535" s="6"/>
      <c r="FPP1535" s="4"/>
      <c r="FPQ1535" s="6"/>
      <c r="FPR1535" s="4"/>
      <c r="FPS1535" s="6"/>
      <c r="FPT1535" s="4"/>
      <c r="FPU1535" s="6"/>
      <c r="FPV1535" s="4"/>
      <c r="FPW1535" s="6"/>
      <c r="FPX1535" s="4"/>
      <c r="FPY1535" s="6"/>
      <c r="FPZ1535" s="4"/>
      <c r="FQA1535" s="6"/>
      <c r="FQB1535" s="4"/>
      <c r="FQC1535" s="6"/>
      <c r="FQD1535" s="4"/>
      <c r="FQE1535" s="6"/>
      <c r="FQF1535" s="4"/>
      <c r="FQG1535" s="6"/>
      <c r="FQH1535" s="4"/>
      <c r="FQI1535" s="6"/>
      <c r="FQJ1535" s="4"/>
      <c r="FQK1535" s="6"/>
      <c r="FQL1535" s="4"/>
      <c r="FQM1535" s="6"/>
      <c r="FQN1535" s="4"/>
      <c r="FQO1535" s="6"/>
      <c r="FQP1535" s="4"/>
      <c r="FQQ1535" s="6"/>
      <c r="FQR1535" s="4"/>
      <c r="FQS1535" s="6"/>
      <c r="FQT1535" s="4"/>
      <c r="FQU1535" s="6"/>
      <c r="FQV1535" s="4"/>
      <c r="FQW1535" s="6"/>
      <c r="FQX1535" s="4"/>
      <c r="FQY1535" s="6"/>
      <c r="FQZ1535" s="4"/>
      <c r="FRA1535" s="6"/>
      <c r="FRB1535" s="4"/>
      <c r="FRC1535" s="6"/>
      <c r="FRD1535" s="4"/>
      <c r="FRE1535" s="6"/>
      <c r="FRF1535" s="4"/>
      <c r="FRG1535" s="6"/>
      <c r="FRH1535" s="4"/>
      <c r="FRI1535" s="6"/>
      <c r="FRJ1535" s="4"/>
      <c r="FRK1535" s="6"/>
      <c r="FRL1535" s="4"/>
      <c r="FRM1535" s="6"/>
      <c r="FRN1535" s="4"/>
      <c r="FRO1535" s="6"/>
      <c r="FRP1535" s="4"/>
      <c r="FRQ1535" s="6"/>
      <c r="FRR1535" s="4"/>
      <c r="FRS1535" s="6"/>
      <c r="FRT1535" s="4"/>
      <c r="FRU1535" s="6"/>
      <c r="FRV1535" s="4"/>
      <c r="FRW1535" s="6"/>
      <c r="FRX1535" s="4"/>
      <c r="FRY1535" s="6"/>
      <c r="FRZ1535" s="4"/>
      <c r="FSA1535" s="6"/>
      <c r="FSB1535" s="4"/>
      <c r="FSC1535" s="6"/>
      <c r="FSD1535" s="4"/>
      <c r="FSE1535" s="6"/>
      <c r="FSF1535" s="4"/>
      <c r="FSG1535" s="6"/>
      <c r="FSH1535" s="4"/>
      <c r="FSI1535" s="6"/>
      <c r="FSJ1535" s="4"/>
      <c r="FSK1535" s="6"/>
      <c r="FSL1535" s="4"/>
      <c r="FSM1535" s="6"/>
      <c r="FSN1535" s="4"/>
      <c r="FSO1535" s="6"/>
      <c r="FSP1535" s="4"/>
      <c r="FSQ1535" s="6"/>
      <c r="FSR1535" s="4"/>
      <c r="FSS1535" s="6"/>
      <c r="FST1535" s="4"/>
      <c r="FSU1535" s="6"/>
      <c r="FSV1535" s="4"/>
      <c r="FSW1535" s="6"/>
      <c r="FSX1535" s="4"/>
      <c r="FSY1535" s="6"/>
      <c r="FSZ1535" s="4"/>
      <c r="FTA1535" s="6"/>
      <c r="FTB1535" s="4"/>
      <c r="FTC1535" s="6"/>
      <c r="FTD1535" s="4"/>
      <c r="FTE1535" s="6"/>
      <c r="FTF1535" s="4"/>
      <c r="FTG1535" s="6"/>
      <c r="FTH1535" s="4"/>
      <c r="FTI1535" s="6"/>
      <c r="FTJ1535" s="4"/>
      <c r="FTK1535" s="6"/>
      <c r="FTL1535" s="4"/>
      <c r="FTM1535" s="6"/>
      <c r="FTN1535" s="4"/>
      <c r="FTO1535" s="6"/>
      <c r="FTP1535" s="4"/>
      <c r="FTQ1535" s="6"/>
      <c r="FTR1535" s="4"/>
      <c r="FTS1535" s="6"/>
      <c r="FTT1535" s="4"/>
      <c r="FTU1535" s="6"/>
      <c r="FTV1535" s="4"/>
      <c r="FTW1535" s="6"/>
      <c r="FTX1535" s="4"/>
      <c r="FTY1535" s="6"/>
      <c r="FTZ1535" s="4"/>
      <c r="FUA1535" s="6"/>
      <c r="FUB1535" s="4"/>
      <c r="FUC1535" s="6"/>
      <c r="FUD1535" s="4"/>
      <c r="FUE1535" s="6"/>
      <c r="FUF1535" s="4"/>
      <c r="FUG1535" s="6"/>
      <c r="FUH1535" s="4"/>
      <c r="FUI1535" s="6"/>
      <c r="FUJ1535" s="4"/>
      <c r="FUK1535" s="6"/>
      <c r="FUL1535" s="4"/>
      <c r="FUM1535" s="6"/>
      <c r="FUN1535" s="4"/>
      <c r="FUO1535" s="6"/>
      <c r="FUP1535" s="4"/>
      <c r="FUQ1535" s="6"/>
      <c r="FUR1535" s="4"/>
      <c r="FUS1535" s="6"/>
      <c r="FUT1535" s="4"/>
      <c r="FUU1535" s="6"/>
      <c r="FUV1535" s="4"/>
      <c r="FUW1535" s="6"/>
      <c r="FUX1535" s="4"/>
      <c r="FUY1535" s="6"/>
      <c r="FUZ1535" s="4"/>
      <c r="FVA1535" s="6"/>
      <c r="FVB1535" s="4"/>
      <c r="FVC1535" s="6"/>
      <c r="FVD1535" s="4"/>
      <c r="FVE1535" s="6"/>
      <c r="FVF1535" s="4"/>
      <c r="FVG1535" s="6"/>
      <c r="FVH1535" s="4"/>
      <c r="FVI1535" s="6"/>
      <c r="FVJ1535" s="4"/>
      <c r="FVK1535" s="6"/>
      <c r="FVL1535" s="4"/>
      <c r="FVM1535" s="6"/>
      <c r="FVN1535" s="4"/>
      <c r="FVO1535" s="6"/>
      <c r="FVP1535" s="4"/>
      <c r="FVQ1535" s="6"/>
      <c r="FVR1535" s="4"/>
      <c r="FVS1535" s="6"/>
      <c r="FVT1535" s="4"/>
      <c r="FVU1535" s="6"/>
      <c r="FVV1535" s="4"/>
      <c r="FVW1535" s="6"/>
      <c r="FVX1535" s="4"/>
      <c r="FVY1535" s="6"/>
      <c r="FVZ1535" s="4"/>
      <c r="FWA1535" s="6"/>
      <c r="FWB1535" s="4"/>
      <c r="FWC1535" s="6"/>
      <c r="FWD1535" s="4"/>
      <c r="FWE1535" s="6"/>
      <c r="FWF1535" s="4"/>
      <c r="FWG1535" s="6"/>
      <c r="FWH1535" s="4"/>
      <c r="FWI1535" s="6"/>
      <c r="FWJ1535" s="4"/>
      <c r="FWK1535" s="6"/>
      <c r="FWL1535" s="4"/>
      <c r="FWM1535" s="6"/>
      <c r="FWN1535" s="4"/>
      <c r="FWO1535" s="6"/>
      <c r="FWP1535" s="4"/>
      <c r="FWQ1535" s="6"/>
      <c r="FWR1535" s="4"/>
      <c r="FWS1535" s="6"/>
      <c r="FWT1535" s="4"/>
      <c r="FWU1535" s="6"/>
      <c r="FWV1535" s="4"/>
      <c r="FWW1535" s="6"/>
      <c r="FWX1535" s="4"/>
      <c r="FWY1535" s="6"/>
      <c r="FWZ1535" s="4"/>
      <c r="FXA1535" s="6"/>
      <c r="FXB1535" s="4"/>
      <c r="FXC1535" s="6"/>
      <c r="FXD1535" s="4"/>
      <c r="FXE1535" s="6"/>
      <c r="FXF1535" s="4"/>
      <c r="FXG1535" s="6"/>
      <c r="FXH1535" s="4"/>
      <c r="FXI1535" s="6"/>
      <c r="FXJ1535" s="4"/>
      <c r="FXK1535" s="6"/>
      <c r="FXL1535" s="4"/>
      <c r="FXM1535" s="6"/>
      <c r="FXN1535" s="4"/>
      <c r="FXO1535" s="6"/>
      <c r="FXP1535" s="4"/>
      <c r="FXQ1535" s="6"/>
      <c r="FXR1535" s="4"/>
      <c r="FXS1535" s="6"/>
      <c r="FXT1535" s="4"/>
      <c r="FXU1535" s="6"/>
      <c r="FXV1535" s="4"/>
      <c r="FXW1535" s="6"/>
      <c r="FXX1535" s="4"/>
      <c r="FXY1535" s="6"/>
      <c r="FXZ1535" s="4"/>
      <c r="FYA1535" s="6"/>
      <c r="FYB1535" s="4"/>
      <c r="FYC1535" s="6"/>
      <c r="FYD1535" s="4"/>
      <c r="FYE1535" s="6"/>
      <c r="FYF1535" s="4"/>
      <c r="FYG1535" s="6"/>
      <c r="FYH1535" s="4"/>
      <c r="FYI1535" s="6"/>
      <c r="FYJ1535" s="4"/>
      <c r="FYK1535" s="6"/>
      <c r="FYL1535" s="4"/>
      <c r="FYM1535" s="6"/>
      <c r="FYN1535" s="4"/>
      <c r="FYO1535" s="6"/>
      <c r="FYP1535" s="4"/>
      <c r="FYQ1535" s="6"/>
      <c r="FYR1535" s="4"/>
      <c r="FYS1535" s="6"/>
      <c r="FYT1535" s="4"/>
      <c r="FYU1535" s="6"/>
      <c r="FYV1535" s="4"/>
      <c r="FYW1535" s="6"/>
      <c r="FYX1535" s="4"/>
      <c r="FYY1535" s="6"/>
      <c r="FYZ1535" s="4"/>
      <c r="FZA1535" s="6"/>
      <c r="FZB1535" s="4"/>
      <c r="FZC1535" s="6"/>
      <c r="FZD1535" s="4"/>
      <c r="FZE1535" s="6"/>
      <c r="FZF1535" s="4"/>
      <c r="FZG1535" s="6"/>
      <c r="FZH1535" s="4"/>
      <c r="FZI1535" s="6"/>
      <c r="FZJ1535" s="4"/>
      <c r="FZK1535" s="6"/>
      <c r="FZL1535" s="4"/>
      <c r="FZM1535" s="6"/>
      <c r="FZN1535" s="4"/>
      <c r="FZO1535" s="6"/>
      <c r="FZP1535" s="4"/>
      <c r="FZQ1535" s="6"/>
      <c r="FZR1535" s="4"/>
      <c r="FZS1535" s="6"/>
      <c r="FZT1535" s="4"/>
      <c r="FZU1535" s="6"/>
      <c r="FZV1535" s="4"/>
      <c r="FZW1535" s="6"/>
      <c r="FZX1535" s="4"/>
      <c r="FZY1535" s="6"/>
      <c r="FZZ1535" s="4"/>
      <c r="GAA1535" s="6"/>
      <c r="GAB1535" s="4"/>
      <c r="GAC1535" s="6"/>
      <c r="GAD1535" s="4"/>
      <c r="GAE1535" s="6"/>
      <c r="GAF1535" s="4"/>
      <c r="GAG1535" s="6"/>
      <c r="GAH1535" s="4"/>
      <c r="GAI1535" s="6"/>
      <c r="GAJ1535" s="4"/>
      <c r="GAK1535" s="6"/>
      <c r="GAL1535" s="4"/>
      <c r="GAM1535" s="6"/>
      <c r="GAN1535" s="4"/>
      <c r="GAO1535" s="6"/>
      <c r="GAP1535" s="4"/>
      <c r="GAQ1535" s="6"/>
      <c r="GAR1535" s="4"/>
      <c r="GAS1535" s="6"/>
      <c r="GAT1535" s="4"/>
      <c r="GAU1535" s="6"/>
      <c r="GAV1535" s="4"/>
      <c r="GAW1535" s="6"/>
      <c r="GAX1535" s="4"/>
      <c r="GAY1535" s="6"/>
      <c r="GAZ1535" s="4"/>
      <c r="GBA1535" s="6"/>
      <c r="GBB1535" s="4"/>
      <c r="GBC1535" s="6"/>
      <c r="GBD1535" s="4"/>
      <c r="GBE1535" s="6"/>
      <c r="GBF1535" s="4"/>
      <c r="GBG1535" s="6"/>
      <c r="GBH1535" s="4"/>
      <c r="GBI1535" s="6"/>
      <c r="GBJ1535" s="4"/>
      <c r="GBK1535" s="6"/>
      <c r="GBL1535" s="4"/>
      <c r="GBM1535" s="6"/>
      <c r="GBN1535" s="4"/>
      <c r="GBO1535" s="6"/>
      <c r="GBP1535" s="4"/>
      <c r="GBQ1535" s="6"/>
      <c r="GBR1535" s="4"/>
      <c r="GBS1535" s="6"/>
      <c r="GBT1535" s="4"/>
      <c r="GBU1535" s="6"/>
      <c r="GBV1535" s="4"/>
      <c r="GBW1535" s="6"/>
      <c r="GBX1535" s="4"/>
      <c r="GBY1535" s="6"/>
      <c r="GBZ1535" s="4"/>
      <c r="GCA1535" s="6"/>
      <c r="GCB1535" s="4"/>
      <c r="GCC1535" s="6"/>
      <c r="GCD1535" s="4"/>
      <c r="GCE1535" s="6"/>
      <c r="GCF1535" s="4"/>
      <c r="GCG1535" s="6"/>
      <c r="GCH1535" s="4"/>
      <c r="GCI1535" s="6"/>
      <c r="GCJ1535" s="4"/>
      <c r="GCK1535" s="6"/>
      <c r="GCL1535" s="4"/>
      <c r="GCM1535" s="6"/>
      <c r="GCN1535" s="4"/>
      <c r="GCO1535" s="6"/>
      <c r="GCP1535" s="4"/>
      <c r="GCQ1535" s="6"/>
      <c r="GCR1535" s="4"/>
      <c r="GCS1535" s="6"/>
      <c r="GCT1535" s="4"/>
      <c r="GCU1535" s="6"/>
      <c r="GCV1535" s="4"/>
      <c r="GCW1535" s="6"/>
      <c r="GCX1535" s="4"/>
      <c r="GCY1535" s="6"/>
      <c r="GCZ1535" s="4"/>
      <c r="GDA1535" s="6"/>
      <c r="GDB1535" s="4"/>
      <c r="GDC1535" s="6"/>
      <c r="GDD1535" s="4"/>
      <c r="GDE1535" s="6"/>
      <c r="GDF1535" s="4"/>
      <c r="GDG1535" s="6"/>
      <c r="GDH1535" s="4"/>
      <c r="GDI1535" s="6"/>
      <c r="GDJ1535" s="4"/>
      <c r="GDK1535" s="6"/>
      <c r="GDL1535" s="4"/>
      <c r="GDM1535" s="6"/>
      <c r="GDN1535" s="4"/>
      <c r="GDO1535" s="6"/>
      <c r="GDP1535" s="4"/>
      <c r="GDQ1535" s="6"/>
      <c r="GDR1535" s="4"/>
      <c r="GDS1535" s="6"/>
      <c r="GDT1535" s="4"/>
      <c r="GDU1535" s="6"/>
      <c r="GDV1535" s="4"/>
      <c r="GDW1535" s="6"/>
      <c r="GDX1535" s="4"/>
      <c r="GDY1535" s="6"/>
      <c r="GDZ1535" s="4"/>
      <c r="GEA1535" s="6"/>
      <c r="GEB1535" s="4"/>
      <c r="GEC1535" s="6"/>
      <c r="GED1535" s="4"/>
      <c r="GEE1535" s="6"/>
      <c r="GEF1535" s="4"/>
      <c r="GEG1535" s="6"/>
      <c r="GEH1535" s="4"/>
      <c r="GEI1535" s="6"/>
      <c r="GEJ1535" s="4"/>
      <c r="GEK1535" s="6"/>
      <c r="GEL1535" s="4"/>
      <c r="GEM1535" s="6"/>
      <c r="GEN1535" s="4"/>
      <c r="GEO1535" s="6"/>
      <c r="GEP1535" s="4"/>
      <c r="GEQ1535" s="6"/>
      <c r="GER1535" s="4"/>
      <c r="GES1535" s="6"/>
      <c r="GET1535" s="4"/>
      <c r="GEU1535" s="6"/>
      <c r="GEV1535" s="4"/>
      <c r="GEW1535" s="6"/>
      <c r="GEX1535" s="4"/>
      <c r="GEY1535" s="6"/>
      <c r="GEZ1535" s="4"/>
      <c r="GFA1535" s="6"/>
      <c r="GFB1535" s="4"/>
      <c r="GFC1535" s="6"/>
      <c r="GFD1535" s="4"/>
      <c r="GFE1535" s="6"/>
      <c r="GFF1535" s="4"/>
      <c r="GFG1535" s="6"/>
      <c r="GFH1535" s="4"/>
      <c r="GFI1535" s="6"/>
      <c r="GFJ1535" s="4"/>
      <c r="GFK1535" s="6"/>
      <c r="GFL1535" s="4"/>
      <c r="GFM1535" s="6"/>
      <c r="GFN1535" s="4"/>
      <c r="GFO1535" s="6"/>
      <c r="GFP1535" s="4"/>
      <c r="GFQ1535" s="6"/>
      <c r="GFR1535" s="4"/>
      <c r="GFS1535" s="6"/>
      <c r="GFT1535" s="4"/>
      <c r="GFU1535" s="6"/>
      <c r="GFV1535" s="4"/>
      <c r="GFW1535" s="6"/>
      <c r="GFX1535" s="4"/>
      <c r="GFY1535" s="6"/>
      <c r="GFZ1535" s="4"/>
      <c r="GGA1535" s="6"/>
      <c r="GGB1535" s="4"/>
      <c r="GGC1535" s="6"/>
      <c r="GGD1535" s="4"/>
      <c r="GGE1535" s="6"/>
      <c r="GGF1535" s="4"/>
      <c r="GGG1535" s="6"/>
      <c r="GGH1535" s="4"/>
      <c r="GGI1535" s="6"/>
      <c r="GGJ1535" s="4"/>
      <c r="GGK1535" s="6"/>
      <c r="GGL1535" s="4"/>
      <c r="GGM1535" s="6"/>
      <c r="GGN1535" s="4"/>
      <c r="GGO1535" s="6"/>
      <c r="GGP1535" s="4"/>
      <c r="GGQ1535" s="6"/>
      <c r="GGR1535" s="4"/>
      <c r="GGS1535" s="6"/>
      <c r="GGT1535" s="4"/>
      <c r="GGU1535" s="6"/>
      <c r="GGV1535" s="4"/>
      <c r="GGW1535" s="6"/>
      <c r="GGX1535" s="4"/>
      <c r="GGY1535" s="6"/>
      <c r="GGZ1535" s="4"/>
      <c r="GHA1535" s="6"/>
      <c r="GHB1535" s="4"/>
      <c r="GHC1535" s="6"/>
      <c r="GHD1535" s="4"/>
      <c r="GHE1535" s="6"/>
      <c r="GHF1535" s="4"/>
      <c r="GHG1535" s="6"/>
      <c r="GHH1535" s="4"/>
      <c r="GHI1535" s="6"/>
      <c r="GHJ1535" s="4"/>
      <c r="GHK1535" s="6"/>
      <c r="GHL1535" s="4"/>
      <c r="GHM1535" s="6"/>
      <c r="GHN1535" s="4"/>
      <c r="GHO1535" s="6"/>
      <c r="GHP1535" s="4"/>
      <c r="GHQ1535" s="6"/>
      <c r="GHR1535" s="4"/>
      <c r="GHS1535" s="6"/>
      <c r="GHT1535" s="4"/>
      <c r="GHU1535" s="6"/>
      <c r="GHV1535" s="4"/>
      <c r="GHW1535" s="6"/>
      <c r="GHX1535" s="4"/>
      <c r="GHY1535" s="6"/>
      <c r="GHZ1535" s="4"/>
      <c r="GIA1535" s="6"/>
      <c r="GIB1535" s="4"/>
      <c r="GIC1535" s="6"/>
      <c r="GID1535" s="4"/>
      <c r="GIE1535" s="6"/>
      <c r="GIF1535" s="4"/>
      <c r="GIG1535" s="6"/>
      <c r="GIH1535" s="4"/>
      <c r="GII1535" s="6"/>
      <c r="GIJ1535" s="4"/>
      <c r="GIK1535" s="6"/>
      <c r="GIL1535" s="4"/>
      <c r="GIM1535" s="6"/>
      <c r="GIN1535" s="4"/>
      <c r="GIO1535" s="6"/>
      <c r="GIP1535" s="4"/>
      <c r="GIQ1535" s="6"/>
      <c r="GIR1535" s="4"/>
      <c r="GIS1535" s="6"/>
      <c r="GIT1535" s="4"/>
      <c r="GIU1535" s="6"/>
      <c r="GIV1535" s="4"/>
      <c r="GIW1535" s="6"/>
      <c r="GIX1535" s="4"/>
      <c r="GIY1535" s="6"/>
      <c r="GIZ1535" s="4"/>
      <c r="GJA1535" s="6"/>
      <c r="GJB1535" s="4"/>
      <c r="GJC1535" s="6"/>
      <c r="GJD1535" s="4"/>
      <c r="GJE1535" s="6"/>
      <c r="GJF1535" s="4"/>
      <c r="GJG1535" s="6"/>
      <c r="GJH1535" s="4"/>
      <c r="GJI1535" s="6"/>
      <c r="GJJ1535" s="4"/>
      <c r="GJK1535" s="6"/>
      <c r="GJL1535" s="4"/>
      <c r="GJM1535" s="6"/>
      <c r="GJN1535" s="4"/>
      <c r="GJO1535" s="6"/>
      <c r="GJP1535" s="4"/>
      <c r="GJQ1535" s="6"/>
      <c r="GJR1535" s="4"/>
      <c r="GJS1535" s="6"/>
      <c r="GJT1535" s="4"/>
      <c r="GJU1535" s="6"/>
      <c r="GJV1535" s="4"/>
      <c r="GJW1535" s="6"/>
      <c r="GJX1535" s="4"/>
      <c r="GJY1535" s="6"/>
      <c r="GJZ1535" s="4"/>
      <c r="GKA1535" s="6"/>
      <c r="GKB1535" s="4"/>
      <c r="GKC1535" s="6"/>
      <c r="GKD1535" s="4"/>
      <c r="GKE1535" s="6"/>
      <c r="GKF1535" s="4"/>
      <c r="GKG1535" s="6"/>
      <c r="GKH1535" s="4"/>
      <c r="GKI1535" s="6"/>
      <c r="GKJ1535" s="4"/>
      <c r="GKK1535" s="6"/>
      <c r="GKL1535" s="4"/>
      <c r="GKM1535" s="6"/>
      <c r="GKN1535" s="4"/>
      <c r="GKO1535" s="6"/>
      <c r="GKP1535" s="4"/>
      <c r="GKQ1535" s="6"/>
      <c r="GKR1535" s="4"/>
      <c r="GKS1535" s="6"/>
      <c r="GKT1535" s="4"/>
      <c r="GKU1535" s="6"/>
      <c r="GKV1535" s="4"/>
      <c r="GKW1535" s="6"/>
      <c r="GKX1535" s="4"/>
      <c r="GKY1535" s="6"/>
      <c r="GKZ1535" s="4"/>
      <c r="GLA1535" s="6"/>
      <c r="GLB1535" s="4"/>
      <c r="GLC1535" s="6"/>
      <c r="GLD1535" s="4"/>
      <c r="GLE1535" s="6"/>
      <c r="GLF1535" s="4"/>
      <c r="GLG1535" s="6"/>
      <c r="GLH1535" s="4"/>
      <c r="GLI1535" s="6"/>
      <c r="GLJ1535" s="4"/>
      <c r="GLK1535" s="6"/>
      <c r="GLL1535" s="4"/>
      <c r="GLM1535" s="6"/>
      <c r="GLN1535" s="4"/>
      <c r="GLO1535" s="6"/>
      <c r="GLP1535" s="4"/>
      <c r="GLQ1535" s="6"/>
      <c r="GLR1535" s="4"/>
      <c r="GLS1535" s="6"/>
      <c r="GLT1535" s="4"/>
      <c r="GLU1535" s="6"/>
      <c r="GLV1535" s="4"/>
      <c r="GLW1535" s="6"/>
      <c r="GLX1535" s="4"/>
      <c r="GLY1535" s="6"/>
      <c r="GLZ1535" s="4"/>
      <c r="GMA1535" s="6"/>
      <c r="GMB1535" s="4"/>
      <c r="GMC1535" s="6"/>
      <c r="GMD1535" s="4"/>
      <c r="GME1535" s="6"/>
      <c r="GMF1535" s="4"/>
      <c r="GMG1535" s="6"/>
      <c r="GMH1535" s="4"/>
      <c r="GMI1535" s="6"/>
      <c r="GMJ1535" s="4"/>
      <c r="GMK1535" s="6"/>
      <c r="GML1535" s="4"/>
      <c r="GMM1535" s="6"/>
      <c r="GMN1535" s="4"/>
      <c r="GMO1535" s="6"/>
      <c r="GMP1535" s="4"/>
      <c r="GMQ1535" s="6"/>
      <c r="GMR1535" s="4"/>
      <c r="GMS1535" s="6"/>
      <c r="GMT1535" s="4"/>
      <c r="GMU1535" s="6"/>
      <c r="GMV1535" s="4"/>
      <c r="GMW1535" s="6"/>
      <c r="GMX1535" s="4"/>
      <c r="GMY1535" s="6"/>
      <c r="GMZ1535" s="4"/>
      <c r="GNA1535" s="6"/>
      <c r="GNB1535" s="4"/>
      <c r="GNC1535" s="6"/>
      <c r="GND1535" s="4"/>
      <c r="GNE1535" s="6"/>
      <c r="GNF1535" s="4"/>
      <c r="GNG1535" s="6"/>
      <c r="GNH1535" s="4"/>
      <c r="GNI1535" s="6"/>
      <c r="GNJ1535" s="4"/>
      <c r="GNK1535" s="6"/>
      <c r="GNL1535" s="4"/>
      <c r="GNM1535" s="6"/>
      <c r="GNN1535" s="4"/>
      <c r="GNO1535" s="6"/>
      <c r="GNP1535" s="4"/>
      <c r="GNQ1535" s="6"/>
      <c r="GNR1535" s="4"/>
      <c r="GNS1535" s="6"/>
      <c r="GNT1535" s="4"/>
      <c r="GNU1535" s="6"/>
      <c r="GNV1535" s="4"/>
      <c r="GNW1535" s="6"/>
      <c r="GNX1535" s="4"/>
      <c r="GNY1535" s="6"/>
      <c r="GNZ1535" s="4"/>
      <c r="GOA1535" s="6"/>
      <c r="GOB1535" s="4"/>
      <c r="GOC1535" s="6"/>
      <c r="GOD1535" s="4"/>
      <c r="GOE1535" s="6"/>
      <c r="GOF1535" s="4"/>
      <c r="GOG1535" s="6"/>
      <c r="GOH1535" s="4"/>
      <c r="GOI1535" s="6"/>
      <c r="GOJ1535" s="4"/>
      <c r="GOK1535" s="6"/>
      <c r="GOL1535" s="4"/>
      <c r="GOM1535" s="6"/>
      <c r="GON1535" s="4"/>
      <c r="GOO1535" s="6"/>
      <c r="GOP1535" s="4"/>
      <c r="GOQ1535" s="6"/>
      <c r="GOR1535" s="4"/>
      <c r="GOS1535" s="6"/>
      <c r="GOT1535" s="4"/>
      <c r="GOU1535" s="6"/>
      <c r="GOV1535" s="4"/>
      <c r="GOW1535" s="6"/>
      <c r="GOX1535" s="4"/>
      <c r="GOY1535" s="6"/>
      <c r="GOZ1535" s="4"/>
      <c r="GPA1535" s="6"/>
      <c r="GPB1535" s="4"/>
      <c r="GPC1535" s="6"/>
      <c r="GPD1535" s="4"/>
      <c r="GPE1535" s="6"/>
      <c r="GPF1535" s="4"/>
      <c r="GPG1535" s="6"/>
      <c r="GPH1535" s="4"/>
      <c r="GPI1535" s="6"/>
      <c r="GPJ1535" s="4"/>
      <c r="GPK1535" s="6"/>
      <c r="GPL1535" s="4"/>
      <c r="GPM1535" s="6"/>
      <c r="GPN1535" s="4"/>
      <c r="GPO1535" s="6"/>
      <c r="GPP1535" s="4"/>
      <c r="GPQ1535" s="6"/>
      <c r="GPR1535" s="4"/>
      <c r="GPS1535" s="6"/>
      <c r="GPT1535" s="4"/>
      <c r="GPU1535" s="6"/>
      <c r="GPV1535" s="4"/>
      <c r="GPW1535" s="6"/>
      <c r="GPX1535" s="4"/>
      <c r="GPY1535" s="6"/>
      <c r="GPZ1535" s="4"/>
      <c r="GQA1535" s="6"/>
      <c r="GQB1535" s="4"/>
      <c r="GQC1535" s="6"/>
      <c r="GQD1535" s="4"/>
      <c r="GQE1535" s="6"/>
      <c r="GQF1535" s="4"/>
      <c r="GQG1535" s="6"/>
      <c r="GQH1535" s="4"/>
      <c r="GQI1535" s="6"/>
      <c r="GQJ1535" s="4"/>
      <c r="GQK1535" s="6"/>
      <c r="GQL1535" s="4"/>
      <c r="GQM1535" s="6"/>
      <c r="GQN1535" s="4"/>
      <c r="GQO1535" s="6"/>
      <c r="GQP1535" s="4"/>
      <c r="GQQ1535" s="6"/>
      <c r="GQR1535" s="4"/>
      <c r="GQS1535" s="6"/>
      <c r="GQT1535" s="4"/>
      <c r="GQU1535" s="6"/>
      <c r="GQV1535" s="4"/>
      <c r="GQW1535" s="6"/>
      <c r="GQX1535" s="4"/>
      <c r="GQY1535" s="6"/>
      <c r="GQZ1535" s="4"/>
      <c r="GRA1535" s="6"/>
      <c r="GRB1535" s="4"/>
      <c r="GRC1535" s="6"/>
      <c r="GRD1535" s="4"/>
      <c r="GRE1535" s="6"/>
      <c r="GRF1535" s="4"/>
      <c r="GRG1535" s="6"/>
      <c r="GRH1535" s="4"/>
      <c r="GRI1535" s="6"/>
      <c r="GRJ1535" s="4"/>
      <c r="GRK1535" s="6"/>
      <c r="GRL1535" s="4"/>
      <c r="GRM1535" s="6"/>
      <c r="GRN1535" s="4"/>
      <c r="GRO1535" s="6"/>
      <c r="GRP1535" s="4"/>
      <c r="GRQ1535" s="6"/>
      <c r="GRR1535" s="4"/>
      <c r="GRS1535" s="6"/>
      <c r="GRT1535" s="4"/>
      <c r="GRU1535" s="6"/>
      <c r="GRV1535" s="4"/>
      <c r="GRW1535" s="6"/>
      <c r="GRX1535" s="4"/>
      <c r="GRY1535" s="6"/>
      <c r="GRZ1535" s="4"/>
      <c r="GSA1535" s="6"/>
      <c r="GSB1535" s="4"/>
      <c r="GSC1535" s="6"/>
      <c r="GSD1535" s="4"/>
      <c r="GSE1535" s="6"/>
      <c r="GSF1535" s="4"/>
      <c r="GSG1535" s="6"/>
      <c r="GSH1535" s="4"/>
      <c r="GSI1535" s="6"/>
      <c r="GSJ1535" s="4"/>
      <c r="GSK1535" s="6"/>
      <c r="GSL1535" s="4"/>
      <c r="GSM1535" s="6"/>
      <c r="GSN1535" s="4"/>
      <c r="GSO1535" s="6"/>
      <c r="GSP1535" s="4"/>
      <c r="GSQ1535" s="6"/>
      <c r="GSR1535" s="4"/>
      <c r="GSS1535" s="6"/>
      <c r="GST1535" s="4"/>
      <c r="GSU1535" s="6"/>
      <c r="GSV1535" s="4"/>
      <c r="GSW1535" s="6"/>
      <c r="GSX1535" s="4"/>
      <c r="GSY1535" s="6"/>
      <c r="GSZ1535" s="4"/>
      <c r="GTA1535" s="6"/>
      <c r="GTB1535" s="4"/>
      <c r="GTC1535" s="6"/>
      <c r="GTD1535" s="4"/>
      <c r="GTE1535" s="6"/>
      <c r="GTF1535" s="4"/>
      <c r="GTG1535" s="6"/>
      <c r="GTH1535" s="4"/>
      <c r="GTI1535" s="6"/>
      <c r="GTJ1535" s="4"/>
      <c r="GTK1535" s="6"/>
      <c r="GTL1535" s="4"/>
      <c r="GTM1535" s="6"/>
      <c r="GTN1535" s="4"/>
      <c r="GTO1535" s="6"/>
      <c r="GTP1535" s="4"/>
      <c r="GTQ1535" s="6"/>
      <c r="GTR1535" s="4"/>
      <c r="GTS1535" s="6"/>
      <c r="GTT1535" s="4"/>
      <c r="GTU1535" s="6"/>
      <c r="GTV1535" s="4"/>
      <c r="GTW1535" s="6"/>
      <c r="GTX1535" s="4"/>
      <c r="GTY1535" s="6"/>
      <c r="GTZ1535" s="4"/>
      <c r="GUA1535" s="6"/>
      <c r="GUB1535" s="4"/>
      <c r="GUC1535" s="6"/>
      <c r="GUD1535" s="4"/>
      <c r="GUE1535" s="6"/>
      <c r="GUF1535" s="4"/>
      <c r="GUG1535" s="6"/>
      <c r="GUH1535" s="4"/>
      <c r="GUI1535" s="6"/>
      <c r="GUJ1535" s="4"/>
      <c r="GUK1535" s="6"/>
      <c r="GUL1535" s="4"/>
      <c r="GUM1535" s="6"/>
      <c r="GUN1535" s="4"/>
      <c r="GUO1535" s="6"/>
      <c r="GUP1535" s="4"/>
      <c r="GUQ1535" s="6"/>
      <c r="GUR1535" s="4"/>
      <c r="GUS1535" s="6"/>
      <c r="GUT1535" s="4"/>
      <c r="GUU1535" s="6"/>
      <c r="GUV1535" s="4"/>
      <c r="GUW1535" s="6"/>
      <c r="GUX1535" s="4"/>
      <c r="GUY1535" s="6"/>
      <c r="GUZ1535" s="4"/>
      <c r="GVA1535" s="6"/>
      <c r="GVB1535" s="4"/>
      <c r="GVC1535" s="6"/>
      <c r="GVD1535" s="4"/>
      <c r="GVE1535" s="6"/>
      <c r="GVF1535" s="4"/>
      <c r="GVG1535" s="6"/>
      <c r="GVH1535" s="4"/>
      <c r="GVI1535" s="6"/>
      <c r="GVJ1535" s="4"/>
      <c r="GVK1535" s="6"/>
      <c r="GVL1535" s="4"/>
      <c r="GVM1535" s="6"/>
      <c r="GVN1535" s="4"/>
      <c r="GVO1535" s="6"/>
      <c r="GVP1535" s="4"/>
      <c r="GVQ1535" s="6"/>
      <c r="GVR1535" s="4"/>
      <c r="GVS1535" s="6"/>
      <c r="GVT1535" s="4"/>
      <c r="GVU1535" s="6"/>
      <c r="GVV1535" s="4"/>
      <c r="GVW1535" s="6"/>
      <c r="GVX1535" s="4"/>
      <c r="GVY1535" s="6"/>
      <c r="GVZ1535" s="4"/>
      <c r="GWA1535" s="6"/>
      <c r="GWB1535" s="4"/>
      <c r="GWC1535" s="6"/>
      <c r="GWD1535" s="4"/>
      <c r="GWE1535" s="6"/>
      <c r="GWF1535" s="4"/>
      <c r="GWG1535" s="6"/>
      <c r="GWH1535" s="4"/>
      <c r="GWI1535" s="6"/>
      <c r="GWJ1535" s="4"/>
      <c r="GWK1535" s="6"/>
      <c r="GWL1535" s="4"/>
      <c r="GWM1535" s="6"/>
      <c r="GWN1535" s="4"/>
      <c r="GWO1535" s="6"/>
      <c r="GWP1535" s="4"/>
      <c r="GWQ1535" s="6"/>
      <c r="GWR1535" s="4"/>
      <c r="GWS1535" s="6"/>
      <c r="GWT1535" s="4"/>
      <c r="GWU1535" s="6"/>
      <c r="GWV1535" s="4"/>
      <c r="GWW1535" s="6"/>
      <c r="GWX1535" s="4"/>
      <c r="GWY1535" s="6"/>
      <c r="GWZ1535" s="4"/>
      <c r="GXA1535" s="6"/>
      <c r="GXB1535" s="4"/>
      <c r="GXC1535" s="6"/>
      <c r="GXD1535" s="4"/>
      <c r="GXE1535" s="6"/>
      <c r="GXF1535" s="4"/>
      <c r="GXG1535" s="6"/>
      <c r="GXH1535" s="4"/>
      <c r="GXI1535" s="6"/>
      <c r="GXJ1535" s="4"/>
      <c r="GXK1535" s="6"/>
      <c r="GXL1535" s="4"/>
      <c r="GXM1535" s="6"/>
      <c r="GXN1535" s="4"/>
      <c r="GXO1535" s="6"/>
      <c r="GXP1535" s="4"/>
      <c r="GXQ1535" s="6"/>
      <c r="GXR1535" s="4"/>
      <c r="GXS1535" s="6"/>
      <c r="GXT1535" s="4"/>
      <c r="GXU1535" s="6"/>
      <c r="GXV1535" s="4"/>
      <c r="GXW1535" s="6"/>
      <c r="GXX1535" s="4"/>
      <c r="GXY1535" s="6"/>
      <c r="GXZ1535" s="4"/>
      <c r="GYA1535" s="6"/>
      <c r="GYB1535" s="4"/>
      <c r="GYC1535" s="6"/>
      <c r="GYD1535" s="4"/>
      <c r="GYE1535" s="6"/>
      <c r="GYF1535" s="4"/>
      <c r="GYG1535" s="6"/>
      <c r="GYH1535" s="4"/>
      <c r="GYI1535" s="6"/>
      <c r="GYJ1535" s="4"/>
      <c r="GYK1535" s="6"/>
      <c r="GYL1535" s="4"/>
      <c r="GYM1535" s="6"/>
      <c r="GYN1535" s="4"/>
      <c r="GYO1535" s="6"/>
      <c r="GYP1535" s="4"/>
      <c r="GYQ1535" s="6"/>
      <c r="GYR1535" s="4"/>
      <c r="GYS1535" s="6"/>
      <c r="GYT1535" s="4"/>
      <c r="GYU1535" s="6"/>
      <c r="GYV1535" s="4"/>
      <c r="GYW1535" s="6"/>
      <c r="GYX1535" s="4"/>
      <c r="GYY1535" s="6"/>
      <c r="GYZ1535" s="4"/>
      <c r="GZA1535" s="6"/>
      <c r="GZB1535" s="4"/>
      <c r="GZC1535" s="6"/>
      <c r="GZD1535" s="4"/>
      <c r="GZE1535" s="6"/>
      <c r="GZF1535" s="4"/>
      <c r="GZG1535" s="6"/>
      <c r="GZH1535" s="4"/>
      <c r="GZI1535" s="6"/>
      <c r="GZJ1535" s="4"/>
      <c r="GZK1535" s="6"/>
      <c r="GZL1535" s="4"/>
      <c r="GZM1535" s="6"/>
      <c r="GZN1535" s="4"/>
      <c r="GZO1535" s="6"/>
      <c r="GZP1535" s="4"/>
      <c r="GZQ1535" s="6"/>
      <c r="GZR1535" s="4"/>
      <c r="GZS1535" s="6"/>
      <c r="GZT1535" s="4"/>
      <c r="GZU1535" s="6"/>
      <c r="GZV1535" s="4"/>
      <c r="GZW1535" s="6"/>
      <c r="GZX1535" s="4"/>
      <c r="GZY1535" s="6"/>
      <c r="GZZ1535" s="4"/>
      <c r="HAA1535" s="6"/>
      <c r="HAB1535" s="4"/>
      <c r="HAC1535" s="6"/>
      <c r="HAD1535" s="4"/>
      <c r="HAE1535" s="6"/>
      <c r="HAF1535" s="4"/>
      <c r="HAG1535" s="6"/>
      <c r="HAH1535" s="4"/>
      <c r="HAI1535" s="6"/>
      <c r="HAJ1535" s="4"/>
      <c r="HAK1535" s="6"/>
      <c r="HAL1535" s="4"/>
      <c r="HAM1535" s="6"/>
      <c r="HAN1535" s="4"/>
      <c r="HAO1535" s="6"/>
      <c r="HAP1535" s="4"/>
      <c r="HAQ1535" s="6"/>
      <c r="HAR1535" s="4"/>
      <c r="HAS1535" s="6"/>
      <c r="HAT1535" s="4"/>
      <c r="HAU1535" s="6"/>
      <c r="HAV1535" s="4"/>
      <c r="HAW1535" s="6"/>
      <c r="HAX1535" s="4"/>
      <c r="HAY1535" s="6"/>
      <c r="HAZ1535" s="4"/>
      <c r="HBA1535" s="6"/>
      <c r="HBB1535" s="4"/>
      <c r="HBC1535" s="6"/>
      <c r="HBD1535" s="4"/>
      <c r="HBE1535" s="6"/>
      <c r="HBF1535" s="4"/>
      <c r="HBG1535" s="6"/>
      <c r="HBH1535" s="4"/>
      <c r="HBI1535" s="6"/>
      <c r="HBJ1535" s="4"/>
      <c r="HBK1535" s="6"/>
      <c r="HBL1535" s="4"/>
      <c r="HBM1535" s="6"/>
      <c r="HBN1535" s="4"/>
      <c r="HBO1535" s="6"/>
      <c r="HBP1535" s="4"/>
      <c r="HBQ1535" s="6"/>
      <c r="HBR1535" s="4"/>
      <c r="HBS1535" s="6"/>
      <c r="HBT1535" s="4"/>
      <c r="HBU1535" s="6"/>
      <c r="HBV1535" s="4"/>
      <c r="HBW1535" s="6"/>
      <c r="HBX1535" s="4"/>
      <c r="HBY1535" s="6"/>
      <c r="HBZ1535" s="4"/>
      <c r="HCA1535" s="6"/>
      <c r="HCB1535" s="4"/>
      <c r="HCC1535" s="6"/>
      <c r="HCD1535" s="4"/>
      <c r="HCE1535" s="6"/>
      <c r="HCF1535" s="4"/>
      <c r="HCG1535" s="6"/>
      <c r="HCH1535" s="4"/>
      <c r="HCI1535" s="6"/>
      <c r="HCJ1535" s="4"/>
      <c r="HCK1535" s="6"/>
      <c r="HCL1535" s="4"/>
      <c r="HCM1535" s="6"/>
      <c r="HCN1535" s="4"/>
      <c r="HCO1535" s="6"/>
      <c r="HCP1535" s="4"/>
      <c r="HCQ1535" s="6"/>
      <c r="HCR1535" s="4"/>
      <c r="HCS1535" s="6"/>
      <c r="HCT1535" s="4"/>
      <c r="HCU1535" s="6"/>
      <c r="HCV1535" s="4"/>
      <c r="HCW1535" s="6"/>
      <c r="HCX1535" s="4"/>
      <c r="HCY1535" s="6"/>
      <c r="HCZ1535" s="4"/>
      <c r="HDA1535" s="6"/>
      <c r="HDB1535" s="4"/>
      <c r="HDC1535" s="6"/>
      <c r="HDD1535" s="4"/>
      <c r="HDE1535" s="6"/>
      <c r="HDF1535" s="4"/>
      <c r="HDG1535" s="6"/>
      <c r="HDH1535" s="4"/>
      <c r="HDI1535" s="6"/>
      <c r="HDJ1535" s="4"/>
      <c r="HDK1535" s="6"/>
      <c r="HDL1535" s="4"/>
      <c r="HDM1535" s="6"/>
      <c r="HDN1535" s="4"/>
      <c r="HDO1535" s="6"/>
      <c r="HDP1535" s="4"/>
      <c r="HDQ1535" s="6"/>
      <c r="HDR1535" s="4"/>
      <c r="HDS1535" s="6"/>
      <c r="HDT1535" s="4"/>
      <c r="HDU1535" s="6"/>
      <c r="HDV1535" s="4"/>
      <c r="HDW1535" s="6"/>
      <c r="HDX1535" s="4"/>
      <c r="HDY1535" s="6"/>
      <c r="HDZ1535" s="4"/>
      <c r="HEA1535" s="6"/>
      <c r="HEB1535" s="4"/>
      <c r="HEC1535" s="6"/>
      <c r="HED1535" s="4"/>
      <c r="HEE1535" s="6"/>
      <c r="HEF1535" s="4"/>
      <c r="HEG1535" s="6"/>
      <c r="HEH1535" s="4"/>
      <c r="HEI1535" s="6"/>
      <c r="HEJ1535" s="4"/>
      <c r="HEK1535" s="6"/>
      <c r="HEL1535" s="4"/>
      <c r="HEM1535" s="6"/>
      <c r="HEN1535" s="4"/>
      <c r="HEO1535" s="6"/>
      <c r="HEP1535" s="4"/>
      <c r="HEQ1535" s="6"/>
      <c r="HER1535" s="4"/>
      <c r="HES1535" s="6"/>
      <c r="HET1535" s="4"/>
      <c r="HEU1535" s="6"/>
      <c r="HEV1535" s="4"/>
      <c r="HEW1535" s="6"/>
      <c r="HEX1535" s="4"/>
      <c r="HEY1535" s="6"/>
      <c r="HEZ1535" s="4"/>
      <c r="HFA1535" s="6"/>
      <c r="HFB1535" s="4"/>
      <c r="HFC1535" s="6"/>
      <c r="HFD1535" s="4"/>
      <c r="HFE1535" s="6"/>
      <c r="HFF1535" s="4"/>
      <c r="HFG1535" s="6"/>
      <c r="HFH1535" s="4"/>
      <c r="HFI1535" s="6"/>
      <c r="HFJ1535" s="4"/>
      <c r="HFK1535" s="6"/>
      <c r="HFL1535" s="4"/>
      <c r="HFM1535" s="6"/>
      <c r="HFN1535" s="4"/>
      <c r="HFO1535" s="6"/>
      <c r="HFP1535" s="4"/>
      <c r="HFQ1535" s="6"/>
      <c r="HFR1535" s="4"/>
      <c r="HFS1535" s="6"/>
      <c r="HFT1535" s="4"/>
      <c r="HFU1535" s="6"/>
      <c r="HFV1535" s="4"/>
      <c r="HFW1535" s="6"/>
      <c r="HFX1535" s="4"/>
      <c r="HFY1535" s="6"/>
      <c r="HFZ1535" s="4"/>
      <c r="HGA1535" s="6"/>
      <c r="HGB1535" s="4"/>
      <c r="HGC1535" s="6"/>
      <c r="HGD1535" s="4"/>
      <c r="HGE1535" s="6"/>
      <c r="HGF1535" s="4"/>
      <c r="HGG1535" s="6"/>
      <c r="HGH1535" s="4"/>
      <c r="HGI1535" s="6"/>
      <c r="HGJ1535" s="4"/>
      <c r="HGK1535" s="6"/>
      <c r="HGL1535" s="4"/>
      <c r="HGM1535" s="6"/>
      <c r="HGN1535" s="4"/>
      <c r="HGO1535" s="6"/>
      <c r="HGP1535" s="4"/>
      <c r="HGQ1535" s="6"/>
      <c r="HGR1535" s="4"/>
      <c r="HGS1535" s="6"/>
      <c r="HGT1535" s="4"/>
      <c r="HGU1535" s="6"/>
      <c r="HGV1535" s="4"/>
      <c r="HGW1535" s="6"/>
      <c r="HGX1535" s="4"/>
      <c r="HGY1535" s="6"/>
      <c r="HGZ1535" s="4"/>
      <c r="HHA1535" s="6"/>
      <c r="HHB1535" s="4"/>
      <c r="HHC1535" s="6"/>
      <c r="HHD1535" s="4"/>
      <c r="HHE1535" s="6"/>
      <c r="HHF1535" s="4"/>
      <c r="HHG1535" s="6"/>
      <c r="HHH1535" s="4"/>
      <c r="HHI1535" s="6"/>
      <c r="HHJ1535" s="4"/>
      <c r="HHK1535" s="6"/>
      <c r="HHL1535" s="4"/>
      <c r="HHM1535" s="6"/>
      <c r="HHN1535" s="4"/>
      <c r="HHO1535" s="6"/>
      <c r="HHP1535" s="4"/>
      <c r="HHQ1535" s="6"/>
      <c r="HHR1535" s="4"/>
      <c r="HHS1535" s="6"/>
      <c r="HHT1535" s="4"/>
      <c r="HHU1535" s="6"/>
      <c r="HHV1535" s="4"/>
      <c r="HHW1535" s="6"/>
      <c r="HHX1535" s="4"/>
      <c r="HHY1535" s="6"/>
      <c r="HHZ1535" s="4"/>
      <c r="HIA1535" s="6"/>
      <c r="HIB1535" s="4"/>
      <c r="HIC1535" s="6"/>
      <c r="HID1535" s="4"/>
      <c r="HIE1535" s="6"/>
      <c r="HIF1535" s="4"/>
      <c r="HIG1535" s="6"/>
      <c r="HIH1535" s="4"/>
      <c r="HII1535" s="6"/>
      <c r="HIJ1535" s="4"/>
      <c r="HIK1535" s="6"/>
      <c r="HIL1535" s="4"/>
      <c r="HIM1535" s="6"/>
      <c r="HIN1535" s="4"/>
      <c r="HIO1535" s="6"/>
      <c r="HIP1535" s="4"/>
      <c r="HIQ1535" s="6"/>
      <c r="HIR1535" s="4"/>
      <c r="HIS1535" s="6"/>
      <c r="HIT1535" s="4"/>
      <c r="HIU1535" s="6"/>
      <c r="HIV1535" s="4"/>
      <c r="HIW1535" s="6"/>
      <c r="HIX1535" s="4"/>
      <c r="HIY1535" s="6"/>
      <c r="HIZ1535" s="4"/>
      <c r="HJA1535" s="6"/>
      <c r="HJB1535" s="4"/>
      <c r="HJC1535" s="6"/>
      <c r="HJD1535" s="4"/>
      <c r="HJE1535" s="6"/>
      <c r="HJF1535" s="4"/>
      <c r="HJG1535" s="6"/>
      <c r="HJH1535" s="4"/>
      <c r="HJI1535" s="6"/>
      <c r="HJJ1535" s="4"/>
      <c r="HJK1535" s="6"/>
      <c r="HJL1535" s="4"/>
      <c r="HJM1535" s="6"/>
      <c r="HJN1535" s="4"/>
      <c r="HJO1535" s="6"/>
      <c r="HJP1535" s="4"/>
      <c r="HJQ1535" s="6"/>
      <c r="HJR1535" s="4"/>
      <c r="HJS1535" s="6"/>
      <c r="HJT1535" s="4"/>
      <c r="HJU1535" s="6"/>
      <c r="HJV1535" s="4"/>
      <c r="HJW1535" s="6"/>
      <c r="HJX1535" s="4"/>
      <c r="HJY1535" s="6"/>
      <c r="HJZ1535" s="4"/>
      <c r="HKA1535" s="6"/>
      <c r="HKB1535" s="4"/>
      <c r="HKC1535" s="6"/>
      <c r="HKD1535" s="4"/>
      <c r="HKE1535" s="6"/>
      <c r="HKF1535" s="4"/>
      <c r="HKG1535" s="6"/>
      <c r="HKH1535" s="4"/>
      <c r="HKI1535" s="6"/>
      <c r="HKJ1535" s="4"/>
      <c r="HKK1535" s="6"/>
      <c r="HKL1535" s="4"/>
      <c r="HKM1535" s="6"/>
      <c r="HKN1535" s="4"/>
      <c r="HKO1535" s="6"/>
      <c r="HKP1535" s="4"/>
      <c r="HKQ1535" s="6"/>
      <c r="HKR1535" s="4"/>
      <c r="HKS1535" s="6"/>
      <c r="HKT1535" s="4"/>
      <c r="HKU1535" s="6"/>
      <c r="HKV1535" s="4"/>
      <c r="HKW1535" s="6"/>
      <c r="HKX1535" s="4"/>
      <c r="HKY1535" s="6"/>
      <c r="HKZ1535" s="4"/>
      <c r="HLA1535" s="6"/>
      <c r="HLB1535" s="4"/>
      <c r="HLC1535" s="6"/>
      <c r="HLD1535" s="4"/>
      <c r="HLE1535" s="6"/>
      <c r="HLF1535" s="4"/>
      <c r="HLG1535" s="6"/>
      <c r="HLH1535" s="4"/>
      <c r="HLI1535" s="6"/>
      <c r="HLJ1535" s="4"/>
      <c r="HLK1535" s="6"/>
      <c r="HLL1535" s="4"/>
      <c r="HLM1535" s="6"/>
      <c r="HLN1535" s="4"/>
      <c r="HLO1535" s="6"/>
      <c r="HLP1535" s="4"/>
      <c r="HLQ1535" s="6"/>
      <c r="HLR1535" s="4"/>
      <c r="HLS1535" s="6"/>
      <c r="HLT1535" s="4"/>
      <c r="HLU1535" s="6"/>
      <c r="HLV1535" s="4"/>
      <c r="HLW1535" s="6"/>
      <c r="HLX1535" s="4"/>
      <c r="HLY1535" s="6"/>
      <c r="HLZ1535" s="4"/>
      <c r="HMA1535" s="6"/>
      <c r="HMB1535" s="4"/>
      <c r="HMC1535" s="6"/>
      <c r="HMD1535" s="4"/>
      <c r="HME1535" s="6"/>
      <c r="HMF1535" s="4"/>
      <c r="HMG1535" s="6"/>
      <c r="HMH1535" s="4"/>
      <c r="HMI1535" s="6"/>
      <c r="HMJ1535" s="4"/>
      <c r="HMK1535" s="6"/>
      <c r="HML1535" s="4"/>
      <c r="HMM1535" s="6"/>
      <c r="HMN1535" s="4"/>
      <c r="HMO1535" s="6"/>
      <c r="HMP1535" s="4"/>
      <c r="HMQ1535" s="6"/>
      <c r="HMR1535" s="4"/>
      <c r="HMS1535" s="6"/>
      <c r="HMT1535" s="4"/>
      <c r="HMU1535" s="6"/>
      <c r="HMV1535" s="4"/>
      <c r="HMW1535" s="6"/>
      <c r="HMX1535" s="4"/>
      <c r="HMY1535" s="6"/>
      <c r="HMZ1535" s="4"/>
      <c r="HNA1535" s="6"/>
      <c r="HNB1535" s="4"/>
      <c r="HNC1535" s="6"/>
      <c r="HND1535" s="4"/>
      <c r="HNE1535" s="6"/>
      <c r="HNF1535" s="4"/>
      <c r="HNG1535" s="6"/>
      <c r="HNH1535" s="4"/>
      <c r="HNI1535" s="6"/>
      <c r="HNJ1535" s="4"/>
      <c r="HNK1535" s="6"/>
      <c r="HNL1535" s="4"/>
      <c r="HNM1535" s="6"/>
      <c r="HNN1535" s="4"/>
      <c r="HNO1535" s="6"/>
      <c r="HNP1535" s="4"/>
      <c r="HNQ1535" s="6"/>
      <c r="HNR1535" s="4"/>
      <c r="HNS1535" s="6"/>
      <c r="HNT1535" s="4"/>
      <c r="HNU1535" s="6"/>
      <c r="HNV1535" s="4"/>
      <c r="HNW1535" s="6"/>
      <c r="HNX1535" s="4"/>
      <c r="HNY1535" s="6"/>
      <c r="HNZ1535" s="4"/>
      <c r="HOA1535" s="6"/>
      <c r="HOB1535" s="4"/>
      <c r="HOC1535" s="6"/>
      <c r="HOD1535" s="4"/>
      <c r="HOE1535" s="6"/>
      <c r="HOF1535" s="4"/>
      <c r="HOG1535" s="6"/>
      <c r="HOH1535" s="4"/>
      <c r="HOI1535" s="6"/>
      <c r="HOJ1535" s="4"/>
      <c r="HOK1535" s="6"/>
      <c r="HOL1535" s="4"/>
      <c r="HOM1535" s="6"/>
      <c r="HON1535" s="4"/>
      <c r="HOO1535" s="6"/>
      <c r="HOP1535" s="4"/>
      <c r="HOQ1535" s="6"/>
      <c r="HOR1535" s="4"/>
      <c r="HOS1535" s="6"/>
      <c r="HOT1535" s="4"/>
      <c r="HOU1535" s="6"/>
      <c r="HOV1535" s="4"/>
      <c r="HOW1535" s="6"/>
      <c r="HOX1535" s="4"/>
      <c r="HOY1535" s="6"/>
      <c r="HOZ1535" s="4"/>
      <c r="HPA1535" s="6"/>
      <c r="HPB1535" s="4"/>
      <c r="HPC1535" s="6"/>
      <c r="HPD1535" s="4"/>
      <c r="HPE1535" s="6"/>
      <c r="HPF1535" s="4"/>
      <c r="HPG1535" s="6"/>
      <c r="HPH1535" s="4"/>
      <c r="HPI1535" s="6"/>
      <c r="HPJ1535" s="4"/>
      <c r="HPK1535" s="6"/>
      <c r="HPL1535" s="4"/>
      <c r="HPM1535" s="6"/>
      <c r="HPN1535" s="4"/>
      <c r="HPO1535" s="6"/>
      <c r="HPP1535" s="4"/>
      <c r="HPQ1535" s="6"/>
      <c r="HPR1535" s="4"/>
      <c r="HPS1535" s="6"/>
      <c r="HPT1535" s="4"/>
      <c r="HPU1535" s="6"/>
      <c r="HPV1535" s="4"/>
      <c r="HPW1535" s="6"/>
      <c r="HPX1535" s="4"/>
      <c r="HPY1535" s="6"/>
      <c r="HPZ1535" s="4"/>
      <c r="HQA1535" s="6"/>
      <c r="HQB1535" s="4"/>
      <c r="HQC1535" s="6"/>
      <c r="HQD1535" s="4"/>
      <c r="HQE1535" s="6"/>
      <c r="HQF1535" s="4"/>
      <c r="HQG1535" s="6"/>
      <c r="HQH1535" s="4"/>
      <c r="HQI1535" s="6"/>
      <c r="HQJ1535" s="4"/>
      <c r="HQK1535" s="6"/>
      <c r="HQL1535" s="4"/>
      <c r="HQM1535" s="6"/>
      <c r="HQN1535" s="4"/>
      <c r="HQO1535" s="6"/>
      <c r="HQP1535" s="4"/>
      <c r="HQQ1535" s="6"/>
      <c r="HQR1535" s="4"/>
      <c r="HQS1535" s="6"/>
      <c r="HQT1535" s="4"/>
      <c r="HQU1535" s="6"/>
      <c r="HQV1535" s="4"/>
      <c r="HQW1535" s="6"/>
      <c r="HQX1535" s="4"/>
      <c r="HQY1535" s="6"/>
      <c r="HQZ1535" s="4"/>
      <c r="HRA1535" s="6"/>
      <c r="HRB1535" s="4"/>
      <c r="HRC1535" s="6"/>
      <c r="HRD1535" s="4"/>
      <c r="HRE1535" s="6"/>
      <c r="HRF1535" s="4"/>
      <c r="HRG1535" s="6"/>
      <c r="HRH1535" s="4"/>
      <c r="HRI1535" s="6"/>
      <c r="HRJ1535" s="4"/>
      <c r="HRK1535" s="6"/>
      <c r="HRL1535" s="4"/>
      <c r="HRM1535" s="6"/>
      <c r="HRN1535" s="4"/>
      <c r="HRO1535" s="6"/>
      <c r="HRP1535" s="4"/>
      <c r="HRQ1535" s="6"/>
      <c r="HRR1535" s="4"/>
      <c r="HRS1535" s="6"/>
      <c r="HRT1535" s="4"/>
      <c r="HRU1535" s="6"/>
      <c r="HRV1535" s="4"/>
      <c r="HRW1535" s="6"/>
      <c r="HRX1535" s="4"/>
      <c r="HRY1535" s="6"/>
      <c r="HRZ1535" s="4"/>
      <c r="HSA1535" s="6"/>
      <c r="HSB1535" s="4"/>
      <c r="HSC1535" s="6"/>
      <c r="HSD1535" s="4"/>
      <c r="HSE1535" s="6"/>
      <c r="HSF1535" s="4"/>
      <c r="HSG1535" s="6"/>
      <c r="HSH1535" s="4"/>
      <c r="HSI1535" s="6"/>
      <c r="HSJ1535" s="4"/>
      <c r="HSK1535" s="6"/>
      <c r="HSL1535" s="4"/>
      <c r="HSM1535" s="6"/>
      <c r="HSN1535" s="4"/>
      <c r="HSO1535" s="6"/>
      <c r="HSP1535" s="4"/>
      <c r="HSQ1535" s="6"/>
      <c r="HSR1535" s="4"/>
      <c r="HSS1535" s="6"/>
      <c r="HST1535" s="4"/>
      <c r="HSU1535" s="6"/>
      <c r="HSV1535" s="4"/>
      <c r="HSW1535" s="6"/>
      <c r="HSX1535" s="4"/>
      <c r="HSY1535" s="6"/>
      <c r="HSZ1535" s="4"/>
      <c r="HTA1535" s="6"/>
      <c r="HTB1535" s="4"/>
      <c r="HTC1535" s="6"/>
      <c r="HTD1535" s="4"/>
      <c r="HTE1535" s="6"/>
      <c r="HTF1535" s="4"/>
      <c r="HTG1535" s="6"/>
      <c r="HTH1535" s="4"/>
      <c r="HTI1535" s="6"/>
      <c r="HTJ1535" s="4"/>
      <c r="HTK1535" s="6"/>
      <c r="HTL1535" s="4"/>
      <c r="HTM1535" s="6"/>
      <c r="HTN1535" s="4"/>
      <c r="HTO1535" s="6"/>
      <c r="HTP1535" s="4"/>
      <c r="HTQ1535" s="6"/>
      <c r="HTR1535" s="4"/>
      <c r="HTS1535" s="6"/>
      <c r="HTT1535" s="4"/>
      <c r="HTU1535" s="6"/>
      <c r="HTV1535" s="4"/>
      <c r="HTW1535" s="6"/>
      <c r="HTX1535" s="4"/>
      <c r="HTY1535" s="6"/>
      <c r="HTZ1535" s="4"/>
      <c r="HUA1535" s="6"/>
      <c r="HUB1535" s="4"/>
      <c r="HUC1535" s="6"/>
      <c r="HUD1535" s="4"/>
      <c r="HUE1535" s="6"/>
      <c r="HUF1535" s="4"/>
      <c r="HUG1535" s="6"/>
      <c r="HUH1535" s="4"/>
      <c r="HUI1535" s="6"/>
      <c r="HUJ1535" s="4"/>
      <c r="HUK1535" s="6"/>
      <c r="HUL1535" s="4"/>
      <c r="HUM1535" s="6"/>
      <c r="HUN1535" s="4"/>
      <c r="HUO1535" s="6"/>
      <c r="HUP1535" s="4"/>
      <c r="HUQ1535" s="6"/>
      <c r="HUR1535" s="4"/>
      <c r="HUS1535" s="6"/>
      <c r="HUT1535" s="4"/>
      <c r="HUU1535" s="6"/>
      <c r="HUV1535" s="4"/>
      <c r="HUW1535" s="6"/>
      <c r="HUX1535" s="4"/>
      <c r="HUY1535" s="6"/>
      <c r="HUZ1535" s="4"/>
      <c r="HVA1535" s="6"/>
      <c r="HVB1535" s="4"/>
      <c r="HVC1535" s="6"/>
      <c r="HVD1535" s="4"/>
      <c r="HVE1535" s="6"/>
      <c r="HVF1535" s="4"/>
      <c r="HVG1535" s="6"/>
      <c r="HVH1535" s="4"/>
      <c r="HVI1535" s="6"/>
      <c r="HVJ1535" s="4"/>
      <c r="HVK1535" s="6"/>
      <c r="HVL1535" s="4"/>
      <c r="HVM1535" s="6"/>
      <c r="HVN1535" s="4"/>
      <c r="HVO1535" s="6"/>
      <c r="HVP1535" s="4"/>
      <c r="HVQ1535" s="6"/>
      <c r="HVR1535" s="4"/>
      <c r="HVS1535" s="6"/>
      <c r="HVT1535" s="4"/>
      <c r="HVU1535" s="6"/>
      <c r="HVV1535" s="4"/>
      <c r="HVW1535" s="6"/>
      <c r="HVX1535" s="4"/>
      <c r="HVY1535" s="6"/>
      <c r="HVZ1535" s="4"/>
      <c r="HWA1535" s="6"/>
      <c r="HWB1535" s="4"/>
      <c r="HWC1535" s="6"/>
      <c r="HWD1535" s="4"/>
      <c r="HWE1535" s="6"/>
      <c r="HWF1535" s="4"/>
      <c r="HWG1535" s="6"/>
      <c r="HWH1535" s="4"/>
      <c r="HWI1535" s="6"/>
      <c r="HWJ1535" s="4"/>
      <c r="HWK1535" s="6"/>
      <c r="HWL1535" s="4"/>
      <c r="HWM1535" s="6"/>
      <c r="HWN1535" s="4"/>
      <c r="HWO1535" s="6"/>
      <c r="HWP1535" s="4"/>
      <c r="HWQ1535" s="6"/>
      <c r="HWR1535" s="4"/>
      <c r="HWS1535" s="6"/>
      <c r="HWT1535" s="4"/>
      <c r="HWU1535" s="6"/>
      <c r="HWV1535" s="4"/>
      <c r="HWW1535" s="6"/>
      <c r="HWX1535" s="4"/>
      <c r="HWY1535" s="6"/>
      <c r="HWZ1535" s="4"/>
      <c r="HXA1535" s="6"/>
      <c r="HXB1535" s="4"/>
      <c r="HXC1535" s="6"/>
      <c r="HXD1535" s="4"/>
      <c r="HXE1535" s="6"/>
      <c r="HXF1535" s="4"/>
      <c r="HXG1535" s="6"/>
      <c r="HXH1535" s="4"/>
      <c r="HXI1535" s="6"/>
      <c r="HXJ1535" s="4"/>
      <c r="HXK1535" s="6"/>
      <c r="HXL1535" s="4"/>
      <c r="HXM1535" s="6"/>
      <c r="HXN1535" s="4"/>
      <c r="HXO1535" s="6"/>
      <c r="HXP1535" s="4"/>
      <c r="HXQ1535" s="6"/>
      <c r="HXR1535" s="4"/>
      <c r="HXS1535" s="6"/>
      <c r="HXT1535" s="4"/>
      <c r="HXU1535" s="6"/>
      <c r="HXV1535" s="4"/>
      <c r="HXW1535" s="6"/>
      <c r="HXX1535" s="4"/>
      <c r="HXY1535" s="6"/>
      <c r="HXZ1535" s="4"/>
      <c r="HYA1535" s="6"/>
      <c r="HYB1535" s="4"/>
      <c r="HYC1535" s="6"/>
      <c r="HYD1535" s="4"/>
      <c r="HYE1535" s="6"/>
      <c r="HYF1535" s="4"/>
      <c r="HYG1535" s="6"/>
      <c r="HYH1535" s="4"/>
      <c r="HYI1535" s="6"/>
      <c r="HYJ1535" s="4"/>
      <c r="HYK1535" s="6"/>
      <c r="HYL1535" s="4"/>
      <c r="HYM1535" s="6"/>
      <c r="HYN1535" s="4"/>
      <c r="HYO1535" s="6"/>
      <c r="HYP1535" s="4"/>
      <c r="HYQ1535" s="6"/>
      <c r="HYR1535" s="4"/>
      <c r="HYS1535" s="6"/>
      <c r="HYT1535" s="4"/>
      <c r="HYU1535" s="6"/>
      <c r="HYV1535" s="4"/>
      <c r="HYW1535" s="6"/>
      <c r="HYX1535" s="4"/>
      <c r="HYY1535" s="6"/>
      <c r="HYZ1535" s="4"/>
      <c r="HZA1535" s="6"/>
      <c r="HZB1535" s="4"/>
      <c r="HZC1535" s="6"/>
      <c r="HZD1535" s="4"/>
      <c r="HZE1535" s="6"/>
      <c r="HZF1535" s="4"/>
      <c r="HZG1535" s="6"/>
      <c r="HZH1535" s="4"/>
      <c r="HZI1535" s="6"/>
      <c r="HZJ1535" s="4"/>
      <c r="HZK1535" s="6"/>
      <c r="HZL1535" s="4"/>
      <c r="HZM1535" s="6"/>
      <c r="HZN1535" s="4"/>
      <c r="HZO1535" s="6"/>
      <c r="HZP1535" s="4"/>
      <c r="HZQ1535" s="6"/>
      <c r="HZR1535" s="4"/>
      <c r="HZS1535" s="6"/>
      <c r="HZT1535" s="4"/>
      <c r="HZU1535" s="6"/>
      <c r="HZV1535" s="4"/>
      <c r="HZW1535" s="6"/>
      <c r="HZX1535" s="4"/>
      <c r="HZY1535" s="6"/>
      <c r="HZZ1535" s="4"/>
      <c r="IAA1535" s="6"/>
      <c r="IAB1535" s="4"/>
      <c r="IAC1535" s="6"/>
      <c r="IAD1535" s="4"/>
      <c r="IAE1535" s="6"/>
      <c r="IAF1535" s="4"/>
      <c r="IAG1535" s="6"/>
      <c r="IAH1535" s="4"/>
      <c r="IAI1535" s="6"/>
      <c r="IAJ1535" s="4"/>
      <c r="IAK1535" s="6"/>
      <c r="IAL1535" s="4"/>
      <c r="IAM1535" s="6"/>
      <c r="IAN1535" s="4"/>
      <c r="IAO1535" s="6"/>
      <c r="IAP1535" s="4"/>
      <c r="IAQ1535" s="6"/>
      <c r="IAR1535" s="4"/>
      <c r="IAS1535" s="6"/>
      <c r="IAT1535" s="4"/>
      <c r="IAU1535" s="6"/>
      <c r="IAV1535" s="4"/>
      <c r="IAW1535" s="6"/>
      <c r="IAX1535" s="4"/>
      <c r="IAY1535" s="6"/>
      <c r="IAZ1535" s="4"/>
      <c r="IBA1535" s="6"/>
      <c r="IBB1535" s="4"/>
      <c r="IBC1535" s="6"/>
      <c r="IBD1535" s="4"/>
      <c r="IBE1535" s="6"/>
      <c r="IBF1535" s="4"/>
      <c r="IBG1535" s="6"/>
      <c r="IBH1535" s="4"/>
      <c r="IBI1535" s="6"/>
      <c r="IBJ1535" s="4"/>
      <c r="IBK1535" s="6"/>
      <c r="IBL1535" s="4"/>
      <c r="IBM1535" s="6"/>
      <c r="IBN1535" s="4"/>
      <c r="IBO1535" s="6"/>
      <c r="IBP1535" s="4"/>
      <c r="IBQ1535" s="6"/>
      <c r="IBR1535" s="4"/>
      <c r="IBS1535" s="6"/>
      <c r="IBT1535" s="4"/>
      <c r="IBU1535" s="6"/>
      <c r="IBV1535" s="4"/>
      <c r="IBW1535" s="6"/>
      <c r="IBX1535" s="4"/>
      <c r="IBY1535" s="6"/>
      <c r="IBZ1535" s="4"/>
      <c r="ICA1535" s="6"/>
      <c r="ICB1535" s="4"/>
      <c r="ICC1535" s="6"/>
      <c r="ICD1535" s="4"/>
      <c r="ICE1535" s="6"/>
      <c r="ICF1535" s="4"/>
      <c r="ICG1535" s="6"/>
      <c r="ICH1535" s="4"/>
      <c r="ICI1535" s="6"/>
      <c r="ICJ1535" s="4"/>
      <c r="ICK1535" s="6"/>
      <c r="ICL1535" s="4"/>
      <c r="ICM1535" s="6"/>
      <c r="ICN1535" s="4"/>
      <c r="ICO1535" s="6"/>
      <c r="ICP1535" s="4"/>
      <c r="ICQ1535" s="6"/>
      <c r="ICR1535" s="4"/>
      <c r="ICS1535" s="6"/>
      <c r="ICT1535" s="4"/>
      <c r="ICU1535" s="6"/>
      <c r="ICV1535" s="4"/>
      <c r="ICW1535" s="6"/>
      <c r="ICX1535" s="4"/>
      <c r="ICY1535" s="6"/>
      <c r="ICZ1535" s="4"/>
      <c r="IDA1535" s="6"/>
      <c r="IDB1535" s="4"/>
      <c r="IDC1535" s="6"/>
      <c r="IDD1535" s="4"/>
      <c r="IDE1535" s="6"/>
      <c r="IDF1535" s="4"/>
      <c r="IDG1535" s="6"/>
      <c r="IDH1535" s="4"/>
      <c r="IDI1535" s="6"/>
      <c r="IDJ1535" s="4"/>
      <c r="IDK1535" s="6"/>
      <c r="IDL1535" s="4"/>
      <c r="IDM1535" s="6"/>
      <c r="IDN1535" s="4"/>
      <c r="IDO1535" s="6"/>
      <c r="IDP1535" s="4"/>
      <c r="IDQ1535" s="6"/>
      <c r="IDR1535" s="4"/>
      <c r="IDS1535" s="6"/>
      <c r="IDT1535" s="4"/>
      <c r="IDU1535" s="6"/>
      <c r="IDV1535" s="4"/>
      <c r="IDW1535" s="6"/>
      <c r="IDX1535" s="4"/>
      <c r="IDY1535" s="6"/>
      <c r="IDZ1535" s="4"/>
      <c r="IEA1535" s="6"/>
      <c r="IEB1535" s="4"/>
      <c r="IEC1535" s="6"/>
      <c r="IED1535" s="4"/>
      <c r="IEE1535" s="6"/>
      <c r="IEF1535" s="4"/>
      <c r="IEG1535" s="6"/>
      <c r="IEH1535" s="4"/>
      <c r="IEI1535" s="6"/>
      <c r="IEJ1535" s="4"/>
      <c r="IEK1535" s="6"/>
      <c r="IEL1535" s="4"/>
      <c r="IEM1535" s="6"/>
      <c r="IEN1535" s="4"/>
      <c r="IEO1535" s="6"/>
      <c r="IEP1535" s="4"/>
      <c r="IEQ1535" s="6"/>
      <c r="IER1535" s="4"/>
      <c r="IES1535" s="6"/>
      <c r="IET1535" s="4"/>
      <c r="IEU1535" s="6"/>
      <c r="IEV1535" s="4"/>
      <c r="IEW1535" s="6"/>
      <c r="IEX1535" s="4"/>
      <c r="IEY1535" s="6"/>
      <c r="IEZ1535" s="4"/>
      <c r="IFA1535" s="6"/>
      <c r="IFB1535" s="4"/>
      <c r="IFC1535" s="6"/>
      <c r="IFD1535" s="4"/>
      <c r="IFE1535" s="6"/>
      <c r="IFF1535" s="4"/>
      <c r="IFG1535" s="6"/>
      <c r="IFH1535" s="4"/>
      <c r="IFI1535" s="6"/>
      <c r="IFJ1535" s="4"/>
      <c r="IFK1535" s="6"/>
      <c r="IFL1535" s="4"/>
      <c r="IFM1535" s="6"/>
      <c r="IFN1535" s="4"/>
      <c r="IFO1535" s="6"/>
      <c r="IFP1535" s="4"/>
      <c r="IFQ1535" s="6"/>
      <c r="IFR1535" s="4"/>
      <c r="IFS1535" s="6"/>
      <c r="IFT1535" s="4"/>
      <c r="IFU1535" s="6"/>
      <c r="IFV1535" s="4"/>
      <c r="IFW1535" s="6"/>
      <c r="IFX1535" s="4"/>
      <c r="IFY1535" s="6"/>
      <c r="IFZ1535" s="4"/>
      <c r="IGA1535" s="6"/>
      <c r="IGB1535" s="4"/>
      <c r="IGC1535" s="6"/>
      <c r="IGD1535" s="4"/>
      <c r="IGE1535" s="6"/>
      <c r="IGF1535" s="4"/>
      <c r="IGG1535" s="6"/>
      <c r="IGH1535" s="4"/>
      <c r="IGI1535" s="6"/>
      <c r="IGJ1535" s="4"/>
      <c r="IGK1535" s="6"/>
      <c r="IGL1535" s="4"/>
      <c r="IGM1535" s="6"/>
      <c r="IGN1535" s="4"/>
      <c r="IGO1535" s="6"/>
      <c r="IGP1535" s="4"/>
      <c r="IGQ1535" s="6"/>
      <c r="IGR1535" s="4"/>
      <c r="IGS1535" s="6"/>
      <c r="IGT1535" s="4"/>
      <c r="IGU1535" s="6"/>
      <c r="IGV1535" s="4"/>
      <c r="IGW1535" s="6"/>
      <c r="IGX1535" s="4"/>
      <c r="IGY1535" s="6"/>
      <c r="IGZ1535" s="4"/>
      <c r="IHA1535" s="6"/>
      <c r="IHB1535" s="4"/>
      <c r="IHC1535" s="6"/>
      <c r="IHD1535" s="4"/>
      <c r="IHE1535" s="6"/>
      <c r="IHF1535" s="4"/>
      <c r="IHG1535" s="6"/>
      <c r="IHH1535" s="4"/>
      <c r="IHI1535" s="6"/>
      <c r="IHJ1535" s="4"/>
      <c r="IHK1535" s="6"/>
      <c r="IHL1535" s="4"/>
      <c r="IHM1535" s="6"/>
      <c r="IHN1535" s="4"/>
      <c r="IHO1535" s="6"/>
      <c r="IHP1535" s="4"/>
      <c r="IHQ1535" s="6"/>
      <c r="IHR1535" s="4"/>
      <c r="IHS1535" s="6"/>
      <c r="IHT1535" s="4"/>
      <c r="IHU1535" s="6"/>
      <c r="IHV1535" s="4"/>
      <c r="IHW1535" s="6"/>
      <c r="IHX1535" s="4"/>
      <c r="IHY1535" s="6"/>
      <c r="IHZ1535" s="4"/>
      <c r="IIA1535" s="6"/>
      <c r="IIB1535" s="4"/>
      <c r="IIC1535" s="6"/>
      <c r="IID1535" s="4"/>
      <c r="IIE1535" s="6"/>
      <c r="IIF1535" s="4"/>
      <c r="IIG1535" s="6"/>
      <c r="IIH1535" s="4"/>
      <c r="III1535" s="6"/>
      <c r="IIJ1535" s="4"/>
      <c r="IIK1535" s="6"/>
      <c r="IIL1535" s="4"/>
      <c r="IIM1535" s="6"/>
      <c r="IIN1535" s="4"/>
      <c r="IIO1535" s="6"/>
      <c r="IIP1535" s="4"/>
      <c r="IIQ1535" s="6"/>
      <c r="IIR1535" s="4"/>
      <c r="IIS1535" s="6"/>
      <c r="IIT1535" s="4"/>
      <c r="IIU1535" s="6"/>
      <c r="IIV1535" s="4"/>
      <c r="IIW1535" s="6"/>
      <c r="IIX1535" s="4"/>
      <c r="IIY1535" s="6"/>
      <c r="IIZ1535" s="4"/>
      <c r="IJA1535" s="6"/>
      <c r="IJB1535" s="4"/>
      <c r="IJC1535" s="6"/>
      <c r="IJD1535" s="4"/>
      <c r="IJE1535" s="6"/>
      <c r="IJF1535" s="4"/>
      <c r="IJG1535" s="6"/>
      <c r="IJH1535" s="4"/>
      <c r="IJI1535" s="6"/>
      <c r="IJJ1535" s="4"/>
      <c r="IJK1535" s="6"/>
      <c r="IJL1535" s="4"/>
      <c r="IJM1535" s="6"/>
      <c r="IJN1535" s="4"/>
      <c r="IJO1535" s="6"/>
      <c r="IJP1535" s="4"/>
      <c r="IJQ1535" s="6"/>
      <c r="IJR1535" s="4"/>
      <c r="IJS1535" s="6"/>
      <c r="IJT1535" s="4"/>
      <c r="IJU1535" s="6"/>
      <c r="IJV1535" s="4"/>
      <c r="IJW1535" s="6"/>
      <c r="IJX1535" s="4"/>
      <c r="IJY1535" s="6"/>
      <c r="IJZ1535" s="4"/>
      <c r="IKA1535" s="6"/>
      <c r="IKB1535" s="4"/>
      <c r="IKC1535" s="6"/>
      <c r="IKD1535" s="4"/>
      <c r="IKE1535" s="6"/>
      <c r="IKF1535" s="4"/>
      <c r="IKG1535" s="6"/>
      <c r="IKH1535" s="4"/>
      <c r="IKI1535" s="6"/>
      <c r="IKJ1535" s="4"/>
      <c r="IKK1535" s="6"/>
      <c r="IKL1535" s="4"/>
      <c r="IKM1535" s="6"/>
      <c r="IKN1535" s="4"/>
      <c r="IKO1535" s="6"/>
      <c r="IKP1535" s="4"/>
      <c r="IKQ1535" s="6"/>
      <c r="IKR1535" s="4"/>
      <c r="IKS1535" s="6"/>
      <c r="IKT1535" s="4"/>
      <c r="IKU1535" s="6"/>
      <c r="IKV1535" s="4"/>
      <c r="IKW1535" s="6"/>
      <c r="IKX1535" s="4"/>
      <c r="IKY1535" s="6"/>
      <c r="IKZ1535" s="4"/>
      <c r="ILA1535" s="6"/>
      <c r="ILB1535" s="4"/>
      <c r="ILC1535" s="6"/>
      <c r="ILD1535" s="4"/>
      <c r="ILE1535" s="6"/>
      <c r="ILF1535" s="4"/>
      <c r="ILG1535" s="6"/>
      <c r="ILH1535" s="4"/>
      <c r="ILI1535" s="6"/>
      <c r="ILJ1535" s="4"/>
      <c r="ILK1535" s="6"/>
      <c r="ILL1535" s="4"/>
      <c r="ILM1535" s="6"/>
      <c r="ILN1535" s="4"/>
      <c r="ILO1535" s="6"/>
      <c r="ILP1535" s="4"/>
      <c r="ILQ1535" s="6"/>
      <c r="ILR1535" s="4"/>
      <c r="ILS1535" s="6"/>
      <c r="ILT1535" s="4"/>
      <c r="ILU1535" s="6"/>
      <c r="ILV1535" s="4"/>
      <c r="ILW1535" s="6"/>
      <c r="ILX1535" s="4"/>
      <c r="ILY1535" s="6"/>
      <c r="ILZ1535" s="4"/>
      <c r="IMA1535" s="6"/>
      <c r="IMB1535" s="4"/>
      <c r="IMC1535" s="6"/>
      <c r="IMD1535" s="4"/>
      <c r="IME1535" s="6"/>
      <c r="IMF1535" s="4"/>
      <c r="IMG1535" s="6"/>
      <c r="IMH1535" s="4"/>
      <c r="IMI1535" s="6"/>
      <c r="IMJ1535" s="4"/>
      <c r="IMK1535" s="6"/>
      <c r="IML1535" s="4"/>
      <c r="IMM1535" s="6"/>
      <c r="IMN1535" s="4"/>
      <c r="IMO1535" s="6"/>
      <c r="IMP1535" s="4"/>
      <c r="IMQ1535" s="6"/>
      <c r="IMR1535" s="4"/>
      <c r="IMS1535" s="6"/>
      <c r="IMT1535" s="4"/>
      <c r="IMU1535" s="6"/>
      <c r="IMV1535" s="4"/>
      <c r="IMW1535" s="6"/>
      <c r="IMX1535" s="4"/>
      <c r="IMY1535" s="6"/>
      <c r="IMZ1535" s="4"/>
      <c r="INA1535" s="6"/>
      <c r="INB1535" s="4"/>
      <c r="INC1535" s="6"/>
      <c r="IND1535" s="4"/>
      <c r="INE1535" s="6"/>
      <c r="INF1535" s="4"/>
      <c r="ING1535" s="6"/>
      <c r="INH1535" s="4"/>
      <c r="INI1535" s="6"/>
      <c r="INJ1535" s="4"/>
      <c r="INK1535" s="6"/>
      <c r="INL1535" s="4"/>
      <c r="INM1535" s="6"/>
      <c r="INN1535" s="4"/>
      <c r="INO1535" s="6"/>
      <c r="INP1535" s="4"/>
      <c r="INQ1535" s="6"/>
      <c r="INR1535" s="4"/>
      <c r="INS1535" s="6"/>
      <c r="INT1535" s="4"/>
      <c r="INU1535" s="6"/>
      <c r="INV1535" s="4"/>
      <c r="INW1535" s="6"/>
      <c r="INX1535" s="4"/>
      <c r="INY1535" s="6"/>
      <c r="INZ1535" s="4"/>
      <c r="IOA1535" s="6"/>
      <c r="IOB1535" s="4"/>
      <c r="IOC1535" s="6"/>
      <c r="IOD1535" s="4"/>
      <c r="IOE1535" s="6"/>
      <c r="IOF1535" s="4"/>
      <c r="IOG1535" s="6"/>
      <c r="IOH1535" s="4"/>
      <c r="IOI1535" s="6"/>
      <c r="IOJ1535" s="4"/>
      <c r="IOK1535" s="6"/>
      <c r="IOL1535" s="4"/>
      <c r="IOM1535" s="6"/>
      <c r="ION1535" s="4"/>
      <c r="IOO1535" s="6"/>
      <c r="IOP1535" s="4"/>
      <c r="IOQ1535" s="6"/>
      <c r="IOR1535" s="4"/>
      <c r="IOS1535" s="6"/>
      <c r="IOT1535" s="4"/>
      <c r="IOU1535" s="6"/>
      <c r="IOV1535" s="4"/>
      <c r="IOW1535" s="6"/>
      <c r="IOX1535" s="4"/>
      <c r="IOY1535" s="6"/>
      <c r="IOZ1535" s="4"/>
      <c r="IPA1535" s="6"/>
      <c r="IPB1535" s="4"/>
      <c r="IPC1535" s="6"/>
      <c r="IPD1535" s="4"/>
      <c r="IPE1535" s="6"/>
      <c r="IPF1535" s="4"/>
      <c r="IPG1535" s="6"/>
      <c r="IPH1535" s="4"/>
      <c r="IPI1535" s="6"/>
      <c r="IPJ1535" s="4"/>
      <c r="IPK1535" s="6"/>
      <c r="IPL1535" s="4"/>
      <c r="IPM1535" s="6"/>
      <c r="IPN1535" s="4"/>
      <c r="IPO1535" s="6"/>
      <c r="IPP1535" s="4"/>
      <c r="IPQ1535" s="6"/>
      <c r="IPR1535" s="4"/>
      <c r="IPS1535" s="6"/>
      <c r="IPT1535" s="4"/>
      <c r="IPU1535" s="6"/>
      <c r="IPV1535" s="4"/>
      <c r="IPW1535" s="6"/>
      <c r="IPX1535" s="4"/>
      <c r="IPY1535" s="6"/>
      <c r="IPZ1535" s="4"/>
      <c r="IQA1535" s="6"/>
      <c r="IQB1535" s="4"/>
      <c r="IQC1535" s="6"/>
      <c r="IQD1535" s="4"/>
      <c r="IQE1535" s="6"/>
      <c r="IQF1535" s="4"/>
      <c r="IQG1535" s="6"/>
      <c r="IQH1535" s="4"/>
      <c r="IQI1535" s="6"/>
      <c r="IQJ1535" s="4"/>
      <c r="IQK1535" s="6"/>
      <c r="IQL1535" s="4"/>
      <c r="IQM1535" s="6"/>
      <c r="IQN1535" s="4"/>
      <c r="IQO1535" s="6"/>
      <c r="IQP1535" s="4"/>
      <c r="IQQ1535" s="6"/>
      <c r="IQR1535" s="4"/>
      <c r="IQS1535" s="6"/>
      <c r="IQT1535" s="4"/>
      <c r="IQU1535" s="6"/>
      <c r="IQV1535" s="4"/>
      <c r="IQW1535" s="6"/>
      <c r="IQX1535" s="4"/>
      <c r="IQY1535" s="6"/>
      <c r="IQZ1535" s="4"/>
      <c r="IRA1535" s="6"/>
      <c r="IRB1535" s="4"/>
      <c r="IRC1535" s="6"/>
      <c r="IRD1535" s="4"/>
      <c r="IRE1535" s="6"/>
      <c r="IRF1535" s="4"/>
      <c r="IRG1535" s="6"/>
      <c r="IRH1535" s="4"/>
      <c r="IRI1535" s="6"/>
      <c r="IRJ1535" s="4"/>
      <c r="IRK1535" s="6"/>
      <c r="IRL1535" s="4"/>
      <c r="IRM1535" s="6"/>
      <c r="IRN1535" s="4"/>
      <c r="IRO1535" s="6"/>
      <c r="IRP1535" s="4"/>
      <c r="IRQ1535" s="6"/>
      <c r="IRR1535" s="4"/>
      <c r="IRS1535" s="6"/>
      <c r="IRT1535" s="4"/>
      <c r="IRU1535" s="6"/>
      <c r="IRV1535" s="4"/>
      <c r="IRW1535" s="6"/>
      <c r="IRX1535" s="4"/>
      <c r="IRY1535" s="6"/>
      <c r="IRZ1535" s="4"/>
      <c r="ISA1535" s="6"/>
      <c r="ISB1535" s="4"/>
      <c r="ISC1535" s="6"/>
      <c r="ISD1535" s="4"/>
      <c r="ISE1535" s="6"/>
      <c r="ISF1535" s="4"/>
      <c r="ISG1535" s="6"/>
      <c r="ISH1535" s="4"/>
      <c r="ISI1535" s="6"/>
      <c r="ISJ1535" s="4"/>
      <c r="ISK1535" s="6"/>
      <c r="ISL1535" s="4"/>
      <c r="ISM1535" s="6"/>
      <c r="ISN1535" s="4"/>
      <c r="ISO1535" s="6"/>
      <c r="ISP1535" s="4"/>
      <c r="ISQ1535" s="6"/>
      <c r="ISR1535" s="4"/>
      <c r="ISS1535" s="6"/>
      <c r="IST1535" s="4"/>
      <c r="ISU1535" s="6"/>
      <c r="ISV1535" s="4"/>
      <c r="ISW1535" s="6"/>
      <c r="ISX1535" s="4"/>
      <c r="ISY1535" s="6"/>
      <c r="ISZ1535" s="4"/>
      <c r="ITA1535" s="6"/>
      <c r="ITB1535" s="4"/>
      <c r="ITC1535" s="6"/>
      <c r="ITD1535" s="4"/>
      <c r="ITE1535" s="6"/>
      <c r="ITF1535" s="4"/>
      <c r="ITG1535" s="6"/>
      <c r="ITH1535" s="4"/>
      <c r="ITI1535" s="6"/>
      <c r="ITJ1535" s="4"/>
      <c r="ITK1535" s="6"/>
      <c r="ITL1535" s="4"/>
      <c r="ITM1535" s="6"/>
      <c r="ITN1535" s="4"/>
      <c r="ITO1535" s="6"/>
      <c r="ITP1535" s="4"/>
      <c r="ITQ1535" s="6"/>
      <c r="ITR1535" s="4"/>
      <c r="ITS1535" s="6"/>
      <c r="ITT1535" s="4"/>
      <c r="ITU1535" s="6"/>
      <c r="ITV1535" s="4"/>
      <c r="ITW1535" s="6"/>
      <c r="ITX1535" s="4"/>
      <c r="ITY1535" s="6"/>
      <c r="ITZ1535" s="4"/>
      <c r="IUA1535" s="6"/>
      <c r="IUB1535" s="4"/>
      <c r="IUC1535" s="6"/>
      <c r="IUD1535" s="4"/>
      <c r="IUE1535" s="6"/>
      <c r="IUF1535" s="4"/>
      <c r="IUG1535" s="6"/>
      <c r="IUH1535" s="4"/>
      <c r="IUI1535" s="6"/>
      <c r="IUJ1535" s="4"/>
      <c r="IUK1535" s="6"/>
      <c r="IUL1535" s="4"/>
      <c r="IUM1535" s="6"/>
      <c r="IUN1535" s="4"/>
      <c r="IUO1535" s="6"/>
      <c r="IUP1535" s="4"/>
      <c r="IUQ1535" s="6"/>
      <c r="IUR1535" s="4"/>
      <c r="IUS1535" s="6"/>
      <c r="IUT1535" s="4"/>
      <c r="IUU1535" s="6"/>
      <c r="IUV1535" s="4"/>
      <c r="IUW1535" s="6"/>
      <c r="IUX1535" s="4"/>
      <c r="IUY1535" s="6"/>
      <c r="IUZ1535" s="4"/>
      <c r="IVA1535" s="6"/>
      <c r="IVB1535" s="4"/>
      <c r="IVC1535" s="6"/>
      <c r="IVD1535" s="4"/>
      <c r="IVE1535" s="6"/>
      <c r="IVF1535" s="4"/>
      <c r="IVG1535" s="6"/>
      <c r="IVH1535" s="4"/>
      <c r="IVI1535" s="6"/>
      <c r="IVJ1535" s="4"/>
      <c r="IVK1535" s="6"/>
      <c r="IVL1535" s="4"/>
      <c r="IVM1535" s="6"/>
      <c r="IVN1535" s="4"/>
      <c r="IVO1535" s="6"/>
      <c r="IVP1535" s="4"/>
      <c r="IVQ1535" s="6"/>
      <c r="IVR1535" s="4"/>
      <c r="IVS1535" s="6"/>
      <c r="IVT1535" s="4"/>
      <c r="IVU1535" s="6"/>
      <c r="IVV1535" s="4"/>
      <c r="IVW1535" s="6"/>
      <c r="IVX1535" s="4"/>
      <c r="IVY1535" s="6"/>
      <c r="IVZ1535" s="4"/>
      <c r="IWA1535" s="6"/>
      <c r="IWB1535" s="4"/>
      <c r="IWC1535" s="6"/>
      <c r="IWD1535" s="4"/>
      <c r="IWE1535" s="6"/>
      <c r="IWF1535" s="4"/>
      <c r="IWG1535" s="6"/>
      <c r="IWH1535" s="4"/>
      <c r="IWI1535" s="6"/>
      <c r="IWJ1535" s="4"/>
      <c r="IWK1535" s="6"/>
      <c r="IWL1535" s="4"/>
      <c r="IWM1535" s="6"/>
      <c r="IWN1535" s="4"/>
      <c r="IWO1535" s="6"/>
      <c r="IWP1535" s="4"/>
      <c r="IWQ1535" s="6"/>
      <c r="IWR1535" s="4"/>
      <c r="IWS1535" s="6"/>
      <c r="IWT1535" s="4"/>
      <c r="IWU1535" s="6"/>
      <c r="IWV1535" s="4"/>
      <c r="IWW1535" s="6"/>
      <c r="IWX1535" s="4"/>
      <c r="IWY1535" s="6"/>
      <c r="IWZ1535" s="4"/>
      <c r="IXA1535" s="6"/>
      <c r="IXB1535" s="4"/>
      <c r="IXC1535" s="6"/>
      <c r="IXD1535" s="4"/>
      <c r="IXE1535" s="6"/>
      <c r="IXF1535" s="4"/>
      <c r="IXG1535" s="6"/>
      <c r="IXH1535" s="4"/>
      <c r="IXI1535" s="6"/>
      <c r="IXJ1535" s="4"/>
      <c r="IXK1535" s="6"/>
      <c r="IXL1535" s="4"/>
      <c r="IXM1535" s="6"/>
      <c r="IXN1535" s="4"/>
      <c r="IXO1535" s="6"/>
      <c r="IXP1535" s="4"/>
      <c r="IXQ1535" s="6"/>
      <c r="IXR1535" s="4"/>
      <c r="IXS1535" s="6"/>
      <c r="IXT1535" s="4"/>
      <c r="IXU1535" s="6"/>
      <c r="IXV1535" s="4"/>
      <c r="IXW1535" s="6"/>
      <c r="IXX1535" s="4"/>
      <c r="IXY1535" s="6"/>
      <c r="IXZ1535" s="4"/>
      <c r="IYA1535" s="6"/>
      <c r="IYB1535" s="4"/>
      <c r="IYC1535" s="6"/>
      <c r="IYD1535" s="4"/>
      <c r="IYE1535" s="6"/>
      <c r="IYF1535" s="4"/>
      <c r="IYG1535" s="6"/>
      <c r="IYH1535" s="4"/>
      <c r="IYI1535" s="6"/>
      <c r="IYJ1535" s="4"/>
      <c r="IYK1535" s="6"/>
      <c r="IYL1535" s="4"/>
      <c r="IYM1535" s="6"/>
      <c r="IYN1535" s="4"/>
      <c r="IYO1535" s="6"/>
      <c r="IYP1535" s="4"/>
      <c r="IYQ1535" s="6"/>
      <c r="IYR1535" s="4"/>
      <c r="IYS1535" s="6"/>
      <c r="IYT1535" s="4"/>
      <c r="IYU1535" s="6"/>
      <c r="IYV1535" s="4"/>
      <c r="IYW1535" s="6"/>
      <c r="IYX1535" s="4"/>
      <c r="IYY1535" s="6"/>
      <c r="IYZ1535" s="4"/>
      <c r="IZA1535" s="6"/>
      <c r="IZB1535" s="4"/>
      <c r="IZC1535" s="6"/>
      <c r="IZD1535" s="4"/>
      <c r="IZE1535" s="6"/>
      <c r="IZF1535" s="4"/>
      <c r="IZG1535" s="6"/>
      <c r="IZH1535" s="4"/>
      <c r="IZI1535" s="6"/>
      <c r="IZJ1535" s="4"/>
      <c r="IZK1535" s="6"/>
      <c r="IZL1535" s="4"/>
      <c r="IZM1535" s="6"/>
      <c r="IZN1535" s="4"/>
      <c r="IZO1535" s="6"/>
      <c r="IZP1535" s="4"/>
      <c r="IZQ1535" s="6"/>
      <c r="IZR1535" s="4"/>
      <c r="IZS1535" s="6"/>
      <c r="IZT1535" s="4"/>
      <c r="IZU1535" s="6"/>
      <c r="IZV1535" s="4"/>
      <c r="IZW1535" s="6"/>
      <c r="IZX1535" s="4"/>
      <c r="IZY1535" s="6"/>
      <c r="IZZ1535" s="4"/>
      <c r="JAA1535" s="6"/>
      <c r="JAB1535" s="4"/>
      <c r="JAC1535" s="6"/>
      <c r="JAD1535" s="4"/>
      <c r="JAE1535" s="6"/>
      <c r="JAF1535" s="4"/>
      <c r="JAG1535" s="6"/>
      <c r="JAH1535" s="4"/>
      <c r="JAI1535" s="6"/>
      <c r="JAJ1535" s="4"/>
      <c r="JAK1535" s="6"/>
      <c r="JAL1535" s="4"/>
      <c r="JAM1535" s="6"/>
      <c r="JAN1535" s="4"/>
      <c r="JAO1535" s="6"/>
      <c r="JAP1535" s="4"/>
      <c r="JAQ1535" s="6"/>
      <c r="JAR1535" s="4"/>
      <c r="JAS1535" s="6"/>
      <c r="JAT1535" s="4"/>
      <c r="JAU1535" s="6"/>
      <c r="JAV1535" s="4"/>
      <c r="JAW1535" s="6"/>
      <c r="JAX1535" s="4"/>
      <c r="JAY1535" s="6"/>
      <c r="JAZ1535" s="4"/>
      <c r="JBA1535" s="6"/>
      <c r="JBB1535" s="4"/>
      <c r="JBC1535" s="6"/>
      <c r="JBD1535" s="4"/>
      <c r="JBE1535" s="6"/>
      <c r="JBF1535" s="4"/>
      <c r="JBG1535" s="6"/>
      <c r="JBH1535" s="4"/>
      <c r="JBI1535" s="6"/>
      <c r="JBJ1535" s="4"/>
      <c r="JBK1535" s="6"/>
      <c r="JBL1535" s="4"/>
      <c r="JBM1535" s="6"/>
      <c r="JBN1535" s="4"/>
      <c r="JBO1535" s="6"/>
      <c r="JBP1535" s="4"/>
      <c r="JBQ1535" s="6"/>
      <c r="JBR1535" s="4"/>
      <c r="JBS1535" s="6"/>
      <c r="JBT1535" s="4"/>
      <c r="JBU1535" s="6"/>
      <c r="JBV1535" s="4"/>
      <c r="JBW1535" s="6"/>
      <c r="JBX1535" s="4"/>
      <c r="JBY1535" s="6"/>
      <c r="JBZ1535" s="4"/>
      <c r="JCA1535" s="6"/>
      <c r="JCB1535" s="4"/>
      <c r="JCC1535" s="6"/>
      <c r="JCD1535" s="4"/>
      <c r="JCE1535" s="6"/>
      <c r="JCF1535" s="4"/>
      <c r="JCG1535" s="6"/>
      <c r="JCH1535" s="4"/>
      <c r="JCI1535" s="6"/>
      <c r="JCJ1535" s="4"/>
      <c r="JCK1535" s="6"/>
      <c r="JCL1535" s="4"/>
      <c r="JCM1535" s="6"/>
      <c r="JCN1535" s="4"/>
      <c r="JCO1535" s="6"/>
      <c r="JCP1535" s="4"/>
      <c r="JCQ1535" s="6"/>
      <c r="JCR1535" s="4"/>
      <c r="JCS1535" s="6"/>
      <c r="JCT1535" s="4"/>
      <c r="JCU1535" s="6"/>
      <c r="JCV1535" s="4"/>
      <c r="JCW1535" s="6"/>
      <c r="JCX1535" s="4"/>
      <c r="JCY1535" s="6"/>
      <c r="JCZ1535" s="4"/>
      <c r="JDA1535" s="6"/>
      <c r="JDB1535" s="4"/>
      <c r="JDC1535" s="6"/>
      <c r="JDD1535" s="4"/>
      <c r="JDE1535" s="6"/>
      <c r="JDF1535" s="4"/>
      <c r="JDG1535" s="6"/>
      <c r="JDH1535" s="4"/>
      <c r="JDI1535" s="6"/>
      <c r="JDJ1535" s="4"/>
      <c r="JDK1535" s="6"/>
      <c r="JDL1535" s="4"/>
      <c r="JDM1535" s="6"/>
      <c r="JDN1535" s="4"/>
      <c r="JDO1535" s="6"/>
      <c r="JDP1535" s="4"/>
      <c r="JDQ1535" s="6"/>
      <c r="JDR1535" s="4"/>
      <c r="JDS1535" s="6"/>
      <c r="JDT1535" s="4"/>
      <c r="JDU1535" s="6"/>
      <c r="JDV1535" s="4"/>
      <c r="JDW1535" s="6"/>
      <c r="JDX1535" s="4"/>
      <c r="JDY1535" s="6"/>
      <c r="JDZ1535" s="4"/>
      <c r="JEA1535" s="6"/>
      <c r="JEB1535" s="4"/>
      <c r="JEC1535" s="6"/>
      <c r="JED1535" s="4"/>
      <c r="JEE1535" s="6"/>
      <c r="JEF1535" s="4"/>
      <c r="JEG1535" s="6"/>
      <c r="JEH1535" s="4"/>
      <c r="JEI1535" s="6"/>
      <c r="JEJ1535" s="4"/>
      <c r="JEK1535" s="6"/>
      <c r="JEL1535" s="4"/>
      <c r="JEM1535" s="6"/>
      <c r="JEN1535" s="4"/>
      <c r="JEO1535" s="6"/>
      <c r="JEP1535" s="4"/>
      <c r="JEQ1535" s="6"/>
      <c r="JER1535" s="4"/>
      <c r="JES1535" s="6"/>
      <c r="JET1535" s="4"/>
      <c r="JEU1535" s="6"/>
      <c r="JEV1535" s="4"/>
      <c r="JEW1535" s="6"/>
      <c r="JEX1535" s="4"/>
      <c r="JEY1535" s="6"/>
      <c r="JEZ1535" s="4"/>
      <c r="JFA1535" s="6"/>
      <c r="JFB1535" s="4"/>
      <c r="JFC1535" s="6"/>
      <c r="JFD1535" s="4"/>
      <c r="JFE1535" s="6"/>
      <c r="JFF1535" s="4"/>
      <c r="JFG1535" s="6"/>
      <c r="JFH1535" s="4"/>
      <c r="JFI1535" s="6"/>
      <c r="JFJ1535" s="4"/>
      <c r="JFK1535" s="6"/>
      <c r="JFL1535" s="4"/>
      <c r="JFM1535" s="6"/>
      <c r="JFN1535" s="4"/>
      <c r="JFO1535" s="6"/>
      <c r="JFP1535" s="4"/>
      <c r="JFQ1535" s="6"/>
      <c r="JFR1535" s="4"/>
      <c r="JFS1535" s="6"/>
      <c r="JFT1535" s="4"/>
      <c r="JFU1535" s="6"/>
      <c r="JFV1535" s="4"/>
      <c r="JFW1535" s="6"/>
      <c r="JFX1535" s="4"/>
      <c r="JFY1535" s="6"/>
      <c r="JFZ1535" s="4"/>
      <c r="JGA1535" s="6"/>
      <c r="JGB1535" s="4"/>
      <c r="JGC1535" s="6"/>
      <c r="JGD1535" s="4"/>
      <c r="JGE1535" s="6"/>
      <c r="JGF1535" s="4"/>
      <c r="JGG1535" s="6"/>
      <c r="JGH1535" s="4"/>
      <c r="JGI1535" s="6"/>
      <c r="JGJ1535" s="4"/>
      <c r="JGK1535" s="6"/>
      <c r="JGL1535" s="4"/>
      <c r="JGM1535" s="6"/>
      <c r="JGN1535" s="4"/>
      <c r="JGO1535" s="6"/>
      <c r="JGP1535" s="4"/>
      <c r="JGQ1535" s="6"/>
      <c r="JGR1535" s="4"/>
      <c r="JGS1535" s="6"/>
      <c r="JGT1535" s="4"/>
      <c r="JGU1535" s="6"/>
      <c r="JGV1535" s="4"/>
      <c r="JGW1535" s="6"/>
      <c r="JGX1535" s="4"/>
      <c r="JGY1535" s="6"/>
      <c r="JGZ1535" s="4"/>
      <c r="JHA1535" s="6"/>
      <c r="JHB1535" s="4"/>
      <c r="JHC1535" s="6"/>
      <c r="JHD1535" s="4"/>
      <c r="JHE1535" s="6"/>
      <c r="JHF1535" s="4"/>
      <c r="JHG1535" s="6"/>
      <c r="JHH1535" s="4"/>
      <c r="JHI1535" s="6"/>
      <c r="JHJ1535" s="4"/>
      <c r="JHK1535" s="6"/>
      <c r="JHL1535" s="4"/>
      <c r="JHM1535" s="6"/>
      <c r="JHN1535" s="4"/>
      <c r="JHO1535" s="6"/>
      <c r="JHP1535" s="4"/>
      <c r="JHQ1535" s="6"/>
      <c r="JHR1535" s="4"/>
      <c r="JHS1535" s="6"/>
      <c r="JHT1535" s="4"/>
      <c r="JHU1535" s="6"/>
      <c r="JHV1535" s="4"/>
      <c r="JHW1535" s="6"/>
      <c r="JHX1535" s="4"/>
      <c r="JHY1535" s="6"/>
      <c r="JHZ1535" s="4"/>
      <c r="JIA1535" s="6"/>
      <c r="JIB1535" s="4"/>
      <c r="JIC1535" s="6"/>
      <c r="JID1535" s="4"/>
      <c r="JIE1535" s="6"/>
      <c r="JIF1535" s="4"/>
      <c r="JIG1535" s="6"/>
      <c r="JIH1535" s="4"/>
      <c r="JII1535" s="6"/>
      <c r="JIJ1535" s="4"/>
      <c r="JIK1535" s="6"/>
      <c r="JIL1535" s="4"/>
      <c r="JIM1535" s="6"/>
      <c r="JIN1535" s="4"/>
      <c r="JIO1535" s="6"/>
      <c r="JIP1535" s="4"/>
      <c r="JIQ1535" s="6"/>
      <c r="JIR1535" s="4"/>
      <c r="JIS1535" s="6"/>
      <c r="JIT1535" s="4"/>
      <c r="JIU1535" s="6"/>
      <c r="JIV1535" s="4"/>
      <c r="JIW1535" s="6"/>
      <c r="JIX1535" s="4"/>
      <c r="JIY1535" s="6"/>
      <c r="JIZ1535" s="4"/>
      <c r="JJA1535" s="6"/>
      <c r="JJB1535" s="4"/>
      <c r="JJC1535" s="6"/>
      <c r="JJD1535" s="4"/>
      <c r="JJE1535" s="6"/>
      <c r="JJF1535" s="4"/>
      <c r="JJG1535" s="6"/>
      <c r="JJH1535" s="4"/>
      <c r="JJI1535" s="6"/>
      <c r="JJJ1535" s="4"/>
      <c r="JJK1535" s="6"/>
      <c r="JJL1535" s="4"/>
      <c r="JJM1535" s="6"/>
      <c r="JJN1535" s="4"/>
      <c r="JJO1535" s="6"/>
      <c r="JJP1535" s="4"/>
      <c r="JJQ1535" s="6"/>
      <c r="JJR1535" s="4"/>
      <c r="JJS1535" s="6"/>
      <c r="JJT1535" s="4"/>
      <c r="JJU1535" s="6"/>
      <c r="JJV1535" s="4"/>
      <c r="JJW1535" s="6"/>
      <c r="JJX1535" s="4"/>
      <c r="JJY1535" s="6"/>
      <c r="JJZ1535" s="4"/>
      <c r="JKA1535" s="6"/>
      <c r="JKB1535" s="4"/>
      <c r="JKC1535" s="6"/>
      <c r="JKD1535" s="4"/>
      <c r="JKE1535" s="6"/>
      <c r="JKF1535" s="4"/>
      <c r="JKG1535" s="6"/>
      <c r="JKH1535" s="4"/>
      <c r="JKI1535" s="6"/>
      <c r="JKJ1535" s="4"/>
      <c r="JKK1535" s="6"/>
      <c r="JKL1535" s="4"/>
      <c r="JKM1535" s="6"/>
      <c r="JKN1535" s="4"/>
      <c r="JKO1535" s="6"/>
      <c r="JKP1535" s="4"/>
      <c r="JKQ1535" s="6"/>
      <c r="JKR1535" s="4"/>
      <c r="JKS1535" s="6"/>
      <c r="JKT1535" s="4"/>
      <c r="JKU1535" s="6"/>
      <c r="JKV1535" s="4"/>
      <c r="JKW1535" s="6"/>
      <c r="JKX1535" s="4"/>
      <c r="JKY1535" s="6"/>
      <c r="JKZ1535" s="4"/>
      <c r="JLA1535" s="6"/>
      <c r="JLB1535" s="4"/>
      <c r="JLC1535" s="6"/>
      <c r="JLD1535" s="4"/>
      <c r="JLE1535" s="6"/>
      <c r="JLF1535" s="4"/>
      <c r="JLG1535" s="6"/>
      <c r="JLH1535" s="4"/>
      <c r="JLI1535" s="6"/>
      <c r="JLJ1535" s="4"/>
      <c r="JLK1535" s="6"/>
      <c r="JLL1535" s="4"/>
      <c r="JLM1535" s="6"/>
      <c r="JLN1535" s="4"/>
      <c r="JLO1535" s="6"/>
      <c r="JLP1535" s="4"/>
      <c r="JLQ1535" s="6"/>
      <c r="JLR1535" s="4"/>
      <c r="JLS1535" s="6"/>
      <c r="JLT1535" s="4"/>
      <c r="JLU1535" s="6"/>
      <c r="JLV1535" s="4"/>
      <c r="JLW1535" s="6"/>
      <c r="JLX1535" s="4"/>
      <c r="JLY1535" s="6"/>
      <c r="JLZ1535" s="4"/>
      <c r="JMA1535" s="6"/>
      <c r="JMB1535" s="4"/>
      <c r="JMC1535" s="6"/>
      <c r="JMD1535" s="4"/>
      <c r="JME1535" s="6"/>
      <c r="JMF1535" s="4"/>
      <c r="JMG1535" s="6"/>
      <c r="JMH1535" s="4"/>
      <c r="JMI1535" s="6"/>
      <c r="JMJ1535" s="4"/>
      <c r="JMK1535" s="6"/>
      <c r="JML1535" s="4"/>
      <c r="JMM1535" s="6"/>
      <c r="JMN1535" s="4"/>
      <c r="JMO1535" s="6"/>
      <c r="JMP1535" s="4"/>
      <c r="JMQ1535" s="6"/>
      <c r="JMR1535" s="4"/>
      <c r="JMS1535" s="6"/>
      <c r="JMT1535" s="4"/>
      <c r="JMU1535" s="6"/>
      <c r="JMV1535" s="4"/>
      <c r="JMW1535" s="6"/>
      <c r="JMX1535" s="4"/>
      <c r="JMY1535" s="6"/>
      <c r="JMZ1535" s="4"/>
      <c r="JNA1535" s="6"/>
      <c r="JNB1535" s="4"/>
      <c r="JNC1535" s="6"/>
      <c r="JND1535" s="4"/>
      <c r="JNE1535" s="6"/>
      <c r="JNF1535" s="4"/>
      <c r="JNG1535" s="6"/>
      <c r="JNH1535" s="4"/>
      <c r="JNI1535" s="6"/>
      <c r="JNJ1535" s="4"/>
      <c r="JNK1535" s="6"/>
      <c r="JNL1535" s="4"/>
      <c r="JNM1535" s="6"/>
      <c r="JNN1535" s="4"/>
      <c r="JNO1535" s="6"/>
      <c r="JNP1535" s="4"/>
      <c r="JNQ1535" s="6"/>
      <c r="JNR1535" s="4"/>
      <c r="JNS1535" s="6"/>
      <c r="JNT1535" s="4"/>
      <c r="JNU1535" s="6"/>
      <c r="JNV1535" s="4"/>
      <c r="JNW1535" s="6"/>
      <c r="JNX1535" s="4"/>
      <c r="JNY1535" s="6"/>
      <c r="JNZ1535" s="4"/>
      <c r="JOA1535" s="6"/>
      <c r="JOB1535" s="4"/>
      <c r="JOC1535" s="6"/>
      <c r="JOD1535" s="4"/>
      <c r="JOE1535" s="6"/>
      <c r="JOF1535" s="4"/>
      <c r="JOG1535" s="6"/>
      <c r="JOH1535" s="4"/>
      <c r="JOI1535" s="6"/>
      <c r="JOJ1535" s="4"/>
      <c r="JOK1535" s="6"/>
      <c r="JOL1535" s="4"/>
      <c r="JOM1535" s="6"/>
      <c r="JON1535" s="4"/>
      <c r="JOO1535" s="6"/>
      <c r="JOP1535" s="4"/>
      <c r="JOQ1535" s="6"/>
      <c r="JOR1535" s="4"/>
      <c r="JOS1535" s="6"/>
      <c r="JOT1535" s="4"/>
      <c r="JOU1535" s="6"/>
      <c r="JOV1535" s="4"/>
      <c r="JOW1535" s="6"/>
      <c r="JOX1535" s="4"/>
      <c r="JOY1535" s="6"/>
      <c r="JOZ1535" s="4"/>
      <c r="JPA1535" s="6"/>
      <c r="JPB1535" s="4"/>
      <c r="JPC1535" s="6"/>
      <c r="JPD1535" s="4"/>
      <c r="JPE1535" s="6"/>
      <c r="JPF1535" s="4"/>
      <c r="JPG1535" s="6"/>
      <c r="JPH1535" s="4"/>
      <c r="JPI1535" s="6"/>
      <c r="JPJ1535" s="4"/>
      <c r="JPK1535" s="6"/>
      <c r="JPL1535" s="4"/>
      <c r="JPM1535" s="6"/>
      <c r="JPN1535" s="4"/>
      <c r="JPO1535" s="6"/>
      <c r="JPP1535" s="4"/>
      <c r="JPQ1535" s="6"/>
      <c r="JPR1535" s="4"/>
      <c r="JPS1535" s="6"/>
      <c r="JPT1535" s="4"/>
      <c r="JPU1535" s="6"/>
      <c r="JPV1535" s="4"/>
      <c r="JPW1535" s="6"/>
      <c r="JPX1535" s="4"/>
      <c r="JPY1535" s="6"/>
      <c r="JPZ1535" s="4"/>
      <c r="JQA1535" s="6"/>
      <c r="JQB1535" s="4"/>
      <c r="JQC1535" s="6"/>
      <c r="JQD1535" s="4"/>
      <c r="JQE1535" s="6"/>
      <c r="JQF1535" s="4"/>
      <c r="JQG1535" s="6"/>
      <c r="JQH1535" s="4"/>
      <c r="JQI1535" s="6"/>
      <c r="JQJ1535" s="4"/>
      <c r="JQK1535" s="6"/>
      <c r="JQL1535" s="4"/>
      <c r="JQM1535" s="6"/>
      <c r="JQN1535" s="4"/>
      <c r="JQO1535" s="6"/>
      <c r="JQP1535" s="4"/>
      <c r="JQQ1535" s="6"/>
      <c r="JQR1535" s="4"/>
      <c r="JQS1535" s="6"/>
      <c r="JQT1535" s="4"/>
      <c r="JQU1535" s="6"/>
      <c r="JQV1535" s="4"/>
      <c r="JQW1535" s="6"/>
      <c r="JQX1535" s="4"/>
      <c r="JQY1535" s="6"/>
      <c r="JQZ1535" s="4"/>
      <c r="JRA1535" s="6"/>
      <c r="JRB1535" s="4"/>
      <c r="JRC1535" s="6"/>
      <c r="JRD1535" s="4"/>
      <c r="JRE1535" s="6"/>
      <c r="JRF1535" s="4"/>
      <c r="JRG1535" s="6"/>
      <c r="JRH1535" s="4"/>
      <c r="JRI1535" s="6"/>
      <c r="JRJ1535" s="4"/>
      <c r="JRK1535" s="6"/>
      <c r="JRL1535" s="4"/>
      <c r="JRM1535" s="6"/>
      <c r="JRN1535" s="4"/>
      <c r="JRO1535" s="6"/>
      <c r="JRP1535" s="4"/>
      <c r="JRQ1535" s="6"/>
      <c r="JRR1535" s="4"/>
      <c r="JRS1535" s="6"/>
      <c r="JRT1535" s="4"/>
      <c r="JRU1535" s="6"/>
      <c r="JRV1535" s="4"/>
      <c r="JRW1535" s="6"/>
      <c r="JRX1535" s="4"/>
      <c r="JRY1535" s="6"/>
      <c r="JRZ1535" s="4"/>
      <c r="JSA1535" s="6"/>
      <c r="JSB1535" s="4"/>
      <c r="JSC1535" s="6"/>
      <c r="JSD1535" s="4"/>
      <c r="JSE1535" s="6"/>
      <c r="JSF1535" s="4"/>
      <c r="JSG1535" s="6"/>
      <c r="JSH1535" s="4"/>
      <c r="JSI1535" s="6"/>
      <c r="JSJ1535" s="4"/>
      <c r="JSK1535" s="6"/>
      <c r="JSL1535" s="4"/>
      <c r="JSM1535" s="6"/>
      <c r="JSN1535" s="4"/>
      <c r="JSO1535" s="6"/>
      <c r="JSP1535" s="4"/>
      <c r="JSQ1535" s="6"/>
      <c r="JSR1535" s="4"/>
      <c r="JSS1535" s="6"/>
      <c r="JST1535" s="4"/>
      <c r="JSU1535" s="6"/>
      <c r="JSV1535" s="4"/>
      <c r="JSW1535" s="6"/>
      <c r="JSX1535" s="4"/>
      <c r="JSY1535" s="6"/>
      <c r="JSZ1535" s="4"/>
      <c r="JTA1535" s="6"/>
      <c r="JTB1535" s="4"/>
      <c r="JTC1535" s="6"/>
      <c r="JTD1535" s="4"/>
      <c r="JTE1535" s="6"/>
      <c r="JTF1535" s="4"/>
      <c r="JTG1535" s="6"/>
      <c r="JTH1535" s="4"/>
      <c r="JTI1535" s="6"/>
      <c r="JTJ1535" s="4"/>
      <c r="JTK1535" s="6"/>
      <c r="JTL1535" s="4"/>
      <c r="JTM1535" s="6"/>
      <c r="JTN1535" s="4"/>
      <c r="JTO1535" s="6"/>
      <c r="JTP1535" s="4"/>
      <c r="JTQ1535" s="6"/>
      <c r="JTR1535" s="4"/>
      <c r="JTS1535" s="6"/>
      <c r="JTT1535" s="4"/>
      <c r="JTU1535" s="6"/>
      <c r="JTV1535" s="4"/>
      <c r="JTW1535" s="6"/>
      <c r="JTX1535" s="4"/>
      <c r="JTY1535" s="6"/>
      <c r="JTZ1535" s="4"/>
      <c r="JUA1535" s="6"/>
      <c r="JUB1535" s="4"/>
      <c r="JUC1535" s="6"/>
      <c r="JUD1535" s="4"/>
      <c r="JUE1535" s="6"/>
      <c r="JUF1535" s="4"/>
      <c r="JUG1535" s="6"/>
      <c r="JUH1535" s="4"/>
      <c r="JUI1535" s="6"/>
      <c r="JUJ1535" s="4"/>
      <c r="JUK1535" s="6"/>
      <c r="JUL1535" s="4"/>
      <c r="JUM1535" s="6"/>
      <c r="JUN1535" s="4"/>
      <c r="JUO1535" s="6"/>
      <c r="JUP1535" s="4"/>
      <c r="JUQ1535" s="6"/>
      <c r="JUR1535" s="4"/>
      <c r="JUS1535" s="6"/>
      <c r="JUT1535" s="4"/>
      <c r="JUU1535" s="6"/>
      <c r="JUV1535" s="4"/>
      <c r="JUW1535" s="6"/>
      <c r="JUX1535" s="4"/>
      <c r="JUY1535" s="6"/>
      <c r="JUZ1535" s="4"/>
      <c r="JVA1535" s="6"/>
      <c r="JVB1535" s="4"/>
      <c r="JVC1535" s="6"/>
      <c r="JVD1535" s="4"/>
      <c r="JVE1535" s="6"/>
      <c r="JVF1535" s="4"/>
      <c r="JVG1535" s="6"/>
      <c r="JVH1535" s="4"/>
      <c r="JVI1535" s="6"/>
      <c r="JVJ1535" s="4"/>
      <c r="JVK1535" s="6"/>
      <c r="JVL1535" s="4"/>
      <c r="JVM1535" s="6"/>
      <c r="JVN1535" s="4"/>
      <c r="JVO1535" s="6"/>
      <c r="JVP1535" s="4"/>
      <c r="JVQ1535" s="6"/>
      <c r="JVR1535" s="4"/>
      <c r="JVS1535" s="6"/>
      <c r="JVT1535" s="4"/>
      <c r="JVU1535" s="6"/>
      <c r="JVV1535" s="4"/>
      <c r="JVW1535" s="6"/>
      <c r="JVX1535" s="4"/>
      <c r="JVY1535" s="6"/>
      <c r="JVZ1535" s="4"/>
      <c r="JWA1535" s="6"/>
      <c r="JWB1535" s="4"/>
      <c r="JWC1535" s="6"/>
      <c r="JWD1535" s="4"/>
      <c r="JWE1535" s="6"/>
      <c r="JWF1535" s="4"/>
      <c r="JWG1535" s="6"/>
      <c r="JWH1535" s="4"/>
      <c r="JWI1535" s="6"/>
      <c r="JWJ1535" s="4"/>
      <c r="JWK1535" s="6"/>
      <c r="JWL1535" s="4"/>
      <c r="JWM1535" s="6"/>
      <c r="JWN1535" s="4"/>
      <c r="JWO1535" s="6"/>
      <c r="JWP1535" s="4"/>
      <c r="JWQ1535" s="6"/>
      <c r="JWR1535" s="4"/>
      <c r="JWS1535" s="6"/>
      <c r="JWT1535" s="4"/>
      <c r="JWU1535" s="6"/>
      <c r="JWV1535" s="4"/>
      <c r="JWW1535" s="6"/>
      <c r="JWX1535" s="4"/>
      <c r="JWY1535" s="6"/>
      <c r="JWZ1535" s="4"/>
      <c r="JXA1535" s="6"/>
      <c r="JXB1535" s="4"/>
      <c r="JXC1535" s="6"/>
      <c r="JXD1535" s="4"/>
      <c r="JXE1535" s="6"/>
      <c r="JXF1535" s="4"/>
      <c r="JXG1535" s="6"/>
      <c r="JXH1535" s="4"/>
      <c r="JXI1535" s="6"/>
      <c r="JXJ1535" s="4"/>
      <c r="JXK1535" s="6"/>
      <c r="JXL1535" s="4"/>
      <c r="JXM1535" s="6"/>
      <c r="JXN1535" s="4"/>
      <c r="JXO1535" s="6"/>
      <c r="JXP1535" s="4"/>
      <c r="JXQ1535" s="6"/>
      <c r="JXR1535" s="4"/>
      <c r="JXS1535" s="6"/>
      <c r="JXT1535" s="4"/>
      <c r="JXU1535" s="6"/>
      <c r="JXV1535" s="4"/>
      <c r="JXW1535" s="6"/>
      <c r="JXX1535" s="4"/>
      <c r="JXY1535" s="6"/>
      <c r="JXZ1535" s="4"/>
      <c r="JYA1535" s="6"/>
      <c r="JYB1535" s="4"/>
      <c r="JYC1535" s="6"/>
      <c r="JYD1535" s="4"/>
      <c r="JYE1535" s="6"/>
      <c r="JYF1535" s="4"/>
      <c r="JYG1535" s="6"/>
      <c r="JYH1535" s="4"/>
      <c r="JYI1535" s="6"/>
      <c r="JYJ1535" s="4"/>
      <c r="JYK1535" s="6"/>
      <c r="JYL1535" s="4"/>
      <c r="JYM1535" s="6"/>
      <c r="JYN1535" s="4"/>
      <c r="JYO1535" s="6"/>
      <c r="JYP1535" s="4"/>
      <c r="JYQ1535" s="6"/>
      <c r="JYR1535" s="4"/>
      <c r="JYS1535" s="6"/>
      <c r="JYT1535" s="4"/>
      <c r="JYU1535" s="6"/>
      <c r="JYV1535" s="4"/>
      <c r="JYW1535" s="6"/>
      <c r="JYX1535" s="4"/>
      <c r="JYY1535" s="6"/>
      <c r="JYZ1535" s="4"/>
      <c r="JZA1535" s="6"/>
      <c r="JZB1535" s="4"/>
      <c r="JZC1535" s="6"/>
      <c r="JZD1535" s="4"/>
      <c r="JZE1535" s="6"/>
      <c r="JZF1535" s="4"/>
      <c r="JZG1535" s="6"/>
      <c r="JZH1535" s="4"/>
      <c r="JZI1535" s="6"/>
      <c r="JZJ1535" s="4"/>
      <c r="JZK1535" s="6"/>
      <c r="JZL1535" s="4"/>
      <c r="JZM1535" s="6"/>
      <c r="JZN1535" s="4"/>
      <c r="JZO1535" s="6"/>
      <c r="JZP1535" s="4"/>
      <c r="JZQ1535" s="6"/>
      <c r="JZR1535" s="4"/>
      <c r="JZS1535" s="6"/>
      <c r="JZT1535" s="4"/>
      <c r="JZU1535" s="6"/>
      <c r="JZV1535" s="4"/>
      <c r="JZW1535" s="6"/>
      <c r="JZX1535" s="4"/>
      <c r="JZY1535" s="6"/>
      <c r="JZZ1535" s="4"/>
      <c r="KAA1535" s="6"/>
      <c r="KAB1535" s="4"/>
      <c r="KAC1535" s="6"/>
      <c r="KAD1535" s="4"/>
      <c r="KAE1535" s="6"/>
      <c r="KAF1535" s="4"/>
      <c r="KAG1535" s="6"/>
      <c r="KAH1535" s="4"/>
      <c r="KAI1535" s="6"/>
      <c r="KAJ1535" s="4"/>
      <c r="KAK1535" s="6"/>
      <c r="KAL1535" s="4"/>
      <c r="KAM1535" s="6"/>
      <c r="KAN1535" s="4"/>
      <c r="KAO1535" s="6"/>
      <c r="KAP1535" s="4"/>
      <c r="KAQ1535" s="6"/>
      <c r="KAR1535" s="4"/>
      <c r="KAS1535" s="6"/>
      <c r="KAT1535" s="4"/>
      <c r="KAU1535" s="6"/>
      <c r="KAV1535" s="4"/>
      <c r="KAW1535" s="6"/>
      <c r="KAX1535" s="4"/>
      <c r="KAY1535" s="6"/>
      <c r="KAZ1535" s="4"/>
      <c r="KBA1535" s="6"/>
      <c r="KBB1535" s="4"/>
      <c r="KBC1535" s="6"/>
      <c r="KBD1535" s="4"/>
      <c r="KBE1535" s="6"/>
      <c r="KBF1535" s="4"/>
      <c r="KBG1535" s="6"/>
      <c r="KBH1535" s="4"/>
      <c r="KBI1535" s="6"/>
      <c r="KBJ1535" s="4"/>
      <c r="KBK1535" s="6"/>
      <c r="KBL1535" s="4"/>
      <c r="KBM1535" s="6"/>
      <c r="KBN1535" s="4"/>
      <c r="KBO1535" s="6"/>
      <c r="KBP1535" s="4"/>
      <c r="KBQ1535" s="6"/>
      <c r="KBR1535" s="4"/>
      <c r="KBS1535" s="6"/>
      <c r="KBT1535" s="4"/>
      <c r="KBU1535" s="6"/>
      <c r="KBV1535" s="4"/>
      <c r="KBW1535" s="6"/>
      <c r="KBX1535" s="4"/>
      <c r="KBY1535" s="6"/>
      <c r="KBZ1535" s="4"/>
      <c r="KCA1535" s="6"/>
      <c r="KCB1535" s="4"/>
      <c r="KCC1535" s="6"/>
      <c r="KCD1535" s="4"/>
      <c r="KCE1535" s="6"/>
      <c r="KCF1535" s="4"/>
      <c r="KCG1535" s="6"/>
      <c r="KCH1535" s="4"/>
      <c r="KCI1535" s="6"/>
      <c r="KCJ1535" s="4"/>
      <c r="KCK1535" s="6"/>
      <c r="KCL1535" s="4"/>
      <c r="KCM1535" s="6"/>
      <c r="KCN1535" s="4"/>
      <c r="KCO1535" s="6"/>
      <c r="KCP1535" s="4"/>
      <c r="KCQ1535" s="6"/>
      <c r="KCR1535" s="4"/>
      <c r="KCS1535" s="6"/>
      <c r="KCT1535" s="4"/>
      <c r="KCU1535" s="6"/>
      <c r="KCV1535" s="4"/>
      <c r="KCW1535" s="6"/>
      <c r="KCX1535" s="4"/>
      <c r="KCY1535" s="6"/>
      <c r="KCZ1535" s="4"/>
      <c r="KDA1535" s="6"/>
      <c r="KDB1535" s="4"/>
      <c r="KDC1535" s="6"/>
      <c r="KDD1535" s="4"/>
      <c r="KDE1535" s="6"/>
      <c r="KDF1535" s="4"/>
      <c r="KDG1535" s="6"/>
      <c r="KDH1535" s="4"/>
      <c r="KDI1535" s="6"/>
      <c r="KDJ1535" s="4"/>
      <c r="KDK1535" s="6"/>
      <c r="KDL1535" s="4"/>
      <c r="KDM1535" s="6"/>
      <c r="KDN1535" s="4"/>
      <c r="KDO1535" s="6"/>
      <c r="KDP1535" s="4"/>
      <c r="KDQ1535" s="6"/>
      <c r="KDR1535" s="4"/>
      <c r="KDS1535" s="6"/>
      <c r="KDT1535" s="4"/>
      <c r="KDU1535" s="6"/>
      <c r="KDV1535" s="4"/>
      <c r="KDW1535" s="6"/>
      <c r="KDX1535" s="4"/>
      <c r="KDY1535" s="6"/>
      <c r="KDZ1535" s="4"/>
      <c r="KEA1535" s="6"/>
      <c r="KEB1535" s="4"/>
      <c r="KEC1535" s="6"/>
      <c r="KED1535" s="4"/>
      <c r="KEE1535" s="6"/>
      <c r="KEF1535" s="4"/>
      <c r="KEG1535" s="6"/>
      <c r="KEH1535" s="4"/>
      <c r="KEI1535" s="6"/>
      <c r="KEJ1535" s="4"/>
      <c r="KEK1535" s="6"/>
      <c r="KEL1535" s="4"/>
      <c r="KEM1535" s="6"/>
      <c r="KEN1535" s="4"/>
      <c r="KEO1535" s="6"/>
      <c r="KEP1535" s="4"/>
      <c r="KEQ1535" s="6"/>
      <c r="KER1535" s="4"/>
      <c r="KES1535" s="6"/>
      <c r="KET1535" s="4"/>
      <c r="KEU1535" s="6"/>
      <c r="KEV1535" s="4"/>
      <c r="KEW1535" s="6"/>
      <c r="KEX1535" s="4"/>
      <c r="KEY1535" s="6"/>
      <c r="KEZ1535" s="4"/>
      <c r="KFA1535" s="6"/>
      <c r="KFB1535" s="4"/>
      <c r="KFC1535" s="6"/>
      <c r="KFD1535" s="4"/>
      <c r="KFE1535" s="6"/>
      <c r="KFF1535" s="4"/>
      <c r="KFG1535" s="6"/>
      <c r="KFH1535" s="4"/>
      <c r="KFI1535" s="6"/>
      <c r="KFJ1535" s="4"/>
      <c r="KFK1535" s="6"/>
      <c r="KFL1535" s="4"/>
      <c r="KFM1535" s="6"/>
      <c r="KFN1535" s="4"/>
      <c r="KFO1535" s="6"/>
      <c r="KFP1535" s="4"/>
      <c r="KFQ1535" s="6"/>
      <c r="KFR1535" s="4"/>
      <c r="KFS1535" s="6"/>
      <c r="KFT1535" s="4"/>
      <c r="KFU1535" s="6"/>
      <c r="KFV1535" s="4"/>
      <c r="KFW1535" s="6"/>
      <c r="KFX1535" s="4"/>
      <c r="KFY1535" s="6"/>
      <c r="KFZ1535" s="4"/>
      <c r="KGA1535" s="6"/>
      <c r="KGB1535" s="4"/>
      <c r="KGC1535" s="6"/>
      <c r="KGD1535" s="4"/>
      <c r="KGE1535" s="6"/>
      <c r="KGF1535" s="4"/>
      <c r="KGG1535" s="6"/>
      <c r="KGH1535" s="4"/>
      <c r="KGI1535" s="6"/>
      <c r="KGJ1535" s="4"/>
      <c r="KGK1535" s="6"/>
      <c r="KGL1535" s="4"/>
      <c r="KGM1535" s="6"/>
      <c r="KGN1535" s="4"/>
      <c r="KGO1535" s="6"/>
      <c r="KGP1535" s="4"/>
      <c r="KGQ1535" s="6"/>
      <c r="KGR1535" s="4"/>
      <c r="KGS1535" s="6"/>
      <c r="KGT1535" s="4"/>
      <c r="KGU1535" s="6"/>
      <c r="KGV1535" s="4"/>
      <c r="KGW1535" s="6"/>
      <c r="KGX1535" s="4"/>
      <c r="KGY1535" s="6"/>
      <c r="KGZ1535" s="4"/>
      <c r="KHA1535" s="6"/>
      <c r="KHB1535" s="4"/>
      <c r="KHC1535" s="6"/>
      <c r="KHD1535" s="4"/>
      <c r="KHE1535" s="6"/>
      <c r="KHF1535" s="4"/>
      <c r="KHG1535" s="6"/>
      <c r="KHH1535" s="4"/>
      <c r="KHI1535" s="6"/>
      <c r="KHJ1535" s="4"/>
      <c r="KHK1535" s="6"/>
      <c r="KHL1535" s="4"/>
      <c r="KHM1535" s="6"/>
      <c r="KHN1535" s="4"/>
      <c r="KHO1535" s="6"/>
      <c r="KHP1535" s="4"/>
      <c r="KHQ1535" s="6"/>
      <c r="KHR1535" s="4"/>
      <c r="KHS1535" s="6"/>
      <c r="KHT1535" s="4"/>
      <c r="KHU1535" s="6"/>
      <c r="KHV1535" s="4"/>
      <c r="KHW1535" s="6"/>
      <c r="KHX1535" s="4"/>
      <c r="KHY1535" s="6"/>
      <c r="KHZ1535" s="4"/>
      <c r="KIA1535" s="6"/>
      <c r="KIB1535" s="4"/>
      <c r="KIC1535" s="6"/>
      <c r="KID1535" s="4"/>
      <c r="KIE1535" s="6"/>
      <c r="KIF1535" s="4"/>
      <c r="KIG1535" s="6"/>
      <c r="KIH1535" s="4"/>
      <c r="KII1535" s="6"/>
      <c r="KIJ1535" s="4"/>
      <c r="KIK1535" s="6"/>
      <c r="KIL1535" s="4"/>
      <c r="KIM1535" s="6"/>
      <c r="KIN1535" s="4"/>
      <c r="KIO1535" s="6"/>
      <c r="KIP1535" s="4"/>
      <c r="KIQ1535" s="6"/>
      <c r="KIR1535" s="4"/>
      <c r="KIS1535" s="6"/>
      <c r="KIT1535" s="4"/>
      <c r="KIU1535" s="6"/>
      <c r="KIV1535" s="4"/>
      <c r="KIW1535" s="6"/>
      <c r="KIX1535" s="4"/>
      <c r="KIY1535" s="6"/>
      <c r="KIZ1535" s="4"/>
      <c r="KJA1535" s="6"/>
      <c r="KJB1535" s="4"/>
      <c r="KJC1535" s="6"/>
      <c r="KJD1535" s="4"/>
      <c r="KJE1535" s="6"/>
      <c r="KJF1535" s="4"/>
      <c r="KJG1535" s="6"/>
      <c r="KJH1535" s="4"/>
      <c r="KJI1535" s="6"/>
      <c r="KJJ1535" s="4"/>
      <c r="KJK1535" s="6"/>
      <c r="KJL1535" s="4"/>
      <c r="KJM1535" s="6"/>
      <c r="KJN1535" s="4"/>
      <c r="KJO1535" s="6"/>
      <c r="KJP1535" s="4"/>
      <c r="KJQ1535" s="6"/>
      <c r="KJR1535" s="4"/>
      <c r="KJS1535" s="6"/>
      <c r="KJT1535" s="4"/>
      <c r="KJU1535" s="6"/>
      <c r="KJV1535" s="4"/>
      <c r="KJW1535" s="6"/>
      <c r="KJX1535" s="4"/>
      <c r="KJY1535" s="6"/>
      <c r="KJZ1535" s="4"/>
      <c r="KKA1535" s="6"/>
      <c r="KKB1535" s="4"/>
      <c r="KKC1535" s="6"/>
      <c r="KKD1535" s="4"/>
      <c r="KKE1535" s="6"/>
      <c r="KKF1535" s="4"/>
      <c r="KKG1535" s="6"/>
      <c r="KKH1535" s="4"/>
      <c r="KKI1535" s="6"/>
      <c r="KKJ1535" s="4"/>
      <c r="KKK1535" s="6"/>
      <c r="KKL1535" s="4"/>
      <c r="KKM1535" s="6"/>
      <c r="KKN1535" s="4"/>
      <c r="KKO1535" s="6"/>
      <c r="KKP1535" s="4"/>
      <c r="KKQ1535" s="6"/>
      <c r="KKR1535" s="4"/>
      <c r="KKS1535" s="6"/>
      <c r="KKT1535" s="4"/>
      <c r="KKU1535" s="6"/>
      <c r="KKV1535" s="4"/>
      <c r="KKW1535" s="6"/>
      <c r="KKX1535" s="4"/>
      <c r="KKY1535" s="6"/>
      <c r="KKZ1535" s="4"/>
      <c r="KLA1535" s="6"/>
      <c r="KLB1535" s="4"/>
      <c r="KLC1535" s="6"/>
      <c r="KLD1535" s="4"/>
      <c r="KLE1535" s="6"/>
      <c r="KLF1535" s="4"/>
      <c r="KLG1535" s="6"/>
      <c r="KLH1535" s="4"/>
      <c r="KLI1535" s="6"/>
      <c r="KLJ1535" s="4"/>
      <c r="KLK1535" s="6"/>
      <c r="KLL1535" s="4"/>
      <c r="KLM1535" s="6"/>
      <c r="KLN1535" s="4"/>
      <c r="KLO1535" s="6"/>
      <c r="KLP1535" s="4"/>
      <c r="KLQ1535" s="6"/>
      <c r="KLR1535" s="4"/>
      <c r="KLS1535" s="6"/>
      <c r="KLT1535" s="4"/>
      <c r="KLU1535" s="6"/>
      <c r="KLV1535" s="4"/>
      <c r="KLW1535" s="6"/>
      <c r="KLX1535" s="4"/>
      <c r="KLY1535" s="6"/>
      <c r="KLZ1535" s="4"/>
      <c r="KMA1535" s="6"/>
      <c r="KMB1535" s="4"/>
      <c r="KMC1535" s="6"/>
      <c r="KMD1535" s="4"/>
      <c r="KME1535" s="6"/>
      <c r="KMF1535" s="4"/>
      <c r="KMG1535" s="6"/>
      <c r="KMH1535" s="4"/>
      <c r="KMI1535" s="6"/>
      <c r="KMJ1535" s="4"/>
      <c r="KMK1535" s="6"/>
      <c r="KML1535" s="4"/>
      <c r="KMM1535" s="6"/>
      <c r="KMN1535" s="4"/>
      <c r="KMO1535" s="6"/>
      <c r="KMP1535" s="4"/>
      <c r="KMQ1535" s="6"/>
      <c r="KMR1535" s="4"/>
      <c r="KMS1535" s="6"/>
      <c r="KMT1535" s="4"/>
      <c r="KMU1535" s="6"/>
      <c r="KMV1535" s="4"/>
      <c r="KMW1535" s="6"/>
      <c r="KMX1535" s="4"/>
      <c r="KMY1535" s="6"/>
      <c r="KMZ1535" s="4"/>
      <c r="KNA1535" s="6"/>
      <c r="KNB1535" s="4"/>
      <c r="KNC1535" s="6"/>
      <c r="KND1535" s="4"/>
      <c r="KNE1535" s="6"/>
      <c r="KNF1535" s="4"/>
      <c r="KNG1535" s="6"/>
      <c r="KNH1535" s="4"/>
      <c r="KNI1535" s="6"/>
      <c r="KNJ1535" s="4"/>
      <c r="KNK1535" s="6"/>
      <c r="KNL1535" s="4"/>
      <c r="KNM1535" s="6"/>
      <c r="KNN1535" s="4"/>
      <c r="KNO1535" s="6"/>
      <c r="KNP1535" s="4"/>
      <c r="KNQ1535" s="6"/>
      <c r="KNR1535" s="4"/>
      <c r="KNS1535" s="6"/>
      <c r="KNT1535" s="4"/>
      <c r="KNU1535" s="6"/>
      <c r="KNV1535" s="4"/>
      <c r="KNW1535" s="6"/>
      <c r="KNX1535" s="4"/>
      <c r="KNY1535" s="6"/>
      <c r="KNZ1535" s="4"/>
      <c r="KOA1535" s="6"/>
      <c r="KOB1535" s="4"/>
      <c r="KOC1535" s="6"/>
      <c r="KOD1535" s="4"/>
      <c r="KOE1535" s="6"/>
      <c r="KOF1535" s="4"/>
      <c r="KOG1535" s="6"/>
      <c r="KOH1535" s="4"/>
      <c r="KOI1535" s="6"/>
      <c r="KOJ1535" s="4"/>
      <c r="KOK1535" s="6"/>
      <c r="KOL1535" s="4"/>
      <c r="KOM1535" s="6"/>
      <c r="KON1535" s="4"/>
      <c r="KOO1535" s="6"/>
      <c r="KOP1535" s="4"/>
      <c r="KOQ1535" s="6"/>
      <c r="KOR1535" s="4"/>
      <c r="KOS1535" s="6"/>
      <c r="KOT1535" s="4"/>
      <c r="KOU1535" s="6"/>
      <c r="KOV1535" s="4"/>
      <c r="KOW1535" s="6"/>
      <c r="KOX1535" s="4"/>
      <c r="KOY1535" s="6"/>
      <c r="KOZ1535" s="4"/>
      <c r="KPA1535" s="6"/>
      <c r="KPB1535" s="4"/>
      <c r="KPC1535" s="6"/>
      <c r="KPD1535" s="4"/>
      <c r="KPE1535" s="6"/>
      <c r="KPF1535" s="4"/>
      <c r="KPG1535" s="6"/>
      <c r="KPH1535" s="4"/>
      <c r="KPI1535" s="6"/>
      <c r="KPJ1535" s="4"/>
      <c r="KPK1535" s="6"/>
      <c r="KPL1535" s="4"/>
      <c r="KPM1535" s="6"/>
      <c r="KPN1535" s="4"/>
      <c r="KPO1535" s="6"/>
      <c r="KPP1535" s="4"/>
      <c r="KPQ1535" s="6"/>
      <c r="KPR1535" s="4"/>
      <c r="KPS1535" s="6"/>
      <c r="KPT1535" s="4"/>
      <c r="KPU1535" s="6"/>
      <c r="KPV1535" s="4"/>
      <c r="KPW1535" s="6"/>
      <c r="KPX1535" s="4"/>
      <c r="KPY1535" s="6"/>
      <c r="KPZ1535" s="4"/>
      <c r="KQA1535" s="6"/>
      <c r="KQB1535" s="4"/>
      <c r="KQC1535" s="6"/>
      <c r="KQD1535" s="4"/>
      <c r="KQE1535" s="6"/>
      <c r="KQF1535" s="4"/>
      <c r="KQG1535" s="6"/>
      <c r="KQH1535" s="4"/>
      <c r="KQI1535" s="6"/>
      <c r="KQJ1535" s="4"/>
      <c r="KQK1535" s="6"/>
      <c r="KQL1535" s="4"/>
      <c r="KQM1535" s="6"/>
      <c r="KQN1535" s="4"/>
      <c r="KQO1535" s="6"/>
      <c r="KQP1535" s="4"/>
      <c r="KQQ1535" s="6"/>
      <c r="KQR1535" s="4"/>
      <c r="KQS1535" s="6"/>
      <c r="KQT1535" s="4"/>
      <c r="KQU1535" s="6"/>
      <c r="KQV1535" s="4"/>
      <c r="KQW1535" s="6"/>
      <c r="KQX1535" s="4"/>
      <c r="KQY1535" s="6"/>
      <c r="KQZ1535" s="4"/>
      <c r="KRA1535" s="6"/>
      <c r="KRB1535" s="4"/>
      <c r="KRC1535" s="6"/>
      <c r="KRD1535" s="4"/>
      <c r="KRE1535" s="6"/>
      <c r="KRF1535" s="4"/>
      <c r="KRG1535" s="6"/>
      <c r="KRH1535" s="4"/>
      <c r="KRI1535" s="6"/>
      <c r="KRJ1535" s="4"/>
      <c r="KRK1535" s="6"/>
      <c r="KRL1535" s="4"/>
      <c r="KRM1535" s="6"/>
      <c r="KRN1535" s="4"/>
      <c r="KRO1535" s="6"/>
      <c r="KRP1535" s="4"/>
      <c r="KRQ1535" s="6"/>
      <c r="KRR1535" s="4"/>
      <c r="KRS1535" s="6"/>
      <c r="KRT1535" s="4"/>
      <c r="KRU1535" s="6"/>
      <c r="KRV1535" s="4"/>
      <c r="KRW1535" s="6"/>
      <c r="KRX1535" s="4"/>
      <c r="KRY1535" s="6"/>
      <c r="KRZ1535" s="4"/>
      <c r="KSA1535" s="6"/>
      <c r="KSB1535" s="4"/>
      <c r="KSC1535" s="6"/>
      <c r="KSD1535" s="4"/>
      <c r="KSE1535" s="6"/>
      <c r="KSF1535" s="4"/>
      <c r="KSG1535" s="6"/>
      <c r="KSH1535" s="4"/>
      <c r="KSI1535" s="6"/>
      <c r="KSJ1535" s="4"/>
      <c r="KSK1535" s="6"/>
      <c r="KSL1535" s="4"/>
      <c r="KSM1535" s="6"/>
      <c r="KSN1535" s="4"/>
      <c r="KSO1535" s="6"/>
      <c r="KSP1535" s="4"/>
      <c r="KSQ1535" s="6"/>
      <c r="KSR1535" s="4"/>
      <c r="KSS1535" s="6"/>
      <c r="KST1535" s="4"/>
      <c r="KSU1535" s="6"/>
      <c r="KSV1535" s="4"/>
      <c r="KSW1535" s="6"/>
      <c r="KSX1535" s="4"/>
      <c r="KSY1535" s="6"/>
      <c r="KSZ1535" s="4"/>
      <c r="KTA1535" s="6"/>
      <c r="KTB1535" s="4"/>
      <c r="KTC1535" s="6"/>
      <c r="KTD1535" s="4"/>
      <c r="KTE1535" s="6"/>
      <c r="KTF1535" s="4"/>
      <c r="KTG1535" s="6"/>
      <c r="KTH1535" s="4"/>
      <c r="KTI1535" s="6"/>
      <c r="KTJ1535" s="4"/>
      <c r="KTK1535" s="6"/>
      <c r="KTL1535" s="4"/>
      <c r="KTM1535" s="6"/>
      <c r="KTN1535" s="4"/>
      <c r="KTO1535" s="6"/>
      <c r="KTP1535" s="4"/>
      <c r="KTQ1535" s="6"/>
      <c r="KTR1535" s="4"/>
      <c r="KTS1535" s="6"/>
      <c r="KTT1535" s="4"/>
      <c r="KTU1535" s="6"/>
      <c r="KTV1535" s="4"/>
      <c r="KTW1535" s="6"/>
      <c r="KTX1535" s="4"/>
      <c r="KTY1535" s="6"/>
      <c r="KTZ1535" s="4"/>
      <c r="KUA1535" s="6"/>
      <c r="KUB1535" s="4"/>
      <c r="KUC1535" s="6"/>
      <c r="KUD1535" s="4"/>
      <c r="KUE1535" s="6"/>
      <c r="KUF1535" s="4"/>
      <c r="KUG1535" s="6"/>
      <c r="KUH1535" s="4"/>
      <c r="KUI1535" s="6"/>
      <c r="KUJ1535" s="4"/>
      <c r="KUK1535" s="6"/>
      <c r="KUL1535" s="4"/>
      <c r="KUM1535" s="6"/>
      <c r="KUN1535" s="4"/>
      <c r="KUO1535" s="6"/>
      <c r="KUP1535" s="4"/>
      <c r="KUQ1535" s="6"/>
      <c r="KUR1535" s="4"/>
      <c r="KUS1535" s="6"/>
      <c r="KUT1535" s="4"/>
      <c r="KUU1535" s="6"/>
      <c r="KUV1535" s="4"/>
      <c r="KUW1535" s="6"/>
      <c r="KUX1535" s="4"/>
      <c r="KUY1535" s="6"/>
      <c r="KUZ1535" s="4"/>
      <c r="KVA1535" s="6"/>
      <c r="KVB1535" s="4"/>
      <c r="KVC1535" s="6"/>
      <c r="KVD1535" s="4"/>
      <c r="KVE1535" s="6"/>
      <c r="KVF1535" s="4"/>
      <c r="KVG1535" s="6"/>
      <c r="KVH1535" s="4"/>
      <c r="KVI1535" s="6"/>
      <c r="KVJ1535" s="4"/>
      <c r="KVK1535" s="6"/>
      <c r="KVL1535" s="4"/>
      <c r="KVM1535" s="6"/>
      <c r="KVN1535" s="4"/>
      <c r="KVO1535" s="6"/>
      <c r="KVP1535" s="4"/>
      <c r="KVQ1535" s="6"/>
      <c r="KVR1535" s="4"/>
      <c r="KVS1535" s="6"/>
      <c r="KVT1535" s="4"/>
      <c r="KVU1535" s="6"/>
      <c r="KVV1535" s="4"/>
      <c r="KVW1535" s="6"/>
      <c r="KVX1535" s="4"/>
      <c r="KVY1535" s="6"/>
      <c r="KVZ1535" s="4"/>
      <c r="KWA1535" s="6"/>
      <c r="KWB1535" s="4"/>
      <c r="KWC1535" s="6"/>
      <c r="KWD1535" s="4"/>
      <c r="KWE1535" s="6"/>
      <c r="KWF1535" s="4"/>
      <c r="KWG1535" s="6"/>
      <c r="KWH1535" s="4"/>
      <c r="KWI1535" s="6"/>
      <c r="KWJ1535" s="4"/>
      <c r="KWK1535" s="6"/>
      <c r="KWL1535" s="4"/>
      <c r="KWM1535" s="6"/>
      <c r="KWN1535" s="4"/>
      <c r="KWO1535" s="6"/>
      <c r="KWP1535" s="4"/>
      <c r="KWQ1535" s="6"/>
      <c r="KWR1535" s="4"/>
      <c r="KWS1535" s="6"/>
      <c r="KWT1535" s="4"/>
      <c r="KWU1535" s="6"/>
      <c r="KWV1535" s="4"/>
      <c r="KWW1535" s="6"/>
      <c r="KWX1535" s="4"/>
      <c r="KWY1535" s="6"/>
      <c r="KWZ1535" s="4"/>
      <c r="KXA1535" s="6"/>
      <c r="KXB1535" s="4"/>
      <c r="KXC1535" s="6"/>
      <c r="KXD1535" s="4"/>
      <c r="KXE1535" s="6"/>
      <c r="KXF1535" s="4"/>
      <c r="KXG1535" s="6"/>
      <c r="KXH1535" s="4"/>
      <c r="KXI1535" s="6"/>
      <c r="KXJ1535" s="4"/>
      <c r="KXK1535" s="6"/>
      <c r="KXL1535" s="4"/>
      <c r="KXM1535" s="6"/>
      <c r="KXN1535" s="4"/>
      <c r="KXO1535" s="6"/>
      <c r="KXP1535" s="4"/>
      <c r="KXQ1535" s="6"/>
      <c r="KXR1535" s="4"/>
      <c r="KXS1535" s="6"/>
      <c r="KXT1535" s="4"/>
      <c r="KXU1535" s="6"/>
      <c r="KXV1535" s="4"/>
      <c r="KXW1535" s="6"/>
      <c r="KXX1535" s="4"/>
      <c r="KXY1535" s="6"/>
      <c r="KXZ1535" s="4"/>
      <c r="KYA1535" s="6"/>
      <c r="KYB1535" s="4"/>
      <c r="KYC1535" s="6"/>
      <c r="KYD1535" s="4"/>
      <c r="KYE1535" s="6"/>
      <c r="KYF1535" s="4"/>
      <c r="KYG1535" s="6"/>
      <c r="KYH1535" s="4"/>
      <c r="KYI1535" s="6"/>
      <c r="KYJ1535" s="4"/>
      <c r="KYK1535" s="6"/>
      <c r="KYL1535" s="4"/>
      <c r="KYM1535" s="6"/>
      <c r="KYN1535" s="4"/>
      <c r="KYO1535" s="6"/>
      <c r="KYP1535" s="4"/>
      <c r="KYQ1535" s="6"/>
      <c r="KYR1535" s="4"/>
      <c r="KYS1535" s="6"/>
      <c r="KYT1535" s="4"/>
      <c r="KYU1535" s="6"/>
      <c r="KYV1535" s="4"/>
      <c r="KYW1535" s="6"/>
      <c r="KYX1535" s="4"/>
      <c r="KYY1535" s="6"/>
      <c r="KYZ1535" s="4"/>
      <c r="KZA1535" s="6"/>
      <c r="KZB1535" s="4"/>
      <c r="KZC1535" s="6"/>
      <c r="KZD1535" s="4"/>
      <c r="KZE1535" s="6"/>
      <c r="KZF1535" s="4"/>
      <c r="KZG1535" s="6"/>
      <c r="KZH1535" s="4"/>
      <c r="KZI1535" s="6"/>
      <c r="KZJ1535" s="4"/>
      <c r="KZK1535" s="6"/>
      <c r="KZL1535" s="4"/>
      <c r="KZM1535" s="6"/>
      <c r="KZN1535" s="4"/>
      <c r="KZO1535" s="6"/>
      <c r="KZP1535" s="4"/>
      <c r="KZQ1535" s="6"/>
      <c r="KZR1535" s="4"/>
      <c r="KZS1535" s="6"/>
      <c r="KZT1535" s="4"/>
      <c r="KZU1535" s="6"/>
      <c r="KZV1535" s="4"/>
      <c r="KZW1535" s="6"/>
      <c r="KZX1535" s="4"/>
      <c r="KZY1535" s="6"/>
      <c r="KZZ1535" s="4"/>
      <c r="LAA1535" s="6"/>
      <c r="LAB1535" s="4"/>
      <c r="LAC1535" s="6"/>
      <c r="LAD1535" s="4"/>
      <c r="LAE1535" s="6"/>
      <c r="LAF1535" s="4"/>
      <c r="LAG1535" s="6"/>
      <c r="LAH1535" s="4"/>
      <c r="LAI1535" s="6"/>
      <c r="LAJ1535" s="4"/>
      <c r="LAK1535" s="6"/>
      <c r="LAL1535" s="4"/>
      <c r="LAM1535" s="6"/>
      <c r="LAN1535" s="4"/>
      <c r="LAO1535" s="6"/>
      <c r="LAP1535" s="4"/>
      <c r="LAQ1535" s="6"/>
      <c r="LAR1535" s="4"/>
      <c r="LAS1535" s="6"/>
      <c r="LAT1535" s="4"/>
      <c r="LAU1535" s="6"/>
      <c r="LAV1535" s="4"/>
      <c r="LAW1535" s="6"/>
      <c r="LAX1535" s="4"/>
      <c r="LAY1535" s="6"/>
      <c r="LAZ1535" s="4"/>
      <c r="LBA1535" s="6"/>
      <c r="LBB1535" s="4"/>
      <c r="LBC1535" s="6"/>
      <c r="LBD1535" s="4"/>
      <c r="LBE1535" s="6"/>
      <c r="LBF1535" s="4"/>
      <c r="LBG1535" s="6"/>
      <c r="LBH1535" s="4"/>
      <c r="LBI1535" s="6"/>
      <c r="LBJ1535" s="4"/>
      <c r="LBK1535" s="6"/>
      <c r="LBL1535" s="4"/>
      <c r="LBM1535" s="6"/>
      <c r="LBN1535" s="4"/>
      <c r="LBO1535" s="6"/>
      <c r="LBP1535" s="4"/>
      <c r="LBQ1535" s="6"/>
      <c r="LBR1535" s="4"/>
      <c r="LBS1535" s="6"/>
      <c r="LBT1535" s="4"/>
      <c r="LBU1535" s="6"/>
      <c r="LBV1535" s="4"/>
      <c r="LBW1535" s="6"/>
      <c r="LBX1535" s="4"/>
      <c r="LBY1535" s="6"/>
      <c r="LBZ1535" s="4"/>
      <c r="LCA1535" s="6"/>
      <c r="LCB1535" s="4"/>
      <c r="LCC1535" s="6"/>
      <c r="LCD1535" s="4"/>
      <c r="LCE1535" s="6"/>
      <c r="LCF1535" s="4"/>
      <c r="LCG1535" s="6"/>
      <c r="LCH1535" s="4"/>
      <c r="LCI1535" s="6"/>
      <c r="LCJ1535" s="4"/>
      <c r="LCK1535" s="6"/>
      <c r="LCL1535" s="4"/>
      <c r="LCM1535" s="6"/>
      <c r="LCN1535" s="4"/>
      <c r="LCO1535" s="6"/>
      <c r="LCP1535" s="4"/>
      <c r="LCQ1535" s="6"/>
      <c r="LCR1535" s="4"/>
      <c r="LCS1535" s="6"/>
      <c r="LCT1535" s="4"/>
      <c r="LCU1535" s="6"/>
      <c r="LCV1535" s="4"/>
      <c r="LCW1535" s="6"/>
      <c r="LCX1535" s="4"/>
      <c r="LCY1535" s="6"/>
      <c r="LCZ1535" s="4"/>
      <c r="LDA1535" s="6"/>
      <c r="LDB1535" s="4"/>
      <c r="LDC1535" s="6"/>
      <c r="LDD1535" s="4"/>
      <c r="LDE1535" s="6"/>
      <c r="LDF1535" s="4"/>
      <c r="LDG1535" s="6"/>
      <c r="LDH1535" s="4"/>
      <c r="LDI1535" s="6"/>
      <c r="LDJ1535" s="4"/>
      <c r="LDK1535" s="6"/>
      <c r="LDL1535" s="4"/>
      <c r="LDM1535" s="6"/>
      <c r="LDN1535" s="4"/>
      <c r="LDO1535" s="6"/>
      <c r="LDP1535" s="4"/>
      <c r="LDQ1535" s="6"/>
      <c r="LDR1535" s="4"/>
      <c r="LDS1535" s="6"/>
      <c r="LDT1535" s="4"/>
      <c r="LDU1535" s="6"/>
      <c r="LDV1535" s="4"/>
      <c r="LDW1535" s="6"/>
      <c r="LDX1535" s="4"/>
      <c r="LDY1535" s="6"/>
      <c r="LDZ1535" s="4"/>
      <c r="LEA1535" s="6"/>
      <c r="LEB1535" s="4"/>
      <c r="LEC1535" s="6"/>
      <c r="LED1535" s="4"/>
      <c r="LEE1535" s="6"/>
      <c r="LEF1535" s="4"/>
      <c r="LEG1535" s="6"/>
      <c r="LEH1535" s="4"/>
      <c r="LEI1535" s="6"/>
      <c r="LEJ1535" s="4"/>
      <c r="LEK1535" s="6"/>
      <c r="LEL1535" s="4"/>
      <c r="LEM1535" s="6"/>
      <c r="LEN1535" s="4"/>
      <c r="LEO1535" s="6"/>
      <c r="LEP1535" s="4"/>
      <c r="LEQ1535" s="6"/>
      <c r="LER1535" s="4"/>
      <c r="LES1535" s="6"/>
      <c r="LET1535" s="4"/>
      <c r="LEU1535" s="6"/>
      <c r="LEV1535" s="4"/>
      <c r="LEW1535" s="6"/>
      <c r="LEX1535" s="4"/>
      <c r="LEY1535" s="6"/>
      <c r="LEZ1535" s="4"/>
      <c r="LFA1535" s="6"/>
      <c r="LFB1535" s="4"/>
      <c r="LFC1535" s="6"/>
      <c r="LFD1535" s="4"/>
      <c r="LFE1535" s="6"/>
      <c r="LFF1535" s="4"/>
      <c r="LFG1535" s="6"/>
      <c r="LFH1535" s="4"/>
      <c r="LFI1535" s="6"/>
      <c r="LFJ1535" s="4"/>
      <c r="LFK1535" s="6"/>
      <c r="LFL1535" s="4"/>
      <c r="LFM1535" s="6"/>
      <c r="LFN1535" s="4"/>
      <c r="LFO1535" s="6"/>
      <c r="LFP1535" s="4"/>
      <c r="LFQ1535" s="6"/>
      <c r="LFR1535" s="4"/>
      <c r="LFS1535" s="6"/>
      <c r="LFT1535" s="4"/>
      <c r="LFU1535" s="6"/>
      <c r="LFV1535" s="4"/>
      <c r="LFW1535" s="6"/>
      <c r="LFX1535" s="4"/>
      <c r="LFY1535" s="6"/>
      <c r="LFZ1535" s="4"/>
      <c r="LGA1535" s="6"/>
      <c r="LGB1535" s="4"/>
      <c r="LGC1535" s="6"/>
      <c r="LGD1535" s="4"/>
      <c r="LGE1535" s="6"/>
      <c r="LGF1535" s="4"/>
      <c r="LGG1535" s="6"/>
      <c r="LGH1535" s="4"/>
      <c r="LGI1535" s="6"/>
      <c r="LGJ1535" s="4"/>
      <c r="LGK1535" s="6"/>
      <c r="LGL1535" s="4"/>
      <c r="LGM1535" s="6"/>
      <c r="LGN1535" s="4"/>
      <c r="LGO1535" s="6"/>
      <c r="LGP1535" s="4"/>
      <c r="LGQ1535" s="6"/>
      <c r="LGR1535" s="4"/>
      <c r="LGS1535" s="6"/>
      <c r="LGT1535" s="4"/>
      <c r="LGU1535" s="6"/>
      <c r="LGV1535" s="4"/>
      <c r="LGW1535" s="6"/>
      <c r="LGX1535" s="4"/>
      <c r="LGY1535" s="6"/>
      <c r="LGZ1535" s="4"/>
      <c r="LHA1535" s="6"/>
      <c r="LHB1535" s="4"/>
      <c r="LHC1535" s="6"/>
      <c r="LHD1535" s="4"/>
      <c r="LHE1535" s="6"/>
      <c r="LHF1535" s="4"/>
      <c r="LHG1535" s="6"/>
      <c r="LHH1535" s="4"/>
      <c r="LHI1535" s="6"/>
      <c r="LHJ1535" s="4"/>
      <c r="LHK1535" s="6"/>
      <c r="LHL1535" s="4"/>
      <c r="LHM1535" s="6"/>
      <c r="LHN1535" s="4"/>
      <c r="LHO1535" s="6"/>
      <c r="LHP1535" s="4"/>
      <c r="LHQ1535" s="6"/>
      <c r="LHR1535" s="4"/>
      <c r="LHS1535" s="6"/>
      <c r="LHT1535" s="4"/>
      <c r="LHU1535" s="6"/>
      <c r="LHV1535" s="4"/>
      <c r="LHW1535" s="6"/>
      <c r="LHX1535" s="4"/>
      <c r="LHY1535" s="6"/>
      <c r="LHZ1535" s="4"/>
      <c r="LIA1535" s="6"/>
      <c r="LIB1535" s="4"/>
      <c r="LIC1535" s="6"/>
      <c r="LID1535" s="4"/>
      <c r="LIE1535" s="6"/>
      <c r="LIF1535" s="4"/>
      <c r="LIG1535" s="6"/>
      <c r="LIH1535" s="4"/>
      <c r="LII1535" s="6"/>
      <c r="LIJ1535" s="4"/>
      <c r="LIK1535" s="6"/>
      <c r="LIL1535" s="4"/>
      <c r="LIM1535" s="6"/>
      <c r="LIN1535" s="4"/>
      <c r="LIO1535" s="6"/>
      <c r="LIP1535" s="4"/>
      <c r="LIQ1535" s="6"/>
      <c r="LIR1535" s="4"/>
      <c r="LIS1535" s="6"/>
      <c r="LIT1535" s="4"/>
      <c r="LIU1535" s="6"/>
      <c r="LIV1535" s="4"/>
      <c r="LIW1535" s="6"/>
      <c r="LIX1535" s="4"/>
      <c r="LIY1535" s="6"/>
      <c r="LIZ1535" s="4"/>
      <c r="LJA1535" s="6"/>
      <c r="LJB1535" s="4"/>
      <c r="LJC1535" s="6"/>
      <c r="LJD1535" s="4"/>
      <c r="LJE1535" s="6"/>
      <c r="LJF1535" s="4"/>
      <c r="LJG1535" s="6"/>
      <c r="LJH1535" s="4"/>
      <c r="LJI1535" s="6"/>
      <c r="LJJ1535" s="4"/>
      <c r="LJK1535" s="6"/>
      <c r="LJL1535" s="4"/>
      <c r="LJM1535" s="6"/>
      <c r="LJN1535" s="4"/>
      <c r="LJO1535" s="6"/>
      <c r="LJP1535" s="4"/>
      <c r="LJQ1535" s="6"/>
      <c r="LJR1535" s="4"/>
      <c r="LJS1535" s="6"/>
      <c r="LJT1535" s="4"/>
      <c r="LJU1535" s="6"/>
      <c r="LJV1535" s="4"/>
      <c r="LJW1535" s="6"/>
      <c r="LJX1535" s="4"/>
      <c r="LJY1535" s="6"/>
      <c r="LJZ1535" s="4"/>
      <c r="LKA1535" s="6"/>
      <c r="LKB1535" s="4"/>
      <c r="LKC1535" s="6"/>
      <c r="LKD1535" s="4"/>
      <c r="LKE1535" s="6"/>
      <c r="LKF1535" s="4"/>
      <c r="LKG1535" s="6"/>
      <c r="LKH1535" s="4"/>
      <c r="LKI1535" s="6"/>
      <c r="LKJ1535" s="4"/>
      <c r="LKK1535" s="6"/>
      <c r="LKL1535" s="4"/>
      <c r="LKM1535" s="6"/>
      <c r="LKN1535" s="4"/>
      <c r="LKO1535" s="6"/>
      <c r="LKP1535" s="4"/>
      <c r="LKQ1535" s="6"/>
      <c r="LKR1535" s="4"/>
      <c r="LKS1535" s="6"/>
      <c r="LKT1535" s="4"/>
      <c r="LKU1535" s="6"/>
      <c r="LKV1535" s="4"/>
      <c r="LKW1535" s="6"/>
      <c r="LKX1535" s="4"/>
      <c r="LKY1535" s="6"/>
      <c r="LKZ1535" s="4"/>
      <c r="LLA1535" s="6"/>
      <c r="LLB1535" s="4"/>
      <c r="LLC1535" s="6"/>
      <c r="LLD1535" s="4"/>
      <c r="LLE1535" s="6"/>
      <c r="LLF1535" s="4"/>
      <c r="LLG1535" s="6"/>
      <c r="LLH1535" s="4"/>
      <c r="LLI1535" s="6"/>
      <c r="LLJ1535" s="4"/>
      <c r="LLK1535" s="6"/>
      <c r="LLL1535" s="4"/>
      <c r="LLM1535" s="6"/>
      <c r="LLN1535" s="4"/>
      <c r="LLO1535" s="6"/>
      <c r="LLP1535" s="4"/>
      <c r="LLQ1535" s="6"/>
      <c r="LLR1535" s="4"/>
      <c r="LLS1535" s="6"/>
      <c r="LLT1535" s="4"/>
      <c r="LLU1535" s="6"/>
      <c r="LLV1535" s="4"/>
      <c r="LLW1535" s="6"/>
      <c r="LLX1535" s="4"/>
      <c r="LLY1535" s="6"/>
      <c r="LLZ1535" s="4"/>
      <c r="LMA1535" s="6"/>
      <c r="LMB1535" s="4"/>
      <c r="LMC1535" s="6"/>
      <c r="LMD1535" s="4"/>
      <c r="LME1535" s="6"/>
      <c r="LMF1535" s="4"/>
      <c r="LMG1535" s="6"/>
      <c r="LMH1535" s="4"/>
      <c r="LMI1535" s="6"/>
      <c r="LMJ1535" s="4"/>
      <c r="LMK1535" s="6"/>
      <c r="LML1535" s="4"/>
      <c r="LMM1535" s="6"/>
      <c r="LMN1535" s="4"/>
      <c r="LMO1535" s="6"/>
      <c r="LMP1535" s="4"/>
      <c r="LMQ1535" s="6"/>
      <c r="LMR1535" s="4"/>
      <c r="LMS1535" s="6"/>
      <c r="LMT1535" s="4"/>
      <c r="LMU1535" s="6"/>
      <c r="LMV1535" s="4"/>
      <c r="LMW1535" s="6"/>
      <c r="LMX1535" s="4"/>
      <c r="LMY1535" s="6"/>
      <c r="LMZ1535" s="4"/>
      <c r="LNA1535" s="6"/>
      <c r="LNB1535" s="4"/>
      <c r="LNC1535" s="6"/>
      <c r="LND1535" s="4"/>
      <c r="LNE1535" s="6"/>
      <c r="LNF1535" s="4"/>
      <c r="LNG1535" s="6"/>
      <c r="LNH1535" s="4"/>
      <c r="LNI1535" s="6"/>
      <c r="LNJ1535" s="4"/>
      <c r="LNK1535" s="6"/>
      <c r="LNL1535" s="4"/>
      <c r="LNM1535" s="6"/>
      <c r="LNN1535" s="4"/>
      <c r="LNO1535" s="6"/>
      <c r="LNP1535" s="4"/>
      <c r="LNQ1535" s="6"/>
      <c r="LNR1535" s="4"/>
      <c r="LNS1535" s="6"/>
      <c r="LNT1535" s="4"/>
      <c r="LNU1535" s="6"/>
      <c r="LNV1535" s="4"/>
      <c r="LNW1535" s="6"/>
      <c r="LNX1535" s="4"/>
      <c r="LNY1535" s="6"/>
      <c r="LNZ1535" s="4"/>
      <c r="LOA1535" s="6"/>
      <c r="LOB1535" s="4"/>
      <c r="LOC1535" s="6"/>
      <c r="LOD1535" s="4"/>
      <c r="LOE1535" s="6"/>
      <c r="LOF1535" s="4"/>
      <c r="LOG1535" s="6"/>
      <c r="LOH1535" s="4"/>
      <c r="LOI1535" s="6"/>
      <c r="LOJ1535" s="4"/>
      <c r="LOK1535" s="6"/>
      <c r="LOL1535" s="4"/>
      <c r="LOM1535" s="6"/>
      <c r="LON1535" s="4"/>
      <c r="LOO1535" s="6"/>
      <c r="LOP1535" s="4"/>
      <c r="LOQ1535" s="6"/>
      <c r="LOR1535" s="4"/>
      <c r="LOS1535" s="6"/>
      <c r="LOT1535" s="4"/>
      <c r="LOU1535" s="6"/>
      <c r="LOV1535" s="4"/>
      <c r="LOW1535" s="6"/>
      <c r="LOX1535" s="4"/>
      <c r="LOY1535" s="6"/>
      <c r="LOZ1535" s="4"/>
      <c r="LPA1535" s="6"/>
      <c r="LPB1535" s="4"/>
      <c r="LPC1535" s="6"/>
      <c r="LPD1535" s="4"/>
      <c r="LPE1535" s="6"/>
      <c r="LPF1535" s="4"/>
      <c r="LPG1535" s="6"/>
      <c r="LPH1535" s="4"/>
      <c r="LPI1535" s="6"/>
      <c r="LPJ1535" s="4"/>
      <c r="LPK1535" s="6"/>
      <c r="LPL1535" s="4"/>
      <c r="LPM1535" s="6"/>
      <c r="LPN1535" s="4"/>
      <c r="LPO1535" s="6"/>
      <c r="LPP1535" s="4"/>
      <c r="LPQ1535" s="6"/>
      <c r="LPR1535" s="4"/>
      <c r="LPS1535" s="6"/>
      <c r="LPT1535" s="4"/>
      <c r="LPU1535" s="6"/>
      <c r="LPV1535" s="4"/>
      <c r="LPW1535" s="6"/>
      <c r="LPX1535" s="4"/>
      <c r="LPY1535" s="6"/>
      <c r="LPZ1535" s="4"/>
      <c r="LQA1535" s="6"/>
      <c r="LQB1535" s="4"/>
      <c r="LQC1535" s="6"/>
      <c r="LQD1535" s="4"/>
      <c r="LQE1535" s="6"/>
      <c r="LQF1535" s="4"/>
      <c r="LQG1535" s="6"/>
      <c r="LQH1535" s="4"/>
      <c r="LQI1535" s="6"/>
      <c r="LQJ1535" s="4"/>
      <c r="LQK1535" s="6"/>
      <c r="LQL1535" s="4"/>
      <c r="LQM1535" s="6"/>
      <c r="LQN1535" s="4"/>
      <c r="LQO1535" s="6"/>
      <c r="LQP1535" s="4"/>
      <c r="LQQ1535" s="6"/>
      <c r="LQR1535" s="4"/>
      <c r="LQS1535" s="6"/>
      <c r="LQT1535" s="4"/>
      <c r="LQU1535" s="6"/>
      <c r="LQV1535" s="4"/>
      <c r="LQW1535" s="6"/>
      <c r="LQX1535" s="4"/>
      <c r="LQY1535" s="6"/>
      <c r="LQZ1535" s="4"/>
      <c r="LRA1535" s="6"/>
      <c r="LRB1535" s="4"/>
      <c r="LRC1535" s="6"/>
      <c r="LRD1535" s="4"/>
      <c r="LRE1535" s="6"/>
      <c r="LRF1535" s="4"/>
      <c r="LRG1535" s="6"/>
      <c r="LRH1535" s="4"/>
      <c r="LRI1535" s="6"/>
      <c r="LRJ1535" s="4"/>
      <c r="LRK1535" s="6"/>
      <c r="LRL1535" s="4"/>
      <c r="LRM1535" s="6"/>
      <c r="LRN1535" s="4"/>
      <c r="LRO1535" s="6"/>
      <c r="LRP1535" s="4"/>
      <c r="LRQ1535" s="6"/>
      <c r="LRR1535" s="4"/>
      <c r="LRS1535" s="6"/>
      <c r="LRT1535" s="4"/>
      <c r="LRU1535" s="6"/>
      <c r="LRV1535" s="4"/>
      <c r="LRW1535" s="6"/>
      <c r="LRX1535" s="4"/>
      <c r="LRY1535" s="6"/>
      <c r="LRZ1535" s="4"/>
      <c r="LSA1535" s="6"/>
      <c r="LSB1535" s="4"/>
      <c r="LSC1535" s="6"/>
      <c r="LSD1535" s="4"/>
      <c r="LSE1535" s="6"/>
      <c r="LSF1535" s="4"/>
      <c r="LSG1535" s="6"/>
      <c r="LSH1535" s="4"/>
      <c r="LSI1535" s="6"/>
      <c r="LSJ1535" s="4"/>
      <c r="LSK1535" s="6"/>
      <c r="LSL1535" s="4"/>
      <c r="LSM1535" s="6"/>
      <c r="LSN1535" s="4"/>
      <c r="LSO1535" s="6"/>
      <c r="LSP1535" s="4"/>
      <c r="LSQ1535" s="6"/>
      <c r="LSR1535" s="4"/>
      <c r="LSS1535" s="6"/>
      <c r="LST1535" s="4"/>
      <c r="LSU1535" s="6"/>
      <c r="LSV1535" s="4"/>
      <c r="LSW1535" s="6"/>
      <c r="LSX1535" s="4"/>
      <c r="LSY1535" s="6"/>
      <c r="LSZ1535" s="4"/>
      <c r="LTA1535" s="6"/>
      <c r="LTB1535" s="4"/>
      <c r="LTC1535" s="6"/>
      <c r="LTD1535" s="4"/>
      <c r="LTE1535" s="6"/>
      <c r="LTF1535" s="4"/>
      <c r="LTG1535" s="6"/>
      <c r="LTH1535" s="4"/>
      <c r="LTI1535" s="6"/>
      <c r="LTJ1535" s="4"/>
      <c r="LTK1535" s="6"/>
      <c r="LTL1535" s="4"/>
      <c r="LTM1535" s="6"/>
      <c r="LTN1535" s="4"/>
      <c r="LTO1535" s="6"/>
      <c r="LTP1535" s="4"/>
      <c r="LTQ1535" s="6"/>
      <c r="LTR1535" s="4"/>
      <c r="LTS1535" s="6"/>
      <c r="LTT1535" s="4"/>
      <c r="LTU1535" s="6"/>
      <c r="LTV1535" s="4"/>
      <c r="LTW1535" s="6"/>
      <c r="LTX1535" s="4"/>
      <c r="LTY1535" s="6"/>
      <c r="LTZ1535" s="4"/>
      <c r="LUA1535" s="6"/>
      <c r="LUB1535" s="4"/>
      <c r="LUC1535" s="6"/>
      <c r="LUD1535" s="4"/>
      <c r="LUE1535" s="6"/>
      <c r="LUF1535" s="4"/>
      <c r="LUG1535" s="6"/>
      <c r="LUH1535" s="4"/>
      <c r="LUI1535" s="6"/>
      <c r="LUJ1535" s="4"/>
      <c r="LUK1535" s="6"/>
      <c r="LUL1535" s="4"/>
      <c r="LUM1535" s="6"/>
      <c r="LUN1535" s="4"/>
      <c r="LUO1535" s="6"/>
      <c r="LUP1535" s="4"/>
      <c r="LUQ1535" s="6"/>
      <c r="LUR1535" s="4"/>
      <c r="LUS1535" s="6"/>
      <c r="LUT1535" s="4"/>
      <c r="LUU1535" s="6"/>
      <c r="LUV1535" s="4"/>
      <c r="LUW1535" s="6"/>
      <c r="LUX1535" s="4"/>
      <c r="LUY1535" s="6"/>
      <c r="LUZ1535" s="4"/>
      <c r="LVA1535" s="6"/>
      <c r="LVB1535" s="4"/>
      <c r="LVC1535" s="6"/>
      <c r="LVD1535" s="4"/>
      <c r="LVE1535" s="6"/>
      <c r="LVF1535" s="4"/>
      <c r="LVG1535" s="6"/>
      <c r="LVH1535" s="4"/>
      <c r="LVI1535" s="6"/>
      <c r="LVJ1535" s="4"/>
      <c r="LVK1535" s="6"/>
      <c r="LVL1535" s="4"/>
      <c r="LVM1535" s="6"/>
      <c r="LVN1535" s="4"/>
      <c r="LVO1535" s="6"/>
      <c r="LVP1535" s="4"/>
      <c r="LVQ1535" s="6"/>
      <c r="LVR1535" s="4"/>
      <c r="LVS1535" s="6"/>
      <c r="LVT1535" s="4"/>
      <c r="LVU1535" s="6"/>
      <c r="LVV1535" s="4"/>
      <c r="LVW1535" s="6"/>
      <c r="LVX1535" s="4"/>
      <c r="LVY1535" s="6"/>
      <c r="LVZ1535" s="4"/>
      <c r="LWA1535" s="6"/>
      <c r="LWB1535" s="4"/>
      <c r="LWC1535" s="6"/>
      <c r="LWD1535" s="4"/>
      <c r="LWE1535" s="6"/>
      <c r="LWF1535" s="4"/>
      <c r="LWG1535" s="6"/>
      <c r="LWH1535" s="4"/>
      <c r="LWI1535" s="6"/>
      <c r="LWJ1535" s="4"/>
      <c r="LWK1535" s="6"/>
      <c r="LWL1535" s="4"/>
      <c r="LWM1535" s="6"/>
      <c r="LWN1535" s="4"/>
      <c r="LWO1535" s="6"/>
      <c r="LWP1535" s="4"/>
      <c r="LWQ1535" s="6"/>
      <c r="LWR1535" s="4"/>
      <c r="LWS1535" s="6"/>
      <c r="LWT1535" s="4"/>
      <c r="LWU1535" s="6"/>
      <c r="LWV1535" s="4"/>
      <c r="LWW1535" s="6"/>
      <c r="LWX1535" s="4"/>
      <c r="LWY1535" s="6"/>
      <c r="LWZ1535" s="4"/>
      <c r="LXA1535" s="6"/>
      <c r="LXB1535" s="4"/>
      <c r="LXC1535" s="6"/>
      <c r="LXD1535" s="4"/>
      <c r="LXE1535" s="6"/>
      <c r="LXF1535" s="4"/>
      <c r="LXG1535" s="6"/>
      <c r="LXH1535" s="4"/>
      <c r="LXI1535" s="6"/>
      <c r="LXJ1535" s="4"/>
      <c r="LXK1535" s="6"/>
      <c r="LXL1535" s="4"/>
      <c r="LXM1535" s="6"/>
      <c r="LXN1535" s="4"/>
      <c r="LXO1535" s="6"/>
      <c r="LXP1535" s="4"/>
      <c r="LXQ1535" s="6"/>
      <c r="LXR1535" s="4"/>
      <c r="LXS1535" s="6"/>
      <c r="LXT1535" s="4"/>
      <c r="LXU1535" s="6"/>
      <c r="LXV1535" s="4"/>
      <c r="LXW1535" s="6"/>
      <c r="LXX1535" s="4"/>
      <c r="LXY1535" s="6"/>
      <c r="LXZ1535" s="4"/>
      <c r="LYA1535" s="6"/>
      <c r="LYB1535" s="4"/>
      <c r="LYC1535" s="6"/>
      <c r="LYD1535" s="4"/>
      <c r="LYE1535" s="6"/>
      <c r="LYF1535" s="4"/>
      <c r="LYG1535" s="6"/>
      <c r="LYH1535" s="4"/>
      <c r="LYI1535" s="6"/>
      <c r="LYJ1535" s="4"/>
      <c r="LYK1535" s="6"/>
      <c r="LYL1535" s="4"/>
      <c r="LYM1535" s="6"/>
      <c r="LYN1535" s="4"/>
      <c r="LYO1535" s="6"/>
      <c r="LYP1535" s="4"/>
      <c r="LYQ1535" s="6"/>
      <c r="LYR1535" s="4"/>
      <c r="LYS1535" s="6"/>
      <c r="LYT1535" s="4"/>
      <c r="LYU1535" s="6"/>
      <c r="LYV1535" s="4"/>
      <c r="LYW1535" s="6"/>
      <c r="LYX1535" s="4"/>
      <c r="LYY1535" s="6"/>
      <c r="LYZ1535" s="4"/>
      <c r="LZA1535" s="6"/>
      <c r="LZB1535" s="4"/>
      <c r="LZC1535" s="6"/>
      <c r="LZD1535" s="4"/>
      <c r="LZE1535" s="6"/>
      <c r="LZF1535" s="4"/>
      <c r="LZG1535" s="6"/>
      <c r="LZH1535" s="4"/>
      <c r="LZI1535" s="6"/>
      <c r="LZJ1535" s="4"/>
      <c r="LZK1535" s="6"/>
      <c r="LZL1535" s="4"/>
      <c r="LZM1535" s="6"/>
      <c r="LZN1535" s="4"/>
      <c r="LZO1535" s="6"/>
      <c r="LZP1535" s="4"/>
      <c r="LZQ1535" s="6"/>
      <c r="LZR1535" s="4"/>
      <c r="LZS1535" s="6"/>
      <c r="LZT1535" s="4"/>
      <c r="LZU1535" s="6"/>
      <c r="LZV1535" s="4"/>
      <c r="LZW1535" s="6"/>
      <c r="LZX1535" s="4"/>
      <c r="LZY1535" s="6"/>
      <c r="LZZ1535" s="4"/>
      <c r="MAA1535" s="6"/>
      <c r="MAB1535" s="4"/>
      <c r="MAC1535" s="6"/>
      <c r="MAD1535" s="4"/>
      <c r="MAE1535" s="6"/>
      <c r="MAF1535" s="4"/>
      <c r="MAG1535" s="6"/>
      <c r="MAH1535" s="4"/>
      <c r="MAI1535" s="6"/>
      <c r="MAJ1535" s="4"/>
      <c r="MAK1535" s="6"/>
      <c r="MAL1535" s="4"/>
      <c r="MAM1535" s="6"/>
      <c r="MAN1535" s="4"/>
      <c r="MAO1535" s="6"/>
      <c r="MAP1535" s="4"/>
      <c r="MAQ1535" s="6"/>
      <c r="MAR1535" s="4"/>
      <c r="MAS1535" s="6"/>
      <c r="MAT1535" s="4"/>
      <c r="MAU1535" s="6"/>
      <c r="MAV1535" s="4"/>
      <c r="MAW1535" s="6"/>
      <c r="MAX1535" s="4"/>
      <c r="MAY1535" s="6"/>
      <c r="MAZ1535" s="4"/>
      <c r="MBA1535" s="6"/>
      <c r="MBB1535" s="4"/>
      <c r="MBC1535" s="6"/>
      <c r="MBD1535" s="4"/>
      <c r="MBE1535" s="6"/>
      <c r="MBF1535" s="4"/>
      <c r="MBG1535" s="6"/>
      <c r="MBH1535" s="4"/>
      <c r="MBI1535" s="6"/>
      <c r="MBJ1535" s="4"/>
      <c r="MBK1535" s="6"/>
      <c r="MBL1535" s="4"/>
      <c r="MBM1535" s="6"/>
      <c r="MBN1535" s="4"/>
      <c r="MBO1535" s="6"/>
      <c r="MBP1535" s="4"/>
      <c r="MBQ1535" s="6"/>
      <c r="MBR1535" s="4"/>
      <c r="MBS1535" s="6"/>
      <c r="MBT1535" s="4"/>
      <c r="MBU1535" s="6"/>
      <c r="MBV1535" s="4"/>
      <c r="MBW1535" s="6"/>
      <c r="MBX1535" s="4"/>
      <c r="MBY1535" s="6"/>
      <c r="MBZ1535" s="4"/>
      <c r="MCA1535" s="6"/>
      <c r="MCB1535" s="4"/>
      <c r="MCC1535" s="6"/>
      <c r="MCD1535" s="4"/>
      <c r="MCE1535" s="6"/>
      <c r="MCF1535" s="4"/>
      <c r="MCG1535" s="6"/>
      <c r="MCH1535" s="4"/>
      <c r="MCI1535" s="6"/>
      <c r="MCJ1535" s="4"/>
      <c r="MCK1535" s="6"/>
      <c r="MCL1535" s="4"/>
      <c r="MCM1535" s="6"/>
      <c r="MCN1535" s="4"/>
      <c r="MCO1535" s="6"/>
      <c r="MCP1535" s="4"/>
      <c r="MCQ1535" s="6"/>
      <c r="MCR1535" s="4"/>
      <c r="MCS1535" s="6"/>
      <c r="MCT1535" s="4"/>
      <c r="MCU1535" s="6"/>
      <c r="MCV1535" s="4"/>
      <c r="MCW1535" s="6"/>
      <c r="MCX1535" s="4"/>
      <c r="MCY1535" s="6"/>
      <c r="MCZ1535" s="4"/>
      <c r="MDA1535" s="6"/>
      <c r="MDB1535" s="4"/>
      <c r="MDC1535" s="6"/>
      <c r="MDD1535" s="4"/>
      <c r="MDE1535" s="6"/>
      <c r="MDF1535" s="4"/>
      <c r="MDG1535" s="6"/>
      <c r="MDH1535" s="4"/>
      <c r="MDI1535" s="6"/>
      <c r="MDJ1535" s="4"/>
      <c r="MDK1535" s="6"/>
      <c r="MDL1535" s="4"/>
      <c r="MDM1535" s="6"/>
      <c r="MDN1535" s="4"/>
      <c r="MDO1535" s="6"/>
      <c r="MDP1535" s="4"/>
      <c r="MDQ1535" s="6"/>
      <c r="MDR1535" s="4"/>
      <c r="MDS1535" s="6"/>
      <c r="MDT1535" s="4"/>
      <c r="MDU1535" s="6"/>
      <c r="MDV1535" s="4"/>
      <c r="MDW1535" s="6"/>
      <c r="MDX1535" s="4"/>
      <c r="MDY1535" s="6"/>
      <c r="MDZ1535" s="4"/>
      <c r="MEA1535" s="6"/>
      <c r="MEB1535" s="4"/>
      <c r="MEC1535" s="6"/>
      <c r="MED1535" s="4"/>
      <c r="MEE1535" s="6"/>
      <c r="MEF1535" s="4"/>
      <c r="MEG1535" s="6"/>
      <c r="MEH1535" s="4"/>
      <c r="MEI1535" s="6"/>
      <c r="MEJ1535" s="4"/>
      <c r="MEK1535" s="6"/>
      <c r="MEL1535" s="4"/>
      <c r="MEM1535" s="6"/>
      <c r="MEN1535" s="4"/>
      <c r="MEO1535" s="6"/>
      <c r="MEP1535" s="4"/>
      <c r="MEQ1535" s="6"/>
      <c r="MER1535" s="4"/>
      <c r="MES1535" s="6"/>
      <c r="MET1535" s="4"/>
      <c r="MEU1535" s="6"/>
      <c r="MEV1535" s="4"/>
      <c r="MEW1535" s="6"/>
      <c r="MEX1535" s="4"/>
      <c r="MEY1535" s="6"/>
      <c r="MEZ1535" s="4"/>
      <c r="MFA1535" s="6"/>
      <c r="MFB1535" s="4"/>
      <c r="MFC1535" s="6"/>
      <c r="MFD1535" s="4"/>
      <c r="MFE1535" s="6"/>
      <c r="MFF1535" s="4"/>
      <c r="MFG1535" s="6"/>
      <c r="MFH1535" s="4"/>
      <c r="MFI1535" s="6"/>
      <c r="MFJ1535" s="4"/>
      <c r="MFK1535" s="6"/>
      <c r="MFL1535" s="4"/>
      <c r="MFM1535" s="6"/>
      <c r="MFN1535" s="4"/>
      <c r="MFO1535" s="6"/>
      <c r="MFP1535" s="4"/>
      <c r="MFQ1535" s="6"/>
      <c r="MFR1535" s="4"/>
      <c r="MFS1535" s="6"/>
      <c r="MFT1535" s="4"/>
      <c r="MFU1535" s="6"/>
      <c r="MFV1535" s="4"/>
      <c r="MFW1535" s="6"/>
      <c r="MFX1535" s="4"/>
      <c r="MFY1535" s="6"/>
      <c r="MFZ1535" s="4"/>
      <c r="MGA1535" s="6"/>
      <c r="MGB1535" s="4"/>
      <c r="MGC1535" s="6"/>
      <c r="MGD1535" s="4"/>
      <c r="MGE1535" s="6"/>
      <c r="MGF1535" s="4"/>
      <c r="MGG1535" s="6"/>
      <c r="MGH1535" s="4"/>
      <c r="MGI1535" s="6"/>
      <c r="MGJ1535" s="4"/>
      <c r="MGK1535" s="6"/>
      <c r="MGL1535" s="4"/>
      <c r="MGM1535" s="6"/>
      <c r="MGN1535" s="4"/>
      <c r="MGO1535" s="6"/>
      <c r="MGP1535" s="4"/>
      <c r="MGQ1535" s="6"/>
      <c r="MGR1535" s="4"/>
      <c r="MGS1535" s="6"/>
      <c r="MGT1535" s="4"/>
      <c r="MGU1535" s="6"/>
      <c r="MGV1535" s="4"/>
      <c r="MGW1535" s="6"/>
      <c r="MGX1535" s="4"/>
      <c r="MGY1535" s="6"/>
      <c r="MGZ1535" s="4"/>
      <c r="MHA1535" s="6"/>
      <c r="MHB1535" s="4"/>
      <c r="MHC1535" s="6"/>
      <c r="MHD1535" s="4"/>
      <c r="MHE1535" s="6"/>
      <c r="MHF1535" s="4"/>
      <c r="MHG1535" s="6"/>
      <c r="MHH1535" s="4"/>
      <c r="MHI1535" s="6"/>
      <c r="MHJ1535" s="4"/>
      <c r="MHK1535" s="6"/>
      <c r="MHL1535" s="4"/>
      <c r="MHM1535" s="6"/>
      <c r="MHN1535" s="4"/>
      <c r="MHO1535" s="6"/>
      <c r="MHP1535" s="4"/>
      <c r="MHQ1535" s="6"/>
      <c r="MHR1535" s="4"/>
      <c r="MHS1535" s="6"/>
      <c r="MHT1535" s="4"/>
      <c r="MHU1535" s="6"/>
      <c r="MHV1535" s="4"/>
      <c r="MHW1535" s="6"/>
      <c r="MHX1535" s="4"/>
      <c r="MHY1535" s="6"/>
      <c r="MHZ1535" s="4"/>
      <c r="MIA1535" s="6"/>
      <c r="MIB1535" s="4"/>
      <c r="MIC1535" s="6"/>
      <c r="MID1535" s="4"/>
      <c r="MIE1535" s="6"/>
      <c r="MIF1535" s="4"/>
      <c r="MIG1535" s="6"/>
      <c r="MIH1535" s="4"/>
      <c r="MII1535" s="6"/>
      <c r="MIJ1535" s="4"/>
      <c r="MIK1535" s="6"/>
      <c r="MIL1535" s="4"/>
      <c r="MIM1535" s="6"/>
      <c r="MIN1535" s="4"/>
      <c r="MIO1535" s="6"/>
      <c r="MIP1535" s="4"/>
      <c r="MIQ1535" s="6"/>
      <c r="MIR1535" s="4"/>
      <c r="MIS1535" s="6"/>
      <c r="MIT1535" s="4"/>
      <c r="MIU1535" s="6"/>
      <c r="MIV1535" s="4"/>
      <c r="MIW1535" s="6"/>
      <c r="MIX1535" s="4"/>
      <c r="MIY1535" s="6"/>
      <c r="MIZ1535" s="4"/>
      <c r="MJA1535" s="6"/>
      <c r="MJB1535" s="4"/>
      <c r="MJC1535" s="6"/>
      <c r="MJD1535" s="4"/>
      <c r="MJE1535" s="6"/>
      <c r="MJF1535" s="4"/>
      <c r="MJG1535" s="6"/>
      <c r="MJH1535" s="4"/>
      <c r="MJI1535" s="6"/>
      <c r="MJJ1535" s="4"/>
      <c r="MJK1535" s="6"/>
      <c r="MJL1535" s="4"/>
      <c r="MJM1535" s="6"/>
      <c r="MJN1535" s="4"/>
      <c r="MJO1535" s="6"/>
      <c r="MJP1535" s="4"/>
      <c r="MJQ1535" s="6"/>
      <c r="MJR1535" s="4"/>
      <c r="MJS1535" s="6"/>
      <c r="MJT1535" s="4"/>
      <c r="MJU1535" s="6"/>
      <c r="MJV1535" s="4"/>
      <c r="MJW1535" s="6"/>
      <c r="MJX1535" s="4"/>
      <c r="MJY1535" s="6"/>
      <c r="MJZ1535" s="4"/>
      <c r="MKA1535" s="6"/>
      <c r="MKB1535" s="4"/>
      <c r="MKC1535" s="6"/>
      <c r="MKD1535" s="4"/>
      <c r="MKE1535" s="6"/>
      <c r="MKF1535" s="4"/>
      <c r="MKG1535" s="6"/>
      <c r="MKH1535" s="4"/>
      <c r="MKI1535" s="6"/>
      <c r="MKJ1535" s="4"/>
      <c r="MKK1535" s="6"/>
      <c r="MKL1535" s="4"/>
      <c r="MKM1535" s="6"/>
      <c r="MKN1535" s="4"/>
      <c r="MKO1535" s="6"/>
      <c r="MKP1535" s="4"/>
      <c r="MKQ1535" s="6"/>
      <c r="MKR1535" s="4"/>
      <c r="MKS1535" s="6"/>
      <c r="MKT1535" s="4"/>
      <c r="MKU1535" s="6"/>
      <c r="MKV1535" s="4"/>
      <c r="MKW1535" s="6"/>
      <c r="MKX1535" s="4"/>
      <c r="MKY1535" s="6"/>
      <c r="MKZ1535" s="4"/>
      <c r="MLA1535" s="6"/>
      <c r="MLB1535" s="4"/>
      <c r="MLC1535" s="6"/>
      <c r="MLD1535" s="4"/>
      <c r="MLE1535" s="6"/>
      <c r="MLF1535" s="4"/>
      <c r="MLG1535" s="6"/>
      <c r="MLH1535" s="4"/>
      <c r="MLI1535" s="6"/>
      <c r="MLJ1535" s="4"/>
      <c r="MLK1535" s="6"/>
      <c r="MLL1535" s="4"/>
      <c r="MLM1535" s="6"/>
      <c r="MLN1535" s="4"/>
      <c r="MLO1535" s="6"/>
      <c r="MLP1535" s="4"/>
      <c r="MLQ1535" s="6"/>
      <c r="MLR1535" s="4"/>
      <c r="MLS1535" s="6"/>
      <c r="MLT1535" s="4"/>
      <c r="MLU1535" s="6"/>
      <c r="MLV1535" s="4"/>
      <c r="MLW1535" s="6"/>
      <c r="MLX1535" s="4"/>
      <c r="MLY1535" s="6"/>
      <c r="MLZ1535" s="4"/>
      <c r="MMA1535" s="6"/>
      <c r="MMB1535" s="4"/>
      <c r="MMC1535" s="6"/>
      <c r="MMD1535" s="4"/>
      <c r="MME1535" s="6"/>
      <c r="MMF1535" s="4"/>
      <c r="MMG1535" s="6"/>
      <c r="MMH1535" s="4"/>
      <c r="MMI1535" s="6"/>
      <c r="MMJ1535" s="4"/>
      <c r="MMK1535" s="6"/>
      <c r="MML1535" s="4"/>
      <c r="MMM1535" s="6"/>
      <c r="MMN1535" s="4"/>
      <c r="MMO1535" s="6"/>
      <c r="MMP1535" s="4"/>
      <c r="MMQ1535" s="6"/>
      <c r="MMR1535" s="4"/>
      <c r="MMS1535" s="6"/>
      <c r="MMT1535" s="4"/>
      <c r="MMU1535" s="6"/>
      <c r="MMV1535" s="4"/>
      <c r="MMW1535" s="6"/>
      <c r="MMX1535" s="4"/>
      <c r="MMY1535" s="6"/>
      <c r="MMZ1535" s="4"/>
      <c r="MNA1535" s="6"/>
      <c r="MNB1535" s="4"/>
      <c r="MNC1535" s="6"/>
      <c r="MND1535" s="4"/>
      <c r="MNE1535" s="6"/>
      <c r="MNF1535" s="4"/>
      <c r="MNG1535" s="6"/>
      <c r="MNH1535" s="4"/>
      <c r="MNI1535" s="6"/>
      <c r="MNJ1535" s="4"/>
      <c r="MNK1535" s="6"/>
      <c r="MNL1535" s="4"/>
      <c r="MNM1535" s="6"/>
      <c r="MNN1535" s="4"/>
      <c r="MNO1535" s="6"/>
      <c r="MNP1535" s="4"/>
      <c r="MNQ1535" s="6"/>
      <c r="MNR1535" s="4"/>
      <c r="MNS1535" s="6"/>
      <c r="MNT1535" s="4"/>
      <c r="MNU1535" s="6"/>
      <c r="MNV1535" s="4"/>
      <c r="MNW1535" s="6"/>
      <c r="MNX1535" s="4"/>
      <c r="MNY1535" s="6"/>
      <c r="MNZ1535" s="4"/>
      <c r="MOA1535" s="6"/>
      <c r="MOB1535" s="4"/>
      <c r="MOC1535" s="6"/>
      <c r="MOD1535" s="4"/>
      <c r="MOE1535" s="6"/>
      <c r="MOF1535" s="4"/>
      <c r="MOG1535" s="6"/>
      <c r="MOH1535" s="4"/>
      <c r="MOI1535" s="6"/>
      <c r="MOJ1535" s="4"/>
      <c r="MOK1535" s="6"/>
      <c r="MOL1535" s="4"/>
      <c r="MOM1535" s="6"/>
      <c r="MON1535" s="4"/>
      <c r="MOO1535" s="6"/>
      <c r="MOP1535" s="4"/>
      <c r="MOQ1535" s="6"/>
      <c r="MOR1535" s="4"/>
      <c r="MOS1535" s="6"/>
      <c r="MOT1535" s="4"/>
      <c r="MOU1535" s="6"/>
      <c r="MOV1535" s="4"/>
      <c r="MOW1535" s="6"/>
      <c r="MOX1535" s="4"/>
      <c r="MOY1535" s="6"/>
      <c r="MOZ1535" s="4"/>
      <c r="MPA1535" s="6"/>
      <c r="MPB1535" s="4"/>
      <c r="MPC1535" s="6"/>
      <c r="MPD1535" s="4"/>
      <c r="MPE1535" s="6"/>
      <c r="MPF1535" s="4"/>
      <c r="MPG1535" s="6"/>
      <c r="MPH1535" s="4"/>
      <c r="MPI1535" s="6"/>
      <c r="MPJ1535" s="4"/>
      <c r="MPK1535" s="6"/>
      <c r="MPL1535" s="4"/>
      <c r="MPM1535" s="6"/>
      <c r="MPN1535" s="4"/>
      <c r="MPO1535" s="6"/>
      <c r="MPP1535" s="4"/>
      <c r="MPQ1535" s="6"/>
      <c r="MPR1535" s="4"/>
      <c r="MPS1535" s="6"/>
      <c r="MPT1535" s="4"/>
      <c r="MPU1535" s="6"/>
      <c r="MPV1535" s="4"/>
      <c r="MPW1535" s="6"/>
      <c r="MPX1535" s="4"/>
      <c r="MPY1535" s="6"/>
      <c r="MPZ1535" s="4"/>
      <c r="MQA1535" s="6"/>
      <c r="MQB1535" s="4"/>
      <c r="MQC1535" s="6"/>
      <c r="MQD1535" s="4"/>
      <c r="MQE1535" s="6"/>
      <c r="MQF1535" s="4"/>
      <c r="MQG1535" s="6"/>
      <c r="MQH1535" s="4"/>
      <c r="MQI1535" s="6"/>
      <c r="MQJ1535" s="4"/>
      <c r="MQK1535" s="6"/>
      <c r="MQL1535" s="4"/>
      <c r="MQM1535" s="6"/>
      <c r="MQN1535" s="4"/>
      <c r="MQO1535" s="6"/>
      <c r="MQP1535" s="4"/>
      <c r="MQQ1535" s="6"/>
      <c r="MQR1535" s="4"/>
      <c r="MQS1535" s="6"/>
      <c r="MQT1535" s="4"/>
      <c r="MQU1535" s="6"/>
      <c r="MQV1535" s="4"/>
      <c r="MQW1535" s="6"/>
      <c r="MQX1535" s="4"/>
      <c r="MQY1535" s="6"/>
      <c r="MQZ1535" s="4"/>
      <c r="MRA1535" s="6"/>
      <c r="MRB1535" s="4"/>
      <c r="MRC1535" s="6"/>
      <c r="MRD1535" s="4"/>
      <c r="MRE1535" s="6"/>
      <c r="MRF1535" s="4"/>
      <c r="MRG1535" s="6"/>
      <c r="MRH1535" s="4"/>
      <c r="MRI1535" s="6"/>
      <c r="MRJ1535" s="4"/>
      <c r="MRK1535" s="6"/>
      <c r="MRL1535" s="4"/>
      <c r="MRM1535" s="6"/>
      <c r="MRN1535" s="4"/>
      <c r="MRO1535" s="6"/>
      <c r="MRP1535" s="4"/>
      <c r="MRQ1535" s="6"/>
      <c r="MRR1535" s="4"/>
      <c r="MRS1535" s="6"/>
      <c r="MRT1535" s="4"/>
      <c r="MRU1535" s="6"/>
      <c r="MRV1535" s="4"/>
      <c r="MRW1535" s="6"/>
      <c r="MRX1535" s="4"/>
      <c r="MRY1535" s="6"/>
      <c r="MRZ1535" s="4"/>
      <c r="MSA1535" s="6"/>
      <c r="MSB1535" s="4"/>
      <c r="MSC1535" s="6"/>
      <c r="MSD1535" s="4"/>
      <c r="MSE1535" s="6"/>
      <c r="MSF1535" s="4"/>
      <c r="MSG1535" s="6"/>
      <c r="MSH1535" s="4"/>
      <c r="MSI1535" s="6"/>
      <c r="MSJ1535" s="4"/>
      <c r="MSK1535" s="6"/>
      <c r="MSL1535" s="4"/>
      <c r="MSM1535" s="6"/>
      <c r="MSN1535" s="4"/>
      <c r="MSO1535" s="6"/>
      <c r="MSP1535" s="4"/>
      <c r="MSQ1535" s="6"/>
      <c r="MSR1535" s="4"/>
      <c r="MSS1535" s="6"/>
      <c r="MST1535" s="4"/>
      <c r="MSU1535" s="6"/>
      <c r="MSV1535" s="4"/>
      <c r="MSW1535" s="6"/>
      <c r="MSX1535" s="4"/>
      <c r="MSY1535" s="6"/>
      <c r="MSZ1535" s="4"/>
      <c r="MTA1535" s="6"/>
      <c r="MTB1535" s="4"/>
      <c r="MTC1535" s="6"/>
      <c r="MTD1535" s="4"/>
      <c r="MTE1535" s="6"/>
      <c r="MTF1535" s="4"/>
      <c r="MTG1535" s="6"/>
      <c r="MTH1535" s="4"/>
      <c r="MTI1535" s="6"/>
      <c r="MTJ1535" s="4"/>
      <c r="MTK1535" s="6"/>
      <c r="MTL1535" s="4"/>
      <c r="MTM1535" s="6"/>
      <c r="MTN1535" s="4"/>
      <c r="MTO1535" s="6"/>
      <c r="MTP1535" s="4"/>
      <c r="MTQ1535" s="6"/>
      <c r="MTR1535" s="4"/>
      <c r="MTS1535" s="6"/>
      <c r="MTT1535" s="4"/>
      <c r="MTU1535" s="6"/>
      <c r="MTV1535" s="4"/>
      <c r="MTW1535" s="6"/>
      <c r="MTX1535" s="4"/>
      <c r="MTY1535" s="6"/>
      <c r="MTZ1535" s="4"/>
      <c r="MUA1535" s="6"/>
      <c r="MUB1535" s="4"/>
      <c r="MUC1535" s="6"/>
      <c r="MUD1535" s="4"/>
      <c r="MUE1535" s="6"/>
      <c r="MUF1535" s="4"/>
      <c r="MUG1535" s="6"/>
      <c r="MUH1535" s="4"/>
      <c r="MUI1535" s="6"/>
      <c r="MUJ1535" s="4"/>
      <c r="MUK1535" s="6"/>
      <c r="MUL1535" s="4"/>
      <c r="MUM1535" s="6"/>
      <c r="MUN1535" s="4"/>
      <c r="MUO1535" s="6"/>
      <c r="MUP1535" s="4"/>
      <c r="MUQ1535" s="6"/>
      <c r="MUR1535" s="4"/>
      <c r="MUS1535" s="6"/>
      <c r="MUT1535" s="4"/>
      <c r="MUU1535" s="6"/>
      <c r="MUV1535" s="4"/>
      <c r="MUW1535" s="6"/>
      <c r="MUX1535" s="4"/>
      <c r="MUY1535" s="6"/>
      <c r="MUZ1535" s="4"/>
      <c r="MVA1535" s="6"/>
      <c r="MVB1535" s="4"/>
      <c r="MVC1535" s="6"/>
      <c r="MVD1535" s="4"/>
      <c r="MVE1535" s="6"/>
      <c r="MVF1535" s="4"/>
      <c r="MVG1535" s="6"/>
      <c r="MVH1535" s="4"/>
      <c r="MVI1535" s="6"/>
      <c r="MVJ1535" s="4"/>
      <c r="MVK1535" s="6"/>
      <c r="MVL1535" s="4"/>
      <c r="MVM1535" s="6"/>
      <c r="MVN1535" s="4"/>
      <c r="MVO1535" s="6"/>
      <c r="MVP1535" s="4"/>
      <c r="MVQ1535" s="6"/>
      <c r="MVR1535" s="4"/>
      <c r="MVS1535" s="6"/>
      <c r="MVT1535" s="4"/>
      <c r="MVU1535" s="6"/>
      <c r="MVV1535" s="4"/>
      <c r="MVW1535" s="6"/>
      <c r="MVX1535" s="4"/>
      <c r="MVY1535" s="6"/>
      <c r="MVZ1535" s="4"/>
      <c r="MWA1535" s="6"/>
      <c r="MWB1535" s="4"/>
      <c r="MWC1535" s="6"/>
      <c r="MWD1535" s="4"/>
      <c r="MWE1535" s="6"/>
      <c r="MWF1535" s="4"/>
      <c r="MWG1535" s="6"/>
      <c r="MWH1535" s="4"/>
      <c r="MWI1535" s="6"/>
      <c r="MWJ1535" s="4"/>
      <c r="MWK1535" s="6"/>
      <c r="MWL1535" s="4"/>
      <c r="MWM1535" s="6"/>
      <c r="MWN1535" s="4"/>
      <c r="MWO1535" s="6"/>
      <c r="MWP1535" s="4"/>
      <c r="MWQ1535" s="6"/>
      <c r="MWR1535" s="4"/>
      <c r="MWS1535" s="6"/>
      <c r="MWT1535" s="4"/>
      <c r="MWU1535" s="6"/>
      <c r="MWV1535" s="4"/>
      <c r="MWW1535" s="6"/>
      <c r="MWX1535" s="4"/>
      <c r="MWY1535" s="6"/>
      <c r="MWZ1535" s="4"/>
      <c r="MXA1535" s="6"/>
      <c r="MXB1535" s="4"/>
      <c r="MXC1535" s="6"/>
      <c r="MXD1535" s="4"/>
      <c r="MXE1535" s="6"/>
      <c r="MXF1535" s="4"/>
      <c r="MXG1535" s="6"/>
      <c r="MXH1535" s="4"/>
      <c r="MXI1535" s="6"/>
      <c r="MXJ1535" s="4"/>
      <c r="MXK1535" s="6"/>
      <c r="MXL1535" s="4"/>
      <c r="MXM1535" s="6"/>
      <c r="MXN1535" s="4"/>
      <c r="MXO1535" s="6"/>
      <c r="MXP1535" s="4"/>
      <c r="MXQ1535" s="6"/>
      <c r="MXR1535" s="4"/>
      <c r="MXS1535" s="6"/>
      <c r="MXT1535" s="4"/>
      <c r="MXU1535" s="6"/>
      <c r="MXV1535" s="4"/>
      <c r="MXW1535" s="6"/>
      <c r="MXX1535" s="4"/>
      <c r="MXY1535" s="6"/>
      <c r="MXZ1535" s="4"/>
      <c r="MYA1535" s="6"/>
      <c r="MYB1535" s="4"/>
      <c r="MYC1535" s="6"/>
      <c r="MYD1535" s="4"/>
      <c r="MYE1535" s="6"/>
      <c r="MYF1535" s="4"/>
      <c r="MYG1535" s="6"/>
      <c r="MYH1535" s="4"/>
      <c r="MYI1535" s="6"/>
      <c r="MYJ1535" s="4"/>
      <c r="MYK1535" s="6"/>
      <c r="MYL1535" s="4"/>
      <c r="MYM1535" s="6"/>
      <c r="MYN1535" s="4"/>
      <c r="MYO1535" s="6"/>
      <c r="MYP1535" s="4"/>
      <c r="MYQ1535" s="6"/>
      <c r="MYR1535" s="4"/>
      <c r="MYS1535" s="6"/>
      <c r="MYT1535" s="4"/>
      <c r="MYU1535" s="6"/>
      <c r="MYV1535" s="4"/>
      <c r="MYW1535" s="6"/>
      <c r="MYX1535" s="4"/>
      <c r="MYY1535" s="6"/>
      <c r="MYZ1535" s="4"/>
      <c r="MZA1535" s="6"/>
      <c r="MZB1535" s="4"/>
      <c r="MZC1535" s="6"/>
      <c r="MZD1535" s="4"/>
      <c r="MZE1535" s="6"/>
      <c r="MZF1535" s="4"/>
      <c r="MZG1535" s="6"/>
      <c r="MZH1535" s="4"/>
      <c r="MZI1535" s="6"/>
      <c r="MZJ1535" s="4"/>
      <c r="MZK1535" s="6"/>
      <c r="MZL1535" s="4"/>
      <c r="MZM1535" s="6"/>
      <c r="MZN1535" s="4"/>
      <c r="MZO1535" s="6"/>
      <c r="MZP1535" s="4"/>
      <c r="MZQ1535" s="6"/>
      <c r="MZR1535" s="4"/>
      <c r="MZS1535" s="6"/>
      <c r="MZT1535" s="4"/>
      <c r="MZU1535" s="6"/>
      <c r="MZV1535" s="4"/>
      <c r="MZW1535" s="6"/>
      <c r="MZX1535" s="4"/>
      <c r="MZY1535" s="6"/>
      <c r="MZZ1535" s="4"/>
      <c r="NAA1535" s="6"/>
      <c r="NAB1535" s="4"/>
      <c r="NAC1535" s="6"/>
      <c r="NAD1535" s="4"/>
      <c r="NAE1535" s="6"/>
      <c r="NAF1535" s="4"/>
      <c r="NAG1535" s="6"/>
      <c r="NAH1535" s="4"/>
      <c r="NAI1535" s="6"/>
      <c r="NAJ1535" s="4"/>
      <c r="NAK1535" s="6"/>
      <c r="NAL1535" s="4"/>
      <c r="NAM1535" s="6"/>
      <c r="NAN1535" s="4"/>
      <c r="NAO1535" s="6"/>
      <c r="NAP1535" s="4"/>
      <c r="NAQ1535" s="6"/>
      <c r="NAR1535" s="4"/>
      <c r="NAS1535" s="6"/>
      <c r="NAT1535" s="4"/>
      <c r="NAU1535" s="6"/>
      <c r="NAV1535" s="4"/>
      <c r="NAW1535" s="6"/>
      <c r="NAX1535" s="4"/>
      <c r="NAY1535" s="6"/>
      <c r="NAZ1535" s="4"/>
      <c r="NBA1535" s="6"/>
      <c r="NBB1535" s="4"/>
      <c r="NBC1535" s="6"/>
      <c r="NBD1535" s="4"/>
      <c r="NBE1535" s="6"/>
      <c r="NBF1535" s="4"/>
      <c r="NBG1535" s="6"/>
      <c r="NBH1535" s="4"/>
      <c r="NBI1535" s="6"/>
      <c r="NBJ1535" s="4"/>
      <c r="NBK1535" s="6"/>
      <c r="NBL1535" s="4"/>
      <c r="NBM1535" s="6"/>
      <c r="NBN1535" s="4"/>
      <c r="NBO1535" s="6"/>
      <c r="NBP1535" s="4"/>
      <c r="NBQ1535" s="6"/>
      <c r="NBR1535" s="4"/>
      <c r="NBS1535" s="6"/>
      <c r="NBT1535" s="4"/>
      <c r="NBU1535" s="6"/>
      <c r="NBV1535" s="4"/>
      <c r="NBW1535" s="6"/>
      <c r="NBX1535" s="4"/>
      <c r="NBY1535" s="6"/>
      <c r="NBZ1535" s="4"/>
      <c r="NCA1535" s="6"/>
      <c r="NCB1535" s="4"/>
      <c r="NCC1535" s="6"/>
      <c r="NCD1535" s="4"/>
      <c r="NCE1535" s="6"/>
      <c r="NCF1535" s="4"/>
      <c r="NCG1535" s="6"/>
      <c r="NCH1535" s="4"/>
      <c r="NCI1535" s="6"/>
      <c r="NCJ1535" s="4"/>
      <c r="NCK1535" s="6"/>
      <c r="NCL1535" s="4"/>
      <c r="NCM1535" s="6"/>
      <c r="NCN1535" s="4"/>
      <c r="NCO1535" s="6"/>
      <c r="NCP1535" s="4"/>
      <c r="NCQ1535" s="6"/>
      <c r="NCR1535" s="4"/>
      <c r="NCS1535" s="6"/>
      <c r="NCT1535" s="4"/>
      <c r="NCU1535" s="6"/>
      <c r="NCV1535" s="4"/>
      <c r="NCW1535" s="6"/>
      <c r="NCX1535" s="4"/>
      <c r="NCY1535" s="6"/>
      <c r="NCZ1535" s="4"/>
      <c r="NDA1535" s="6"/>
      <c r="NDB1535" s="4"/>
      <c r="NDC1535" s="6"/>
      <c r="NDD1535" s="4"/>
      <c r="NDE1535" s="6"/>
      <c r="NDF1535" s="4"/>
      <c r="NDG1535" s="6"/>
      <c r="NDH1535" s="4"/>
      <c r="NDI1535" s="6"/>
      <c r="NDJ1535" s="4"/>
      <c r="NDK1535" s="6"/>
      <c r="NDL1535" s="4"/>
      <c r="NDM1535" s="6"/>
      <c r="NDN1535" s="4"/>
      <c r="NDO1535" s="6"/>
      <c r="NDP1535" s="4"/>
      <c r="NDQ1535" s="6"/>
      <c r="NDR1535" s="4"/>
      <c r="NDS1535" s="6"/>
      <c r="NDT1535" s="4"/>
      <c r="NDU1535" s="6"/>
      <c r="NDV1535" s="4"/>
      <c r="NDW1535" s="6"/>
      <c r="NDX1535" s="4"/>
      <c r="NDY1535" s="6"/>
      <c r="NDZ1535" s="4"/>
      <c r="NEA1535" s="6"/>
      <c r="NEB1535" s="4"/>
      <c r="NEC1535" s="6"/>
      <c r="NED1535" s="4"/>
      <c r="NEE1535" s="6"/>
      <c r="NEF1535" s="4"/>
      <c r="NEG1535" s="6"/>
      <c r="NEH1535" s="4"/>
      <c r="NEI1535" s="6"/>
      <c r="NEJ1535" s="4"/>
      <c r="NEK1535" s="6"/>
      <c r="NEL1535" s="4"/>
      <c r="NEM1535" s="6"/>
      <c r="NEN1535" s="4"/>
      <c r="NEO1535" s="6"/>
      <c r="NEP1535" s="4"/>
      <c r="NEQ1535" s="6"/>
      <c r="NER1535" s="4"/>
      <c r="NES1535" s="6"/>
      <c r="NET1535" s="4"/>
      <c r="NEU1535" s="6"/>
      <c r="NEV1535" s="4"/>
      <c r="NEW1535" s="6"/>
      <c r="NEX1535" s="4"/>
      <c r="NEY1535" s="6"/>
      <c r="NEZ1535" s="4"/>
      <c r="NFA1535" s="6"/>
      <c r="NFB1535" s="4"/>
      <c r="NFC1535" s="6"/>
      <c r="NFD1535" s="4"/>
      <c r="NFE1535" s="6"/>
      <c r="NFF1535" s="4"/>
      <c r="NFG1535" s="6"/>
      <c r="NFH1535" s="4"/>
      <c r="NFI1535" s="6"/>
      <c r="NFJ1535" s="4"/>
      <c r="NFK1535" s="6"/>
      <c r="NFL1535" s="4"/>
      <c r="NFM1535" s="6"/>
      <c r="NFN1535" s="4"/>
      <c r="NFO1535" s="6"/>
      <c r="NFP1535" s="4"/>
      <c r="NFQ1535" s="6"/>
      <c r="NFR1535" s="4"/>
      <c r="NFS1535" s="6"/>
      <c r="NFT1535" s="4"/>
      <c r="NFU1535" s="6"/>
      <c r="NFV1535" s="4"/>
      <c r="NFW1535" s="6"/>
      <c r="NFX1535" s="4"/>
      <c r="NFY1535" s="6"/>
      <c r="NFZ1535" s="4"/>
      <c r="NGA1535" s="6"/>
      <c r="NGB1535" s="4"/>
      <c r="NGC1535" s="6"/>
      <c r="NGD1535" s="4"/>
      <c r="NGE1535" s="6"/>
      <c r="NGF1535" s="4"/>
      <c r="NGG1535" s="6"/>
      <c r="NGH1535" s="4"/>
      <c r="NGI1535" s="6"/>
      <c r="NGJ1535" s="4"/>
      <c r="NGK1535" s="6"/>
      <c r="NGL1535" s="4"/>
      <c r="NGM1535" s="6"/>
      <c r="NGN1535" s="4"/>
      <c r="NGO1535" s="6"/>
      <c r="NGP1535" s="4"/>
      <c r="NGQ1535" s="6"/>
      <c r="NGR1535" s="4"/>
      <c r="NGS1535" s="6"/>
      <c r="NGT1535" s="4"/>
      <c r="NGU1535" s="6"/>
      <c r="NGV1535" s="4"/>
      <c r="NGW1535" s="6"/>
      <c r="NGX1535" s="4"/>
      <c r="NGY1535" s="6"/>
      <c r="NGZ1535" s="4"/>
      <c r="NHA1535" s="6"/>
      <c r="NHB1535" s="4"/>
      <c r="NHC1535" s="6"/>
      <c r="NHD1535" s="4"/>
      <c r="NHE1535" s="6"/>
      <c r="NHF1535" s="4"/>
      <c r="NHG1535" s="6"/>
      <c r="NHH1535" s="4"/>
      <c r="NHI1535" s="6"/>
      <c r="NHJ1535" s="4"/>
      <c r="NHK1535" s="6"/>
      <c r="NHL1535" s="4"/>
      <c r="NHM1535" s="6"/>
      <c r="NHN1535" s="4"/>
      <c r="NHO1535" s="6"/>
      <c r="NHP1535" s="4"/>
      <c r="NHQ1535" s="6"/>
      <c r="NHR1535" s="4"/>
      <c r="NHS1535" s="6"/>
      <c r="NHT1535" s="4"/>
      <c r="NHU1535" s="6"/>
      <c r="NHV1535" s="4"/>
      <c r="NHW1535" s="6"/>
      <c r="NHX1535" s="4"/>
      <c r="NHY1535" s="6"/>
      <c r="NHZ1535" s="4"/>
      <c r="NIA1535" s="6"/>
      <c r="NIB1535" s="4"/>
      <c r="NIC1535" s="6"/>
      <c r="NID1535" s="4"/>
      <c r="NIE1535" s="6"/>
      <c r="NIF1535" s="4"/>
      <c r="NIG1535" s="6"/>
      <c r="NIH1535" s="4"/>
      <c r="NII1535" s="6"/>
      <c r="NIJ1535" s="4"/>
      <c r="NIK1535" s="6"/>
      <c r="NIL1535" s="4"/>
      <c r="NIM1535" s="6"/>
      <c r="NIN1535" s="4"/>
      <c r="NIO1535" s="6"/>
      <c r="NIP1535" s="4"/>
      <c r="NIQ1535" s="6"/>
      <c r="NIR1535" s="4"/>
      <c r="NIS1535" s="6"/>
      <c r="NIT1535" s="4"/>
      <c r="NIU1535" s="6"/>
      <c r="NIV1535" s="4"/>
      <c r="NIW1535" s="6"/>
      <c r="NIX1535" s="4"/>
      <c r="NIY1535" s="6"/>
      <c r="NIZ1535" s="4"/>
      <c r="NJA1535" s="6"/>
      <c r="NJB1535" s="4"/>
      <c r="NJC1535" s="6"/>
      <c r="NJD1535" s="4"/>
      <c r="NJE1535" s="6"/>
      <c r="NJF1535" s="4"/>
      <c r="NJG1535" s="6"/>
      <c r="NJH1535" s="4"/>
      <c r="NJI1535" s="6"/>
      <c r="NJJ1535" s="4"/>
      <c r="NJK1535" s="6"/>
      <c r="NJL1535" s="4"/>
      <c r="NJM1535" s="6"/>
      <c r="NJN1535" s="4"/>
      <c r="NJO1535" s="6"/>
      <c r="NJP1535" s="4"/>
      <c r="NJQ1535" s="6"/>
      <c r="NJR1535" s="4"/>
      <c r="NJS1535" s="6"/>
      <c r="NJT1535" s="4"/>
      <c r="NJU1535" s="6"/>
      <c r="NJV1535" s="4"/>
      <c r="NJW1535" s="6"/>
      <c r="NJX1535" s="4"/>
      <c r="NJY1535" s="6"/>
      <c r="NJZ1535" s="4"/>
      <c r="NKA1535" s="6"/>
      <c r="NKB1535" s="4"/>
      <c r="NKC1535" s="6"/>
      <c r="NKD1535" s="4"/>
      <c r="NKE1535" s="6"/>
      <c r="NKF1535" s="4"/>
      <c r="NKG1535" s="6"/>
      <c r="NKH1535" s="4"/>
      <c r="NKI1535" s="6"/>
      <c r="NKJ1535" s="4"/>
      <c r="NKK1535" s="6"/>
      <c r="NKL1535" s="4"/>
      <c r="NKM1535" s="6"/>
      <c r="NKN1535" s="4"/>
      <c r="NKO1535" s="6"/>
      <c r="NKP1535" s="4"/>
      <c r="NKQ1535" s="6"/>
      <c r="NKR1535" s="4"/>
      <c r="NKS1535" s="6"/>
      <c r="NKT1535" s="4"/>
      <c r="NKU1535" s="6"/>
      <c r="NKV1535" s="4"/>
      <c r="NKW1535" s="6"/>
      <c r="NKX1535" s="4"/>
      <c r="NKY1535" s="6"/>
      <c r="NKZ1535" s="4"/>
      <c r="NLA1535" s="6"/>
      <c r="NLB1535" s="4"/>
      <c r="NLC1535" s="6"/>
      <c r="NLD1535" s="4"/>
      <c r="NLE1535" s="6"/>
      <c r="NLF1535" s="4"/>
      <c r="NLG1535" s="6"/>
      <c r="NLH1535" s="4"/>
      <c r="NLI1535" s="6"/>
      <c r="NLJ1535" s="4"/>
      <c r="NLK1535" s="6"/>
      <c r="NLL1535" s="4"/>
      <c r="NLM1535" s="6"/>
      <c r="NLN1535" s="4"/>
      <c r="NLO1535" s="6"/>
      <c r="NLP1535" s="4"/>
      <c r="NLQ1535" s="6"/>
      <c r="NLR1535" s="4"/>
      <c r="NLS1535" s="6"/>
      <c r="NLT1535" s="4"/>
      <c r="NLU1535" s="6"/>
      <c r="NLV1535" s="4"/>
      <c r="NLW1535" s="6"/>
      <c r="NLX1535" s="4"/>
      <c r="NLY1535" s="6"/>
      <c r="NLZ1535" s="4"/>
      <c r="NMA1535" s="6"/>
      <c r="NMB1535" s="4"/>
      <c r="NMC1535" s="6"/>
      <c r="NMD1535" s="4"/>
      <c r="NME1535" s="6"/>
      <c r="NMF1535" s="4"/>
      <c r="NMG1535" s="6"/>
      <c r="NMH1535" s="4"/>
      <c r="NMI1535" s="6"/>
      <c r="NMJ1535" s="4"/>
      <c r="NMK1535" s="6"/>
      <c r="NML1535" s="4"/>
      <c r="NMM1535" s="6"/>
      <c r="NMN1535" s="4"/>
      <c r="NMO1535" s="6"/>
      <c r="NMP1535" s="4"/>
      <c r="NMQ1535" s="6"/>
      <c r="NMR1535" s="4"/>
      <c r="NMS1535" s="6"/>
      <c r="NMT1535" s="4"/>
      <c r="NMU1535" s="6"/>
      <c r="NMV1535" s="4"/>
      <c r="NMW1535" s="6"/>
      <c r="NMX1535" s="4"/>
      <c r="NMY1535" s="6"/>
      <c r="NMZ1535" s="4"/>
      <c r="NNA1535" s="6"/>
      <c r="NNB1535" s="4"/>
      <c r="NNC1535" s="6"/>
      <c r="NND1535" s="4"/>
      <c r="NNE1535" s="6"/>
      <c r="NNF1535" s="4"/>
      <c r="NNG1535" s="6"/>
      <c r="NNH1535" s="4"/>
      <c r="NNI1535" s="6"/>
      <c r="NNJ1535" s="4"/>
      <c r="NNK1535" s="6"/>
      <c r="NNL1535" s="4"/>
      <c r="NNM1535" s="6"/>
      <c r="NNN1535" s="4"/>
      <c r="NNO1535" s="6"/>
      <c r="NNP1535" s="4"/>
      <c r="NNQ1535" s="6"/>
      <c r="NNR1535" s="4"/>
      <c r="NNS1535" s="6"/>
      <c r="NNT1535" s="4"/>
      <c r="NNU1535" s="6"/>
      <c r="NNV1535" s="4"/>
      <c r="NNW1535" s="6"/>
      <c r="NNX1535" s="4"/>
      <c r="NNY1535" s="6"/>
      <c r="NNZ1535" s="4"/>
      <c r="NOA1535" s="6"/>
      <c r="NOB1535" s="4"/>
      <c r="NOC1535" s="6"/>
      <c r="NOD1535" s="4"/>
      <c r="NOE1535" s="6"/>
      <c r="NOF1535" s="4"/>
      <c r="NOG1535" s="6"/>
      <c r="NOH1535" s="4"/>
      <c r="NOI1535" s="6"/>
      <c r="NOJ1535" s="4"/>
      <c r="NOK1535" s="6"/>
      <c r="NOL1535" s="4"/>
      <c r="NOM1535" s="6"/>
      <c r="NON1535" s="4"/>
      <c r="NOO1535" s="6"/>
      <c r="NOP1535" s="4"/>
      <c r="NOQ1535" s="6"/>
      <c r="NOR1535" s="4"/>
      <c r="NOS1535" s="6"/>
      <c r="NOT1535" s="4"/>
      <c r="NOU1535" s="6"/>
      <c r="NOV1535" s="4"/>
      <c r="NOW1535" s="6"/>
      <c r="NOX1535" s="4"/>
      <c r="NOY1535" s="6"/>
      <c r="NOZ1535" s="4"/>
      <c r="NPA1535" s="6"/>
      <c r="NPB1535" s="4"/>
      <c r="NPC1535" s="6"/>
      <c r="NPD1535" s="4"/>
      <c r="NPE1535" s="6"/>
      <c r="NPF1535" s="4"/>
      <c r="NPG1535" s="6"/>
      <c r="NPH1535" s="4"/>
      <c r="NPI1535" s="6"/>
      <c r="NPJ1535" s="4"/>
      <c r="NPK1535" s="6"/>
      <c r="NPL1535" s="4"/>
      <c r="NPM1535" s="6"/>
      <c r="NPN1535" s="4"/>
      <c r="NPO1535" s="6"/>
      <c r="NPP1535" s="4"/>
      <c r="NPQ1535" s="6"/>
      <c r="NPR1535" s="4"/>
      <c r="NPS1535" s="6"/>
      <c r="NPT1535" s="4"/>
      <c r="NPU1535" s="6"/>
      <c r="NPV1535" s="4"/>
      <c r="NPW1535" s="6"/>
      <c r="NPX1535" s="4"/>
      <c r="NPY1535" s="6"/>
      <c r="NPZ1535" s="4"/>
      <c r="NQA1535" s="6"/>
      <c r="NQB1535" s="4"/>
      <c r="NQC1535" s="6"/>
      <c r="NQD1535" s="4"/>
      <c r="NQE1535" s="6"/>
      <c r="NQF1535" s="4"/>
      <c r="NQG1535" s="6"/>
      <c r="NQH1535" s="4"/>
      <c r="NQI1535" s="6"/>
      <c r="NQJ1535" s="4"/>
      <c r="NQK1535" s="6"/>
      <c r="NQL1535" s="4"/>
      <c r="NQM1535" s="6"/>
      <c r="NQN1535" s="4"/>
      <c r="NQO1535" s="6"/>
      <c r="NQP1535" s="4"/>
      <c r="NQQ1535" s="6"/>
      <c r="NQR1535" s="4"/>
      <c r="NQS1535" s="6"/>
      <c r="NQT1535" s="4"/>
      <c r="NQU1535" s="6"/>
      <c r="NQV1535" s="4"/>
      <c r="NQW1535" s="6"/>
      <c r="NQX1535" s="4"/>
      <c r="NQY1535" s="6"/>
      <c r="NQZ1535" s="4"/>
      <c r="NRA1535" s="6"/>
      <c r="NRB1535" s="4"/>
      <c r="NRC1535" s="6"/>
      <c r="NRD1535" s="4"/>
      <c r="NRE1535" s="6"/>
      <c r="NRF1535" s="4"/>
      <c r="NRG1535" s="6"/>
      <c r="NRH1535" s="4"/>
      <c r="NRI1535" s="6"/>
      <c r="NRJ1535" s="4"/>
      <c r="NRK1535" s="6"/>
      <c r="NRL1535" s="4"/>
      <c r="NRM1535" s="6"/>
      <c r="NRN1535" s="4"/>
      <c r="NRO1535" s="6"/>
      <c r="NRP1535" s="4"/>
      <c r="NRQ1535" s="6"/>
      <c r="NRR1535" s="4"/>
      <c r="NRS1535" s="6"/>
      <c r="NRT1535" s="4"/>
      <c r="NRU1535" s="6"/>
      <c r="NRV1535" s="4"/>
      <c r="NRW1535" s="6"/>
      <c r="NRX1535" s="4"/>
      <c r="NRY1535" s="6"/>
      <c r="NRZ1535" s="4"/>
      <c r="NSA1535" s="6"/>
      <c r="NSB1535" s="4"/>
      <c r="NSC1535" s="6"/>
      <c r="NSD1535" s="4"/>
      <c r="NSE1535" s="6"/>
      <c r="NSF1535" s="4"/>
      <c r="NSG1535" s="6"/>
      <c r="NSH1535" s="4"/>
      <c r="NSI1535" s="6"/>
      <c r="NSJ1535" s="4"/>
      <c r="NSK1535" s="6"/>
      <c r="NSL1535" s="4"/>
      <c r="NSM1535" s="6"/>
      <c r="NSN1535" s="4"/>
      <c r="NSO1535" s="6"/>
      <c r="NSP1535" s="4"/>
      <c r="NSQ1535" s="6"/>
      <c r="NSR1535" s="4"/>
      <c r="NSS1535" s="6"/>
      <c r="NST1535" s="4"/>
      <c r="NSU1535" s="6"/>
      <c r="NSV1535" s="4"/>
      <c r="NSW1535" s="6"/>
      <c r="NSX1535" s="4"/>
      <c r="NSY1535" s="6"/>
      <c r="NSZ1535" s="4"/>
      <c r="NTA1535" s="6"/>
      <c r="NTB1535" s="4"/>
      <c r="NTC1535" s="6"/>
      <c r="NTD1535" s="4"/>
      <c r="NTE1535" s="6"/>
      <c r="NTF1535" s="4"/>
      <c r="NTG1535" s="6"/>
      <c r="NTH1535" s="4"/>
      <c r="NTI1535" s="6"/>
      <c r="NTJ1535" s="4"/>
      <c r="NTK1535" s="6"/>
      <c r="NTL1535" s="4"/>
      <c r="NTM1535" s="6"/>
      <c r="NTN1535" s="4"/>
      <c r="NTO1535" s="6"/>
      <c r="NTP1535" s="4"/>
      <c r="NTQ1535" s="6"/>
      <c r="NTR1535" s="4"/>
      <c r="NTS1535" s="6"/>
      <c r="NTT1535" s="4"/>
      <c r="NTU1535" s="6"/>
      <c r="NTV1535" s="4"/>
      <c r="NTW1535" s="6"/>
      <c r="NTX1535" s="4"/>
      <c r="NTY1535" s="6"/>
      <c r="NTZ1535" s="4"/>
      <c r="NUA1535" s="6"/>
      <c r="NUB1535" s="4"/>
      <c r="NUC1535" s="6"/>
      <c r="NUD1535" s="4"/>
      <c r="NUE1535" s="6"/>
      <c r="NUF1535" s="4"/>
      <c r="NUG1535" s="6"/>
      <c r="NUH1535" s="4"/>
      <c r="NUI1535" s="6"/>
      <c r="NUJ1535" s="4"/>
      <c r="NUK1535" s="6"/>
      <c r="NUL1535" s="4"/>
      <c r="NUM1535" s="6"/>
      <c r="NUN1535" s="4"/>
      <c r="NUO1535" s="6"/>
      <c r="NUP1535" s="4"/>
      <c r="NUQ1535" s="6"/>
      <c r="NUR1535" s="4"/>
      <c r="NUS1535" s="6"/>
      <c r="NUT1535" s="4"/>
      <c r="NUU1535" s="6"/>
      <c r="NUV1535" s="4"/>
      <c r="NUW1535" s="6"/>
      <c r="NUX1535" s="4"/>
      <c r="NUY1535" s="6"/>
      <c r="NUZ1535" s="4"/>
      <c r="NVA1535" s="6"/>
      <c r="NVB1535" s="4"/>
      <c r="NVC1535" s="6"/>
      <c r="NVD1535" s="4"/>
      <c r="NVE1535" s="6"/>
      <c r="NVF1535" s="4"/>
      <c r="NVG1535" s="6"/>
      <c r="NVH1535" s="4"/>
      <c r="NVI1535" s="6"/>
      <c r="NVJ1535" s="4"/>
      <c r="NVK1535" s="6"/>
      <c r="NVL1535" s="4"/>
      <c r="NVM1535" s="6"/>
      <c r="NVN1535" s="4"/>
      <c r="NVO1535" s="6"/>
      <c r="NVP1535" s="4"/>
      <c r="NVQ1535" s="6"/>
      <c r="NVR1535" s="4"/>
      <c r="NVS1535" s="6"/>
      <c r="NVT1535" s="4"/>
      <c r="NVU1535" s="6"/>
      <c r="NVV1535" s="4"/>
      <c r="NVW1535" s="6"/>
      <c r="NVX1535" s="4"/>
      <c r="NVY1535" s="6"/>
      <c r="NVZ1535" s="4"/>
      <c r="NWA1535" s="6"/>
      <c r="NWB1535" s="4"/>
      <c r="NWC1535" s="6"/>
      <c r="NWD1535" s="4"/>
      <c r="NWE1535" s="6"/>
      <c r="NWF1535" s="4"/>
      <c r="NWG1535" s="6"/>
      <c r="NWH1535" s="4"/>
      <c r="NWI1535" s="6"/>
      <c r="NWJ1535" s="4"/>
      <c r="NWK1535" s="6"/>
      <c r="NWL1535" s="4"/>
      <c r="NWM1535" s="6"/>
      <c r="NWN1535" s="4"/>
      <c r="NWO1535" s="6"/>
      <c r="NWP1535" s="4"/>
      <c r="NWQ1535" s="6"/>
      <c r="NWR1535" s="4"/>
      <c r="NWS1535" s="6"/>
      <c r="NWT1535" s="4"/>
      <c r="NWU1535" s="6"/>
      <c r="NWV1535" s="4"/>
      <c r="NWW1535" s="6"/>
      <c r="NWX1535" s="4"/>
      <c r="NWY1535" s="6"/>
      <c r="NWZ1535" s="4"/>
      <c r="NXA1535" s="6"/>
      <c r="NXB1535" s="4"/>
      <c r="NXC1535" s="6"/>
      <c r="NXD1535" s="4"/>
      <c r="NXE1535" s="6"/>
      <c r="NXF1535" s="4"/>
      <c r="NXG1535" s="6"/>
      <c r="NXH1535" s="4"/>
      <c r="NXI1535" s="6"/>
      <c r="NXJ1535" s="4"/>
      <c r="NXK1535" s="6"/>
      <c r="NXL1535" s="4"/>
      <c r="NXM1535" s="6"/>
      <c r="NXN1535" s="4"/>
      <c r="NXO1535" s="6"/>
      <c r="NXP1535" s="4"/>
      <c r="NXQ1535" s="6"/>
      <c r="NXR1535" s="4"/>
      <c r="NXS1535" s="6"/>
      <c r="NXT1535" s="4"/>
      <c r="NXU1535" s="6"/>
      <c r="NXV1535" s="4"/>
      <c r="NXW1535" s="6"/>
      <c r="NXX1535" s="4"/>
      <c r="NXY1535" s="6"/>
      <c r="NXZ1535" s="4"/>
      <c r="NYA1535" s="6"/>
      <c r="NYB1535" s="4"/>
      <c r="NYC1535" s="6"/>
      <c r="NYD1535" s="4"/>
      <c r="NYE1535" s="6"/>
      <c r="NYF1535" s="4"/>
      <c r="NYG1535" s="6"/>
      <c r="NYH1535" s="4"/>
      <c r="NYI1535" s="6"/>
      <c r="NYJ1535" s="4"/>
      <c r="NYK1535" s="6"/>
      <c r="NYL1535" s="4"/>
      <c r="NYM1535" s="6"/>
      <c r="NYN1535" s="4"/>
      <c r="NYO1535" s="6"/>
      <c r="NYP1535" s="4"/>
      <c r="NYQ1535" s="6"/>
      <c r="NYR1535" s="4"/>
      <c r="NYS1535" s="6"/>
      <c r="NYT1535" s="4"/>
      <c r="NYU1535" s="6"/>
      <c r="NYV1535" s="4"/>
      <c r="NYW1535" s="6"/>
      <c r="NYX1535" s="4"/>
      <c r="NYY1535" s="6"/>
      <c r="NYZ1535" s="4"/>
      <c r="NZA1535" s="6"/>
      <c r="NZB1535" s="4"/>
      <c r="NZC1535" s="6"/>
      <c r="NZD1535" s="4"/>
      <c r="NZE1535" s="6"/>
      <c r="NZF1535" s="4"/>
      <c r="NZG1535" s="6"/>
      <c r="NZH1535" s="4"/>
      <c r="NZI1535" s="6"/>
      <c r="NZJ1535" s="4"/>
      <c r="NZK1535" s="6"/>
      <c r="NZL1535" s="4"/>
      <c r="NZM1535" s="6"/>
      <c r="NZN1535" s="4"/>
      <c r="NZO1535" s="6"/>
      <c r="NZP1535" s="4"/>
      <c r="NZQ1535" s="6"/>
      <c r="NZR1535" s="4"/>
      <c r="NZS1535" s="6"/>
      <c r="NZT1535" s="4"/>
      <c r="NZU1535" s="6"/>
      <c r="NZV1535" s="4"/>
      <c r="NZW1535" s="6"/>
      <c r="NZX1535" s="4"/>
      <c r="NZY1535" s="6"/>
      <c r="NZZ1535" s="4"/>
      <c r="OAA1535" s="6"/>
      <c r="OAB1535" s="4"/>
      <c r="OAC1535" s="6"/>
      <c r="OAD1535" s="4"/>
      <c r="OAE1535" s="6"/>
      <c r="OAF1535" s="4"/>
      <c r="OAG1535" s="6"/>
      <c r="OAH1535" s="4"/>
      <c r="OAI1535" s="6"/>
      <c r="OAJ1535" s="4"/>
      <c r="OAK1535" s="6"/>
      <c r="OAL1535" s="4"/>
      <c r="OAM1535" s="6"/>
      <c r="OAN1535" s="4"/>
      <c r="OAO1535" s="6"/>
      <c r="OAP1535" s="4"/>
      <c r="OAQ1535" s="6"/>
      <c r="OAR1535" s="4"/>
      <c r="OAS1535" s="6"/>
      <c r="OAT1535" s="4"/>
      <c r="OAU1535" s="6"/>
      <c r="OAV1535" s="4"/>
      <c r="OAW1535" s="6"/>
      <c r="OAX1535" s="4"/>
      <c r="OAY1535" s="6"/>
      <c r="OAZ1535" s="4"/>
      <c r="OBA1535" s="6"/>
      <c r="OBB1535" s="4"/>
      <c r="OBC1535" s="6"/>
      <c r="OBD1535" s="4"/>
      <c r="OBE1535" s="6"/>
      <c r="OBF1535" s="4"/>
      <c r="OBG1535" s="6"/>
      <c r="OBH1535" s="4"/>
      <c r="OBI1535" s="6"/>
      <c r="OBJ1535" s="4"/>
      <c r="OBK1535" s="6"/>
      <c r="OBL1535" s="4"/>
      <c r="OBM1535" s="6"/>
      <c r="OBN1535" s="4"/>
      <c r="OBO1535" s="6"/>
      <c r="OBP1535" s="4"/>
      <c r="OBQ1535" s="6"/>
      <c r="OBR1535" s="4"/>
      <c r="OBS1535" s="6"/>
      <c r="OBT1535" s="4"/>
      <c r="OBU1535" s="6"/>
      <c r="OBV1535" s="4"/>
      <c r="OBW1535" s="6"/>
      <c r="OBX1535" s="4"/>
      <c r="OBY1535" s="6"/>
      <c r="OBZ1535" s="4"/>
      <c r="OCA1535" s="6"/>
      <c r="OCB1535" s="4"/>
      <c r="OCC1535" s="6"/>
      <c r="OCD1535" s="4"/>
      <c r="OCE1535" s="6"/>
      <c r="OCF1535" s="4"/>
      <c r="OCG1535" s="6"/>
      <c r="OCH1535" s="4"/>
      <c r="OCI1535" s="6"/>
      <c r="OCJ1535" s="4"/>
      <c r="OCK1535" s="6"/>
      <c r="OCL1535" s="4"/>
      <c r="OCM1535" s="6"/>
      <c r="OCN1535" s="4"/>
      <c r="OCO1535" s="6"/>
      <c r="OCP1535" s="4"/>
      <c r="OCQ1535" s="6"/>
      <c r="OCR1535" s="4"/>
      <c r="OCS1535" s="6"/>
      <c r="OCT1535" s="4"/>
      <c r="OCU1535" s="6"/>
      <c r="OCV1535" s="4"/>
      <c r="OCW1535" s="6"/>
      <c r="OCX1535" s="4"/>
      <c r="OCY1535" s="6"/>
      <c r="OCZ1535" s="4"/>
      <c r="ODA1535" s="6"/>
      <c r="ODB1535" s="4"/>
      <c r="ODC1535" s="6"/>
      <c r="ODD1535" s="4"/>
      <c r="ODE1535" s="6"/>
      <c r="ODF1535" s="4"/>
      <c r="ODG1535" s="6"/>
      <c r="ODH1535" s="4"/>
      <c r="ODI1535" s="6"/>
      <c r="ODJ1535" s="4"/>
      <c r="ODK1535" s="6"/>
      <c r="ODL1535" s="4"/>
      <c r="ODM1535" s="6"/>
      <c r="ODN1535" s="4"/>
      <c r="ODO1535" s="6"/>
      <c r="ODP1535" s="4"/>
      <c r="ODQ1535" s="6"/>
      <c r="ODR1535" s="4"/>
      <c r="ODS1535" s="6"/>
      <c r="ODT1535" s="4"/>
      <c r="ODU1535" s="6"/>
      <c r="ODV1535" s="4"/>
      <c r="ODW1535" s="6"/>
      <c r="ODX1535" s="4"/>
      <c r="ODY1535" s="6"/>
      <c r="ODZ1535" s="4"/>
      <c r="OEA1535" s="6"/>
      <c r="OEB1535" s="4"/>
      <c r="OEC1535" s="6"/>
      <c r="OED1535" s="4"/>
      <c r="OEE1535" s="6"/>
      <c r="OEF1535" s="4"/>
      <c r="OEG1535" s="6"/>
      <c r="OEH1535" s="4"/>
      <c r="OEI1535" s="6"/>
      <c r="OEJ1535" s="4"/>
      <c r="OEK1535" s="6"/>
      <c r="OEL1535" s="4"/>
      <c r="OEM1535" s="6"/>
      <c r="OEN1535" s="4"/>
      <c r="OEO1535" s="6"/>
      <c r="OEP1535" s="4"/>
      <c r="OEQ1535" s="6"/>
      <c r="OER1535" s="4"/>
      <c r="OES1535" s="6"/>
      <c r="OET1535" s="4"/>
      <c r="OEU1535" s="6"/>
      <c r="OEV1535" s="4"/>
      <c r="OEW1535" s="6"/>
      <c r="OEX1535" s="4"/>
      <c r="OEY1535" s="6"/>
      <c r="OEZ1535" s="4"/>
      <c r="OFA1535" s="6"/>
      <c r="OFB1535" s="4"/>
      <c r="OFC1535" s="6"/>
      <c r="OFD1535" s="4"/>
      <c r="OFE1535" s="6"/>
      <c r="OFF1535" s="4"/>
      <c r="OFG1535" s="6"/>
      <c r="OFH1535" s="4"/>
      <c r="OFI1535" s="6"/>
      <c r="OFJ1535" s="4"/>
      <c r="OFK1535" s="6"/>
      <c r="OFL1535" s="4"/>
      <c r="OFM1535" s="6"/>
      <c r="OFN1535" s="4"/>
      <c r="OFO1535" s="6"/>
      <c r="OFP1535" s="4"/>
      <c r="OFQ1535" s="6"/>
      <c r="OFR1535" s="4"/>
      <c r="OFS1535" s="6"/>
      <c r="OFT1535" s="4"/>
      <c r="OFU1535" s="6"/>
      <c r="OFV1535" s="4"/>
      <c r="OFW1535" s="6"/>
      <c r="OFX1535" s="4"/>
      <c r="OFY1535" s="6"/>
      <c r="OFZ1535" s="4"/>
      <c r="OGA1535" s="6"/>
      <c r="OGB1535" s="4"/>
      <c r="OGC1535" s="6"/>
      <c r="OGD1535" s="4"/>
      <c r="OGE1535" s="6"/>
      <c r="OGF1535" s="4"/>
      <c r="OGG1535" s="6"/>
      <c r="OGH1535" s="4"/>
      <c r="OGI1535" s="6"/>
      <c r="OGJ1535" s="4"/>
      <c r="OGK1535" s="6"/>
      <c r="OGL1535" s="4"/>
      <c r="OGM1535" s="6"/>
      <c r="OGN1535" s="4"/>
      <c r="OGO1535" s="6"/>
      <c r="OGP1535" s="4"/>
      <c r="OGQ1535" s="6"/>
      <c r="OGR1535" s="4"/>
      <c r="OGS1535" s="6"/>
      <c r="OGT1535" s="4"/>
      <c r="OGU1535" s="6"/>
      <c r="OGV1535" s="4"/>
      <c r="OGW1535" s="6"/>
      <c r="OGX1535" s="4"/>
      <c r="OGY1535" s="6"/>
      <c r="OGZ1535" s="4"/>
      <c r="OHA1535" s="6"/>
      <c r="OHB1535" s="4"/>
      <c r="OHC1535" s="6"/>
      <c r="OHD1535" s="4"/>
      <c r="OHE1535" s="6"/>
      <c r="OHF1535" s="4"/>
      <c r="OHG1535" s="6"/>
      <c r="OHH1535" s="4"/>
      <c r="OHI1535" s="6"/>
      <c r="OHJ1535" s="4"/>
      <c r="OHK1535" s="6"/>
      <c r="OHL1535" s="4"/>
      <c r="OHM1535" s="6"/>
      <c r="OHN1535" s="4"/>
      <c r="OHO1535" s="6"/>
      <c r="OHP1535" s="4"/>
      <c r="OHQ1535" s="6"/>
      <c r="OHR1535" s="4"/>
      <c r="OHS1535" s="6"/>
      <c r="OHT1535" s="4"/>
      <c r="OHU1535" s="6"/>
      <c r="OHV1535" s="4"/>
      <c r="OHW1535" s="6"/>
      <c r="OHX1535" s="4"/>
      <c r="OHY1535" s="6"/>
      <c r="OHZ1535" s="4"/>
      <c r="OIA1535" s="6"/>
      <c r="OIB1535" s="4"/>
      <c r="OIC1535" s="6"/>
      <c r="OID1535" s="4"/>
      <c r="OIE1535" s="6"/>
      <c r="OIF1535" s="4"/>
      <c r="OIG1535" s="6"/>
      <c r="OIH1535" s="4"/>
      <c r="OII1535" s="6"/>
      <c r="OIJ1535" s="4"/>
      <c r="OIK1535" s="6"/>
      <c r="OIL1535" s="4"/>
      <c r="OIM1535" s="6"/>
      <c r="OIN1535" s="4"/>
      <c r="OIO1535" s="6"/>
      <c r="OIP1535" s="4"/>
      <c r="OIQ1535" s="6"/>
      <c r="OIR1535" s="4"/>
      <c r="OIS1535" s="6"/>
      <c r="OIT1535" s="4"/>
      <c r="OIU1535" s="6"/>
      <c r="OIV1535" s="4"/>
      <c r="OIW1535" s="6"/>
      <c r="OIX1535" s="4"/>
      <c r="OIY1535" s="6"/>
      <c r="OIZ1535" s="4"/>
      <c r="OJA1535" s="6"/>
      <c r="OJB1535" s="4"/>
      <c r="OJC1535" s="6"/>
      <c r="OJD1535" s="4"/>
      <c r="OJE1535" s="6"/>
      <c r="OJF1535" s="4"/>
      <c r="OJG1535" s="6"/>
      <c r="OJH1535" s="4"/>
      <c r="OJI1535" s="6"/>
      <c r="OJJ1535" s="4"/>
      <c r="OJK1535" s="6"/>
      <c r="OJL1535" s="4"/>
      <c r="OJM1535" s="6"/>
      <c r="OJN1535" s="4"/>
      <c r="OJO1535" s="6"/>
      <c r="OJP1535" s="4"/>
      <c r="OJQ1535" s="6"/>
      <c r="OJR1535" s="4"/>
      <c r="OJS1535" s="6"/>
      <c r="OJT1535" s="4"/>
      <c r="OJU1535" s="6"/>
      <c r="OJV1535" s="4"/>
      <c r="OJW1535" s="6"/>
      <c r="OJX1535" s="4"/>
      <c r="OJY1535" s="6"/>
      <c r="OJZ1535" s="4"/>
      <c r="OKA1535" s="6"/>
      <c r="OKB1535" s="4"/>
      <c r="OKC1535" s="6"/>
      <c r="OKD1535" s="4"/>
      <c r="OKE1535" s="6"/>
      <c r="OKF1535" s="4"/>
      <c r="OKG1535" s="6"/>
      <c r="OKH1535" s="4"/>
      <c r="OKI1535" s="6"/>
      <c r="OKJ1535" s="4"/>
      <c r="OKK1535" s="6"/>
      <c r="OKL1535" s="4"/>
      <c r="OKM1535" s="6"/>
      <c r="OKN1535" s="4"/>
      <c r="OKO1535" s="6"/>
      <c r="OKP1535" s="4"/>
      <c r="OKQ1535" s="6"/>
      <c r="OKR1535" s="4"/>
      <c r="OKS1535" s="6"/>
      <c r="OKT1535" s="4"/>
      <c r="OKU1535" s="6"/>
      <c r="OKV1535" s="4"/>
      <c r="OKW1535" s="6"/>
      <c r="OKX1535" s="4"/>
      <c r="OKY1535" s="6"/>
      <c r="OKZ1535" s="4"/>
      <c r="OLA1535" s="6"/>
      <c r="OLB1535" s="4"/>
      <c r="OLC1535" s="6"/>
      <c r="OLD1535" s="4"/>
      <c r="OLE1535" s="6"/>
      <c r="OLF1535" s="4"/>
      <c r="OLG1535" s="6"/>
      <c r="OLH1535" s="4"/>
      <c r="OLI1535" s="6"/>
      <c r="OLJ1535" s="4"/>
      <c r="OLK1535" s="6"/>
      <c r="OLL1535" s="4"/>
      <c r="OLM1535" s="6"/>
      <c r="OLN1535" s="4"/>
      <c r="OLO1535" s="6"/>
      <c r="OLP1535" s="4"/>
      <c r="OLQ1535" s="6"/>
      <c r="OLR1535" s="4"/>
      <c r="OLS1535" s="6"/>
      <c r="OLT1535" s="4"/>
      <c r="OLU1535" s="6"/>
      <c r="OLV1535" s="4"/>
      <c r="OLW1535" s="6"/>
      <c r="OLX1535" s="4"/>
      <c r="OLY1535" s="6"/>
      <c r="OLZ1535" s="4"/>
      <c r="OMA1535" s="6"/>
      <c r="OMB1535" s="4"/>
      <c r="OMC1535" s="6"/>
      <c r="OMD1535" s="4"/>
      <c r="OME1535" s="6"/>
      <c r="OMF1535" s="4"/>
      <c r="OMG1535" s="6"/>
      <c r="OMH1535" s="4"/>
      <c r="OMI1535" s="6"/>
      <c r="OMJ1535" s="4"/>
      <c r="OMK1535" s="6"/>
      <c r="OML1535" s="4"/>
      <c r="OMM1535" s="6"/>
      <c r="OMN1535" s="4"/>
      <c r="OMO1535" s="6"/>
      <c r="OMP1535" s="4"/>
      <c r="OMQ1535" s="6"/>
      <c r="OMR1535" s="4"/>
      <c r="OMS1535" s="6"/>
      <c r="OMT1535" s="4"/>
      <c r="OMU1535" s="6"/>
      <c r="OMV1535" s="4"/>
      <c r="OMW1535" s="6"/>
      <c r="OMX1535" s="4"/>
      <c r="OMY1535" s="6"/>
      <c r="OMZ1535" s="4"/>
      <c r="ONA1535" s="6"/>
      <c r="ONB1535" s="4"/>
      <c r="ONC1535" s="6"/>
      <c r="OND1535" s="4"/>
      <c r="ONE1535" s="6"/>
      <c r="ONF1535" s="4"/>
      <c r="ONG1535" s="6"/>
      <c r="ONH1535" s="4"/>
      <c r="ONI1535" s="6"/>
      <c r="ONJ1535" s="4"/>
      <c r="ONK1535" s="6"/>
      <c r="ONL1535" s="4"/>
      <c r="ONM1535" s="6"/>
      <c r="ONN1535" s="4"/>
      <c r="ONO1535" s="6"/>
      <c r="ONP1535" s="4"/>
      <c r="ONQ1535" s="6"/>
      <c r="ONR1535" s="4"/>
      <c r="ONS1535" s="6"/>
      <c r="ONT1535" s="4"/>
      <c r="ONU1535" s="6"/>
      <c r="ONV1535" s="4"/>
      <c r="ONW1535" s="6"/>
      <c r="ONX1535" s="4"/>
      <c r="ONY1535" s="6"/>
      <c r="ONZ1535" s="4"/>
      <c r="OOA1535" s="6"/>
      <c r="OOB1535" s="4"/>
      <c r="OOC1535" s="6"/>
      <c r="OOD1535" s="4"/>
      <c r="OOE1535" s="6"/>
      <c r="OOF1535" s="4"/>
      <c r="OOG1535" s="6"/>
      <c r="OOH1535" s="4"/>
      <c r="OOI1535" s="6"/>
      <c r="OOJ1535" s="4"/>
      <c r="OOK1535" s="6"/>
      <c r="OOL1535" s="4"/>
      <c r="OOM1535" s="6"/>
      <c r="OON1535" s="4"/>
      <c r="OOO1535" s="6"/>
      <c r="OOP1535" s="4"/>
      <c r="OOQ1535" s="6"/>
      <c r="OOR1535" s="4"/>
      <c r="OOS1535" s="6"/>
      <c r="OOT1535" s="4"/>
      <c r="OOU1535" s="6"/>
      <c r="OOV1535" s="4"/>
      <c r="OOW1535" s="6"/>
      <c r="OOX1535" s="4"/>
      <c r="OOY1535" s="6"/>
      <c r="OOZ1535" s="4"/>
      <c r="OPA1535" s="6"/>
      <c r="OPB1535" s="4"/>
      <c r="OPC1535" s="6"/>
      <c r="OPD1535" s="4"/>
      <c r="OPE1535" s="6"/>
      <c r="OPF1535" s="4"/>
      <c r="OPG1535" s="6"/>
      <c r="OPH1535" s="4"/>
      <c r="OPI1535" s="6"/>
      <c r="OPJ1535" s="4"/>
      <c r="OPK1535" s="6"/>
      <c r="OPL1535" s="4"/>
      <c r="OPM1535" s="6"/>
      <c r="OPN1535" s="4"/>
      <c r="OPO1535" s="6"/>
      <c r="OPP1535" s="4"/>
      <c r="OPQ1535" s="6"/>
      <c r="OPR1535" s="4"/>
      <c r="OPS1535" s="6"/>
      <c r="OPT1535" s="4"/>
      <c r="OPU1535" s="6"/>
      <c r="OPV1535" s="4"/>
      <c r="OPW1535" s="6"/>
      <c r="OPX1535" s="4"/>
      <c r="OPY1535" s="6"/>
      <c r="OPZ1535" s="4"/>
      <c r="OQA1535" s="6"/>
      <c r="OQB1535" s="4"/>
      <c r="OQC1535" s="6"/>
      <c r="OQD1535" s="4"/>
      <c r="OQE1535" s="6"/>
      <c r="OQF1535" s="4"/>
      <c r="OQG1535" s="6"/>
      <c r="OQH1535" s="4"/>
      <c r="OQI1535" s="6"/>
      <c r="OQJ1535" s="4"/>
      <c r="OQK1535" s="6"/>
      <c r="OQL1535" s="4"/>
      <c r="OQM1535" s="6"/>
      <c r="OQN1535" s="4"/>
      <c r="OQO1535" s="6"/>
      <c r="OQP1535" s="4"/>
      <c r="OQQ1535" s="6"/>
      <c r="OQR1535" s="4"/>
      <c r="OQS1535" s="6"/>
      <c r="OQT1535" s="4"/>
      <c r="OQU1535" s="6"/>
      <c r="OQV1535" s="4"/>
      <c r="OQW1535" s="6"/>
      <c r="OQX1535" s="4"/>
      <c r="OQY1535" s="6"/>
      <c r="OQZ1535" s="4"/>
      <c r="ORA1535" s="6"/>
      <c r="ORB1535" s="4"/>
      <c r="ORC1535" s="6"/>
      <c r="ORD1535" s="4"/>
      <c r="ORE1535" s="6"/>
      <c r="ORF1535" s="4"/>
      <c r="ORG1535" s="6"/>
      <c r="ORH1535" s="4"/>
      <c r="ORI1535" s="6"/>
      <c r="ORJ1535" s="4"/>
      <c r="ORK1535" s="6"/>
      <c r="ORL1535" s="4"/>
      <c r="ORM1535" s="6"/>
      <c r="ORN1535" s="4"/>
      <c r="ORO1535" s="6"/>
      <c r="ORP1535" s="4"/>
      <c r="ORQ1535" s="6"/>
      <c r="ORR1535" s="4"/>
      <c r="ORS1535" s="6"/>
      <c r="ORT1535" s="4"/>
      <c r="ORU1535" s="6"/>
      <c r="ORV1535" s="4"/>
      <c r="ORW1535" s="6"/>
      <c r="ORX1535" s="4"/>
      <c r="ORY1535" s="6"/>
      <c r="ORZ1535" s="4"/>
      <c r="OSA1535" s="6"/>
      <c r="OSB1535" s="4"/>
      <c r="OSC1535" s="6"/>
      <c r="OSD1535" s="4"/>
      <c r="OSE1535" s="6"/>
      <c r="OSF1535" s="4"/>
      <c r="OSG1535" s="6"/>
      <c r="OSH1535" s="4"/>
      <c r="OSI1535" s="6"/>
      <c r="OSJ1535" s="4"/>
      <c r="OSK1535" s="6"/>
      <c r="OSL1535" s="4"/>
      <c r="OSM1535" s="6"/>
      <c r="OSN1535" s="4"/>
      <c r="OSO1535" s="6"/>
      <c r="OSP1535" s="4"/>
      <c r="OSQ1535" s="6"/>
      <c r="OSR1535" s="4"/>
      <c r="OSS1535" s="6"/>
      <c r="OST1535" s="4"/>
      <c r="OSU1535" s="6"/>
      <c r="OSV1535" s="4"/>
      <c r="OSW1535" s="6"/>
      <c r="OSX1535" s="4"/>
      <c r="OSY1535" s="6"/>
      <c r="OSZ1535" s="4"/>
      <c r="OTA1535" s="6"/>
      <c r="OTB1535" s="4"/>
      <c r="OTC1535" s="6"/>
      <c r="OTD1535" s="4"/>
      <c r="OTE1535" s="6"/>
      <c r="OTF1535" s="4"/>
      <c r="OTG1535" s="6"/>
      <c r="OTH1535" s="4"/>
      <c r="OTI1535" s="6"/>
      <c r="OTJ1535" s="4"/>
      <c r="OTK1535" s="6"/>
      <c r="OTL1535" s="4"/>
      <c r="OTM1535" s="6"/>
      <c r="OTN1535" s="4"/>
      <c r="OTO1535" s="6"/>
      <c r="OTP1535" s="4"/>
      <c r="OTQ1535" s="6"/>
      <c r="OTR1535" s="4"/>
      <c r="OTS1535" s="6"/>
      <c r="OTT1535" s="4"/>
      <c r="OTU1535" s="6"/>
      <c r="OTV1535" s="4"/>
      <c r="OTW1535" s="6"/>
      <c r="OTX1535" s="4"/>
      <c r="OTY1535" s="6"/>
      <c r="OTZ1535" s="4"/>
      <c r="OUA1535" s="6"/>
      <c r="OUB1535" s="4"/>
      <c r="OUC1535" s="6"/>
      <c r="OUD1535" s="4"/>
      <c r="OUE1535" s="6"/>
      <c r="OUF1535" s="4"/>
      <c r="OUG1535" s="6"/>
      <c r="OUH1535" s="4"/>
      <c r="OUI1535" s="6"/>
      <c r="OUJ1535" s="4"/>
      <c r="OUK1535" s="6"/>
      <c r="OUL1535" s="4"/>
      <c r="OUM1535" s="6"/>
      <c r="OUN1535" s="4"/>
      <c r="OUO1535" s="6"/>
      <c r="OUP1535" s="4"/>
      <c r="OUQ1535" s="6"/>
      <c r="OUR1535" s="4"/>
      <c r="OUS1535" s="6"/>
      <c r="OUT1535" s="4"/>
      <c r="OUU1535" s="6"/>
      <c r="OUV1535" s="4"/>
      <c r="OUW1535" s="6"/>
      <c r="OUX1535" s="4"/>
      <c r="OUY1535" s="6"/>
      <c r="OUZ1535" s="4"/>
      <c r="OVA1535" s="6"/>
      <c r="OVB1535" s="4"/>
      <c r="OVC1535" s="6"/>
      <c r="OVD1535" s="4"/>
      <c r="OVE1535" s="6"/>
      <c r="OVF1535" s="4"/>
      <c r="OVG1535" s="6"/>
      <c r="OVH1535" s="4"/>
      <c r="OVI1535" s="6"/>
      <c r="OVJ1535" s="4"/>
      <c r="OVK1535" s="6"/>
      <c r="OVL1535" s="4"/>
      <c r="OVM1535" s="6"/>
      <c r="OVN1535" s="4"/>
      <c r="OVO1535" s="6"/>
      <c r="OVP1535" s="4"/>
      <c r="OVQ1535" s="6"/>
      <c r="OVR1535" s="4"/>
      <c r="OVS1535" s="6"/>
      <c r="OVT1535" s="4"/>
      <c r="OVU1535" s="6"/>
      <c r="OVV1535" s="4"/>
      <c r="OVW1535" s="6"/>
      <c r="OVX1535" s="4"/>
      <c r="OVY1535" s="6"/>
      <c r="OVZ1535" s="4"/>
      <c r="OWA1535" s="6"/>
      <c r="OWB1535" s="4"/>
      <c r="OWC1535" s="6"/>
      <c r="OWD1535" s="4"/>
      <c r="OWE1535" s="6"/>
      <c r="OWF1535" s="4"/>
      <c r="OWG1535" s="6"/>
      <c r="OWH1535" s="4"/>
      <c r="OWI1535" s="6"/>
      <c r="OWJ1535" s="4"/>
      <c r="OWK1535" s="6"/>
      <c r="OWL1535" s="4"/>
      <c r="OWM1535" s="6"/>
      <c r="OWN1535" s="4"/>
      <c r="OWO1535" s="6"/>
      <c r="OWP1535" s="4"/>
      <c r="OWQ1535" s="6"/>
      <c r="OWR1535" s="4"/>
      <c r="OWS1535" s="6"/>
      <c r="OWT1535" s="4"/>
      <c r="OWU1535" s="6"/>
      <c r="OWV1535" s="4"/>
      <c r="OWW1535" s="6"/>
      <c r="OWX1535" s="4"/>
      <c r="OWY1535" s="6"/>
      <c r="OWZ1535" s="4"/>
      <c r="OXA1535" s="6"/>
      <c r="OXB1535" s="4"/>
      <c r="OXC1535" s="6"/>
      <c r="OXD1535" s="4"/>
      <c r="OXE1535" s="6"/>
      <c r="OXF1535" s="4"/>
      <c r="OXG1535" s="6"/>
      <c r="OXH1535" s="4"/>
      <c r="OXI1535" s="6"/>
      <c r="OXJ1535" s="4"/>
      <c r="OXK1535" s="6"/>
      <c r="OXL1535" s="4"/>
      <c r="OXM1535" s="6"/>
      <c r="OXN1535" s="4"/>
      <c r="OXO1535" s="6"/>
      <c r="OXP1535" s="4"/>
      <c r="OXQ1535" s="6"/>
      <c r="OXR1535" s="4"/>
      <c r="OXS1535" s="6"/>
      <c r="OXT1535" s="4"/>
      <c r="OXU1535" s="6"/>
      <c r="OXV1535" s="4"/>
      <c r="OXW1535" s="6"/>
      <c r="OXX1535" s="4"/>
      <c r="OXY1535" s="6"/>
      <c r="OXZ1535" s="4"/>
      <c r="OYA1535" s="6"/>
      <c r="OYB1535" s="4"/>
      <c r="OYC1535" s="6"/>
      <c r="OYD1535" s="4"/>
      <c r="OYE1535" s="6"/>
      <c r="OYF1535" s="4"/>
      <c r="OYG1535" s="6"/>
      <c r="OYH1535" s="4"/>
      <c r="OYI1535" s="6"/>
      <c r="OYJ1535" s="4"/>
      <c r="OYK1535" s="6"/>
      <c r="OYL1535" s="4"/>
      <c r="OYM1535" s="6"/>
      <c r="OYN1535" s="4"/>
      <c r="OYO1535" s="6"/>
      <c r="OYP1535" s="4"/>
      <c r="OYQ1535" s="6"/>
      <c r="OYR1535" s="4"/>
      <c r="OYS1535" s="6"/>
      <c r="OYT1535" s="4"/>
      <c r="OYU1535" s="6"/>
      <c r="OYV1535" s="4"/>
      <c r="OYW1535" s="6"/>
      <c r="OYX1535" s="4"/>
      <c r="OYY1535" s="6"/>
      <c r="OYZ1535" s="4"/>
      <c r="OZA1535" s="6"/>
      <c r="OZB1535" s="4"/>
      <c r="OZC1535" s="6"/>
      <c r="OZD1535" s="4"/>
      <c r="OZE1535" s="6"/>
      <c r="OZF1535" s="4"/>
      <c r="OZG1535" s="6"/>
      <c r="OZH1535" s="4"/>
      <c r="OZI1535" s="6"/>
      <c r="OZJ1535" s="4"/>
      <c r="OZK1535" s="6"/>
      <c r="OZL1535" s="4"/>
      <c r="OZM1535" s="6"/>
      <c r="OZN1535" s="4"/>
      <c r="OZO1535" s="6"/>
      <c r="OZP1535" s="4"/>
      <c r="OZQ1535" s="6"/>
      <c r="OZR1535" s="4"/>
      <c r="OZS1535" s="6"/>
      <c r="OZT1535" s="4"/>
      <c r="OZU1535" s="6"/>
      <c r="OZV1535" s="4"/>
      <c r="OZW1535" s="6"/>
      <c r="OZX1535" s="4"/>
      <c r="OZY1535" s="6"/>
      <c r="OZZ1535" s="4"/>
      <c r="PAA1535" s="6"/>
      <c r="PAB1535" s="4"/>
      <c r="PAC1535" s="6"/>
      <c r="PAD1535" s="4"/>
      <c r="PAE1535" s="6"/>
      <c r="PAF1535" s="4"/>
      <c r="PAG1535" s="6"/>
      <c r="PAH1535" s="4"/>
      <c r="PAI1535" s="6"/>
      <c r="PAJ1535" s="4"/>
      <c r="PAK1535" s="6"/>
      <c r="PAL1535" s="4"/>
      <c r="PAM1535" s="6"/>
      <c r="PAN1535" s="4"/>
      <c r="PAO1535" s="6"/>
      <c r="PAP1535" s="4"/>
      <c r="PAQ1535" s="6"/>
      <c r="PAR1535" s="4"/>
      <c r="PAS1535" s="6"/>
      <c r="PAT1535" s="4"/>
      <c r="PAU1535" s="6"/>
      <c r="PAV1535" s="4"/>
      <c r="PAW1535" s="6"/>
      <c r="PAX1535" s="4"/>
      <c r="PAY1535" s="6"/>
      <c r="PAZ1535" s="4"/>
      <c r="PBA1535" s="6"/>
      <c r="PBB1535" s="4"/>
      <c r="PBC1535" s="6"/>
      <c r="PBD1535" s="4"/>
      <c r="PBE1535" s="6"/>
      <c r="PBF1535" s="4"/>
      <c r="PBG1535" s="6"/>
      <c r="PBH1535" s="4"/>
      <c r="PBI1535" s="6"/>
      <c r="PBJ1535" s="4"/>
      <c r="PBK1535" s="6"/>
      <c r="PBL1535" s="4"/>
      <c r="PBM1535" s="6"/>
      <c r="PBN1535" s="4"/>
      <c r="PBO1535" s="6"/>
      <c r="PBP1535" s="4"/>
      <c r="PBQ1535" s="6"/>
      <c r="PBR1535" s="4"/>
      <c r="PBS1535" s="6"/>
      <c r="PBT1535" s="4"/>
      <c r="PBU1535" s="6"/>
      <c r="PBV1535" s="4"/>
      <c r="PBW1535" s="6"/>
      <c r="PBX1535" s="4"/>
      <c r="PBY1535" s="6"/>
      <c r="PBZ1535" s="4"/>
      <c r="PCA1535" s="6"/>
      <c r="PCB1535" s="4"/>
      <c r="PCC1535" s="6"/>
      <c r="PCD1535" s="4"/>
      <c r="PCE1535" s="6"/>
      <c r="PCF1535" s="4"/>
      <c r="PCG1535" s="6"/>
      <c r="PCH1535" s="4"/>
      <c r="PCI1535" s="6"/>
      <c r="PCJ1535" s="4"/>
      <c r="PCK1535" s="6"/>
      <c r="PCL1535" s="4"/>
      <c r="PCM1535" s="6"/>
      <c r="PCN1535" s="4"/>
      <c r="PCO1535" s="6"/>
      <c r="PCP1535" s="4"/>
      <c r="PCQ1535" s="6"/>
      <c r="PCR1535" s="4"/>
      <c r="PCS1535" s="6"/>
      <c r="PCT1535" s="4"/>
      <c r="PCU1535" s="6"/>
      <c r="PCV1535" s="4"/>
      <c r="PCW1535" s="6"/>
      <c r="PCX1535" s="4"/>
      <c r="PCY1535" s="6"/>
      <c r="PCZ1535" s="4"/>
      <c r="PDA1535" s="6"/>
      <c r="PDB1535" s="4"/>
      <c r="PDC1535" s="6"/>
      <c r="PDD1535" s="4"/>
      <c r="PDE1535" s="6"/>
      <c r="PDF1535" s="4"/>
      <c r="PDG1535" s="6"/>
      <c r="PDH1535" s="4"/>
      <c r="PDI1535" s="6"/>
      <c r="PDJ1535" s="4"/>
      <c r="PDK1535" s="6"/>
      <c r="PDL1535" s="4"/>
      <c r="PDM1535" s="6"/>
      <c r="PDN1535" s="4"/>
      <c r="PDO1535" s="6"/>
      <c r="PDP1535" s="4"/>
      <c r="PDQ1535" s="6"/>
      <c r="PDR1535" s="4"/>
      <c r="PDS1535" s="6"/>
      <c r="PDT1535" s="4"/>
      <c r="PDU1535" s="6"/>
      <c r="PDV1535" s="4"/>
      <c r="PDW1535" s="6"/>
      <c r="PDX1535" s="4"/>
      <c r="PDY1535" s="6"/>
      <c r="PDZ1535" s="4"/>
      <c r="PEA1535" s="6"/>
      <c r="PEB1535" s="4"/>
      <c r="PEC1535" s="6"/>
      <c r="PED1535" s="4"/>
      <c r="PEE1535" s="6"/>
      <c r="PEF1535" s="4"/>
      <c r="PEG1535" s="6"/>
      <c r="PEH1535" s="4"/>
      <c r="PEI1535" s="6"/>
      <c r="PEJ1535" s="4"/>
      <c r="PEK1535" s="6"/>
      <c r="PEL1535" s="4"/>
      <c r="PEM1535" s="6"/>
      <c r="PEN1535" s="4"/>
      <c r="PEO1535" s="6"/>
      <c r="PEP1535" s="4"/>
      <c r="PEQ1535" s="6"/>
      <c r="PER1535" s="4"/>
      <c r="PES1535" s="6"/>
      <c r="PET1535" s="4"/>
      <c r="PEU1535" s="6"/>
      <c r="PEV1535" s="4"/>
      <c r="PEW1535" s="6"/>
      <c r="PEX1535" s="4"/>
      <c r="PEY1535" s="6"/>
      <c r="PEZ1535" s="4"/>
      <c r="PFA1535" s="6"/>
      <c r="PFB1535" s="4"/>
      <c r="PFC1535" s="6"/>
      <c r="PFD1535" s="4"/>
      <c r="PFE1535" s="6"/>
      <c r="PFF1535" s="4"/>
      <c r="PFG1535" s="6"/>
      <c r="PFH1535" s="4"/>
      <c r="PFI1535" s="6"/>
      <c r="PFJ1535" s="4"/>
      <c r="PFK1535" s="6"/>
      <c r="PFL1535" s="4"/>
      <c r="PFM1535" s="6"/>
      <c r="PFN1535" s="4"/>
      <c r="PFO1535" s="6"/>
      <c r="PFP1535" s="4"/>
      <c r="PFQ1535" s="6"/>
      <c r="PFR1535" s="4"/>
      <c r="PFS1535" s="6"/>
      <c r="PFT1535" s="4"/>
      <c r="PFU1535" s="6"/>
      <c r="PFV1535" s="4"/>
      <c r="PFW1535" s="6"/>
      <c r="PFX1535" s="4"/>
      <c r="PFY1535" s="6"/>
      <c r="PFZ1535" s="4"/>
      <c r="PGA1535" s="6"/>
      <c r="PGB1535" s="4"/>
      <c r="PGC1535" s="6"/>
      <c r="PGD1535" s="4"/>
      <c r="PGE1535" s="6"/>
      <c r="PGF1535" s="4"/>
      <c r="PGG1535" s="6"/>
      <c r="PGH1535" s="4"/>
      <c r="PGI1535" s="6"/>
      <c r="PGJ1535" s="4"/>
      <c r="PGK1535" s="6"/>
      <c r="PGL1535" s="4"/>
      <c r="PGM1535" s="6"/>
      <c r="PGN1535" s="4"/>
      <c r="PGO1535" s="6"/>
      <c r="PGP1535" s="4"/>
      <c r="PGQ1535" s="6"/>
      <c r="PGR1535" s="4"/>
      <c r="PGS1535" s="6"/>
      <c r="PGT1535" s="4"/>
      <c r="PGU1535" s="6"/>
      <c r="PGV1535" s="4"/>
      <c r="PGW1535" s="6"/>
      <c r="PGX1535" s="4"/>
      <c r="PGY1535" s="6"/>
      <c r="PGZ1535" s="4"/>
      <c r="PHA1535" s="6"/>
      <c r="PHB1535" s="4"/>
      <c r="PHC1535" s="6"/>
      <c r="PHD1535" s="4"/>
      <c r="PHE1535" s="6"/>
      <c r="PHF1535" s="4"/>
      <c r="PHG1535" s="6"/>
      <c r="PHH1535" s="4"/>
      <c r="PHI1535" s="6"/>
      <c r="PHJ1535" s="4"/>
      <c r="PHK1535" s="6"/>
      <c r="PHL1535" s="4"/>
      <c r="PHM1535" s="6"/>
      <c r="PHN1535" s="4"/>
      <c r="PHO1535" s="6"/>
      <c r="PHP1535" s="4"/>
      <c r="PHQ1535" s="6"/>
      <c r="PHR1535" s="4"/>
      <c r="PHS1535" s="6"/>
      <c r="PHT1535" s="4"/>
      <c r="PHU1535" s="6"/>
      <c r="PHV1535" s="4"/>
      <c r="PHW1535" s="6"/>
      <c r="PHX1535" s="4"/>
      <c r="PHY1535" s="6"/>
      <c r="PHZ1535" s="4"/>
      <c r="PIA1535" s="6"/>
      <c r="PIB1535" s="4"/>
      <c r="PIC1535" s="6"/>
      <c r="PID1535" s="4"/>
      <c r="PIE1535" s="6"/>
      <c r="PIF1535" s="4"/>
      <c r="PIG1535" s="6"/>
      <c r="PIH1535" s="4"/>
      <c r="PII1535" s="6"/>
      <c r="PIJ1535" s="4"/>
      <c r="PIK1535" s="6"/>
      <c r="PIL1535" s="4"/>
      <c r="PIM1535" s="6"/>
      <c r="PIN1535" s="4"/>
      <c r="PIO1535" s="6"/>
      <c r="PIP1535" s="4"/>
      <c r="PIQ1535" s="6"/>
      <c r="PIR1535" s="4"/>
      <c r="PIS1535" s="6"/>
      <c r="PIT1535" s="4"/>
      <c r="PIU1535" s="6"/>
      <c r="PIV1535" s="4"/>
      <c r="PIW1535" s="6"/>
      <c r="PIX1535" s="4"/>
      <c r="PIY1535" s="6"/>
      <c r="PIZ1535" s="4"/>
      <c r="PJA1535" s="6"/>
      <c r="PJB1535" s="4"/>
      <c r="PJC1535" s="6"/>
      <c r="PJD1535" s="4"/>
      <c r="PJE1535" s="6"/>
      <c r="PJF1535" s="4"/>
      <c r="PJG1535" s="6"/>
      <c r="PJH1535" s="4"/>
      <c r="PJI1535" s="6"/>
      <c r="PJJ1535" s="4"/>
      <c r="PJK1535" s="6"/>
      <c r="PJL1535" s="4"/>
      <c r="PJM1535" s="6"/>
      <c r="PJN1535" s="4"/>
      <c r="PJO1535" s="6"/>
      <c r="PJP1535" s="4"/>
      <c r="PJQ1535" s="6"/>
      <c r="PJR1535" s="4"/>
      <c r="PJS1535" s="6"/>
      <c r="PJT1535" s="4"/>
      <c r="PJU1535" s="6"/>
      <c r="PJV1535" s="4"/>
      <c r="PJW1535" s="6"/>
      <c r="PJX1535" s="4"/>
      <c r="PJY1535" s="6"/>
      <c r="PJZ1535" s="4"/>
      <c r="PKA1535" s="6"/>
      <c r="PKB1535" s="4"/>
      <c r="PKC1535" s="6"/>
      <c r="PKD1535" s="4"/>
      <c r="PKE1535" s="6"/>
      <c r="PKF1535" s="4"/>
      <c r="PKG1535" s="6"/>
      <c r="PKH1535" s="4"/>
      <c r="PKI1535" s="6"/>
      <c r="PKJ1535" s="4"/>
      <c r="PKK1535" s="6"/>
      <c r="PKL1535" s="4"/>
      <c r="PKM1535" s="6"/>
      <c r="PKN1535" s="4"/>
      <c r="PKO1535" s="6"/>
      <c r="PKP1535" s="4"/>
      <c r="PKQ1535" s="6"/>
      <c r="PKR1535" s="4"/>
      <c r="PKS1535" s="6"/>
      <c r="PKT1535" s="4"/>
      <c r="PKU1535" s="6"/>
      <c r="PKV1535" s="4"/>
      <c r="PKW1535" s="6"/>
      <c r="PKX1535" s="4"/>
      <c r="PKY1535" s="6"/>
      <c r="PKZ1535" s="4"/>
      <c r="PLA1535" s="6"/>
      <c r="PLB1535" s="4"/>
      <c r="PLC1535" s="6"/>
      <c r="PLD1535" s="4"/>
      <c r="PLE1535" s="6"/>
      <c r="PLF1535" s="4"/>
      <c r="PLG1535" s="6"/>
      <c r="PLH1535" s="4"/>
      <c r="PLI1535" s="6"/>
      <c r="PLJ1535" s="4"/>
      <c r="PLK1535" s="6"/>
      <c r="PLL1535" s="4"/>
      <c r="PLM1535" s="6"/>
      <c r="PLN1535" s="4"/>
      <c r="PLO1535" s="6"/>
      <c r="PLP1535" s="4"/>
      <c r="PLQ1535" s="6"/>
      <c r="PLR1535" s="4"/>
      <c r="PLS1535" s="6"/>
      <c r="PLT1535" s="4"/>
      <c r="PLU1535" s="6"/>
      <c r="PLV1535" s="4"/>
      <c r="PLW1535" s="6"/>
      <c r="PLX1535" s="4"/>
      <c r="PLY1535" s="6"/>
      <c r="PLZ1535" s="4"/>
      <c r="PMA1535" s="6"/>
      <c r="PMB1535" s="4"/>
      <c r="PMC1535" s="6"/>
      <c r="PMD1535" s="4"/>
      <c r="PME1535" s="6"/>
      <c r="PMF1535" s="4"/>
      <c r="PMG1535" s="6"/>
      <c r="PMH1535" s="4"/>
      <c r="PMI1535" s="6"/>
      <c r="PMJ1535" s="4"/>
      <c r="PMK1535" s="6"/>
      <c r="PML1535" s="4"/>
      <c r="PMM1535" s="6"/>
      <c r="PMN1535" s="4"/>
      <c r="PMO1535" s="6"/>
      <c r="PMP1535" s="4"/>
      <c r="PMQ1535" s="6"/>
      <c r="PMR1535" s="4"/>
      <c r="PMS1535" s="6"/>
      <c r="PMT1535" s="4"/>
      <c r="PMU1535" s="6"/>
      <c r="PMV1535" s="4"/>
      <c r="PMW1535" s="6"/>
      <c r="PMX1535" s="4"/>
      <c r="PMY1535" s="6"/>
      <c r="PMZ1535" s="4"/>
      <c r="PNA1535" s="6"/>
      <c r="PNB1535" s="4"/>
      <c r="PNC1535" s="6"/>
      <c r="PND1535" s="4"/>
      <c r="PNE1535" s="6"/>
      <c r="PNF1535" s="4"/>
      <c r="PNG1535" s="6"/>
      <c r="PNH1535" s="4"/>
      <c r="PNI1535" s="6"/>
      <c r="PNJ1535" s="4"/>
      <c r="PNK1535" s="6"/>
      <c r="PNL1535" s="4"/>
      <c r="PNM1535" s="6"/>
      <c r="PNN1535" s="4"/>
      <c r="PNO1535" s="6"/>
      <c r="PNP1535" s="4"/>
      <c r="PNQ1535" s="6"/>
      <c r="PNR1535" s="4"/>
      <c r="PNS1535" s="6"/>
      <c r="PNT1535" s="4"/>
      <c r="PNU1535" s="6"/>
      <c r="PNV1535" s="4"/>
      <c r="PNW1535" s="6"/>
      <c r="PNX1535" s="4"/>
      <c r="PNY1535" s="6"/>
      <c r="PNZ1535" s="4"/>
      <c r="POA1535" s="6"/>
      <c r="POB1535" s="4"/>
      <c r="POC1535" s="6"/>
      <c r="POD1535" s="4"/>
      <c r="POE1535" s="6"/>
      <c r="POF1535" s="4"/>
      <c r="POG1535" s="6"/>
      <c r="POH1535" s="4"/>
      <c r="POI1535" s="6"/>
      <c r="POJ1535" s="4"/>
      <c r="POK1535" s="6"/>
      <c r="POL1535" s="4"/>
      <c r="POM1535" s="6"/>
      <c r="PON1535" s="4"/>
      <c r="POO1535" s="6"/>
      <c r="POP1535" s="4"/>
      <c r="POQ1535" s="6"/>
      <c r="POR1535" s="4"/>
      <c r="POS1535" s="6"/>
      <c r="POT1535" s="4"/>
      <c r="POU1535" s="6"/>
      <c r="POV1535" s="4"/>
      <c r="POW1535" s="6"/>
      <c r="POX1535" s="4"/>
      <c r="POY1535" s="6"/>
      <c r="POZ1535" s="4"/>
      <c r="PPA1535" s="6"/>
      <c r="PPB1535" s="4"/>
      <c r="PPC1535" s="6"/>
      <c r="PPD1535" s="4"/>
      <c r="PPE1535" s="6"/>
      <c r="PPF1535" s="4"/>
      <c r="PPG1535" s="6"/>
      <c r="PPH1535" s="4"/>
      <c r="PPI1535" s="6"/>
      <c r="PPJ1535" s="4"/>
      <c r="PPK1535" s="6"/>
      <c r="PPL1535" s="4"/>
      <c r="PPM1535" s="6"/>
      <c r="PPN1535" s="4"/>
      <c r="PPO1535" s="6"/>
      <c r="PPP1535" s="4"/>
      <c r="PPQ1535" s="6"/>
      <c r="PPR1535" s="4"/>
      <c r="PPS1535" s="6"/>
      <c r="PPT1535" s="4"/>
      <c r="PPU1535" s="6"/>
      <c r="PPV1535" s="4"/>
      <c r="PPW1535" s="6"/>
      <c r="PPX1535" s="4"/>
      <c r="PPY1535" s="6"/>
      <c r="PPZ1535" s="4"/>
      <c r="PQA1535" s="6"/>
      <c r="PQB1535" s="4"/>
      <c r="PQC1535" s="6"/>
      <c r="PQD1535" s="4"/>
      <c r="PQE1535" s="6"/>
      <c r="PQF1535" s="4"/>
      <c r="PQG1535" s="6"/>
      <c r="PQH1535" s="4"/>
      <c r="PQI1535" s="6"/>
      <c r="PQJ1535" s="4"/>
      <c r="PQK1535" s="6"/>
      <c r="PQL1535" s="4"/>
      <c r="PQM1535" s="6"/>
      <c r="PQN1535" s="4"/>
      <c r="PQO1535" s="6"/>
      <c r="PQP1535" s="4"/>
      <c r="PQQ1535" s="6"/>
      <c r="PQR1535" s="4"/>
      <c r="PQS1535" s="6"/>
      <c r="PQT1535" s="4"/>
      <c r="PQU1535" s="6"/>
      <c r="PQV1535" s="4"/>
      <c r="PQW1535" s="6"/>
      <c r="PQX1535" s="4"/>
      <c r="PQY1535" s="6"/>
      <c r="PQZ1535" s="4"/>
      <c r="PRA1535" s="6"/>
      <c r="PRB1535" s="4"/>
      <c r="PRC1535" s="6"/>
      <c r="PRD1535" s="4"/>
      <c r="PRE1535" s="6"/>
      <c r="PRF1535" s="4"/>
      <c r="PRG1535" s="6"/>
      <c r="PRH1535" s="4"/>
      <c r="PRI1535" s="6"/>
      <c r="PRJ1535" s="4"/>
      <c r="PRK1535" s="6"/>
      <c r="PRL1535" s="4"/>
      <c r="PRM1535" s="6"/>
      <c r="PRN1535" s="4"/>
      <c r="PRO1535" s="6"/>
      <c r="PRP1535" s="4"/>
      <c r="PRQ1535" s="6"/>
      <c r="PRR1535" s="4"/>
      <c r="PRS1535" s="6"/>
      <c r="PRT1535" s="4"/>
      <c r="PRU1535" s="6"/>
      <c r="PRV1535" s="4"/>
      <c r="PRW1535" s="6"/>
      <c r="PRX1535" s="4"/>
      <c r="PRY1535" s="6"/>
      <c r="PRZ1535" s="4"/>
      <c r="PSA1535" s="6"/>
      <c r="PSB1535" s="4"/>
      <c r="PSC1535" s="6"/>
      <c r="PSD1535" s="4"/>
      <c r="PSE1535" s="6"/>
      <c r="PSF1535" s="4"/>
      <c r="PSG1535" s="6"/>
      <c r="PSH1535" s="4"/>
      <c r="PSI1535" s="6"/>
      <c r="PSJ1535" s="4"/>
      <c r="PSK1535" s="6"/>
      <c r="PSL1535" s="4"/>
      <c r="PSM1535" s="6"/>
      <c r="PSN1535" s="4"/>
      <c r="PSO1535" s="6"/>
      <c r="PSP1535" s="4"/>
      <c r="PSQ1535" s="6"/>
      <c r="PSR1535" s="4"/>
      <c r="PSS1535" s="6"/>
      <c r="PST1535" s="4"/>
      <c r="PSU1535" s="6"/>
      <c r="PSV1535" s="4"/>
      <c r="PSW1535" s="6"/>
      <c r="PSX1535" s="4"/>
      <c r="PSY1535" s="6"/>
      <c r="PSZ1535" s="4"/>
      <c r="PTA1535" s="6"/>
      <c r="PTB1535" s="4"/>
      <c r="PTC1535" s="6"/>
      <c r="PTD1535" s="4"/>
      <c r="PTE1535" s="6"/>
      <c r="PTF1535" s="4"/>
      <c r="PTG1535" s="6"/>
      <c r="PTH1535" s="4"/>
      <c r="PTI1535" s="6"/>
      <c r="PTJ1535" s="4"/>
      <c r="PTK1535" s="6"/>
      <c r="PTL1535" s="4"/>
      <c r="PTM1535" s="6"/>
      <c r="PTN1535" s="4"/>
      <c r="PTO1535" s="6"/>
      <c r="PTP1535" s="4"/>
      <c r="PTQ1535" s="6"/>
      <c r="PTR1535" s="4"/>
      <c r="PTS1535" s="6"/>
      <c r="PTT1535" s="4"/>
      <c r="PTU1535" s="6"/>
      <c r="PTV1535" s="4"/>
      <c r="PTW1535" s="6"/>
      <c r="PTX1535" s="4"/>
      <c r="PTY1535" s="6"/>
      <c r="PTZ1535" s="4"/>
      <c r="PUA1535" s="6"/>
      <c r="PUB1535" s="4"/>
      <c r="PUC1535" s="6"/>
      <c r="PUD1535" s="4"/>
      <c r="PUE1535" s="6"/>
      <c r="PUF1535" s="4"/>
      <c r="PUG1535" s="6"/>
      <c r="PUH1535" s="4"/>
      <c r="PUI1535" s="6"/>
      <c r="PUJ1535" s="4"/>
      <c r="PUK1535" s="6"/>
      <c r="PUL1535" s="4"/>
      <c r="PUM1535" s="6"/>
      <c r="PUN1535" s="4"/>
      <c r="PUO1535" s="6"/>
      <c r="PUP1535" s="4"/>
      <c r="PUQ1535" s="6"/>
      <c r="PUR1535" s="4"/>
      <c r="PUS1535" s="6"/>
      <c r="PUT1535" s="4"/>
      <c r="PUU1535" s="6"/>
      <c r="PUV1535" s="4"/>
      <c r="PUW1535" s="6"/>
      <c r="PUX1535" s="4"/>
      <c r="PUY1535" s="6"/>
      <c r="PUZ1535" s="4"/>
      <c r="PVA1535" s="6"/>
      <c r="PVB1535" s="4"/>
      <c r="PVC1535" s="6"/>
      <c r="PVD1535" s="4"/>
      <c r="PVE1535" s="6"/>
      <c r="PVF1535" s="4"/>
      <c r="PVG1535" s="6"/>
      <c r="PVH1535" s="4"/>
      <c r="PVI1535" s="6"/>
      <c r="PVJ1535" s="4"/>
      <c r="PVK1535" s="6"/>
      <c r="PVL1535" s="4"/>
      <c r="PVM1535" s="6"/>
      <c r="PVN1535" s="4"/>
      <c r="PVO1535" s="6"/>
      <c r="PVP1535" s="4"/>
      <c r="PVQ1535" s="6"/>
      <c r="PVR1535" s="4"/>
      <c r="PVS1535" s="6"/>
      <c r="PVT1535" s="4"/>
      <c r="PVU1535" s="6"/>
      <c r="PVV1535" s="4"/>
      <c r="PVW1535" s="6"/>
      <c r="PVX1535" s="4"/>
      <c r="PVY1535" s="6"/>
      <c r="PVZ1535" s="4"/>
      <c r="PWA1535" s="6"/>
      <c r="PWB1535" s="4"/>
      <c r="PWC1535" s="6"/>
      <c r="PWD1535" s="4"/>
      <c r="PWE1535" s="6"/>
      <c r="PWF1535" s="4"/>
      <c r="PWG1535" s="6"/>
      <c r="PWH1535" s="4"/>
      <c r="PWI1535" s="6"/>
      <c r="PWJ1535" s="4"/>
      <c r="PWK1535" s="6"/>
      <c r="PWL1535" s="4"/>
      <c r="PWM1535" s="6"/>
      <c r="PWN1535" s="4"/>
      <c r="PWO1535" s="6"/>
      <c r="PWP1535" s="4"/>
      <c r="PWQ1535" s="6"/>
      <c r="PWR1535" s="4"/>
      <c r="PWS1535" s="6"/>
      <c r="PWT1535" s="4"/>
      <c r="PWU1535" s="6"/>
      <c r="PWV1535" s="4"/>
      <c r="PWW1535" s="6"/>
      <c r="PWX1535" s="4"/>
      <c r="PWY1535" s="6"/>
      <c r="PWZ1535" s="4"/>
      <c r="PXA1535" s="6"/>
      <c r="PXB1535" s="4"/>
      <c r="PXC1535" s="6"/>
      <c r="PXD1535" s="4"/>
      <c r="PXE1535" s="6"/>
      <c r="PXF1535" s="4"/>
      <c r="PXG1535" s="6"/>
      <c r="PXH1535" s="4"/>
      <c r="PXI1535" s="6"/>
      <c r="PXJ1535" s="4"/>
      <c r="PXK1535" s="6"/>
      <c r="PXL1535" s="4"/>
      <c r="PXM1535" s="6"/>
      <c r="PXN1535" s="4"/>
      <c r="PXO1535" s="6"/>
      <c r="PXP1535" s="4"/>
      <c r="PXQ1535" s="6"/>
      <c r="PXR1535" s="4"/>
      <c r="PXS1535" s="6"/>
      <c r="PXT1535" s="4"/>
      <c r="PXU1535" s="6"/>
      <c r="PXV1535" s="4"/>
      <c r="PXW1535" s="6"/>
      <c r="PXX1535" s="4"/>
      <c r="PXY1535" s="6"/>
      <c r="PXZ1535" s="4"/>
      <c r="PYA1535" s="6"/>
      <c r="PYB1535" s="4"/>
      <c r="PYC1535" s="6"/>
      <c r="PYD1535" s="4"/>
      <c r="PYE1535" s="6"/>
      <c r="PYF1535" s="4"/>
      <c r="PYG1535" s="6"/>
      <c r="PYH1535" s="4"/>
      <c r="PYI1535" s="6"/>
      <c r="PYJ1535" s="4"/>
      <c r="PYK1535" s="6"/>
      <c r="PYL1535" s="4"/>
      <c r="PYM1535" s="6"/>
      <c r="PYN1535" s="4"/>
      <c r="PYO1535" s="6"/>
      <c r="PYP1535" s="4"/>
      <c r="PYQ1535" s="6"/>
      <c r="PYR1535" s="4"/>
      <c r="PYS1535" s="6"/>
      <c r="PYT1535" s="4"/>
      <c r="PYU1535" s="6"/>
      <c r="PYV1535" s="4"/>
      <c r="PYW1535" s="6"/>
      <c r="PYX1535" s="4"/>
      <c r="PYY1535" s="6"/>
      <c r="PYZ1535" s="4"/>
      <c r="PZA1535" s="6"/>
      <c r="PZB1535" s="4"/>
      <c r="PZC1535" s="6"/>
      <c r="PZD1535" s="4"/>
      <c r="PZE1535" s="6"/>
      <c r="PZF1535" s="4"/>
      <c r="PZG1535" s="6"/>
      <c r="PZH1535" s="4"/>
      <c r="PZI1535" s="6"/>
      <c r="PZJ1535" s="4"/>
      <c r="PZK1535" s="6"/>
      <c r="PZL1535" s="4"/>
      <c r="PZM1535" s="6"/>
      <c r="PZN1535" s="4"/>
      <c r="PZO1535" s="6"/>
      <c r="PZP1535" s="4"/>
      <c r="PZQ1535" s="6"/>
      <c r="PZR1535" s="4"/>
      <c r="PZS1535" s="6"/>
      <c r="PZT1535" s="4"/>
      <c r="PZU1535" s="6"/>
      <c r="PZV1535" s="4"/>
      <c r="PZW1535" s="6"/>
      <c r="PZX1535" s="4"/>
      <c r="PZY1535" s="6"/>
      <c r="PZZ1535" s="4"/>
      <c r="QAA1535" s="6"/>
      <c r="QAB1535" s="4"/>
      <c r="QAC1535" s="6"/>
      <c r="QAD1535" s="4"/>
      <c r="QAE1535" s="6"/>
      <c r="QAF1535" s="4"/>
      <c r="QAG1535" s="6"/>
      <c r="QAH1535" s="4"/>
      <c r="QAI1535" s="6"/>
      <c r="QAJ1535" s="4"/>
      <c r="QAK1535" s="6"/>
      <c r="QAL1535" s="4"/>
      <c r="QAM1535" s="6"/>
      <c r="QAN1535" s="4"/>
      <c r="QAO1535" s="6"/>
      <c r="QAP1535" s="4"/>
      <c r="QAQ1535" s="6"/>
      <c r="QAR1535" s="4"/>
      <c r="QAS1535" s="6"/>
      <c r="QAT1535" s="4"/>
      <c r="QAU1535" s="6"/>
      <c r="QAV1535" s="4"/>
      <c r="QAW1535" s="6"/>
      <c r="QAX1535" s="4"/>
      <c r="QAY1535" s="6"/>
      <c r="QAZ1535" s="4"/>
      <c r="QBA1535" s="6"/>
      <c r="QBB1535" s="4"/>
      <c r="QBC1535" s="6"/>
      <c r="QBD1535" s="4"/>
      <c r="QBE1535" s="6"/>
      <c r="QBF1535" s="4"/>
      <c r="QBG1535" s="6"/>
      <c r="QBH1535" s="4"/>
      <c r="QBI1535" s="6"/>
      <c r="QBJ1535" s="4"/>
      <c r="QBK1535" s="6"/>
      <c r="QBL1535" s="4"/>
      <c r="QBM1535" s="6"/>
      <c r="QBN1535" s="4"/>
      <c r="QBO1535" s="6"/>
      <c r="QBP1535" s="4"/>
      <c r="QBQ1535" s="6"/>
      <c r="QBR1535" s="4"/>
      <c r="QBS1535" s="6"/>
      <c r="QBT1535" s="4"/>
      <c r="QBU1535" s="6"/>
      <c r="QBV1535" s="4"/>
      <c r="QBW1535" s="6"/>
      <c r="QBX1535" s="4"/>
      <c r="QBY1535" s="6"/>
      <c r="QBZ1535" s="4"/>
      <c r="QCA1535" s="6"/>
      <c r="QCB1535" s="4"/>
      <c r="QCC1535" s="6"/>
      <c r="QCD1535" s="4"/>
      <c r="QCE1535" s="6"/>
      <c r="QCF1535" s="4"/>
      <c r="QCG1535" s="6"/>
      <c r="QCH1535" s="4"/>
      <c r="QCI1535" s="6"/>
      <c r="QCJ1535" s="4"/>
      <c r="QCK1535" s="6"/>
      <c r="QCL1535" s="4"/>
      <c r="QCM1535" s="6"/>
      <c r="QCN1535" s="4"/>
      <c r="QCO1535" s="6"/>
      <c r="QCP1535" s="4"/>
      <c r="QCQ1535" s="6"/>
      <c r="QCR1535" s="4"/>
      <c r="QCS1535" s="6"/>
      <c r="QCT1535" s="4"/>
      <c r="QCU1535" s="6"/>
      <c r="QCV1535" s="4"/>
      <c r="QCW1535" s="6"/>
      <c r="QCX1535" s="4"/>
      <c r="QCY1535" s="6"/>
      <c r="QCZ1535" s="4"/>
      <c r="QDA1535" s="6"/>
      <c r="QDB1535" s="4"/>
      <c r="QDC1535" s="6"/>
      <c r="QDD1535" s="4"/>
      <c r="QDE1535" s="6"/>
      <c r="QDF1535" s="4"/>
      <c r="QDG1535" s="6"/>
      <c r="QDH1535" s="4"/>
      <c r="QDI1535" s="6"/>
      <c r="QDJ1535" s="4"/>
      <c r="QDK1535" s="6"/>
      <c r="QDL1535" s="4"/>
      <c r="QDM1535" s="6"/>
      <c r="QDN1535" s="4"/>
      <c r="QDO1535" s="6"/>
      <c r="QDP1535" s="4"/>
      <c r="QDQ1535" s="6"/>
      <c r="QDR1535" s="4"/>
      <c r="QDS1535" s="6"/>
      <c r="QDT1535" s="4"/>
      <c r="QDU1535" s="6"/>
      <c r="QDV1535" s="4"/>
      <c r="QDW1535" s="6"/>
      <c r="QDX1535" s="4"/>
      <c r="QDY1535" s="6"/>
      <c r="QDZ1535" s="4"/>
      <c r="QEA1535" s="6"/>
      <c r="QEB1535" s="4"/>
      <c r="QEC1535" s="6"/>
      <c r="QED1535" s="4"/>
      <c r="QEE1535" s="6"/>
      <c r="QEF1535" s="4"/>
      <c r="QEG1535" s="6"/>
      <c r="QEH1535" s="4"/>
      <c r="QEI1535" s="6"/>
      <c r="QEJ1535" s="4"/>
      <c r="QEK1535" s="6"/>
      <c r="QEL1535" s="4"/>
      <c r="QEM1535" s="6"/>
      <c r="QEN1535" s="4"/>
      <c r="QEO1535" s="6"/>
      <c r="QEP1535" s="4"/>
      <c r="QEQ1535" s="6"/>
      <c r="QER1535" s="4"/>
      <c r="QES1535" s="6"/>
      <c r="QET1535" s="4"/>
      <c r="QEU1535" s="6"/>
      <c r="QEV1535" s="4"/>
      <c r="QEW1535" s="6"/>
      <c r="QEX1535" s="4"/>
      <c r="QEY1535" s="6"/>
      <c r="QEZ1535" s="4"/>
      <c r="QFA1535" s="6"/>
      <c r="QFB1535" s="4"/>
      <c r="QFC1535" s="6"/>
      <c r="QFD1535" s="4"/>
      <c r="QFE1535" s="6"/>
      <c r="QFF1535" s="4"/>
      <c r="QFG1535" s="6"/>
      <c r="QFH1535" s="4"/>
      <c r="QFI1535" s="6"/>
      <c r="QFJ1535" s="4"/>
      <c r="QFK1535" s="6"/>
      <c r="QFL1535" s="4"/>
      <c r="QFM1535" s="6"/>
      <c r="QFN1535" s="4"/>
      <c r="QFO1535" s="6"/>
      <c r="QFP1535" s="4"/>
      <c r="QFQ1535" s="6"/>
      <c r="QFR1535" s="4"/>
      <c r="QFS1535" s="6"/>
      <c r="QFT1535" s="4"/>
      <c r="QFU1535" s="6"/>
      <c r="QFV1535" s="4"/>
      <c r="QFW1535" s="6"/>
      <c r="QFX1535" s="4"/>
      <c r="QFY1535" s="6"/>
      <c r="QFZ1535" s="4"/>
      <c r="QGA1535" s="6"/>
      <c r="QGB1535" s="4"/>
      <c r="QGC1535" s="6"/>
      <c r="QGD1535" s="4"/>
      <c r="QGE1535" s="6"/>
      <c r="QGF1535" s="4"/>
      <c r="QGG1535" s="6"/>
      <c r="QGH1535" s="4"/>
      <c r="QGI1535" s="6"/>
      <c r="QGJ1535" s="4"/>
      <c r="QGK1535" s="6"/>
      <c r="QGL1535" s="4"/>
      <c r="QGM1535" s="6"/>
      <c r="QGN1535" s="4"/>
      <c r="QGO1535" s="6"/>
      <c r="QGP1535" s="4"/>
      <c r="QGQ1535" s="6"/>
      <c r="QGR1535" s="4"/>
      <c r="QGS1535" s="6"/>
      <c r="QGT1535" s="4"/>
      <c r="QGU1535" s="6"/>
      <c r="QGV1535" s="4"/>
      <c r="QGW1535" s="6"/>
      <c r="QGX1535" s="4"/>
      <c r="QGY1535" s="6"/>
      <c r="QGZ1535" s="4"/>
      <c r="QHA1535" s="6"/>
      <c r="QHB1535" s="4"/>
      <c r="QHC1535" s="6"/>
      <c r="QHD1535" s="4"/>
      <c r="QHE1535" s="6"/>
      <c r="QHF1535" s="4"/>
      <c r="QHG1535" s="6"/>
      <c r="QHH1535" s="4"/>
      <c r="QHI1535" s="6"/>
      <c r="QHJ1535" s="4"/>
      <c r="QHK1535" s="6"/>
      <c r="QHL1535" s="4"/>
      <c r="QHM1535" s="6"/>
      <c r="QHN1535" s="4"/>
      <c r="QHO1535" s="6"/>
      <c r="QHP1535" s="4"/>
      <c r="QHQ1535" s="6"/>
      <c r="QHR1535" s="4"/>
      <c r="QHS1535" s="6"/>
      <c r="QHT1535" s="4"/>
      <c r="QHU1535" s="6"/>
      <c r="QHV1535" s="4"/>
      <c r="QHW1535" s="6"/>
      <c r="QHX1535" s="4"/>
      <c r="QHY1535" s="6"/>
      <c r="QHZ1535" s="4"/>
      <c r="QIA1535" s="6"/>
      <c r="QIB1535" s="4"/>
      <c r="QIC1535" s="6"/>
      <c r="QID1535" s="4"/>
      <c r="QIE1535" s="6"/>
      <c r="QIF1535" s="4"/>
      <c r="QIG1535" s="6"/>
      <c r="QIH1535" s="4"/>
      <c r="QII1535" s="6"/>
      <c r="QIJ1535" s="4"/>
      <c r="QIK1535" s="6"/>
      <c r="QIL1535" s="4"/>
      <c r="QIM1535" s="6"/>
      <c r="QIN1535" s="4"/>
      <c r="QIO1535" s="6"/>
      <c r="QIP1535" s="4"/>
      <c r="QIQ1535" s="6"/>
      <c r="QIR1535" s="4"/>
      <c r="QIS1535" s="6"/>
      <c r="QIT1535" s="4"/>
      <c r="QIU1535" s="6"/>
      <c r="QIV1535" s="4"/>
      <c r="QIW1535" s="6"/>
      <c r="QIX1535" s="4"/>
      <c r="QIY1535" s="6"/>
      <c r="QIZ1535" s="4"/>
      <c r="QJA1535" s="6"/>
      <c r="QJB1535" s="4"/>
      <c r="QJC1535" s="6"/>
      <c r="QJD1535" s="4"/>
      <c r="QJE1535" s="6"/>
      <c r="QJF1535" s="4"/>
      <c r="QJG1535" s="6"/>
      <c r="QJH1535" s="4"/>
      <c r="QJI1535" s="6"/>
      <c r="QJJ1535" s="4"/>
      <c r="QJK1535" s="6"/>
      <c r="QJL1535" s="4"/>
      <c r="QJM1535" s="6"/>
      <c r="QJN1535" s="4"/>
      <c r="QJO1535" s="6"/>
      <c r="QJP1535" s="4"/>
      <c r="QJQ1535" s="6"/>
      <c r="QJR1535" s="4"/>
      <c r="QJS1535" s="6"/>
      <c r="QJT1535" s="4"/>
      <c r="QJU1535" s="6"/>
      <c r="QJV1535" s="4"/>
      <c r="QJW1535" s="6"/>
      <c r="QJX1535" s="4"/>
      <c r="QJY1535" s="6"/>
      <c r="QJZ1535" s="4"/>
      <c r="QKA1535" s="6"/>
      <c r="QKB1535" s="4"/>
      <c r="QKC1535" s="6"/>
      <c r="QKD1535" s="4"/>
      <c r="QKE1535" s="6"/>
      <c r="QKF1535" s="4"/>
      <c r="QKG1535" s="6"/>
      <c r="QKH1535" s="4"/>
      <c r="QKI1535" s="6"/>
      <c r="QKJ1535" s="4"/>
      <c r="QKK1535" s="6"/>
      <c r="QKL1535" s="4"/>
      <c r="QKM1535" s="6"/>
      <c r="QKN1535" s="4"/>
      <c r="QKO1535" s="6"/>
      <c r="QKP1535" s="4"/>
      <c r="QKQ1535" s="6"/>
      <c r="QKR1535" s="4"/>
      <c r="QKS1535" s="6"/>
      <c r="QKT1535" s="4"/>
      <c r="QKU1535" s="6"/>
      <c r="QKV1535" s="4"/>
      <c r="QKW1535" s="6"/>
      <c r="QKX1535" s="4"/>
      <c r="QKY1535" s="6"/>
      <c r="QKZ1535" s="4"/>
      <c r="QLA1535" s="6"/>
      <c r="QLB1535" s="4"/>
      <c r="QLC1535" s="6"/>
      <c r="QLD1535" s="4"/>
      <c r="QLE1535" s="6"/>
      <c r="QLF1535" s="4"/>
      <c r="QLG1535" s="6"/>
      <c r="QLH1535" s="4"/>
      <c r="QLI1535" s="6"/>
      <c r="QLJ1535" s="4"/>
      <c r="QLK1535" s="6"/>
      <c r="QLL1535" s="4"/>
      <c r="QLM1535" s="6"/>
      <c r="QLN1535" s="4"/>
      <c r="QLO1535" s="6"/>
      <c r="QLP1535" s="4"/>
      <c r="QLQ1535" s="6"/>
      <c r="QLR1535" s="4"/>
      <c r="QLS1535" s="6"/>
      <c r="QLT1535" s="4"/>
      <c r="QLU1535" s="6"/>
      <c r="QLV1535" s="4"/>
      <c r="QLW1535" s="6"/>
      <c r="QLX1535" s="4"/>
      <c r="QLY1535" s="6"/>
      <c r="QLZ1535" s="4"/>
      <c r="QMA1535" s="6"/>
      <c r="QMB1535" s="4"/>
      <c r="QMC1535" s="6"/>
      <c r="QMD1535" s="4"/>
      <c r="QME1535" s="6"/>
      <c r="QMF1535" s="4"/>
      <c r="QMG1535" s="6"/>
      <c r="QMH1535" s="4"/>
      <c r="QMI1535" s="6"/>
      <c r="QMJ1535" s="4"/>
      <c r="QMK1535" s="6"/>
      <c r="QML1535" s="4"/>
      <c r="QMM1535" s="6"/>
      <c r="QMN1535" s="4"/>
      <c r="QMO1535" s="6"/>
      <c r="QMP1535" s="4"/>
      <c r="QMQ1535" s="6"/>
      <c r="QMR1535" s="4"/>
      <c r="QMS1535" s="6"/>
      <c r="QMT1535" s="4"/>
      <c r="QMU1535" s="6"/>
      <c r="QMV1535" s="4"/>
      <c r="QMW1535" s="6"/>
      <c r="QMX1535" s="4"/>
      <c r="QMY1535" s="6"/>
      <c r="QMZ1535" s="4"/>
      <c r="QNA1535" s="6"/>
      <c r="QNB1535" s="4"/>
      <c r="QNC1535" s="6"/>
      <c r="QND1535" s="4"/>
      <c r="QNE1535" s="6"/>
      <c r="QNF1535" s="4"/>
      <c r="QNG1535" s="6"/>
      <c r="QNH1535" s="4"/>
      <c r="QNI1535" s="6"/>
      <c r="QNJ1535" s="4"/>
      <c r="QNK1535" s="6"/>
      <c r="QNL1535" s="4"/>
      <c r="QNM1535" s="6"/>
      <c r="QNN1535" s="4"/>
      <c r="QNO1535" s="6"/>
      <c r="QNP1535" s="4"/>
      <c r="QNQ1535" s="6"/>
      <c r="QNR1535" s="4"/>
      <c r="QNS1535" s="6"/>
      <c r="QNT1535" s="4"/>
      <c r="QNU1535" s="6"/>
      <c r="QNV1535" s="4"/>
      <c r="QNW1535" s="6"/>
      <c r="QNX1535" s="4"/>
      <c r="QNY1535" s="6"/>
      <c r="QNZ1535" s="4"/>
      <c r="QOA1535" s="6"/>
      <c r="QOB1535" s="4"/>
      <c r="QOC1535" s="6"/>
      <c r="QOD1535" s="4"/>
      <c r="QOE1535" s="6"/>
      <c r="QOF1535" s="4"/>
      <c r="QOG1535" s="6"/>
      <c r="QOH1535" s="4"/>
      <c r="QOI1535" s="6"/>
      <c r="QOJ1535" s="4"/>
      <c r="QOK1535" s="6"/>
      <c r="QOL1535" s="4"/>
      <c r="QOM1535" s="6"/>
      <c r="QON1535" s="4"/>
      <c r="QOO1535" s="6"/>
      <c r="QOP1535" s="4"/>
      <c r="QOQ1535" s="6"/>
      <c r="QOR1535" s="4"/>
      <c r="QOS1535" s="6"/>
      <c r="QOT1535" s="4"/>
      <c r="QOU1535" s="6"/>
      <c r="QOV1535" s="4"/>
      <c r="QOW1535" s="6"/>
      <c r="QOX1535" s="4"/>
      <c r="QOY1535" s="6"/>
      <c r="QOZ1535" s="4"/>
      <c r="QPA1535" s="6"/>
      <c r="QPB1535" s="4"/>
      <c r="QPC1535" s="6"/>
      <c r="QPD1535" s="4"/>
      <c r="QPE1535" s="6"/>
      <c r="QPF1535" s="4"/>
      <c r="QPG1535" s="6"/>
      <c r="QPH1535" s="4"/>
      <c r="QPI1535" s="6"/>
      <c r="QPJ1535" s="4"/>
      <c r="QPK1535" s="6"/>
      <c r="QPL1535" s="4"/>
      <c r="QPM1535" s="6"/>
      <c r="QPN1535" s="4"/>
      <c r="QPO1535" s="6"/>
      <c r="QPP1535" s="4"/>
      <c r="QPQ1535" s="6"/>
      <c r="QPR1535" s="4"/>
      <c r="QPS1535" s="6"/>
      <c r="QPT1535" s="4"/>
      <c r="QPU1535" s="6"/>
      <c r="QPV1535" s="4"/>
      <c r="QPW1535" s="6"/>
      <c r="QPX1535" s="4"/>
      <c r="QPY1535" s="6"/>
      <c r="QPZ1535" s="4"/>
      <c r="QQA1535" s="6"/>
      <c r="QQB1535" s="4"/>
      <c r="QQC1535" s="6"/>
      <c r="QQD1535" s="4"/>
      <c r="QQE1535" s="6"/>
      <c r="QQF1535" s="4"/>
      <c r="QQG1535" s="6"/>
      <c r="QQH1535" s="4"/>
      <c r="QQI1535" s="6"/>
      <c r="QQJ1535" s="4"/>
      <c r="QQK1535" s="6"/>
      <c r="QQL1535" s="4"/>
      <c r="QQM1535" s="6"/>
      <c r="QQN1535" s="4"/>
      <c r="QQO1535" s="6"/>
      <c r="QQP1535" s="4"/>
      <c r="QQQ1535" s="6"/>
      <c r="QQR1535" s="4"/>
      <c r="QQS1535" s="6"/>
      <c r="QQT1535" s="4"/>
      <c r="QQU1535" s="6"/>
      <c r="QQV1535" s="4"/>
      <c r="QQW1535" s="6"/>
      <c r="QQX1535" s="4"/>
      <c r="QQY1535" s="6"/>
      <c r="QQZ1535" s="4"/>
      <c r="QRA1535" s="6"/>
      <c r="QRB1535" s="4"/>
      <c r="QRC1535" s="6"/>
      <c r="QRD1535" s="4"/>
      <c r="QRE1535" s="6"/>
      <c r="QRF1535" s="4"/>
      <c r="QRG1535" s="6"/>
      <c r="QRH1535" s="4"/>
      <c r="QRI1535" s="6"/>
      <c r="QRJ1535" s="4"/>
      <c r="QRK1535" s="6"/>
      <c r="QRL1535" s="4"/>
      <c r="QRM1535" s="6"/>
      <c r="QRN1535" s="4"/>
      <c r="QRO1535" s="6"/>
      <c r="QRP1535" s="4"/>
      <c r="QRQ1535" s="6"/>
      <c r="QRR1535" s="4"/>
      <c r="QRS1535" s="6"/>
      <c r="QRT1535" s="4"/>
      <c r="QRU1535" s="6"/>
      <c r="QRV1535" s="4"/>
      <c r="QRW1535" s="6"/>
      <c r="QRX1535" s="4"/>
      <c r="QRY1535" s="6"/>
      <c r="QRZ1535" s="4"/>
      <c r="QSA1535" s="6"/>
      <c r="QSB1535" s="4"/>
      <c r="QSC1535" s="6"/>
      <c r="QSD1535" s="4"/>
      <c r="QSE1535" s="6"/>
      <c r="QSF1535" s="4"/>
      <c r="QSG1535" s="6"/>
      <c r="QSH1535" s="4"/>
      <c r="QSI1535" s="6"/>
      <c r="QSJ1535" s="4"/>
      <c r="QSK1535" s="6"/>
      <c r="QSL1535" s="4"/>
      <c r="QSM1535" s="6"/>
      <c r="QSN1535" s="4"/>
      <c r="QSO1535" s="6"/>
      <c r="QSP1535" s="4"/>
      <c r="QSQ1535" s="6"/>
      <c r="QSR1535" s="4"/>
      <c r="QSS1535" s="6"/>
      <c r="QST1535" s="4"/>
      <c r="QSU1535" s="6"/>
      <c r="QSV1535" s="4"/>
      <c r="QSW1535" s="6"/>
      <c r="QSX1535" s="4"/>
      <c r="QSY1535" s="6"/>
      <c r="QSZ1535" s="4"/>
      <c r="QTA1535" s="6"/>
      <c r="QTB1535" s="4"/>
      <c r="QTC1535" s="6"/>
      <c r="QTD1535" s="4"/>
      <c r="QTE1535" s="6"/>
      <c r="QTF1535" s="4"/>
      <c r="QTG1535" s="6"/>
      <c r="QTH1535" s="4"/>
      <c r="QTI1535" s="6"/>
      <c r="QTJ1535" s="4"/>
      <c r="QTK1535" s="6"/>
      <c r="QTL1535" s="4"/>
      <c r="QTM1535" s="6"/>
      <c r="QTN1535" s="4"/>
      <c r="QTO1535" s="6"/>
      <c r="QTP1535" s="4"/>
      <c r="QTQ1535" s="6"/>
      <c r="QTR1535" s="4"/>
      <c r="QTS1535" s="6"/>
      <c r="QTT1535" s="4"/>
      <c r="QTU1535" s="6"/>
      <c r="QTV1535" s="4"/>
      <c r="QTW1535" s="6"/>
      <c r="QTX1535" s="4"/>
      <c r="QTY1535" s="6"/>
      <c r="QTZ1535" s="4"/>
      <c r="QUA1535" s="6"/>
      <c r="QUB1535" s="4"/>
      <c r="QUC1535" s="6"/>
      <c r="QUD1535" s="4"/>
      <c r="QUE1535" s="6"/>
      <c r="QUF1535" s="4"/>
      <c r="QUG1535" s="6"/>
      <c r="QUH1535" s="4"/>
      <c r="QUI1535" s="6"/>
      <c r="QUJ1535" s="4"/>
      <c r="QUK1535" s="6"/>
      <c r="QUL1535" s="4"/>
      <c r="QUM1535" s="6"/>
      <c r="QUN1535" s="4"/>
      <c r="QUO1535" s="6"/>
      <c r="QUP1535" s="4"/>
      <c r="QUQ1535" s="6"/>
      <c r="QUR1535" s="4"/>
      <c r="QUS1535" s="6"/>
      <c r="QUT1535" s="4"/>
      <c r="QUU1535" s="6"/>
      <c r="QUV1535" s="4"/>
      <c r="QUW1535" s="6"/>
      <c r="QUX1535" s="4"/>
      <c r="QUY1535" s="6"/>
      <c r="QUZ1535" s="4"/>
      <c r="QVA1535" s="6"/>
      <c r="QVB1535" s="4"/>
      <c r="QVC1535" s="6"/>
      <c r="QVD1535" s="4"/>
      <c r="QVE1535" s="6"/>
      <c r="QVF1535" s="4"/>
      <c r="QVG1535" s="6"/>
      <c r="QVH1535" s="4"/>
      <c r="QVI1535" s="6"/>
      <c r="QVJ1535" s="4"/>
      <c r="QVK1535" s="6"/>
      <c r="QVL1535" s="4"/>
      <c r="QVM1535" s="6"/>
      <c r="QVN1535" s="4"/>
      <c r="QVO1535" s="6"/>
      <c r="QVP1535" s="4"/>
      <c r="QVQ1535" s="6"/>
      <c r="QVR1535" s="4"/>
      <c r="QVS1535" s="6"/>
      <c r="QVT1535" s="4"/>
      <c r="QVU1535" s="6"/>
      <c r="QVV1535" s="4"/>
      <c r="QVW1535" s="6"/>
      <c r="QVX1535" s="4"/>
      <c r="QVY1535" s="6"/>
      <c r="QVZ1535" s="4"/>
      <c r="QWA1535" s="6"/>
      <c r="QWB1535" s="4"/>
      <c r="QWC1535" s="6"/>
      <c r="QWD1535" s="4"/>
      <c r="QWE1535" s="6"/>
      <c r="QWF1535" s="4"/>
      <c r="QWG1535" s="6"/>
      <c r="QWH1535" s="4"/>
      <c r="QWI1535" s="6"/>
      <c r="QWJ1535" s="4"/>
      <c r="QWK1535" s="6"/>
      <c r="QWL1535" s="4"/>
      <c r="QWM1535" s="6"/>
      <c r="QWN1535" s="4"/>
      <c r="QWO1535" s="6"/>
      <c r="QWP1535" s="4"/>
      <c r="QWQ1535" s="6"/>
      <c r="QWR1535" s="4"/>
      <c r="QWS1535" s="6"/>
      <c r="QWT1535" s="4"/>
      <c r="QWU1535" s="6"/>
      <c r="QWV1535" s="4"/>
      <c r="QWW1535" s="6"/>
      <c r="QWX1535" s="4"/>
      <c r="QWY1535" s="6"/>
      <c r="QWZ1535" s="4"/>
      <c r="QXA1535" s="6"/>
      <c r="QXB1535" s="4"/>
      <c r="QXC1535" s="6"/>
      <c r="QXD1535" s="4"/>
      <c r="QXE1535" s="6"/>
      <c r="QXF1535" s="4"/>
      <c r="QXG1535" s="6"/>
      <c r="QXH1535" s="4"/>
      <c r="QXI1535" s="6"/>
      <c r="QXJ1535" s="4"/>
      <c r="QXK1535" s="6"/>
      <c r="QXL1535" s="4"/>
      <c r="QXM1535" s="6"/>
      <c r="QXN1535" s="4"/>
      <c r="QXO1535" s="6"/>
      <c r="QXP1535" s="4"/>
      <c r="QXQ1535" s="6"/>
      <c r="QXR1535" s="4"/>
      <c r="QXS1535" s="6"/>
      <c r="QXT1535" s="4"/>
      <c r="QXU1535" s="6"/>
      <c r="QXV1535" s="4"/>
      <c r="QXW1535" s="6"/>
      <c r="QXX1535" s="4"/>
      <c r="QXY1535" s="6"/>
      <c r="QXZ1535" s="4"/>
      <c r="QYA1535" s="6"/>
      <c r="QYB1535" s="4"/>
      <c r="QYC1535" s="6"/>
      <c r="QYD1535" s="4"/>
      <c r="QYE1535" s="6"/>
      <c r="QYF1535" s="4"/>
      <c r="QYG1535" s="6"/>
      <c r="QYH1535" s="4"/>
      <c r="QYI1535" s="6"/>
      <c r="QYJ1535" s="4"/>
      <c r="QYK1535" s="6"/>
      <c r="QYL1535" s="4"/>
      <c r="QYM1535" s="6"/>
      <c r="QYN1535" s="4"/>
      <c r="QYO1535" s="6"/>
      <c r="QYP1535" s="4"/>
      <c r="QYQ1535" s="6"/>
      <c r="QYR1535" s="4"/>
      <c r="QYS1535" s="6"/>
      <c r="QYT1535" s="4"/>
      <c r="QYU1535" s="6"/>
      <c r="QYV1535" s="4"/>
      <c r="QYW1535" s="6"/>
      <c r="QYX1535" s="4"/>
      <c r="QYY1535" s="6"/>
      <c r="QYZ1535" s="4"/>
      <c r="QZA1535" s="6"/>
      <c r="QZB1535" s="4"/>
      <c r="QZC1535" s="6"/>
      <c r="QZD1535" s="4"/>
      <c r="QZE1535" s="6"/>
      <c r="QZF1535" s="4"/>
      <c r="QZG1535" s="6"/>
      <c r="QZH1535" s="4"/>
      <c r="QZI1535" s="6"/>
      <c r="QZJ1535" s="4"/>
      <c r="QZK1535" s="6"/>
      <c r="QZL1535" s="4"/>
      <c r="QZM1535" s="6"/>
      <c r="QZN1535" s="4"/>
      <c r="QZO1535" s="6"/>
      <c r="QZP1535" s="4"/>
      <c r="QZQ1535" s="6"/>
      <c r="QZR1535" s="4"/>
      <c r="QZS1535" s="6"/>
      <c r="QZT1535" s="4"/>
      <c r="QZU1535" s="6"/>
      <c r="QZV1535" s="4"/>
      <c r="QZW1535" s="6"/>
      <c r="QZX1535" s="4"/>
      <c r="QZY1535" s="6"/>
      <c r="QZZ1535" s="4"/>
      <c r="RAA1535" s="6"/>
      <c r="RAB1535" s="4"/>
      <c r="RAC1535" s="6"/>
      <c r="RAD1535" s="4"/>
      <c r="RAE1535" s="6"/>
      <c r="RAF1535" s="4"/>
      <c r="RAG1535" s="6"/>
      <c r="RAH1535" s="4"/>
      <c r="RAI1535" s="6"/>
      <c r="RAJ1535" s="4"/>
      <c r="RAK1535" s="6"/>
      <c r="RAL1535" s="4"/>
      <c r="RAM1535" s="6"/>
      <c r="RAN1535" s="4"/>
      <c r="RAO1535" s="6"/>
      <c r="RAP1535" s="4"/>
      <c r="RAQ1535" s="6"/>
      <c r="RAR1535" s="4"/>
      <c r="RAS1535" s="6"/>
      <c r="RAT1535" s="4"/>
      <c r="RAU1535" s="6"/>
      <c r="RAV1535" s="4"/>
      <c r="RAW1535" s="6"/>
      <c r="RAX1535" s="4"/>
      <c r="RAY1535" s="6"/>
      <c r="RAZ1535" s="4"/>
      <c r="RBA1535" s="6"/>
      <c r="RBB1535" s="4"/>
      <c r="RBC1535" s="6"/>
      <c r="RBD1535" s="4"/>
      <c r="RBE1535" s="6"/>
      <c r="RBF1535" s="4"/>
      <c r="RBG1535" s="6"/>
      <c r="RBH1535" s="4"/>
      <c r="RBI1535" s="6"/>
      <c r="RBJ1535" s="4"/>
      <c r="RBK1535" s="6"/>
      <c r="RBL1535" s="4"/>
      <c r="RBM1535" s="6"/>
      <c r="RBN1535" s="4"/>
      <c r="RBO1535" s="6"/>
      <c r="RBP1535" s="4"/>
      <c r="RBQ1535" s="6"/>
      <c r="RBR1535" s="4"/>
      <c r="RBS1535" s="6"/>
      <c r="RBT1535" s="4"/>
      <c r="RBU1535" s="6"/>
      <c r="RBV1535" s="4"/>
      <c r="RBW1535" s="6"/>
      <c r="RBX1535" s="4"/>
      <c r="RBY1535" s="6"/>
      <c r="RBZ1535" s="4"/>
      <c r="RCA1535" s="6"/>
      <c r="RCB1535" s="4"/>
      <c r="RCC1535" s="6"/>
      <c r="RCD1535" s="4"/>
      <c r="RCE1535" s="6"/>
      <c r="RCF1535" s="4"/>
      <c r="RCG1535" s="6"/>
      <c r="RCH1535" s="4"/>
      <c r="RCI1535" s="6"/>
      <c r="RCJ1535" s="4"/>
      <c r="RCK1535" s="6"/>
      <c r="RCL1535" s="4"/>
      <c r="RCM1535" s="6"/>
      <c r="RCN1535" s="4"/>
      <c r="RCO1535" s="6"/>
      <c r="RCP1535" s="4"/>
      <c r="RCQ1535" s="6"/>
      <c r="RCR1535" s="4"/>
      <c r="RCS1535" s="6"/>
      <c r="RCT1535" s="4"/>
      <c r="RCU1535" s="6"/>
      <c r="RCV1535" s="4"/>
      <c r="RCW1535" s="6"/>
      <c r="RCX1535" s="4"/>
      <c r="RCY1535" s="6"/>
      <c r="RCZ1535" s="4"/>
      <c r="RDA1535" s="6"/>
      <c r="RDB1535" s="4"/>
      <c r="RDC1535" s="6"/>
      <c r="RDD1535" s="4"/>
      <c r="RDE1535" s="6"/>
      <c r="RDF1535" s="4"/>
      <c r="RDG1535" s="6"/>
      <c r="RDH1535" s="4"/>
      <c r="RDI1535" s="6"/>
      <c r="RDJ1535" s="4"/>
      <c r="RDK1535" s="6"/>
      <c r="RDL1535" s="4"/>
      <c r="RDM1535" s="6"/>
      <c r="RDN1535" s="4"/>
      <c r="RDO1535" s="6"/>
      <c r="RDP1535" s="4"/>
      <c r="RDQ1535" s="6"/>
      <c r="RDR1535" s="4"/>
      <c r="RDS1535" s="6"/>
      <c r="RDT1535" s="4"/>
      <c r="RDU1535" s="6"/>
      <c r="RDV1535" s="4"/>
      <c r="RDW1535" s="6"/>
      <c r="RDX1535" s="4"/>
      <c r="RDY1535" s="6"/>
      <c r="RDZ1535" s="4"/>
      <c r="REA1535" s="6"/>
      <c r="REB1535" s="4"/>
      <c r="REC1535" s="6"/>
      <c r="RED1535" s="4"/>
      <c r="REE1535" s="6"/>
      <c r="REF1535" s="4"/>
      <c r="REG1535" s="6"/>
      <c r="REH1535" s="4"/>
      <c r="REI1535" s="6"/>
      <c r="REJ1535" s="4"/>
      <c r="REK1535" s="6"/>
      <c r="REL1535" s="4"/>
      <c r="REM1535" s="6"/>
      <c r="REN1535" s="4"/>
      <c r="REO1535" s="6"/>
      <c r="REP1535" s="4"/>
      <c r="REQ1535" s="6"/>
      <c r="RER1535" s="4"/>
      <c r="RES1535" s="6"/>
      <c r="RET1535" s="4"/>
      <c r="REU1535" s="6"/>
      <c r="REV1535" s="4"/>
      <c r="REW1535" s="6"/>
      <c r="REX1535" s="4"/>
      <c r="REY1535" s="6"/>
      <c r="REZ1535" s="4"/>
      <c r="RFA1535" s="6"/>
      <c r="RFB1535" s="4"/>
      <c r="RFC1535" s="6"/>
      <c r="RFD1535" s="4"/>
      <c r="RFE1535" s="6"/>
      <c r="RFF1535" s="4"/>
      <c r="RFG1535" s="6"/>
      <c r="RFH1535" s="4"/>
      <c r="RFI1535" s="6"/>
      <c r="RFJ1535" s="4"/>
      <c r="RFK1535" s="6"/>
      <c r="RFL1535" s="4"/>
      <c r="RFM1535" s="6"/>
      <c r="RFN1535" s="4"/>
      <c r="RFO1535" s="6"/>
      <c r="RFP1535" s="4"/>
      <c r="RFQ1535" s="6"/>
      <c r="RFR1535" s="4"/>
      <c r="RFS1535" s="6"/>
      <c r="RFT1535" s="4"/>
      <c r="RFU1535" s="6"/>
      <c r="RFV1535" s="4"/>
      <c r="RFW1535" s="6"/>
      <c r="RFX1535" s="4"/>
      <c r="RFY1535" s="6"/>
      <c r="RFZ1535" s="4"/>
      <c r="RGA1535" s="6"/>
      <c r="RGB1535" s="4"/>
      <c r="RGC1535" s="6"/>
      <c r="RGD1535" s="4"/>
      <c r="RGE1535" s="6"/>
      <c r="RGF1535" s="4"/>
      <c r="RGG1535" s="6"/>
      <c r="RGH1535" s="4"/>
      <c r="RGI1535" s="6"/>
      <c r="RGJ1535" s="4"/>
      <c r="RGK1535" s="6"/>
      <c r="RGL1535" s="4"/>
      <c r="RGM1535" s="6"/>
      <c r="RGN1535" s="4"/>
      <c r="RGO1535" s="6"/>
      <c r="RGP1535" s="4"/>
      <c r="RGQ1535" s="6"/>
      <c r="RGR1535" s="4"/>
      <c r="RGS1535" s="6"/>
      <c r="RGT1535" s="4"/>
      <c r="RGU1535" s="6"/>
      <c r="RGV1535" s="4"/>
      <c r="RGW1535" s="6"/>
      <c r="RGX1535" s="4"/>
      <c r="RGY1535" s="6"/>
      <c r="RGZ1535" s="4"/>
      <c r="RHA1535" s="6"/>
      <c r="RHB1535" s="4"/>
      <c r="RHC1535" s="6"/>
      <c r="RHD1535" s="4"/>
      <c r="RHE1535" s="6"/>
      <c r="RHF1535" s="4"/>
      <c r="RHG1535" s="6"/>
      <c r="RHH1535" s="4"/>
      <c r="RHI1535" s="6"/>
      <c r="RHJ1535" s="4"/>
      <c r="RHK1535" s="6"/>
      <c r="RHL1535" s="4"/>
      <c r="RHM1535" s="6"/>
      <c r="RHN1535" s="4"/>
      <c r="RHO1535" s="6"/>
      <c r="RHP1535" s="4"/>
      <c r="RHQ1535" s="6"/>
      <c r="RHR1535" s="4"/>
      <c r="RHS1535" s="6"/>
      <c r="RHT1535" s="4"/>
      <c r="RHU1535" s="6"/>
      <c r="RHV1535" s="4"/>
      <c r="RHW1535" s="6"/>
      <c r="RHX1535" s="4"/>
      <c r="RHY1535" s="6"/>
      <c r="RHZ1535" s="4"/>
      <c r="RIA1535" s="6"/>
      <c r="RIB1535" s="4"/>
      <c r="RIC1535" s="6"/>
      <c r="RID1535" s="4"/>
      <c r="RIE1535" s="6"/>
      <c r="RIF1535" s="4"/>
      <c r="RIG1535" s="6"/>
      <c r="RIH1535" s="4"/>
      <c r="RII1535" s="6"/>
      <c r="RIJ1535" s="4"/>
      <c r="RIK1535" s="6"/>
      <c r="RIL1535" s="4"/>
      <c r="RIM1535" s="6"/>
      <c r="RIN1535" s="4"/>
      <c r="RIO1535" s="6"/>
      <c r="RIP1535" s="4"/>
      <c r="RIQ1535" s="6"/>
      <c r="RIR1535" s="4"/>
      <c r="RIS1535" s="6"/>
      <c r="RIT1535" s="4"/>
      <c r="RIU1535" s="6"/>
      <c r="RIV1535" s="4"/>
      <c r="RIW1535" s="6"/>
      <c r="RIX1535" s="4"/>
      <c r="RIY1535" s="6"/>
      <c r="RIZ1535" s="4"/>
      <c r="RJA1535" s="6"/>
      <c r="RJB1535" s="4"/>
      <c r="RJC1535" s="6"/>
      <c r="RJD1535" s="4"/>
      <c r="RJE1535" s="6"/>
      <c r="RJF1535" s="4"/>
      <c r="RJG1535" s="6"/>
      <c r="RJH1535" s="4"/>
      <c r="RJI1535" s="6"/>
      <c r="RJJ1535" s="4"/>
      <c r="RJK1535" s="6"/>
      <c r="RJL1535" s="4"/>
      <c r="RJM1535" s="6"/>
      <c r="RJN1535" s="4"/>
      <c r="RJO1535" s="6"/>
      <c r="RJP1535" s="4"/>
      <c r="RJQ1535" s="6"/>
      <c r="RJR1535" s="4"/>
      <c r="RJS1535" s="6"/>
      <c r="RJT1535" s="4"/>
      <c r="RJU1535" s="6"/>
      <c r="RJV1535" s="4"/>
      <c r="RJW1535" s="6"/>
      <c r="RJX1535" s="4"/>
      <c r="RJY1535" s="6"/>
      <c r="RJZ1535" s="4"/>
      <c r="RKA1535" s="6"/>
      <c r="RKB1535" s="4"/>
      <c r="RKC1535" s="6"/>
      <c r="RKD1535" s="4"/>
      <c r="RKE1535" s="6"/>
      <c r="RKF1535" s="4"/>
      <c r="RKG1535" s="6"/>
      <c r="RKH1535" s="4"/>
      <c r="RKI1535" s="6"/>
      <c r="RKJ1535" s="4"/>
      <c r="RKK1535" s="6"/>
      <c r="RKL1535" s="4"/>
      <c r="RKM1535" s="6"/>
      <c r="RKN1535" s="4"/>
      <c r="RKO1535" s="6"/>
      <c r="RKP1535" s="4"/>
      <c r="RKQ1535" s="6"/>
      <c r="RKR1535" s="4"/>
      <c r="RKS1535" s="6"/>
      <c r="RKT1535" s="4"/>
      <c r="RKU1535" s="6"/>
      <c r="RKV1535" s="4"/>
      <c r="RKW1535" s="6"/>
      <c r="RKX1535" s="4"/>
      <c r="RKY1535" s="6"/>
      <c r="RKZ1535" s="4"/>
      <c r="RLA1535" s="6"/>
      <c r="RLB1535" s="4"/>
      <c r="RLC1535" s="6"/>
      <c r="RLD1535" s="4"/>
      <c r="RLE1535" s="6"/>
      <c r="RLF1535" s="4"/>
      <c r="RLG1535" s="6"/>
      <c r="RLH1535" s="4"/>
      <c r="RLI1535" s="6"/>
      <c r="RLJ1535" s="4"/>
      <c r="RLK1535" s="6"/>
      <c r="RLL1535" s="4"/>
      <c r="RLM1535" s="6"/>
      <c r="RLN1535" s="4"/>
      <c r="RLO1535" s="6"/>
      <c r="RLP1535" s="4"/>
      <c r="RLQ1535" s="6"/>
      <c r="RLR1535" s="4"/>
      <c r="RLS1535" s="6"/>
      <c r="RLT1535" s="4"/>
      <c r="RLU1535" s="6"/>
      <c r="RLV1535" s="4"/>
      <c r="RLW1535" s="6"/>
      <c r="RLX1535" s="4"/>
      <c r="RLY1535" s="6"/>
      <c r="RLZ1535" s="4"/>
      <c r="RMA1535" s="6"/>
      <c r="RMB1535" s="4"/>
      <c r="RMC1535" s="6"/>
      <c r="RMD1535" s="4"/>
      <c r="RME1535" s="6"/>
      <c r="RMF1535" s="4"/>
      <c r="RMG1535" s="6"/>
      <c r="RMH1535" s="4"/>
      <c r="RMI1535" s="6"/>
      <c r="RMJ1535" s="4"/>
      <c r="RMK1535" s="6"/>
      <c r="RML1535" s="4"/>
      <c r="RMM1535" s="6"/>
      <c r="RMN1535" s="4"/>
      <c r="RMO1535" s="6"/>
      <c r="RMP1535" s="4"/>
      <c r="RMQ1535" s="6"/>
      <c r="RMR1535" s="4"/>
      <c r="RMS1535" s="6"/>
      <c r="RMT1535" s="4"/>
      <c r="RMU1535" s="6"/>
      <c r="RMV1535" s="4"/>
      <c r="RMW1535" s="6"/>
      <c r="RMX1535" s="4"/>
      <c r="RMY1535" s="6"/>
      <c r="RMZ1535" s="4"/>
      <c r="RNA1535" s="6"/>
      <c r="RNB1535" s="4"/>
      <c r="RNC1535" s="6"/>
      <c r="RND1535" s="4"/>
      <c r="RNE1535" s="6"/>
      <c r="RNF1535" s="4"/>
      <c r="RNG1535" s="6"/>
      <c r="RNH1535" s="4"/>
      <c r="RNI1535" s="6"/>
      <c r="RNJ1535" s="4"/>
      <c r="RNK1535" s="6"/>
      <c r="RNL1535" s="4"/>
      <c r="RNM1535" s="6"/>
      <c r="RNN1535" s="4"/>
      <c r="RNO1535" s="6"/>
      <c r="RNP1535" s="4"/>
      <c r="RNQ1535" s="6"/>
      <c r="RNR1535" s="4"/>
      <c r="RNS1535" s="6"/>
      <c r="RNT1535" s="4"/>
      <c r="RNU1535" s="6"/>
      <c r="RNV1535" s="4"/>
      <c r="RNW1535" s="6"/>
      <c r="RNX1535" s="4"/>
      <c r="RNY1535" s="6"/>
      <c r="RNZ1535" s="4"/>
      <c r="ROA1535" s="6"/>
      <c r="ROB1535" s="4"/>
      <c r="ROC1535" s="6"/>
      <c r="ROD1535" s="4"/>
      <c r="ROE1535" s="6"/>
      <c r="ROF1535" s="4"/>
      <c r="ROG1535" s="6"/>
      <c r="ROH1535" s="4"/>
      <c r="ROI1535" s="6"/>
      <c r="ROJ1535" s="4"/>
      <c r="ROK1535" s="6"/>
      <c r="ROL1535" s="4"/>
      <c r="ROM1535" s="6"/>
      <c r="RON1535" s="4"/>
      <c r="ROO1535" s="6"/>
      <c r="ROP1535" s="4"/>
      <c r="ROQ1535" s="6"/>
      <c r="ROR1535" s="4"/>
      <c r="ROS1535" s="6"/>
      <c r="ROT1535" s="4"/>
      <c r="ROU1535" s="6"/>
      <c r="ROV1535" s="4"/>
      <c r="ROW1535" s="6"/>
      <c r="ROX1535" s="4"/>
      <c r="ROY1535" s="6"/>
      <c r="ROZ1535" s="4"/>
      <c r="RPA1535" s="6"/>
      <c r="RPB1535" s="4"/>
      <c r="RPC1535" s="6"/>
      <c r="RPD1535" s="4"/>
      <c r="RPE1535" s="6"/>
      <c r="RPF1535" s="4"/>
      <c r="RPG1535" s="6"/>
      <c r="RPH1535" s="4"/>
      <c r="RPI1535" s="6"/>
      <c r="RPJ1535" s="4"/>
      <c r="RPK1535" s="6"/>
      <c r="RPL1535" s="4"/>
      <c r="RPM1535" s="6"/>
      <c r="RPN1535" s="4"/>
      <c r="RPO1535" s="6"/>
      <c r="RPP1535" s="4"/>
      <c r="RPQ1535" s="6"/>
      <c r="RPR1535" s="4"/>
      <c r="RPS1535" s="6"/>
      <c r="RPT1535" s="4"/>
      <c r="RPU1535" s="6"/>
      <c r="RPV1535" s="4"/>
      <c r="RPW1535" s="6"/>
      <c r="RPX1535" s="4"/>
      <c r="RPY1535" s="6"/>
      <c r="RPZ1535" s="4"/>
      <c r="RQA1535" s="6"/>
      <c r="RQB1535" s="4"/>
      <c r="RQC1535" s="6"/>
      <c r="RQD1535" s="4"/>
      <c r="RQE1535" s="6"/>
      <c r="RQF1535" s="4"/>
      <c r="RQG1535" s="6"/>
      <c r="RQH1535" s="4"/>
      <c r="RQI1535" s="6"/>
      <c r="RQJ1535" s="4"/>
      <c r="RQK1535" s="6"/>
      <c r="RQL1535" s="4"/>
      <c r="RQM1535" s="6"/>
      <c r="RQN1535" s="4"/>
      <c r="RQO1535" s="6"/>
      <c r="RQP1535" s="4"/>
      <c r="RQQ1535" s="6"/>
      <c r="RQR1535" s="4"/>
      <c r="RQS1535" s="6"/>
      <c r="RQT1535" s="4"/>
      <c r="RQU1535" s="6"/>
      <c r="RQV1535" s="4"/>
      <c r="RQW1535" s="6"/>
      <c r="RQX1535" s="4"/>
      <c r="RQY1535" s="6"/>
      <c r="RQZ1535" s="4"/>
      <c r="RRA1535" s="6"/>
      <c r="RRB1535" s="4"/>
      <c r="RRC1535" s="6"/>
      <c r="RRD1535" s="4"/>
      <c r="RRE1535" s="6"/>
      <c r="RRF1535" s="4"/>
      <c r="RRG1535" s="6"/>
      <c r="RRH1535" s="4"/>
      <c r="RRI1535" s="6"/>
      <c r="RRJ1535" s="4"/>
      <c r="RRK1535" s="6"/>
      <c r="RRL1535" s="4"/>
      <c r="RRM1535" s="6"/>
      <c r="RRN1535" s="4"/>
      <c r="RRO1535" s="6"/>
      <c r="RRP1535" s="4"/>
      <c r="RRQ1535" s="6"/>
      <c r="RRR1535" s="4"/>
      <c r="RRS1535" s="6"/>
      <c r="RRT1535" s="4"/>
      <c r="RRU1535" s="6"/>
      <c r="RRV1535" s="4"/>
      <c r="RRW1535" s="6"/>
      <c r="RRX1535" s="4"/>
      <c r="RRY1535" s="6"/>
      <c r="RRZ1535" s="4"/>
      <c r="RSA1535" s="6"/>
      <c r="RSB1535" s="4"/>
      <c r="RSC1535" s="6"/>
      <c r="RSD1535" s="4"/>
      <c r="RSE1535" s="6"/>
      <c r="RSF1535" s="4"/>
      <c r="RSG1535" s="6"/>
      <c r="RSH1535" s="4"/>
      <c r="RSI1535" s="6"/>
      <c r="RSJ1535" s="4"/>
      <c r="RSK1535" s="6"/>
      <c r="RSL1535" s="4"/>
      <c r="RSM1535" s="6"/>
      <c r="RSN1535" s="4"/>
      <c r="RSO1535" s="6"/>
      <c r="RSP1535" s="4"/>
      <c r="RSQ1535" s="6"/>
      <c r="RSR1535" s="4"/>
      <c r="RSS1535" s="6"/>
      <c r="RST1535" s="4"/>
      <c r="RSU1535" s="6"/>
      <c r="RSV1535" s="4"/>
      <c r="RSW1535" s="6"/>
      <c r="RSX1535" s="4"/>
      <c r="RSY1535" s="6"/>
      <c r="RSZ1535" s="4"/>
      <c r="RTA1535" s="6"/>
      <c r="RTB1535" s="4"/>
      <c r="RTC1535" s="6"/>
      <c r="RTD1535" s="4"/>
      <c r="RTE1535" s="6"/>
      <c r="RTF1535" s="4"/>
      <c r="RTG1535" s="6"/>
      <c r="RTH1535" s="4"/>
      <c r="RTI1535" s="6"/>
      <c r="RTJ1535" s="4"/>
      <c r="RTK1535" s="6"/>
      <c r="RTL1535" s="4"/>
      <c r="RTM1535" s="6"/>
      <c r="RTN1535" s="4"/>
      <c r="RTO1535" s="6"/>
      <c r="RTP1535" s="4"/>
      <c r="RTQ1535" s="6"/>
      <c r="RTR1535" s="4"/>
      <c r="RTS1535" s="6"/>
      <c r="RTT1535" s="4"/>
      <c r="RTU1535" s="6"/>
      <c r="RTV1535" s="4"/>
      <c r="RTW1535" s="6"/>
      <c r="RTX1535" s="4"/>
      <c r="RTY1535" s="6"/>
      <c r="RTZ1535" s="4"/>
      <c r="RUA1535" s="6"/>
      <c r="RUB1535" s="4"/>
      <c r="RUC1535" s="6"/>
      <c r="RUD1535" s="4"/>
      <c r="RUE1535" s="6"/>
      <c r="RUF1535" s="4"/>
      <c r="RUG1535" s="6"/>
      <c r="RUH1535" s="4"/>
      <c r="RUI1535" s="6"/>
      <c r="RUJ1535" s="4"/>
      <c r="RUK1535" s="6"/>
      <c r="RUL1535" s="4"/>
      <c r="RUM1535" s="6"/>
      <c r="RUN1535" s="4"/>
      <c r="RUO1535" s="6"/>
      <c r="RUP1535" s="4"/>
      <c r="RUQ1535" s="6"/>
      <c r="RUR1535" s="4"/>
      <c r="RUS1535" s="6"/>
      <c r="RUT1535" s="4"/>
      <c r="RUU1535" s="6"/>
      <c r="RUV1535" s="4"/>
      <c r="RUW1535" s="6"/>
      <c r="RUX1535" s="4"/>
      <c r="RUY1535" s="6"/>
      <c r="RUZ1535" s="4"/>
      <c r="RVA1535" s="6"/>
      <c r="RVB1535" s="4"/>
      <c r="RVC1535" s="6"/>
      <c r="RVD1535" s="4"/>
      <c r="RVE1535" s="6"/>
      <c r="RVF1535" s="4"/>
      <c r="RVG1535" s="6"/>
      <c r="RVH1535" s="4"/>
      <c r="RVI1535" s="6"/>
      <c r="RVJ1535" s="4"/>
      <c r="RVK1535" s="6"/>
      <c r="RVL1535" s="4"/>
      <c r="RVM1535" s="6"/>
      <c r="RVN1535" s="4"/>
      <c r="RVO1535" s="6"/>
      <c r="RVP1535" s="4"/>
      <c r="RVQ1535" s="6"/>
      <c r="RVR1535" s="4"/>
      <c r="RVS1535" s="6"/>
      <c r="RVT1535" s="4"/>
      <c r="RVU1535" s="6"/>
      <c r="RVV1535" s="4"/>
      <c r="RVW1535" s="6"/>
      <c r="RVX1535" s="4"/>
      <c r="RVY1535" s="6"/>
      <c r="RVZ1535" s="4"/>
      <c r="RWA1535" s="6"/>
      <c r="RWB1535" s="4"/>
      <c r="RWC1535" s="6"/>
      <c r="RWD1535" s="4"/>
      <c r="RWE1535" s="6"/>
      <c r="RWF1535" s="4"/>
      <c r="RWG1535" s="6"/>
      <c r="RWH1535" s="4"/>
      <c r="RWI1535" s="6"/>
      <c r="RWJ1535" s="4"/>
      <c r="RWK1535" s="6"/>
      <c r="RWL1535" s="4"/>
      <c r="RWM1535" s="6"/>
      <c r="RWN1535" s="4"/>
      <c r="RWO1535" s="6"/>
      <c r="RWP1535" s="4"/>
      <c r="RWQ1535" s="6"/>
      <c r="RWR1535" s="4"/>
      <c r="RWS1535" s="6"/>
      <c r="RWT1535" s="4"/>
      <c r="RWU1535" s="6"/>
      <c r="RWV1535" s="4"/>
      <c r="RWW1535" s="6"/>
      <c r="RWX1535" s="4"/>
      <c r="RWY1535" s="6"/>
      <c r="RWZ1535" s="4"/>
      <c r="RXA1535" s="6"/>
      <c r="RXB1535" s="4"/>
      <c r="RXC1535" s="6"/>
      <c r="RXD1535" s="4"/>
      <c r="RXE1535" s="6"/>
      <c r="RXF1535" s="4"/>
      <c r="RXG1535" s="6"/>
      <c r="RXH1535" s="4"/>
      <c r="RXI1535" s="6"/>
      <c r="RXJ1535" s="4"/>
      <c r="RXK1535" s="6"/>
      <c r="RXL1535" s="4"/>
      <c r="RXM1535" s="6"/>
      <c r="RXN1535" s="4"/>
      <c r="RXO1535" s="6"/>
      <c r="RXP1535" s="4"/>
      <c r="RXQ1535" s="6"/>
      <c r="RXR1535" s="4"/>
      <c r="RXS1535" s="6"/>
      <c r="RXT1535" s="4"/>
      <c r="RXU1535" s="6"/>
      <c r="RXV1535" s="4"/>
      <c r="RXW1535" s="6"/>
      <c r="RXX1535" s="4"/>
      <c r="RXY1535" s="6"/>
      <c r="RXZ1535" s="4"/>
      <c r="RYA1535" s="6"/>
      <c r="RYB1535" s="4"/>
      <c r="RYC1535" s="6"/>
      <c r="RYD1535" s="4"/>
      <c r="RYE1535" s="6"/>
      <c r="RYF1535" s="4"/>
      <c r="RYG1535" s="6"/>
      <c r="RYH1535" s="4"/>
      <c r="RYI1535" s="6"/>
      <c r="RYJ1535" s="4"/>
      <c r="RYK1535" s="6"/>
      <c r="RYL1535" s="4"/>
      <c r="RYM1535" s="6"/>
      <c r="RYN1535" s="4"/>
      <c r="RYO1535" s="6"/>
      <c r="RYP1535" s="4"/>
      <c r="RYQ1535" s="6"/>
      <c r="RYR1535" s="4"/>
      <c r="RYS1535" s="6"/>
      <c r="RYT1535" s="4"/>
      <c r="RYU1535" s="6"/>
      <c r="RYV1535" s="4"/>
      <c r="RYW1535" s="6"/>
      <c r="RYX1535" s="4"/>
      <c r="RYY1535" s="6"/>
      <c r="RYZ1535" s="4"/>
      <c r="RZA1535" s="6"/>
      <c r="RZB1535" s="4"/>
      <c r="RZC1535" s="6"/>
      <c r="RZD1535" s="4"/>
      <c r="RZE1535" s="6"/>
      <c r="RZF1535" s="4"/>
      <c r="RZG1535" s="6"/>
      <c r="RZH1535" s="4"/>
      <c r="RZI1535" s="6"/>
      <c r="RZJ1535" s="4"/>
      <c r="RZK1535" s="6"/>
      <c r="RZL1535" s="4"/>
      <c r="RZM1535" s="6"/>
      <c r="RZN1535" s="4"/>
      <c r="RZO1535" s="6"/>
      <c r="RZP1535" s="4"/>
      <c r="RZQ1535" s="6"/>
      <c r="RZR1535" s="4"/>
      <c r="RZS1535" s="6"/>
      <c r="RZT1535" s="4"/>
      <c r="RZU1535" s="6"/>
      <c r="RZV1535" s="4"/>
      <c r="RZW1535" s="6"/>
      <c r="RZX1535" s="4"/>
      <c r="RZY1535" s="6"/>
      <c r="RZZ1535" s="4"/>
      <c r="SAA1535" s="6"/>
      <c r="SAB1535" s="4"/>
      <c r="SAC1535" s="6"/>
      <c r="SAD1535" s="4"/>
      <c r="SAE1535" s="6"/>
      <c r="SAF1535" s="4"/>
      <c r="SAG1535" s="6"/>
      <c r="SAH1535" s="4"/>
      <c r="SAI1535" s="6"/>
      <c r="SAJ1535" s="4"/>
      <c r="SAK1535" s="6"/>
      <c r="SAL1535" s="4"/>
      <c r="SAM1535" s="6"/>
      <c r="SAN1535" s="4"/>
      <c r="SAO1535" s="6"/>
      <c r="SAP1535" s="4"/>
      <c r="SAQ1535" s="6"/>
      <c r="SAR1535" s="4"/>
      <c r="SAS1535" s="6"/>
      <c r="SAT1535" s="4"/>
      <c r="SAU1535" s="6"/>
      <c r="SAV1535" s="4"/>
      <c r="SAW1535" s="6"/>
      <c r="SAX1535" s="4"/>
      <c r="SAY1535" s="6"/>
      <c r="SAZ1535" s="4"/>
      <c r="SBA1535" s="6"/>
      <c r="SBB1535" s="4"/>
      <c r="SBC1535" s="6"/>
      <c r="SBD1535" s="4"/>
      <c r="SBE1535" s="6"/>
      <c r="SBF1535" s="4"/>
      <c r="SBG1535" s="6"/>
      <c r="SBH1535" s="4"/>
      <c r="SBI1535" s="6"/>
      <c r="SBJ1535" s="4"/>
      <c r="SBK1535" s="6"/>
      <c r="SBL1535" s="4"/>
      <c r="SBM1535" s="6"/>
      <c r="SBN1535" s="4"/>
      <c r="SBO1535" s="6"/>
      <c r="SBP1535" s="4"/>
      <c r="SBQ1535" s="6"/>
      <c r="SBR1535" s="4"/>
      <c r="SBS1535" s="6"/>
      <c r="SBT1535" s="4"/>
      <c r="SBU1535" s="6"/>
      <c r="SBV1535" s="4"/>
      <c r="SBW1535" s="6"/>
      <c r="SBX1535" s="4"/>
      <c r="SBY1535" s="6"/>
      <c r="SBZ1535" s="4"/>
      <c r="SCA1535" s="6"/>
      <c r="SCB1535" s="4"/>
      <c r="SCC1535" s="6"/>
      <c r="SCD1535" s="4"/>
      <c r="SCE1535" s="6"/>
      <c r="SCF1535" s="4"/>
      <c r="SCG1535" s="6"/>
      <c r="SCH1535" s="4"/>
      <c r="SCI1535" s="6"/>
      <c r="SCJ1535" s="4"/>
      <c r="SCK1535" s="6"/>
      <c r="SCL1535" s="4"/>
      <c r="SCM1535" s="6"/>
      <c r="SCN1535" s="4"/>
      <c r="SCO1535" s="6"/>
      <c r="SCP1535" s="4"/>
      <c r="SCQ1535" s="6"/>
      <c r="SCR1535" s="4"/>
      <c r="SCS1535" s="6"/>
      <c r="SCT1535" s="4"/>
      <c r="SCU1535" s="6"/>
      <c r="SCV1535" s="4"/>
      <c r="SCW1535" s="6"/>
      <c r="SCX1535" s="4"/>
      <c r="SCY1535" s="6"/>
      <c r="SCZ1535" s="4"/>
      <c r="SDA1535" s="6"/>
      <c r="SDB1535" s="4"/>
      <c r="SDC1535" s="6"/>
      <c r="SDD1535" s="4"/>
      <c r="SDE1535" s="6"/>
      <c r="SDF1535" s="4"/>
      <c r="SDG1535" s="6"/>
      <c r="SDH1535" s="4"/>
      <c r="SDI1535" s="6"/>
      <c r="SDJ1535" s="4"/>
      <c r="SDK1535" s="6"/>
      <c r="SDL1535" s="4"/>
      <c r="SDM1535" s="6"/>
      <c r="SDN1535" s="4"/>
      <c r="SDO1535" s="6"/>
      <c r="SDP1535" s="4"/>
      <c r="SDQ1535" s="6"/>
      <c r="SDR1535" s="4"/>
      <c r="SDS1535" s="6"/>
      <c r="SDT1535" s="4"/>
      <c r="SDU1535" s="6"/>
      <c r="SDV1535" s="4"/>
      <c r="SDW1535" s="6"/>
      <c r="SDX1535" s="4"/>
      <c r="SDY1535" s="6"/>
      <c r="SDZ1535" s="4"/>
      <c r="SEA1535" s="6"/>
      <c r="SEB1535" s="4"/>
      <c r="SEC1535" s="6"/>
      <c r="SED1535" s="4"/>
      <c r="SEE1535" s="6"/>
      <c r="SEF1535" s="4"/>
      <c r="SEG1535" s="6"/>
      <c r="SEH1535" s="4"/>
      <c r="SEI1535" s="6"/>
      <c r="SEJ1535" s="4"/>
      <c r="SEK1535" s="6"/>
      <c r="SEL1535" s="4"/>
      <c r="SEM1535" s="6"/>
      <c r="SEN1535" s="4"/>
      <c r="SEO1535" s="6"/>
      <c r="SEP1535" s="4"/>
      <c r="SEQ1535" s="6"/>
      <c r="SER1535" s="4"/>
      <c r="SES1535" s="6"/>
      <c r="SET1535" s="4"/>
      <c r="SEU1535" s="6"/>
      <c r="SEV1535" s="4"/>
      <c r="SEW1535" s="6"/>
      <c r="SEX1535" s="4"/>
      <c r="SEY1535" s="6"/>
      <c r="SEZ1535" s="4"/>
      <c r="SFA1535" s="6"/>
      <c r="SFB1535" s="4"/>
      <c r="SFC1535" s="6"/>
      <c r="SFD1535" s="4"/>
      <c r="SFE1535" s="6"/>
      <c r="SFF1535" s="4"/>
      <c r="SFG1535" s="6"/>
      <c r="SFH1535" s="4"/>
      <c r="SFI1535" s="6"/>
      <c r="SFJ1535" s="4"/>
      <c r="SFK1535" s="6"/>
      <c r="SFL1535" s="4"/>
      <c r="SFM1535" s="6"/>
      <c r="SFN1535" s="4"/>
      <c r="SFO1535" s="6"/>
      <c r="SFP1535" s="4"/>
      <c r="SFQ1535" s="6"/>
      <c r="SFR1535" s="4"/>
      <c r="SFS1535" s="6"/>
      <c r="SFT1535" s="4"/>
      <c r="SFU1535" s="6"/>
      <c r="SFV1535" s="4"/>
      <c r="SFW1535" s="6"/>
      <c r="SFX1535" s="4"/>
      <c r="SFY1535" s="6"/>
      <c r="SFZ1535" s="4"/>
      <c r="SGA1535" s="6"/>
      <c r="SGB1535" s="4"/>
      <c r="SGC1535" s="6"/>
      <c r="SGD1535" s="4"/>
      <c r="SGE1535" s="6"/>
      <c r="SGF1535" s="4"/>
      <c r="SGG1535" s="6"/>
      <c r="SGH1535" s="4"/>
      <c r="SGI1535" s="6"/>
      <c r="SGJ1535" s="4"/>
      <c r="SGK1535" s="6"/>
      <c r="SGL1535" s="4"/>
      <c r="SGM1535" s="6"/>
      <c r="SGN1535" s="4"/>
      <c r="SGO1535" s="6"/>
      <c r="SGP1535" s="4"/>
      <c r="SGQ1535" s="6"/>
      <c r="SGR1535" s="4"/>
      <c r="SGS1535" s="6"/>
      <c r="SGT1535" s="4"/>
      <c r="SGU1535" s="6"/>
      <c r="SGV1535" s="4"/>
      <c r="SGW1535" s="6"/>
      <c r="SGX1535" s="4"/>
      <c r="SGY1535" s="6"/>
      <c r="SGZ1535" s="4"/>
      <c r="SHA1535" s="6"/>
      <c r="SHB1535" s="4"/>
      <c r="SHC1535" s="6"/>
      <c r="SHD1535" s="4"/>
      <c r="SHE1535" s="6"/>
      <c r="SHF1535" s="4"/>
      <c r="SHG1535" s="6"/>
      <c r="SHH1535" s="4"/>
      <c r="SHI1535" s="6"/>
      <c r="SHJ1535" s="4"/>
      <c r="SHK1535" s="6"/>
      <c r="SHL1535" s="4"/>
      <c r="SHM1535" s="6"/>
      <c r="SHN1535" s="4"/>
      <c r="SHO1535" s="6"/>
      <c r="SHP1535" s="4"/>
      <c r="SHQ1535" s="6"/>
      <c r="SHR1535" s="4"/>
      <c r="SHS1535" s="6"/>
      <c r="SHT1535" s="4"/>
      <c r="SHU1535" s="6"/>
      <c r="SHV1535" s="4"/>
      <c r="SHW1535" s="6"/>
      <c r="SHX1535" s="4"/>
      <c r="SHY1535" s="6"/>
      <c r="SHZ1535" s="4"/>
      <c r="SIA1535" s="6"/>
      <c r="SIB1535" s="4"/>
      <c r="SIC1535" s="6"/>
      <c r="SID1535" s="4"/>
      <c r="SIE1535" s="6"/>
      <c r="SIF1535" s="4"/>
      <c r="SIG1535" s="6"/>
      <c r="SIH1535" s="4"/>
      <c r="SII1535" s="6"/>
      <c r="SIJ1535" s="4"/>
      <c r="SIK1535" s="6"/>
      <c r="SIL1535" s="4"/>
      <c r="SIM1535" s="6"/>
      <c r="SIN1535" s="4"/>
      <c r="SIO1535" s="6"/>
      <c r="SIP1535" s="4"/>
      <c r="SIQ1535" s="6"/>
      <c r="SIR1535" s="4"/>
      <c r="SIS1535" s="6"/>
      <c r="SIT1535" s="4"/>
      <c r="SIU1535" s="6"/>
      <c r="SIV1535" s="4"/>
      <c r="SIW1535" s="6"/>
      <c r="SIX1535" s="4"/>
      <c r="SIY1535" s="6"/>
      <c r="SIZ1535" s="4"/>
      <c r="SJA1535" s="6"/>
      <c r="SJB1535" s="4"/>
      <c r="SJC1535" s="6"/>
      <c r="SJD1535" s="4"/>
      <c r="SJE1535" s="6"/>
      <c r="SJF1535" s="4"/>
      <c r="SJG1535" s="6"/>
      <c r="SJH1535" s="4"/>
      <c r="SJI1535" s="6"/>
      <c r="SJJ1535" s="4"/>
      <c r="SJK1535" s="6"/>
      <c r="SJL1535" s="4"/>
      <c r="SJM1535" s="6"/>
      <c r="SJN1535" s="4"/>
      <c r="SJO1535" s="6"/>
      <c r="SJP1535" s="4"/>
      <c r="SJQ1535" s="6"/>
      <c r="SJR1535" s="4"/>
      <c r="SJS1535" s="6"/>
      <c r="SJT1535" s="4"/>
      <c r="SJU1535" s="6"/>
      <c r="SJV1535" s="4"/>
      <c r="SJW1535" s="6"/>
      <c r="SJX1535" s="4"/>
      <c r="SJY1535" s="6"/>
      <c r="SJZ1535" s="4"/>
      <c r="SKA1535" s="6"/>
      <c r="SKB1535" s="4"/>
      <c r="SKC1535" s="6"/>
      <c r="SKD1535" s="4"/>
      <c r="SKE1535" s="6"/>
      <c r="SKF1535" s="4"/>
      <c r="SKG1535" s="6"/>
      <c r="SKH1535" s="4"/>
      <c r="SKI1535" s="6"/>
      <c r="SKJ1535" s="4"/>
      <c r="SKK1535" s="6"/>
      <c r="SKL1535" s="4"/>
      <c r="SKM1535" s="6"/>
      <c r="SKN1535" s="4"/>
      <c r="SKO1535" s="6"/>
      <c r="SKP1535" s="4"/>
      <c r="SKQ1535" s="6"/>
      <c r="SKR1535" s="4"/>
      <c r="SKS1535" s="6"/>
      <c r="SKT1535" s="4"/>
      <c r="SKU1535" s="6"/>
      <c r="SKV1535" s="4"/>
      <c r="SKW1535" s="6"/>
      <c r="SKX1535" s="4"/>
      <c r="SKY1535" s="6"/>
      <c r="SKZ1535" s="4"/>
      <c r="SLA1535" s="6"/>
      <c r="SLB1535" s="4"/>
      <c r="SLC1535" s="6"/>
      <c r="SLD1535" s="4"/>
      <c r="SLE1535" s="6"/>
      <c r="SLF1535" s="4"/>
      <c r="SLG1535" s="6"/>
      <c r="SLH1535" s="4"/>
      <c r="SLI1535" s="6"/>
      <c r="SLJ1535" s="4"/>
      <c r="SLK1535" s="6"/>
      <c r="SLL1535" s="4"/>
      <c r="SLM1535" s="6"/>
      <c r="SLN1535" s="4"/>
      <c r="SLO1535" s="6"/>
      <c r="SLP1535" s="4"/>
      <c r="SLQ1535" s="6"/>
      <c r="SLR1535" s="4"/>
      <c r="SLS1535" s="6"/>
      <c r="SLT1535" s="4"/>
      <c r="SLU1535" s="6"/>
      <c r="SLV1535" s="4"/>
      <c r="SLW1535" s="6"/>
      <c r="SLX1535" s="4"/>
      <c r="SLY1535" s="6"/>
      <c r="SLZ1535" s="4"/>
      <c r="SMA1535" s="6"/>
      <c r="SMB1535" s="4"/>
      <c r="SMC1535" s="6"/>
      <c r="SMD1535" s="4"/>
      <c r="SME1535" s="6"/>
      <c r="SMF1535" s="4"/>
      <c r="SMG1535" s="6"/>
      <c r="SMH1535" s="4"/>
      <c r="SMI1535" s="6"/>
      <c r="SMJ1535" s="4"/>
      <c r="SMK1535" s="6"/>
      <c r="SML1535" s="4"/>
      <c r="SMM1535" s="6"/>
      <c r="SMN1535" s="4"/>
      <c r="SMO1535" s="6"/>
      <c r="SMP1535" s="4"/>
      <c r="SMQ1535" s="6"/>
      <c r="SMR1535" s="4"/>
      <c r="SMS1535" s="6"/>
      <c r="SMT1535" s="4"/>
      <c r="SMU1535" s="6"/>
      <c r="SMV1535" s="4"/>
      <c r="SMW1535" s="6"/>
      <c r="SMX1535" s="4"/>
      <c r="SMY1535" s="6"/>
      <c r="SMZ1535" s="4"/>
      <c r="SNA1535" s="6"/>
      <c r="SNB1535" s="4"/>
      <c r="SNC1535" s="6"/>
      <c r="SND1535" s="4"/>
      <c r="SNE1535" s="6"/>
      <c r="SNF1535" s="4"/>
      <c r="SNG1535" s="6"/>
      <c r="SNH1535" s="4"/>
      <c r="SNI1535" s="6"/>
      <c r="SNJ1535" s="4"/>
      <c r="SNK1535" s="6"/>
      <c r="SNL1535" s="4"/>
      <c r="SNM1535" s="6"/>
      <c r="SNN1535" s="4"/>
      <c r="SNO1535" s="6"/>
      <c r="SNP1535" s="4"/>
      <c r="SNQ1535" s="6"/>
      <c r="SNR1535" s="4"/>
      <c r="SNS1535" s="6"/>
      <c r="SNT1535" s="4"/>
      <c r="SNU1535" s="6"/>
      <c r="SNV1535" s="4"/>
      <c r="SNW1535" s="6"/>
      <c r="SNX1535" s="4"/>
      <c r="SNY1535" s="6"/>
      <c r="SNZ1535" s="4"/>
      <c r="SOA1535" s="6"/>
      <c r="SOB1535" s="4"/>
      <c r="SOC1535" s="6"/>
      <c r="SOD1535" s="4"/>
      <c r="SOE1535" s="6"/>
      <c r="SOF1535" s="4"/>
      <c r="SOG1535" s="6"/>
      <c r="SOH1535" s="4"/>
      <c r="SOI1535" s="6"/>
      <c r="SOJ1535" s="4"/>
      <c r="SOK1535" s="6"/>
      <c r="SOL1535" s="4"/>
      <c r="SOM1535" s="6"/>
      <c r="SON1535" s="4"/>
      <c r="SOO1535" s="6"/>
      <c r="SOP1535" s="4"/>
      <c r="SOQ1535" s="6"/>
      <c r="SOR1535" s="4"/>
      <c r="SOS1535" s="6"/>
      <c r="SOT1535" s="4"/>
      <c r="SOU1535" s="6"/>
      <c r="SOV1535" s="4"/>
      <c r="SOW1535" s="6"/>
      <c r="SOX1535" s="4"/>
      <c r="SOY1535" s="6"/>
      <c r="SOZ1535" s="4"/>
      <c r="SPA1535" s="6"/>
      <c r="SPB1535" s="4"/>
      <c r="SPC1535" s="6"/>
      <c r="SPD1535" s="4"/>
      <c r="SPE1535" s="6"/>
      <c r="SPF1535" s="4"/>
      <c r="SPG1535" s="6"/>
      <c r="SPH1535" s="4"/>
      <c r="SPI1535" s="6"/>
      <c r="SPJ1535" s="4"/>
      <c r="SPK1535" s="6"/>
      <c r="SPL1535" s="4"/>
      <c r="SPM1535" s="6"/>
      <c r="SPN1535" s="4"/>
      <c r="SPO1535" s="6"/>
      <c r="SPP1535" s="4"/>
      <c r="SPQ1535" s="6"/>
      <c r="SPR1535" s="4"/>
      <c r="SPS1535" s="6"/>
      <c r="SPT1535" s="4"/>
      <c r="SPU1535" s="6"/>
      <c r="SPV1535" s="4"/>
      <c r="SPW1535" s="6"/>
      <c r="SPX1535" s="4"/>
      <c r="SPY1535" s="6"/>
      <c r="SPZ1535" s="4"/>
      <c r="SQA1535" s="6"/>
      <c r="SQB1535" s="4"/>
      <c r="SQC1535" s="6"/>
      <c r="SQD1535" s="4"/>
      <c r="SQE1535" s="6"/>
      <c r="SQF1535" s="4"/>
      <c r="SQG1535" s="6"/>
      <c r="SQH1535" s="4"/>
      <c r="SQI1535" s="6"/>
      <c r="SQJ1535" s="4"/>
      <c r="SQK1535" s="6"/>
      <c r="SQL1535" s="4"/>
      <c r="SQM1535" s="6"/>
      <c r="SQN1535" s="4"/>
      <c r="SQO1535" s="6"/>
      <c r="SQP1535" s="4"/>
      <c r="SQQ1535" s="6"/>
      <c r="SQR1535" s="4"/>
      <c r="SQS1535" s="6"/>
      <c r="SQT1535" s="4"/>
      <c r="SQU1535" s="6"/>
      <c r="SQV1535" s="4"/>
      <c r="SQW1535" s="6"/>
      <c r="SQX1535" s="4"/>
      <c r="SQY1535" s="6"/>
      <c r="SQZ1535" s="4"/>
      <c r="SRA1535" s="6"/>
      <c r="SRB1535" s="4"/>
      <c r="SRC1535" s="6"/>
      <c r="SRD1535" s="4"/>
      <c r="SRE1535" s="6"/>
      <c r="SRF1535" s="4"/>
      <c r="SRG1535" s="6"/>
      <c r="SRH1535" s="4"/>
      <c r="SRI1535" s="6"/>
      <c r="SRJ1535" s="4"/>
      <c r="SRK1535" s="6"/>
      <c r="SRL1535" s="4"/>
      <c r="SRM1535" s="6"/>
      <c r="SRN1535" s="4"/>
      <c r="SRO1535" s="6"/>
      <c r="SRP1535" s="4"/>
      <c r="SRQ1535" s="6"/>
      <c r="SRR1535" s="4"/>
      <c r="SRS1535" s="6"/>
      <c r="SRT1535" s="4"/>
      <c r="SRU1535" s="6"/>
      <c r="SRV1535" s="4"/>
      <c r="SRW1535" s="6"/>
      <c r="SRX1535" s="4"/>
      <c r="SRY1535" s="6"/>
      <c r="SRZ1535" s="4"/>
      <c r="SSA1535" s="6"/>
      <c r="SSB1535" s="4"/>
      <c r="SSC1535" s="6"/>
      <c r="SSD1535" s="4"/>
      <c r="SSE1535" s="6"/>
      <c r="SSF1535" s="4"/>
      <c r="SSG1535" s="6"/>
      <c r="SSH1535" s="4"/>
      <c r="SSI1535" s="6"/>
      <c r="SSJ1535" s="4"/>
      <c r="SSK1535" s="6"/>
      <c r="SSL1535" s="4"/>
      <c r="SSM1535" s="6"/>
      <c r="SSN1535" s="4"/>
      <c r="SSO1535" s="6"/>
      <c r="SSP1535" s="4"/>
      <c r="SSQ1535" s="6"/>
      <c r="SSR1535" s="4"/>
      <c r="SSS1535" s="6"/>
      <c r="SST1535" s="4"/>
      <c r="SSU1535" s="6"/>
      <c r="SSV1535" s="4"/>
      <c r="SSW1535" s="6"/>
      <c r="SSX1535" s="4"/>
      <c r="SSY1535" s="6"/>
      <c r="SSZ1535" s="4"/>
      <c r="STA1535" s="6"/>
      <c r="STB1535" s="4"/>
      <c r="STC1535" s="6"/>
      <c r="STD1535" s="4"/>
      <c r="STE1535" s="6"/>
      <c r="STF1535" s="4"/>
      <c r="STG1535" s="6"/>
      <c r="STH1535" s="4"/>
      <c r="STI1535" s="6"/>
      <c r="STJ1535" s="4"/>
      <c r="STK1535" s="6"/>
      <c r="STL1535" s="4"/>
      <c r="STM1535" s="6"/>
      <c r="STN1535" s="4"/>
      <c r="STO1535" s="6"/>
      <c r="STP1535" s="4"/>
      <c r="STQ1535" s="6"/>
      <c r="STR1535" s="4"/>
      <c r="STS1535" s="6"/>
      <c r="STT1535" s="4"/>
      <c r="STU1535" s="6"/>
      <c r="STV1535" s="4"/>
      <c r="STW1535" s="6"/>
      <c r="STX1535" s="4"/>
      <c r="STY1535" s="6"/>
      <c r="STZ1535" s="4"/>
      <c r="SUA1535" s="6"/>
      <c r="SUB1535" s="4"/>
      <c r="SUC1535" s="6"/>
      <c r="SUD1535" s="4"/>
      <c r="SUE1535" s="6"/>
      <c r="SUF1535" s="4"/>
      <c r="SUG1535" s="6"/>
      <c r="SUH1535" s="4"/>
      <c r="SUI1535" s="6"/>
      <c r="SUJ1535" s="4"/>
      <c r="SUK1535" s="6"/>
      <c r="SUL1535" s="4"/>
      <c r="SUM1535" s="6"/>
      <c r="SUN1535" s="4"/>
      <c r="SUO1535" s="6"/>
      <c r="SUP1535" s="4"/>
      <c r="SUQ1535" s="6"/>
      <c r="SUR1535" s="4"/>
      <c r="SUS1535" s="6"/>
      <c r="SUT1535" s="4"/>
      <c r="SUU1535" s="6"/>
      <c r="SUV1535" s="4"/>
      <c r="SUW1535" s="6"/>
      <c r="SUX1535" s="4"/>
      <c r="SUY1535" s="6"/>
      <c r="SUZ1535" s="4"/>
      <c r="SVA1535" s="6"/>
      <c r="SVB1535" s="4"/>
      <c r="SVC1535" s="6"/>
      <c r="SVD1535" s="4"/>
      <c r="SVE1535" s="6"/>
      <c r="SVF1535" s="4"/>
      <c r="SVG1535" s="6"/>
      <c r="SVH1535" s="4"/>
      <c r="SVI1535" s="6"/>
      <c r="SVJ1535" s="4"/>
      <c r="SVK1535" s="6"/>
      <c r="SVL1535" s="4"/>
      <c r="SVM1535" s="6"/>
      <c r="SVN1535" s="4"/>
      <c r="SVO1535" s="6"/>
      <c r="SVP1535" s="4"/>
      <c r="SVQ1535" s="6"/>
      <c r="SVR1535" s="4"/>
      <c r="SVS1535" s="6"/>
      <c r="SVT1535" s="4"/>
      <c r="SVU1535" s="6"/>
      <c r="SVV1535" s="4"/>
      <c r="SVW1535" s="6"/>
      <c r="SVX1535" s="4"/>
      <c r="SVY1535" s="6"/>
      <c r="SVZ1535" s="4"/>
      <c r="SWA1535" s="6"/>
      <c r="SWB1535" s="4"/>
      <c r="SWC1535" s="6"/>
      <c r="SWD1535" s="4"/>
      <c r="SWE1535" s="6"/>
      <c r="SWF1535" s="4"/>
      <c r="SWG1535" s="6"/>
      <c r="SWH1535" s="4"/>
      <c r="SWI1535" s="6"/>
      <c r="SWJ1535" s="4"/>
      <c r="SWK1535" s="6"/>
      <c r="SWL1535" s="4"/>
      <c r="SWM1535" s="6"/>
      <c r="SWN1535" s="4"/>
      <c r="SWO1535" s="6"/>
      <c r="SWP1535" s="4"/>
      <c r="SWQ1535" s="6"/>
      <c r="SWR1535" s="4"/>
      <c r="SWS1535" s="6"/>
      <c r="SWT1535" s="4"/>
      <c r="SWU1535" s="6"/>
      <c r="SWV1535" s="4"/>
      <c r="SWW1535" s="6"/>
      <c r="SWX1535" s="4"/>
      <c r="SWY1535" s="6"/>
      <c r="SWZ1535" s="4"/>
      <c r="SXA1535" s="6"/>
      <c r="SXB1535" s="4"/>
      <c r="SXC1535" s="6"/>
      <c r="SXD1535" s="4"/>
      <c r="SXE1535" s="6"/>
      <c r="SXF1535" s="4"/>
      <c r="SXG1535" s="6"/>
      <c r="SXH1535" s="4"/>
      <c r="SXI1535" s="6"/>
      <c r="SXJ1535" s="4"/>
      <c r="SXK1535" s="6"/>
      <c r="SXL1535" s="4"/>
      <c r="SXM1535" s="6"/>
      <c r="SXN1535" s="4"/>
      <c r="SXO1535" s="6"/>
      <c r="SXP1535" s="4"/>
      <c r="SXQ1535" s="6"/>
      <c r="SXR1535" s="4"/>
      <c r="SXS1535" s="6"/>
      <c r="SXT1535" s="4"/>
      <c r="SXU1535" s="6"/>
      <c r="SXV1535" s="4"/>
      <c r="SXW1535" s="6"/>
      <c r="SXX1535" s="4"/>
      <c r="SXY1535" s="6"/>
      <c r="SXZ1535" s="4"/>
      <c r="SYA1535" s="6"/>
      <c r="SYB1535" s="4"/>
      <c r="SYC1535" s="6"/>
      <c r="SYD1535" s="4"/>
      <c r="SYE1535" s="6"/>
      <c r="SYF1535" s="4"/>
      <c r="SYG1535" s="6"/>
      <c r="SYH1535" s="4"/>
      <c r="SYI1535" s="6"/>
      <c r="SYJ1535" s="4"/>
      <c r="SYK1535" s="6"/>
      <c r="SYL1535" s="4"/>
      <c r="SYM1535" s="6"/>
      <c r="SYN1535" s="4"/>
      <c r="SYO1535" s="6"/>
      <c r="SYP1535" s="4"/>
      <c r="SYQ1535" s="6"/>
      <c r="SYR1535" s="4"/>
      <c r="SYS1535" s="6"/>
      <c r="SYT1535" s="4"/>
      <c r="SYU1535" s="6"/>
      <c r="SYV1535" s="4"/>
      <c r="SYW1535" s="6"/>
      <c r="SYX1535" s="4"/>
      <c r="SYY1535" s="6"/>
      <c r="SYZ1535" s="4"/>
      <c r="SZA1535" s="6"/>
      <c r="SZB1535" s="4"/>
      <c r="SZC1535" s="6"/>
      <c r="SZD1535" s="4"/>
      <c r="SZE1535" s="6"/>
      <c r="SZF1535" s="4"/>
      <c r="SZG1535" s="6"/>
      <c r="SZH1535" s="4"/>
      <c r="SZI1535" s="6"/>
      <c r="SZJ1535" s="4"/>
      <c r="SZK1535" s="6"/>
      <c r="SZL1535" s="4"/>
      <c r="SZM1535" s="6"/>
      <c r="SZN1535" s="4"/>
      <c r="SZO1535" s="6"/>
      <c r="SZP1535" s="4"/>
      <c r="SZQ1535" s="6"/>
      <c r="SZR1535" s="4"/>
      <c r="SZS1535" s="6"/>
      <c r="SZT1535" s="4"/>
      <c r="SZU1535" s="6"/>
      <c r="SZV1535" s="4"/>
      <c r="SZW1535" s="6"/>
      <c r="SZX1535" s="4"/>
      <c r="SZY1535" s="6"/>
      <c r="SZZ1535" s="4"/>
      <c r="TAA1535" s="6"/>
      <c r="TAB1535" s="4"/>
      <c r="TAC1535" s="6"/>
      <c r="TAD1535" s="4"/>
      <c r="TAE1535" s="6"/>
      <c r="TAF1535" s="4"/>
      <c r="TAG1535" s="6"/>
      <c r="TAH1535" s="4"/>
      <c r="TAI1535" s="6"/>
      <c r="TAJ1535" s="4"/>
      <c r="TAK1535" s="6"/>
      <c r="TAL1535" s="4"/>
      <c r="TAM1535" s="6"/>
      <c r="TAN1535" s="4"/>
      <c r="TAO1535" s="6"/>
      <c r="TAP1535" s="4"/>
      <c r="TAQ1535" s="6"/>
      <c r="TAR1535" s="4"/>
      <c r="TAS1535" s="6"/>
      <c r="TAT1535" s="4"/>
      <c r="TAU1535" s="6"/>
      <c r="TAV1535" s="4"/>
      <c r="TAW1535" s="6"/>
      <c r="TAX1535" s="4"/>
      <c r="TAY1535" s="6"/>
      <c r="TAZ1535" s="4"/>
      <c r="TBA1535" s="6"/>
      <c r="TBB1535" s="4"/>
      <c r="TBC1535" s="6"/>
      <c r="TBD1535" s="4"/>
      <c r="TBE1535" s="6"/>
      <c r="TBF1535" s="4"/>
      <c r="TBG1535" s="6"/>
      <c r="TBH1535" s="4"/>
      <c r="TBI1535" s="6"/>
      <c r="TBJ1535" s="4"/>
      <c r="TBK1535" s="6"/>
      <c r="TBL1535" s="4"/>
      <c r="TBM1535" s="6"/>
      <c r="TBN1535" s="4"/>
      <c r="TBO1535" s="6"/>
      <c r="TBP1535" s="4"/>
      <c r="TBQ1535" s="6"/>
      <c r="TBR1535" s="4"/>
      <c r="TBS1535" s="6"/>
      <c r="TBT1535" s="4"/>
      <c r="TBU1535" s="6"/>
      <c r="TBV1535" s="4"/>
      <c r="TBW1535" s="6"/>
      <c r="TBX1535" s="4"/>
      <c r="TBY1535" s="6"/>
      <c r="TBZ1535" s="4"/>
      <c r="TCA1535" s="6"/>
      <c r="TCB1535" s="4"/>
      <c r="TCC1535" s="6"/>
      <c r="TCD1535" s="4"/>
      <c r="TCE1535" s="6"/>
      <c r="TCF1535" s="4"/>
      <c r="TCG1535" s="6"/>
      <c r="TCH1535" s="4"/>
      <c r="TCI1535" s="6"/>
      <c r="TCJ1535" s="4"/>
      <c r="TCK1535" s="6"/>
      <c r="TCL1535" s="4"/>
      <c r="TCM1535" s="6"/>
      <c r="TCN1535" s="4"/>
      <c r="TCO1535" s="6"/>
      <c r="TCP1535" s="4"/>
      <c r="TCQ1535" s="6"/>
      <c r="TCR1535" s="4"/>
      <c r="TCS1535" s="6"/>
      <c r="TCT1535" s="4"/>
      <c r="TCU1535" s="6"/>
      <c r="TCV1535" s="4"/>
      <c r="TCW1535" s="6"/>
      <c r="TCX1535" s="4"/>
      <c r="TCY1535" s="6"/>
      <c r="TCZ1535" s="4"/>
      <c r="TDA1535" s="6"/>
      <c r="TDB1535" s="4"/>
      <c r="TDC1535" s="6"/>
      <c r="TDD1535" s="4"/>
      <c r="TDE1535" s="6"/>
      <c r="TDF1535" s="4"/>
      <c r="TDG1535" s="6"/>
      <c r="TDH1535" s="4"/>
      <c r="TDI1535" s="6"/>
      <c r="TDJ1535" s="4"/>
      <c r="TDK1535" s="6"/>
      <c r="TDL1535" s="4"/>
      <c r="TDM1535" s="6"/>
      <c r="TDN1535" s="4"/>
      <c r="TDO1535" s="6"/>
      <c r="TDP1535" s="4"/>
      <c r="TDQ1535" s="6"/>
      <c r="TDR1535" s="4"/>
      <c r="TDS1535" s="6"/>
      <c r="TDT1535" s="4"/>
      <c r="TDU1535" s="6"/>
      <c r="TDV1535" s="4"/>
      <c r="TDW1535" s="6"/>
      <c r="TDX1535" s="4"/>
      <c r="TDY1535" s="6"/>
      <c r="TDZ1535" s="4"/>
      <c r="TEA1535" s="6"/>
      <c r="TEB1535" s="4"/>
      <c r="TEC1535" s="6"/>
      <c r="TED1535" s="4"/>
      <c r="TEE1535" s="6"/>
      <c r="TEF1535" s="4"/>
      <c r="TEG1535" s="6"/>
      <c r="TEH1535" s="4"/>
      <c r="TEI1535" s="6"/>
      <c r="TEJ1535" s="4"/>
      <c r="TEK1535" s="6"/>
      <c r="TEL1535" s="4"/>
      <c r="TEM1535" s="6"/>
      <c r="TEN1535" s="4"/>
      <c r="TEO1535" s="6"/>
      <c r="TEP1535" s="4"/>
      <c r="TEQ1535" s="6"/>
      <c r="TER1535" s="4"/>
      <c r="TES1535" s="6"/>
      <c r="TET1535" s="4"/>
      <c r="TEU1535" s="6"/>
      <c r="TEV1535" s="4"/>
      <c r="TEW1535" s="6"/>
      <c r="TEX1535" s="4"/>
      <c r="TEY1535" s="6"/>
      <c r="TEZ1535" s="4"/>
      <c r="TFA1535" s="6"/>
      <c r="TFB1535" s="4"/>
      <c r="TFC1535" s="6"/>
      <c r="TFD1535" s="4"/>
      <c r="TFE1535" s="6"/>
      <c r="TFF1535" s="4"/>
      <c r="TFG1535" s="6"/>
      <c r="TFH1535" s="4"/>
      <c r="TFI1535" s="6"/>
      <c r="TFJ1535" s="4"/>
      <c r="TFK1535" s="6"/>
      <c r="TFL1535" s="4"/>
      <c r="TFM1535" s="6"/>
      <c r="TFN1535" s="4"/>
      <c r="TFO1535" s="6"/>
      <c r="TFP1535" s="4"/>
      <c r="TFQ1535" s="6"/>
      <c r="TFR1535" s="4"/>
      <c r="TFS1535" s="6"/>
      <c r="TFT1535" s="4"/>
      <c r="TFU1535" s="6"/>
      <c r="TFV1535" s="4"/>
      <c r="TFW1535" s="6"/>
      <c r="TFX1535" s="4"/>
      <c r="TFY1535" s="6"/>
      <c r="TFZ1535" s="4"/>
      <c r="TGA1535" s="6"/>
      <c r="TGB1535" s="4"/>
      <c r="TGC1535" s="6"/>
      <c r="TGD1535" s="4"/>
      <c r="TGE1535" s="6"/>
      <c r="TGF1535" s="4"/>
      <c r="TGG1535" s="6"/>
      <c r="TGH1535" s="4"/>
      <c r="TGI1535" s="6"/>
      <c r="TGJ1535" s="4"/>
      <c r="TGK1535" s="6"/>
      <c r="TGL1535" s="4"/>
      <c r="TGM1535" s="6"/>
      <c r="TGN1535" s="4"/>
      <c r="TGO1535" s="6"/>
      <c r="TGP1535" s="4"/>
      <c r="TGQ1535" s="6"/>
      <c r="TGR1535" s="4"/>
      <c r="TGS1535" s="6"/>
      <c r="TGT1535" s="4"/>
      <c r="TGU1535" s="6"/>
      <c r="TGV1535" s="4"/>
      <c r="TGW1535" s="6"/>
      <c r="TGX1535" s="4"/>
      <c r="TGY1535" s="6"/>
      <c r="TGZ1535" s="4"/>
      <c r="THA1535" s="6"/>
      <c r="THB1535" s="4"/>
      <c r="THC1535" s="6"/>
      <c r="THD1535" s="4"/>
      <c r="THE1535" s="6"/>
      <c r="THF1535" s="4"/>
      <c r="THG1535" s="6"/>
      <c r="THH1535" s="4"/>
      <c r="THI1535" s="6"/>
      <c r="THJ1535" s="4"/>
      <c r="THK1535" s="6"/>
      <c r="THL1535" s="4"/>
      <c r="THM1535" s="6"/>
      <c r="THN1535" s="4"/>
      <c r="THO1535" s="6"/>
      <c r="THP1535" s="4"/>
      <c r="THQ1535" s="6"/>
      <c r="THR1535" s="4"/>
      <c r="THS1535" s="6"/>
      <c r="THT1535" s="4"/>
      <c r="THU1535" s="6"/>
      <c r="THV1535" s="4"/>
      <c r="THW1535" s="6"/>
      <c r="THX1535" s="4"/>
      <c r="THY1535" s="6"/>
      <c r="THZ1535" s="4"/>
      <c r="TIA1535" s="6"/>
      <c r="TIB1535" s="4"/>
      <c r="TIC1535" s="6"/>
      <c r="TID1535" s="4"/>
      <c r="TIE1535" s="6"/>
      <c r="TIF1535" s="4"/>
      <c r="TIG1535" s="6"/>
      <c r="TIH1535" s="4"/>
      <c r="TII1535" s="6"/>
      <c r="TIJ1535" s="4"/>
      <c r="TIK1535" s="6"/>
      <c r="TIL1535" s="4"/>
      <c r="TIM1535" s="6"/>
      <c r="TIN1535" s="4"/>
      <c r="TIO1535" s="6"/>
      <c r="TIP1535" s="4"/>
      <c r="TIQ1535" s="6"/>
      <c r="TIR1535" s="4"/>
      <c r="TIS1535" s="6"/>
      <c r="TIT1535" s="4"/>
      <c r="TIU1535" s="6"/>
      <c r="TIV1535" s="4"/>
      <c r="TIW1535" s="6"/>
      <c r="TIX1535" s="4"/>
      <c r="TIY1535" s="6"/>
      <c r="TIZ1535" s="4"/>
      <c r="TJA1535" s="6"/>
      <c r="TJB1535" s="4"/>
      <c r="TJC1535" s="6"/>
      <c r="TJD1535" s="4"/>
      <c r="TJE1535" s="6"/>
      <c r="TJF1535" s="4"/>
      <c r="TJG1535" s="6"/>
      <c r="TJH1535" s="4"/>
      <c r="TJI1535" s="6"/>
      <c r="TJJ1535" s="4"/>
      <c r="TJK1535" s="6"/>
      <c r="TJL1535" s="4"/>
      <c r="TJM1535" s="6"/>
      <c r="TJN1535" s="4"/>
      <c r="TJO1535" s="6"/>
      <c r="TJP1535" s="4"/>
      <c r="TJQ1535" s="6"/>
      <c r="TJR1535" s="4"/>
      <c r="TJS1535" s="6"/>
      <c r="TJT1535" s="4"/>
      <c r="TJU1535" s="6"/>
      <c r="TJV1535" s="4"/>
      <c r="TJW1535" s="6"/>
      <c r="TJX1535" s="4"/>
      <c r="TJY1535" s="6"/>
      <c r="TJZ1535" s="4"/>
      <c r="TKA1535" s="6"/>
      <c r="TKB1535" s="4"/>
      <c r="TKC1535" s="6"/>
      <c r="TKD1535" s="4"/>
      <c r="TKE1535" s="6"/>
      <c r="TKF1535" s="4"/>
      <c r="TKG1535" s="6"/>
      <c r="TKH1535" s="4"/>
      <c r="TKI1535" s="6"/>
      <c r="TKJ1535" s="4"/>
      <c r="TKK1535" s="6"/>
      <c r="TKL1535" s="4"/>
      <c r="TKM1535" s="6"/>
      <c r="TKN1535" s="4"/>
      <c r="TKO1535" s="6"/>
      <c r="TKP1535" s="4"/>
      <c r="TKQ1535" s="6"/>
      <c r="TKR1535" s="4"/>
      <c r="TKS1535" s="6"/>
      <c r="TKT1535" s="4"/>
      <c r="TKU1535" s="6"/>
      <c r="TKV1535" s="4"/>
      <c r="TKW1535" s="6"/>
      <c r="TKX1535" s="4"/>
      <c r="TKY1535" s="6"/>
      <c r="TKZ1535" s="4"/>
      <c r="TLA1535" s="6"/>
      <c r="TLB1535" s="4"/>
      <c r="TLC1535" s="6"/>
      <c r="TLD1535" s="4"/>
      <c r="TLE1535" s="6"/>
      <c r="TLF1535" s="4"/>
      <c r="TLG1535" s="6"/>
      <c r="TLH1535" s="4"/>
      <c r="TLI1535" s="6"/>
      <c r="TLJ1535" s="4"/>
      <c r="TLK1535" s="6"/>
      <c r="TLL1535" s="4"/>
      <c r="TLM1535" s="6"/>
      <c r="TLN1535" s="4"/>
      <c r="TLO1535" s="6"/>
      <c r="TLP1535" s="4"/>
      <c r="TLQ1535" s="6"/>
      <c r="TLR1535" s="4"/>
      <c r="TLS1535" s="6"/>
      <c r="TLT1535" s="4"/>
      <c r="TLU1535" s="6"/>
      <c r="TLV1535" s="4"/>
      <c r="TLW1535" s="6"/>
      <c r="TLX1535" s="4"/>
      <c r="TLY1535" s="6"/>
      <c r="TLZ1535" s="4"/>
      <c r="TMA1535" s="6"/>
      <c r="TMB1535" s="4"/>
      <c r="TMC1535" s="6"/>
      <c r="TMD1535" s="4"/>
      <c r="TME1535" s="6"/>
      <c r="TMF1535" s="4"/>
      <c r="TMG1535" s="6"/>
      <c r="TMH1535" s="4"/>
      <c r="TMI1535" s="6"/>
      <c r="TMJ1535" s="4"/>
      <c r="TMK1535" s="6"/>
      <c r="TML1535" s="4"/>
      <c r="TMM1535" s="6"/>
      <c r="TMN1535" s="4"/>
      <c r="TMO1535" s="6"/>
      <c r="TMP1535" s="4"/>
      <c r="TMQ1535" s="6"/>
      <c r="TMR1535" s="4"/>
      <c r="TMS1535" s="6"/>
      <c r="TMT1535" s="4"/>
      <c r="TMU1535" s="6"/>
      <c r="TMV1535" s="4"/>
      <c r="TMW1535" s="6"/>
      <c r="TMX1535" s="4"/>
      <c r="TMY1535" s="6"/>
      <c r="TMZ1535" s="4"/>
      <c r="TNA1535" s="6"/>
      <c r="TNB1535" s="4"/>
      <c r="TNC1535" s="6"/>
      <c r="TND1535" s="4"/>
      <c r="TNE1535" s="6"/>
      <c r="TNF1535" s="4"/>
      <c r="TNG1535" s="6"/>
      <c r="TNH1535" s="4"/>
      <c r="TNI1535" s="6"/>
      <c r="TNJ1535" s="4"/>
      <c r="TNK1535" s="6"/>
      <c r="TNL1535" s="4"/>
      <c r="TNM1535" s="6"/>
      <c r="TNN1535" s="4"/>
      <c r="TNO1535" s="6"/>
      <c r="TNP1535" s="4"/>
      <c r="TNQ1535" s="6"/>
      <c r="TNR1535" s="4"/>
      <c r="TNS1535" s="6"/>
      <c r="TNT1535" s="4"/>
      <c r="TNU1535" s="6"/>
      <c r="TNV1535" s="4"/>
      <c r="TNW1535" s="6"/>
      <c r="TNX1535" s="4"/>
      <c r="TNY1535" s="6"/>
      <c r="TNZ1535" s="4"/>
      <c r="TOA1535" s="6"/>
      <c r="TOB1535" s="4"/>
      <c r="TOC1535" s="6"/>
      <c r="TOD1535" s="4"/>
      <c r="TOE1535" s="6"/>
      <c r="TOF1535" s="4"/>
      <c r="TOG1535" s="6"/>
      <c r="TOH1535" s="4"/>
      <c r="TOI1535" s="6"/>
      <c r="TOJ1535" s="4"/>
      <c r="TOK1535" s="6"/>
      <c r="TOL1535" s="4"/>
      <c r="TOM1535" s="6"/>
      <c r="TON1535" s="4"/>
      <c r="TOO1535" s="6"/>
      <c r="TOP1535" s="4"/>
      <c r="TOQ1535" s="6"/>
      <c r="TOR1535" s="4"/>
      <c r="TOS1535" s="6"/>
      <c r="TOT1535" s="4"/>
      <c r="TOU1535" s="6"/>
      <c r="TOV1535" s="4"/>
      <c r="TOW1535" s="6"/>
      <c r="TOX1535" s="4"/>
      <c r="TOY1535" s="6"/>
      <c r="TOZ1535" s="4"/>
      <c r="TPA1535" s="6"/>
      <c r="TPB1535" s="4"/>
      <c r="TPC1535" s="6"/>
      <c r="TPD1535" s="4"/>
      <c r="TPE1535" s="6"/>
      <c r="TPF1535" s="4"/>
      <c r="TPG1535" s="6"/>
      <c r="TPH1535" s="4"/>
      <c r="TPI1535" s="6"/>
      <c r="TPJ1535" s="4"/>
      <c r="TPK1535" s="6"/>
      <c r="TPL1535" s="4"/>
      <c r="TPM1535" s="6"/>
      <c r="TPN1535" s="4"/>
      <c r="TPO1535" s="6"/>
      <c r="TPP1535" s="4"/>
      <c r="TPQ1535" s="6"/>
      <c r="TPR1535" s="4"/>
      <c r="TPS1535" s="6"/>
      <c r="TPT1535" s="4"/>
      <c r="TPU1535" s="6"/>
      <c r="TPV1535" s="4"/>
      <c r="TPW1535" s="6"/>
      <c r="TPX1535" s="4"/>
      <c r="TPY1535" s="6"/>
      <c r="TPZ1535" s="4"/>
      <c r="TQA1535" s="6"/>
      <c r="TQB1535" s="4"/>
      <c r="TQC1535" s="6"/>
      <c r="TQD1535" s="4"/>
      <c r="TQE1535" s="6"/>
      <c r="TQF1535" s="4"/>
      <c r="TQG1535" s="6"/>
      <c r="TQH1535" s="4"/>
      <c r="TQI1535" s="6"/>
      <c r="TQJ1535" s="4"/>
      <c r="TQK1535" s="6"/>
      <c r="TQL1535" s="4"/>
      <c r="TQM1535" s="6"/>
      <c r="TQN1535" s="4"/>
      <c r="TQO1535" s="6"/>
      <c r="TQP1535" s="4"/>
      <c r="TQQ1535" s="6"/>
      <c r="TQR1535" s="4"/>
      <c r="TQS1535" s="6"/>
      <c r="TQT1535" s="4"/>
      <c r="TQU1535" s="6"/>
      <c r="TQV1535" s="4"/>
      <c r="TQW1535" s="6"/>
      <c r="TQX1535" s="4"/>
      <c r="TQY1535" s="6"/>
      <c r="TQZ1535" s="4"/>
      <c r="TRA1535" s="6"/>
      <c r="TRB1535" s="4"/>
      <c r="TRC1535" s="6"/>
      <c r="TRD1535" s="4"/>
      <c r="TRE1535" s="6"/>
      <c r="TRF1535" s="4"/>
      <c r="TRG1535" s="6"/>
      <c r="TRH1535" s="4"/>
      <c r="TRI1535" s="6"/>
      <c r="TRJ1535" s="4"/>
      <c r="TRK1535" s="6"/>
      <c r="TRL1535" s="4"/>
      <c r="TRM1535" s="6"/>
      <c r="TRN1535" s="4"/>
      <c r="TRO1535" s="6"/>
      <c r="TRP1535" s="4"/>
      <c r="TRQ1535" s="6"/>
      <c r="TRR1535" s="4"/>
      <c r="TRS1535" s="6"/>
      <c r="TRT1535" s="4"/>
      <c r="TRU1535" s="6"/>
      <c r="TRV1535" s="4"/>
      <c r="TRW1535" s="6"/>
      <c r="TRX1535" s="4"/>
      <c r="TRY1535" s="6"/>
      <c r="TRZ1535" s="4"/>
      <c r="TSA1535" s="6"/>
      <c r="TSB1535" s="4"/>
      <c r="TSC1535" s="6"/>
      <c r="TSD1535" s="4"/>
      <c r="TSE1535" s="6"/>
      <c r="TSF1535" s="4"/>
      <c r="TSG1535" s="6"/>
      <c r="TSH1535" s="4"/>
      <c r="TSI1535" s="6"/>
      <c r="TSJ1535" s="4"/>
      <c r="TSK1535" s="6"/>
      <c r="TSL1535" s="4"/>
      <c r="TSM1535" s="6"/>
      <c r="TSN1535" s="4"/>
      <c r="TSO1535" s="6"/>
      <c r="TSP1535" s="4"/>
      <c r="TSQ1535" s="6"/>
      <c r="TSR1535" s="4"/>
      <c r="TSS1535" s="6"/>
      <c r="TST1535" s="4"/>
      <c r="TSU1535" s="6"/>
      <c r="TSV1535" s="4"/>
      <c r="TSW1535" s="6"/>
      <c r="TSX1535" s="4"/>
      <c r="TSY1535" s="6"/>
      <c r="TSZ1535" s="4"/>
      <c r="TTA1535" s="6"/>
      <c r="TTB1535" s="4"/>
      <c r="TTC1535" s="6"/>
      <c r="TTD1535" s="4"/>
      <c r="TTE1535" s="6"/>
      <c r="TTF1535" s="4"/>
      <c r="TTG1535" s="6"/>
      <c r="TTH1535" s="4"/>
      <c r="TTI1535" s="6"/>
      <c r="TTJ1535" s="4"/>
      <c r="TTK1535" s="6"/>
      <c r="TTL1535" s="4"/>
      <c r="TTM1535" s="6"/>
      <c r="TTN1535" s="4"/>
      <c r="TTO1535" s="6"/>
      <c r="TTP1535" s="4"/>
      <c r="TTQ1535" s="6"/>
      <c r="TTR1535" s="4"/>
      <c r="TTS1535" s="6"/>
      <c r="TTT1535" s="4"/>
      <c r="TTU1535" s="6"/>
      <c r="TTV1535" s="4"/>
      <c r="TTW1535" s="6"/>
      <c r="TTX1535" s="4"/>
      <c r="TTY1535" s="6"/>
      <c r="TTZ1535" s="4"/>
      <c r="TUA1535" s="6"/>
      <c r="TUB1535" s="4"/>
      <c r="TUC1535" s="6"/>
      <c r="TUD1535" s="4"/>
      <c r="TUE1535" s="6"/>
      <c r="TUF1535" s="4"/>
      <c r="TUG1535" s="6"/>
      <c r="TUH1535" s="4"/>
      <c r="TUI1535" s="6"/>
      <c r="TUJ1535" s="4"/>
      <c r="TUK1535" s="6"/>
      <c r="TUL1535" s="4"/>
      <c r="TUM1535" s="6"/>
      <c r="TUN1535" s="4"/>
      <c r="TUO1535" s="6"/>
      <c r="TUP1535" s="4"/>
      <c r="TUQ1535" s="6"/>
      <c r="TUR1535" s="4"/>
      <c r="TUS1535" s="6"/>
      <c r="TUT1535" s="4"/>
      <c r="TUU1535" s="6"/>
      <c r="TUV1535" s="4"/>
      <c r="TUW1535" s="6"/>
      <c r="TUX1535" s="4"/>
      <c r="TUY1535" s="6"/>
      <c r="TUZ1535" s="4"/>
      <c r="TVA1535" s="6"/>
      <c r="TVB1535" s="4"/>
      <c r="TVC1535" s="6"/>
      <c r="TVD1535" s="4"/>
      <c r="TVE1535" s="6"/>
      <c r="TVF1535" s="4"/>
      <c r="TVG1535" s="6"/>
      <c r="TVH1535" s="4"/>
      <c r="TVI1535" s="6"/>
      <c r="TVJ1535" s="4"/>
      <c r="TVK1535" s="6"/>
      <c r="TVL1535" s="4"/>
      <c r="TVM1535" s="6"/>
      <c r="TVN1535" s="4"/>
      <c r="TVO1535" s="6"/>
      <c r="TVP1535" s="4"/>
      <c r="TVQ1535" s="6"/>
      <c r="TVR1535" s="4"/>
      <c r="TVS1535" s="6"/>
      <c r="TVT1535" s="4"/>
      <c r="TVU1535" s="6"/>
      <c r="TVV1535" s="4"/>
      <c r="TVW1535" s="6"/>
      <c r="TVX1535" s="4"/>
      <c r="TVY1535" s="6"/>
      <c r="TVZ1535" s="4"/>
      <c r="TWA1535" s="6"/>
      <c r="TWB1535" s="4"/>
      <c r="TWC1535" s="6"/>
      <c r="TWD1535" s="4"/>
      <c r="TWE1535" s="6"/>
      <c r="TWF1535" s="4"/>
      <c r="TWG1535" s="6"/>
      <c r="TWH1535" s="4"/>
      <c r="TWI1535" s="6"/>
      <c r="TWJ1535" s="4"/>
      <c r="TWK1535" s="6"/>
      <c r="TWL1535" s="4"/>
      <c r="TWM1535" s="6"/>
      <c r="TWN1535" s="4"/>
      <c r="TWO1535" s="6"/>
      <c r="TWP1535" s="4"/>
      <c r="TWQ1535" s="6"/>
      <c r="TWR1535" s="4"/>
      <c r="TWS1535" s="6"/>
      <c r="TWT1535" s="4"/>
      <c r="TWU1535" s="6"/>
      <c r="TWV1535" s="4"/>
      <c r="TWW1535" s="6"/>
      <c r="TWX1535" s="4"/>
      <c r="TWY1535" s="6"/>
      <c r="TWZ1535" s="4"/>
      <c r="TXA1535" s="6"/>
      <c r="TXB1535" s="4"/>
      <c r="TXC1535" s="6"/>
      <c r="TXD1535" s="4"/>
      <c r="TXE1535" s="6"/>
      <c r="TXF1535" s="4"/>
      <c r="TXG1535" s="6"/>
      <c r="TXH1535" s="4"/>
      <c r="TXI1535" s="6"/>
      <c r="TXJ1535" s="4"/>
      <c r="TXK1535" s="6"/>
      <c r="TXL1535" s="4"/>
      <c r="TXM1535" s="6"/>
      <c r="TXN1535" s="4"/>
      <c r="TXO1535" s="6"/>
      <c r="TXP1535" s="4"/>
      <c r="TXQ1535" s="6"/>
      <c r="TXR1535" s="4"/>
      <c r="TXS1535" s="6"/>
      <c r="TXT1535" s="4"/>
      <c r="TXU1535" s="6"/>
      <c r="TXV1535" s="4"/>
      <c r="TXW1535" s="6"/>
      <c r="TXX1535" s="4"/>
      <c r="TXY1535" s="6"/>
      <c r="TXZ1535" s="4"/>
      <c r="TYA1535" s="6"/>
      <c r="TYB1535" s="4"/>
      <c r="TYC1535" s="6"/>
      <c r="TYD1535" s="4"/>
      <c r="TYE1535" s="6"/>
      <c r="TYF1535" s="4"/>
      <c r="TYG1535" s="6"/>
      <c r="TYH1535" s="4"/>
      <c r="TYI1535" s="6"/>
      <c r="TYJ1535" s="4"/>
      <c r="TYK1535" s="6"/>
      <c r="TYL1535" s="4"/>
      <c r="TYM1535" s="6"/>
      <c r="TYN1535" s="4"/>
      <c r="TYO1535" s="6"/>
      <c r="TYP1535" s="4"/>
      <c r="TYQ1535" s="6"/>
      <c r="TYR1535" s="4"/>
      <c r="TYS1535" s="6"/>
      <c r="TYT1535" s="4"/>
      <c r="TYU1535" s="6"/>
      <c r="TYV1535" s="4"/>
      <c r="TYW1535" s="6"/>
      <c r="TYX1535" s="4"/>
      <c r="TYY1535" s="6"/>
      <c r="TYZ1535" s="4"/>
      <c r="TZA1535" s="6"/>
      <c r="TZB1535" s="4"/>
      <c r="TZC1535" s="6"/>
      <c r="TZD1535" s="4"/>
      <c r="TZE1535" s="6"/>
      <c r="TZF1535" s="4"/>
      <c r="TZG1535" s="6"/>
      <c r="TZH1535" s="4"/>
      <c r="TZI1535" s="6"/>
      <c r="TZJ1535" s="4"/>
      <c r="TZK1535" s="6"/>
      <c r="TZL1535" s="4"/>
      <c r="TZM1535" s="6"/>
      <c r="TZN1535" s="4"/>
      <c r="TZO1535" s="6"/>
      <c r="TZP1535" s="4"/>
      <c r="TZQ1535" s="6"/>
      <c r="TZR1535" s="4"/>
      <c r="TZS1535" s="6"/>
      <c r="TZT1535" s="4"/>
      <c r="TZU1535" s="6"/>
      <c r="TZV1535" s="4"/>
      <c r="TZW1535" s="6"/>
      <c r="TZX1535" s="4"/>
      <c r="TZY1535" s="6"/>
      <c r="TZZ1535" s="4"/>
      <c r="UAA1535" s="6"/>
      <c r="UAB1535" s="4"/>
      <c r="UAC1535" s="6"/>
      <c r="UAD1535" s="4"/>
      <c r="UAE1535" s="6"/>
      <c r="UAF1535" s="4"/>
      <c r="UAG1535" s="6"/>
      <c r="UAH1535" s="4"/>
      <c r="UAI1535" s="6"/>
      <c r="UAJ1535" s="4"/>
      <c r="UAK1535" s="6"/>
      <c r="UAL1535" s="4"/>
      <c r="UAM1535" s="6"/>
      <c r="UAN1535" s="4"/>
      <c r="UAO1535" s="6"/>
      <c r="UAP1535" s="4"/>
      <c r="UAQ1535" s="6"/>
      <c r="UAR1535" s="4"/>
      <c r="UAS1535" s="6"/>
      <c r="UAT1535" s="4"/>
      <c r="UAU1535" s="6"/>
      <c r="UAV1535" s="4"/>
      <c r="UAW1535" s="6"/>
      <c r="UAX1535" s="4"/>
      <c r="UAY1535" s="6"/>
      <c r="UAZ1535" s="4"/>
      <c r="UBA1535" s="6"/>
      <c r="UBB1535" s="4"/>
      <c r="UBC1535" s="6"/>
      <c r="UBD1535" s="4"/>
      <c r="UBE1535" s="6"/>
      <c r="UBF1535" s="4"/>
      <c r="UBG1535" s="6"/>
      <c r="UBH1535" s="4"/>
      <c r="UBI1535" s="6"/>
      <c r="UBJ1535" s="4"/>
      <c r="UBK1535" s="6"/>
      <c r="UBL1535" s="4"/>
      <c r="UBM1535" s="6"/>
      <c r="UBN1535" s="4"/>
      <c r="UBO1535" s="6"/>
      <c r="UBP1535" s="4"/>
      <c r="UBQ1535" s="6"/>
      <c r="UBR1535" s="4"/>
      <c r="UBS1535" s="6"/>
      <c r="UBT1535" s="4"/>
      <c r="UBU1535" s="6"/>
      <c r="UBV1535" s="4"/>
      <c r="UBW1535" s="6"/>
      <c r="UBX1535" s="4"/>
      <c r="UBY1535" s="6"/>
      <c r="UBZ1535" s="4"/>
      <c r="UCA1535" s="6"/>
      <c r="UCB1535" s="4"/>
      <c r="UCC1535" s="6"/>
      <c r="UCD1535" s="4"/>
      <c r="UCE1535" s="6"/>
      <c r="UCF1535" s="4"/>
      <c r="UCG1535" s="6"/>
      <c r="UCH1535" s="4"/>
      <c r="UCI1535" s="6"/>
      <c r="UCJ1535" s="4"/>
      <c r="UCK1535" s="6"/>
      <c r="UCL1535" s="4"/>
      <c r="UCM1535" s="6"/>
      <c r="UCN1535" s="4"/>
      <c r="UCO1535" s="6"/>
      <c r="UCP1535" s="4"/>
      <c r="UCQ1535" s="6"/>
      <c r="UCR1535" s="4"/>
      <c r="UCS1535" s="6"/>
      <c r="UCT1535" s="4"/>
      <c r="UCU1535" s="6"/>
      <c r="UCV1535" s="4"/>
      <c r="UCW1535" s="6"/>
      <c r="UCX1535" s="4"/>
      <c r="UCY1535" s="6"/>
      <c r="UCZ1535" s="4"/>
      <c r="UDA1535" s="6"/>
      <c r="UDB1535" s="4"/>
      <c r="UDC1535" s="6"/>
      <c r="UDD1535" s="4"/>
      <c r="UDE1535" s="6"/>
      <c r="UDF1535" s="4"/>
      <c r="UDG1535" s="6"/>
      <c r="UDH1535" s="4"/>
      <c r="UDI1535" s="6"/>
      <c r="UDJ1535" s="4"/>
      <c r="UDK1535" s="6"/>
      <c r="UDL1535" s="4"/>
      <c r="UDM1535" s="6"/>
      <c r="UDN1535" s="4"/>
      <c r="UDO1535" s="6"/>
      <c r="UDP1535" s="4"/>
      <c r="UDQ1535" s="6"/>
      <c r="UDR1535" s="4"/>
      <c r="UDS1535" s="6"/>
      <c r="UDT1535" s="4"/>
      <c r="UDU1535" s="6"/>
      <c r="UDV1535" s="4"/>
      <c r="UDW1535" s="6"/>
      <c r="UDX1535" s="4"/>
      <c r="UDY1535" s="6"/>
      <c r="UDZ1535" s="4"/>
      <c r="UEA1535" s="6"/>
      <c r="UEB1535" s="4"/>
      <c r="UEC1535" s="6"/>
      <c r="UED1535" s="4"/>
      <c r="UEE1535" s="6"/>
      <c r="UEF1535" s="4"/>
      <c r="UEG1535" s="6"/>
      <c r="UEH1535" s="4"/>
      <c r="UEI1535" s="6"/>
      <c r="UEJ1535" s="4"/>
      <c r="UEK1535" s="6"/>
      <c r="UEL1535" s="4"/>
      <c r="UEM1535" s="6"/>
      <c r="UEN1535" s="4"/>
      <c r="UEO1535" s="6"/>
      <c r="UEP1535" s="4"/>
      <c r="UEQ1535" s="6"/>
      <c r="UER1535" s="4"/>
      <c r="UES1535" s="6"/>
      <c r="UET1535" s="4"/>
      <c r="UEU1535" s="6"/>
      <c r="UEV1535" s="4"/>
      <c r="UEW1535" s="6"/>
      <c r="UEX1535" s="4"/>
      <c r="UEY1535" s="6"/>
      <c r="UEZ1535" s="4"/>
      <c r="UFA1535" s="6"/>
      <c r="UFB1535" s="4"/>
      <c r="UFC1535" s="6"/>
      <c r="UFD1535" s="4"/>
      <c r="UFE1535" s="6"/>
      <c r="UFF1535" s="4"/>
      <c r="UFG1535" s="6"/>
      <c r="UFH1535" s="4"/>
      <c r="UFI1535" s="6"/>
      <c r="UFJ1535" s="4"/>
      <c r="UFK1535" s="6"/>
      <c r="UFL1535" s="4"/>
      <c r="UFM1535" s="6"/>
      <c r="UFN1535" s="4"/>
      <c r="UFO1535" s="6"/>
      <c r="UFP1535" s="4"/>
      <c r="UFQ1535" s="6"/>
      <c r="UFR1535" s="4"/>
      <c r="UFS1535" s="6"/>
      <c r="UFT1535" s="4"/>
      <c r="UFU1535" s="6"/>
      <c r="UFV1535" s="4"/>
      <c r="UFW1535" s="6"/>
      <c r="UFX1535" s="4"/>
      <c r="UFY1535" s="6"/>
      <c r="UFZ1535" s="4"/>
      <c r="UGA1535" s="6"/>
      <c r="UGB1535" s="4"/>
      <c r="UGC1535" s="6"/>
      <c r="UGD1535" s="4"/>
      <c r="UGE1535" s="6"/>
      <c r="UGF1535" s="4"/>
      <c r="UGG1535" s="6"/>
      <c r="UGH1535" s="4"/>
      <c r="UGI1535" s="6"/>
      <c r="UGJ1535" s="4"/>
      <c r="UGK1535" s="6"/>
      <c r="UGL1535" s="4"/>
      <c r="UGM1535" s="6"/>
      <c r="UGN1535" s="4"/>
      <c r="UGO1535" s="6"/>
      <c r="UGP1535" s="4"/>
      <c r="UGQ1535" s="6"/>
      <c r="UGR1535" s="4"/>
      <c r="UGS1535" s="6"/>
      <c r="UGT1535" s="4"/>
      <c r="UGU1535" s="6"/>
      <c r="UGV1535" s="4"/>
      <c r="UGW1535" s="6"/>
      <c r="UGX1535" s="4"/>
      <c r="UGY1535" s="6"/>
      <c r="UGZ1535" s="4"/>
      <c r="UHA1535" s="6"/>
      <c r="UHB1535" s="4"/>
      <c r="UHC1535" s="6"/>
      <c r="UHD1535" s="4"/>
      <c r="UHE1535" s="6"/>
      <c r="UHF1535" s="4"/>
      <c r="UHG1535" s="6"/>
      <c r="UHH1535" s="4"/>
      <c r="UHI1535" s="6"/>
      <c r="UHJ1535" s="4"/>
      <c r="UHK1535" s="6"/>
      <c r="UHL1535" s="4"/>
      <c r="UHM1535" s="6"/>
      <c r="UHN1535" s="4"/>
      <c r="UHO1535" s="6"/>
      <c r="UHP1535" s="4"/>
      <c r="UHQ1535" s="6"/>
      <c r="UHR1535" s="4"/>
      <c r="UHS1535" s="6"/>
      <c r="UHT1535" s="4"/>
      <c r="UHU1535" s="6"/>
      <c r="UHV1535" s="4"/>
      <c r="UHW1535" s="6"/>
      <c r="UHX1535" s="4"/>
      <c r="UHY1535" s="6"/>
      <c r="UHZ1535" s="4"/>
      <c r="UIA1535" s="6"/>
      <c r="UIB1535" s="4"/>
      <c r="UIC1535" s="6"/>
      <c r="UID1535" s="4"/>
      <c r="UIE1535" s="6"/>
      <c r="UIF1535" s="4"/>
      <c r="UIG1535" s="6"/>
      <c r="UIH1535" s="4"/>
      <c r="UII1535" s="6"/>
      <c r="UIJ1535" s="4"/>
      <c r="UIK1535" s="6"/>
      <c r="UIL1535" s="4"/>
      <c r="UIM1535" s="6"/>
      <c r="UIN1535" s="4"/>
      <c r="UIO1535" s="6"/>
      <c r="UIP1535" s="4"/>
      <c r="UIQ1535" s="6"/>
      <c r="UIR1535" s="4"/>
      <c r="UIS1535" s="6"/>
      <c r="UIT1535" s="4"/>
      <c r="UIU1535" s="6"/>
      <c r="UIV1535" s="4"/>
      <c r="UIW1535" s="6"/>
      <c r="UIX1535" s="4"/>
      <c r="UIY1535" s="6"/>
      <c r="UIZ1535" s="4"/>
      <c r="UJA1535" s="6"/>
      <c r="UJB1535" s="4"/>
      <c r="UJC1535" s="6"/>
      <c r="UJD1535" s="4"/>
      <c r="UJE1535" s="6"/>
      <c r="UJF1535" s="4"/>
      <c r="UJG1535" s="6"/>
      <c r="UJH1535" s="4"/>
      <c r="UJI1535" s="6"/>
      <c r="UJJ1535" s="4"/>
      <c r="UJK1535" s="6"/>
      <c r="UJL1535" s="4"/>
      <c r="UJM1535" s="6"/>
      <c r="UJN1535" s="4"/>
      <c r="UJO1535" s="6"/>
      <c r="UJP1535" s="4"/>
      <c r="UJQ1535" s="6"/>
      <c r="UJR1535" s="4"/>
      <c r="UJS1535" s="6"/>
      <c r="UJT1535" s="4"/>
      <c r="UJU1535" s="6"/>
      <c r="UJV1535" s="4"/>
      <c r="UJW1535" s="6"/>
      <c r="UJX1535" s="4"/>
      <c r="UJY1535" s="6"/>
      <c r="UJZ1535" s="4"/>
      <c r="UKA1535" s="6"/>
      <c r="UKB1535" s="4"/>
      <c r="UKC1535" s="6"/>
      <c r="UKD1535" s="4"/>
      <c r="UKE1535" s="6"/>
      <c r="UKF1535" s="4"/>
      <c r="UKG1535" s="6"/>
      <c r="UKH1535" s="4"/>
      <c r="UKI1535" s="6"/>
      <c r="UKJ1535" s="4"/>
      <c r="UKK1535" s="6"/>
      <c r="UKL1535" s="4"/>
      <c r="UKM1535" s="6"/>
      <c r="UKN1535" s="4"/>
      <c r="UKO1535" s="6"/>
      <c r="UKP1535" s="4"/>
      <c r="UKQ1535" s="6"/>
      <c r="UKR1535" s="4"/>
      <c r="UKS1535" s="6"/>
      <c r="UKT1535" s="4"/>
      <c r="UKU1535" s="6"/>
      <c r="UKV1535" s="4"/>
      <c r="UKW1535" s="6"/>
      <c r="UKX1535" s="4"/>
      <c r="UKY1535" s="6"/>
      <c r="UKZ1535" s="4"/>
      <c r="ULA1535" s="6"/>
      <c r="ULB1535" s="4"/>
      <c r="ULC1535" s="6"/>
      <c r="ULD1535" s="4"/>
      <c r="ULE1535" s="6"/>
      <c r="ULF1535" s="4"/>
      <c r="ULG1535" s="6"/>
      <c r="ULH1535" s="4"/>
      <c r="ULI1535" s="6"/>
      <c r="ULJ1535" s="4"/>
      <c r="ULK1535" s="6"/>
      <c r="ULL1535" s="4"/>
      <c r="ULM1535" s="6"/>
      <c r="ULN1535" s="4"/>
      <c r="ULO1535" s="6"/>
      <c r="ULP1535" s="4"/>
      <c r="ULQ1535" s="6"/>
      <c r="ULR1535" s="4"/>
      <c r="ULS1535" s="6"/>
      <c r="ULT1535" s="4"/>
      <c r="ULU1535" s="6"/>
      <c r="ULV1535" s="4"/>
      <c r="ULW1535" s="6"/>
      <c r="ULX1535" s="4"/>
      <c r="ULY1535" s="6"/>
      <c r="ULZ1535" s="4"/>
      <c r="UMA1535" s="6"/>
      <c r="UMB1535" s="4"/>
      <c r="UMC1535" s="6"/>
      <c r="UMD1535" s="4"/>
      <c r="UME1535" s="6"/>
      <c r="UMF1535" s="4"/>
      <c r="UMG1535" s="6"/>
      <c r="UMH1535" s="4"/>
      <c r="UMI1535" s="6"/>
      <c r="UMJ1535" s="4"/>
      <c r="UMK1535" s="6"/>
      <c r="UML1535" s="4"/>
      <c r="UMM1535" s="6"/>
      <c r="UMN1535" s="4"/>
      <c r="UMO1535" s="6"/>
      <c r="UMP1535" s="4"/>
      <c r="UMQ1535" s="6"/>
      <c r="UMR1535" s="4"/>
      <c r="UMS1535" s="6"/>
      <c r="UMT1535" s="4"/>
      <c r="UMU1535" s="6"/>
      <c r="UMV1535" s="4"/>
      <c r="UMW1535" s="6"/>
      <c r="UMX1535" s="4"/>
      <c r="UMY1535" s="6"/>
      <c r="UMZ1535" s="4"/>
      <c r="UNA1535" s="6"/>
      <c r="UNB1535" s="4"/>
      <c r="UNC1535" s="6"/>
      <c r="UND1535" s="4"/>
      <c r="UNE1535" s="6"/>
      <c r="UNF1535" s="4"/>
      <c r="UNG1535" s="6"/>
      <c r="UNH1535" s="4"/>
      <c r="UNI1535" s="6"/>
      <c r="UNJ1535" s="4"/>
      <c r="UNK1535" s="6"/>
      <c r="UNL1535" s="4"/>
      <c r="UNM1535" s="6"/>
      <c r="UNN1535" s="4"/>
      <c r="UNO1535" s="6"/>
      <c r="UNP1535" s="4"/>
      <c r="UNQ1535" s="6"/>
      <c r="UNR1535" s="4"/>
      <c r="UNS1535" s="6"/>
      <c r="UNT1535" s="4"/>
      <c r="UNU1535" s="6"/>
      <c r="UNV1535" s="4"/>
      <c r="UNW1535" s="6"/>
      <c r="UNX1535" s="4"/>
      <c r="UNY1535" s="6"/>
      <c r="UNZ1535" s="4"/>
      <c r="UOA1535" s="6"/>
      <c r="UOB1535" s="4"/>
      <c r="UOC1535" s="6"/>
      <c r="UOD1535" s="4"/>
      <c r="UOE1535" s="6"/>
      <c r="UOF1535" s="4"/>
      <c r="UOG1535" s="6"/>
      <c r="UOH1535" s="4"/>
      <c r="UOI1535" s="6"/>
      <c r="UOJ1535" s="4"/>
      <c r="UOK1535" s="6"/>
      <c r="UOL1535" s="4"/>
      <c r="UOM1535" s="6"/>
      <c r="UON1535" s="4"/>
      <c r="UOO1535" s="6"/>
      <c r="UOP1535" s="4"/>
      <c r="UOQ1535" s="6"/>
      <c r="UOR1535" s="4"/>
      <c r="UOS1535" s="6"/>
      <c r="UOT1535" s="4"/>
      <c r="UOU1535" s="6"/>
      <c r="UOV1535" s="4"/>
      <c r="UOW1535" s="6"/>
      <c r="UOX1535" s="4"/>
      <c r="UOY1535" s="6"/>
      <c r="UOZ1535" s="4"/>
      <c r="UPA1535" s="6"/>
      <c r="UPB1535" s="4"/>
      <c r="UPC1535" s="6"/>
      <c r="UPD1535" s="4"/>
      <c r="UPE1535" s="6"/>
      <c r="UPF1535" s="4"/>
      <c r="UPG1535" s="6"/>
      <c r="UPH1535" s="4"/>
      <c r="UPI1535" s="6"/>
      <c r="UPJ1535" s="4"/>
      <c r="UPK1535" s="6"/>
      <c r="UPL1535" s="4"/>
      <c r="UPM1535" s="6"/>
      <c r="UPN1535" s="4"/>
      <c r="UPO1535" s="6"/>
      <c r="UPP1535" s="4"/>
      <c r="UPQ1535" s="6"/>
      <c r="UPR1535" s="4"/>
      <c r="UPS1535" s="6"/>
      <c r="UPT1535" s="4"/>
      <c r="UPU1535" s="6"/>
      <c r="UPV1535" s="4"/>
      <c r="UPW1535" s="6"/>
      <c r="UPX1535" s="4"/>
      <c r="UPY1535" s="6"/>
      <c r="UPZ1535" s="4"/>
      <c r="UQA1535" s="6"/>
      <c r="UQB1535" s="4"/>
      <c r="UQC1535" s="6"/>
      <c r="UQD1535" s="4"/>
      <c r="UQE1535" s="6"/>
      <c r="UQF1535" s="4"/>
      <c r="UQG1535" s="6"/>
      <c r="UQH1535" s="4"/>
      <c r="UQI1535" s="6"/>
      <c r="UQJ1535" s="4"/>
      <c r="UQK1535" s="6"/>
      <c r="UQL1535" s="4"/>
      <c r="UQM1535" s="6"/>
      <c r="UQN1535" s="4"/>
      <c r="UQO1535" s="6"/>
      <c r="UQP1535" s="4"/>
      <c r="UQQ1535" s="6"/>
      <c r="UQR1535" s="4"/>
      <c r="UQS1535" s="6"/>
      <c r="UQT1535" s="4"/>
      <c r="UQU1535" s="6"/>
      <c r="UQV1535" s="4"/>
      <c r="UQW1535" s="6"/>
      <c r="UQX1535" s="4"/>
      <c r="UQY1535" s="6"/>
      <c r="UQZ1535" s="4"/>
      <c r="URA1535" s="6"/>
      <c r="URB1535" s="4"/>
      <c r="URC1535" s="6"/>
      <c r="URD1535" s="4"/>
      <c r="URE1535" s="6"/>
      <c r="URF1535" s="4"/>
      <c r="URG1535" s="6"/>
      <c r="URH1535" s="4"/>
      <c r="URI1535" s="6"/>
      <c r="URJ1535" s="4"/>
      <c r="URK1535" s="6"/>
      <c r="URL1535" s="4"/>
      <c r="URM1535" s="6"/>
      <c r="URN1535" s="4"/>
      <c r="URO1535" s="6"/>
      <c r="URP1535" s="4"/>
      <c r="URQ1535" s="6"/>
      <c r="URR1535" s="4"/>
      <c r="URS1535" s="6"/>
      <c r="URT1535" s="4"/>
      <c r="URU1535" s="6"/>
      <c r="URV1535" s="4"/>
      <c r="URW1535" s="6"/>
      <c r="URX1535" s="4"/>
      <c r="URY1535" s="6"/>
      <c r="URZ1535" s="4"/>
      <c r="USA1535" s="6"/>
      <c r="USB1535" s="4"/>
      <c r="USC1535" s="6"/>
      <c r="USD1535" s="4"/>
      <c r="USE1535" s="6"/>
      <c r="USF1535" s="4"/>
      <c r="USG1535" s="6"/>
      <c r="USH1535" s="4"/>
      <c r="USI1535" s="6"/>
      <c r="USJ1535" s="4"/>
      <c r="USK1535" s="6"/>
      <c r="USL1535" s="4"/>
      <c r="USM1535" s="6"/>
      <c r="USN1535" s="4"/>
      <c r="USO1535" s="6"/>
      <c r="USP1535" s="4"/>
      <c r="USQ1535" s="6"/>
      <c r="USR1535" s="4"/>
      <c r="USS1535" s="6"/>
      <c r="UST1535" s="4"/>
      <c r="USU1535" s="6"/>
      <c r="USV1535" s="4"/>
      <c r="USW1535" s="6"/>
      <c r="USX1535" s="4"/>
      <c r="USY1535" s="6"/>
      <c r="USZ1535" s="4"/>
      <c r="UTA1535" s="6"/>
      <c r="UTB1535" s="4"/>
      <c r="UTC1535" s="6"/>
      <c r="UTD1535" s="4"/>
      <c r="UTE1535" s="6"/>
      <c r="UTF1535" s="4"/>
      <c r="UTG1535" s="6"/>
      <c r="UTH1535" s="4"/>
      <c r="UTI1535" s="6"/>
      <c r="UTJ1535" s="4"/>
      <c r="UTK1535" s="6"/>
      <c r="UTL1535" s="4"/>
      <c r="UTM1535" s="6"/>
      <c r="UTN1535" s="4"/>
      <c r="UTO1535" s="6"/>
      <c r="UTP1535" s="4"/>
      <c r="UTQ1535" s="6"/>
      <c r="UTR1535" s="4"/>
      <c r="UTS1535" s="6"/>
      <c r="UTT1535" s="4"/>
      <c r="UTU1535" s="6"/>
      <c r="UTV1535" s="4"/>
      <c r="UTW1535" s="6"/>
      <c r="UTX1535" s="4"/>
      <c r="UTY1535" s="6"/>
      <c r="UTZ1535" s="4"/>
      <c r="UUA1535" s="6"/>
      <c r="UUB1535" s="4"/>
      <c r="UUC1535" s="6"/>
      <c r="UUD1535" s="4"/>
      <c r="UUE1535" s="6"/>
      <c r="UUF1535" s="4"/>
      <c r="UUG1535" s="6"/>
      <c r="UUH1535" s="4"/>
      <c r="UUI1535" s="6"/>
      <c r="UUJ1535" s="4"/>
      <c r="UUK1535" s="6"/>
      <c r="UUL1535" s="4"/>
      <c r="UUM1535" s="6"/>
      <c r="UUN1535" s="4"/>
      <c r="UUO1535" s="6"/>
      <c r="UUP1535" s="4"/>
      <c r="UUQ1535" s="6"/>
      <c r="UUR1535" s="4"/>
      <c r="UUS1535" s="6"/>
      <c r="UUT1535" s="4"/>
      <c r="UUU1535" s="6"/>
      <c r="UUV1535" s="4"/>
      <c r="UUW1535" s="6"/>
      <c r="UUX1535" s="4"/>
      <c r="UUY1535" s="6"/>
      <c r="UUZ1535" s="4"/>
      <c r="UVA1535" s="6"/>
      <c r="UVB1535" s="4"/>
      <c r="UVC1535" s="6"/>
      <c r="UVD1535" s="4"/>
      <c r="UVE1535" s="6"/>
      <c r="UVF1535" s="4"/>
      <c r="UVG1535" s="6"/>
      <c r="UVH1535" s="4"/>
      <c r="UVI1535" s="6"/>
      <c r="UVJ1535" s="4"/>
      <c r="UVK1535" s="6"/>
      <c r="UVL1535" s="4"/>
      <c r="UVM1535" s="6"/>
      <c r="UVN1535" s="4"/>
      <c r="UVO1535" s="6"/>
      <c r="UVP1535" s="4"/>
      <c r="UVQ1535" s="6"/>
      <c r="UVR1535" s="4"/>
      <c r="UVS1535" s="6"/>
      <c r="UVT1535" s="4"/>
      <c r="UVU1535" s="6"/>
      <c r="UVV1535" s="4"/>
      <c r="UVW1535" s="6"/>
      <c r="UVX1535" s="4"/>
      <c r="UVY1535" s="6"/>
      <c r="UVZ1535" s="4"/>
      <c r="UWA1535" s="6"/>
      <c r="UWB1535" s="4"/>
      <c r="UWC1535" s="6"/>
      <c r="UWD1535" s="4"/>
      <c r="UWE1535" s="6"/>
      <c r="UWF1535" s="4"/>
      <c r="UWG1535" s="6"/>
      <c r="UWH1535" s="4"/>
      <c r="UWI1535" s="6"/>
      <c r="UWJ1535" s="4"/>
      <c r="UWK1535" s="6"/>
      <c r="UWL1535" s="4"/>
      <c r="UWM1535" s="6"/>
      <c r="UWN1535" s="4"/>
      <c r="UWO1535" s="6"/>
      <c r="UWP1535" s="4"/>
      <c r="UWQ1535" s="6"/>
      <c r="UWR1535" s="4"/>
      <c r="UWS1535" s="6"/>
      <c r="UWT1535" s="4"/>
      <c r="UWU1535" s="6"/>
      <c r="UWV1535" s="4"/>
      <c r="UWW1535" s="6"/>
      <c r="UWX1535" s="4"/>
      <c r="UWY1535" s="6"/>
      <c r="UWZ1535" s="4"/>
      <c r="UXA1535" s="6"/>
      <c r="UXB1535" s="4"/>
      <c r="UXC1535" s="6"/>
      <c r="UXD1535" s="4"/>
      <c r="UXE1535" s="6"/>
      <c r="UXF1535" s="4"/>
      <c r="UXG1535" s="6"/>
      <c r="UXH1535" s="4"/>
      <c r="UXI1535" s="6"/>
      <c r="UXJ1535" s="4"/>
      <c r="UXK1535" s="6"/>
      <c r="UXL1535" s="4"/>
      <c r="UXM1535" s="6"/>
      <c r="UXN1535" s="4"/>
      <c r="UXO1535" s="6"/>
      <c r="UXP1535" s="4"/>
      <c r="UXQ1535" s="6"/>
      <c r="UXR1535" s="4"/>
      <c r="UXS1535" s="6"/>
      <c r="UXT1535" s="4"/>
      <c r="UXU1535" s="6"/>
      <c r="UXV1535" s="4"/>
      <c r="UXW1535" s="6"/>
      <c r="UXX1535" s="4"/>
      <c r="UXY1535" s="6"/>
      <c r="UXZ1535" s="4"/>
      <c r="UYA1535" s="6"/>
      <c r="UYB1535" s="4"/>
      <c r="UYC1535" s="6"/>
      <c r="UYD1535" s="4"/>
      <c r="UYE1535" s="6"/>
      <c r="UYF1535" s="4"/>
      <c r="UYG1535" s="6"/>
      <c r="UYH1535" s="4"/>
      <c r="UYI1535" s="6"/>
      <c r="UYJ1535" s="4"/>
      <c r="UYK1535" s="6"/>
      <c r="UYL1535" s="4"/>
      <c r="UYM1535" s="6"/>
      <c r="UYN1535" s="4"/>
      <c r="UYO1535" s="6"/>
      <c r="UYP1535" s="4"/>
      <c r="UYQ1535" s="6"/>
      <c r="UYR1535" s="4"/>
      <c r="UYS1535" s="6"/>
      <c r="UYT1535" s="4"/>
      <c r="UYU1535" s="6"/>
      <c r="UYV1535" s="4"/>
      <c r="UYW1535" s="6"/>
      <c r="UYX1535" s="4"/>
      <c r="UYY1535" s="6"/>
      <c r="UYZ1535" s="4"/>
      <c r="UZA1535" s="6"/>
      <c r="UZB1535" s="4"/>
      <c r="UZC1535" s="6"/>
      <c r="UZD1535" s="4"/>
      <c r="UZE1535" s="6"/>
      <c r="UZF1535" s="4"/>
      <c r="UZG1535" s="6"/>
      <c r="UZH1535" s="4"/>
      <c r="UZI1535" s="6"/>
      <c r="UZJ1535" s="4"/>
      <c r="UZK1535" s="6"/>
      <c r="UZL1535" s="4"/>
      <c r="UZM1535" s="6"/>
      <c r="UZN1535" s="4"/>
      <c r="UZO1535" s="6"/>
      <c r="UZP1535" s="4"/>
      <c r="UZQ1535" s="6"/>
      <c r="UZR1535" s="4"/>
      <c r="UZS1535" s="6"/>
      <c r="UZT1535" s="4"/>
      <c r="UZU1535" s="6"/>
      <c r="UZV1535" s="4"/>
      <c r="UZW1535" s="6"/>
      <c r="UZX1535" s="4"/>
      <c r="UZY1535" s="6"/>
      <c r="UZZ1535" s="4"/>
      <c r="VAA1535" s="6"/>
      <c r="VAB1535" s="4"/>
      <c r="VAC1535" s="6"/>
      <c r="VAD1535" s="4"/>
      <c r="VAE1535" s="6"/>
      <c r="VAF1535" s="4"/>
      <c r="VAG1535" s="6"/>
      <c r="VAH1535" s="4"/>
      <c r="VAI1535" s="6"/>
      <c r="VAJ1535" s="4"/>
      <c r="VAK1535" s="6"/>
      <c r="VAL1535" s="4"/>
      <c r="VAM1535" s="6"/>
      <c r="VAN1535" s="4"/>
      <c r="VAO1535" s="6"/>
      <c r="VAP1535" s="4"/>
      <c r="VAQ1535" s="6"/>
      <c r="VAR1535" s="4"/>
      <c r="VAS1535" s="6"/>
      <c r="VAT1535" s="4"/>
      <c r="VAU1535" s="6"/>
      <c r="VAV1535" s="4"/>
      <c r="VAW1535" s="6"/>
      <c r="VAX1535" s="4"/>
      <c r="VAY1535" s="6"/>
      <c r="VAZ1535" s="4"/>
      <c r="VBA1535" s="6"/>
      <c r="VBB1535" s="4"/>
      <c r="VBC1535" s="6"/>
      <c r="VBD1535" s="4"/>
      <c r="VBE1535" s="6"/>
      <c r="VBF1535" s="4"/>
      <c r="VBG1535" s="6"/>
      <c r="VBH1535" s="4"/>
      <c r="VBI1535" s="6"/>
      <c r="VBJ1535" s="4"/>
      <c r="VBK1535" s="6"/>
      <c r="VBL1535" s="4"/>
      <c r="VBM1535" s="6"/>
      <c r="VBN1535" s="4"/>
      <c r="VBO1535" s="6"/>
      <c r="VBP1535" s="4"/>
      <c r="VBQ1535" s="6"/>
      <c r="VBR1535" s="4"/>
      <c r="VBS1535" s="6"/>
      <c r="VBT1535" s="4"/>
      <c r="VBU1535" s="6"/>
      <c r="VBV1535" s="4"/>
      <c r="VBW1535" s="6"/>
      <c r="VBX1535" s="4"/>
      <c r="VBY1535" s="6"/>
      <c r="VBZ1535" s="4"/>
      <c r="VCA1535" s="6"/>
      <c r="VCB1535" s="4"/>
      <c r="VCC1535" s="6"/>
      <c r="VCD1535" s="4"/>
      <c r="VCE1535" s="6"/>
      <c r="VCF1535" s="4"/>
      <c r="VCG1535" s="6"/>
      <c r="VCH1535" s="4"/>
      <c r="VCI1535" s="6"/>
      <c r="VCJ1535" s="4"/>
      <c r="VCK1535" s="6"/>
      <c r="VCL1535" s="4"/>
      <c r="VCM1535" s="6"/>
      <c r="VCN1535" s="4"/>
      <c r="VCO1535" s="6"/>
      <c r="VCP1535" s="4"/>
      <c r="VCQ1535" s="6"/>
      <c r="VCR1535" s="4"/>
      <c r="VCS1535" s="6"/>
      <c r="VCT1535" s="4"/>
      <c r="VCU1535" s="6"/>
      <c r="VCV1535" s="4"/>
      <c r="VCW1535" s="6"/>
      <c r="VCX1535" s="4"/>
      <c r="VCY1535" s="6"/>
      <c r="VCZ1535" s="4"/>
      <c r="VDA1535" s="6"/>
      <c r="VDB1535" s="4"/>
      <c r="VDC1535" s="6"/>
      <c r="VDD1535" s="4"/>
      <c r="VDE1535" s="6"/>
      <c r="VDF1535" s="4"/>
      <c r="VDG1535" s="6"/>
      <c r="VDH1535" s="4"/>
      <c r="VDI1535" s="6"/>
      <c r="VDJ1535" s="4"/>
      <c r="VDK1535" s="6"/>
      <c r="VDL1535" s="4"/>
      <c r="VDM1535" s="6"/>
      <c r="VDN1535" s="4"/>
      <c r="VDO1535" s="6"/>
      <c r="VDP1535" s="4"/>
      <c r="VDQ1535" s="6"/>
      <c r="VDR1535" s="4"/>
      <c r="VDS1535" s="6"/>
      <c r="VDT1535" s="4"/>
      <c r="VDU1535" s="6"/>
      <c r="VDV1535" s="4"/>
      <c r="VDW1535" s="6"/>
      <c r="VDX1535" s="4"/>
      <c r="VDY1535" s="6"/>
      <c r="VDZ1535" s="4"/>
      <c r="VEA1535" s="6"/>
      <c r="VEB1535" s="4"/>
      <c r="VEC1535" s="6"/>
      <c r="VED1535" s="4"/>
      <c r="VEE1535" s="6"/>
      <c r="VEF1535" s="4"/>
      <c r="VEG1535" s="6"/>
      <c r="VEH1535" s="4"/>
      <c r="VEI1535" s="6"/>
      <c r="VEJ1535" s="4"/>
      <c r="VEK1535" s="6"/>
      <c r="VEL1535" s="4"/>
      <c r="VEM1535" s="6"/>
      <c r="VEN1535" s="4"/>
      <c r="VEO1535" s="6"/>
      <c r="VEP1535" s="4"/>
      <c r="VEQ1535" s="6"/>
      <c r="VER1535" s="4"/>
      <c r="VES1535" s="6"/>
      <c r="VET1535" s="4"/>
      <c r="VEU1535" s="6"/>
      <c r="VEV1535" s="4"/>
      <c r="VEW1535" s="6"/>
      <c r="VEX1535" s="4"/>
      <c r="VEY1535" s="6"/>
      <c r="VEZ1535" s="4"/>
      <c r="VFA1535" s="6"/>
      <c r="VFB1535" s="4"/>
      <c r="VFC1535" s="6"/>
      <c r="VFD1535" s="4"/>
      <c r="VFE1535" s="6"/>
      <c r="VFF1535" s="4"/>
      <c r="VFG1535" s="6"/>
      <c r="VFH1535" s="4"/>
      <c r="VFI1535" s="6"/>
      <c r="VFJ1535" s="4"/>
      <c r="VFK1535" s="6"/>
      <c r="VFL1535" s="4"/>
      <c r="VFM1535" s="6"/>
      <c r="VFN1535" s="4"/>
      <c r="VFO1535" s="6"/>
      <c r="VFP1535" s="4"/>
      <c r="VFQ1535" s="6"/>
      <c r="VFR1535" s="4"/>
      <c r="VFS1535" s="6"/>
      <c r="VFT1535" s="4"/>
      <c r="VFU1535" s="6"/>
      <c r="VFV1535" s="4"/>
      <c r="VFW1535" s="6"/>
      <c r="VFX1535" s="4"/>
      <c r="VFY1535" s="6"/>
      <c r="VFZ1535" s="4"/>
      <c r="VGA1535" s="6"/>
      <c r="VGB1535" s="4"/>
      <c r="VGC1535" s="6"/>
      <c r="VGD1535" s="4"/>
      <c r="VGE1535" s="6"/>
      <c r="VGF1535" s="4"/>
      <c r="VGG1535" s="6"/>
      <c r="VGH1535" s="4"/>
      <c r="VGI1535" s="6"/>
      <c r="VGJ1535" s="4"/>
      <c r="VGK1535" s="6"/>
      <c r="VGL1535" s="4"/>
      <c r="VGM1535" s="6"/>
      <c r="VGN1535" s="4"/>
      <c r="VGO1535" s="6"/>
      <c r="VGP1535" s="4"/>
      <c r="VGQ1535" s="6"/>
      <c r="VGR1535" s="4"/>
      <c r="VGS1535" s="6"/>
      <c r="VGT1535" s="4"/>
      <c r="VGU1535" s="6"/>
      <c r="VGV1535" s="4"/>
      <c r="VGW1535" s="6"/>
      <c r="VGX1535" s="4"/>
      <c r="VGY1535" s="6"/>
      <c r="VGZ1535" s="4"/>
      <c r="VHA1535" s="6"/>
      <c r="VHB1535" s="4"/>
      <c r="VHC1535" s="6"/>
      <c r="VHD1535" s="4"/>
      <c r="VHE1535" s="6"/>
      <c r="VHF1535" s="4"/>
      <c r="VHG1535" s="6"/>
      <c r="VHH1535" s="4"/>
      <c r="VHI1535" s="6"/>
      <c r="VHJ1535" s="4"/>
      <c r="VHK1535" s="6"/>
      <c r="VHL1535" s="4"/>
      <c r="VHM1535" s="6"/>
      <c r="VHN1535" s="4"/>
      <c r="VHO1535" s="6"/>
      <c r="VHP1535" s="4"/>
      <c r="VHQ1535" s="6"/>
      <c r="VHR1535" s="4"/>
      <c r="VHS1535" s="6"/>
      <c r="VHT1535" s="4"/>
      <c r="VHU1535" s="6"/>
      <c r="VHV1535" s="4"/>
      <c r="VHW1535" s="6"/>
      <c r="VHX1535" s="4"/>
      <c r="VHY1535" s="6"/>
      <c r="VHZ1535" s="4"/>
      <c r="VIA1535" s="6"/>
      <c r="VIB1535" s="4"/>
      <c r="VIC1535" s="6"/>
      <c r="VID1535" s="4"/>
      <c r="VIE1535" s="6"/>
      <c r="VIF1535" s="4"/>
      <c r="VIG1535" s="6"/>
      <c r="VIH1535" s="4"/>
      <c r="VII1535" s="6"/>
      <c r="VIJ1535" s="4"/>
      <c r="VIK1535" s="6"/>
      <c r="VIL1535" s="4"/>
      <c r="VIM1535" s="6"/>
      <c r="VIN1535" s="4"/>
      <c r="VIO1535" s="6"/>
      <c r="VIP1535" s="4"/>
      <c r="VIQ1535" s="6"/>
      <c r="VIR1535" s="4"/>
      <c r="VIS1535" s="6"/>
      <c r="VIT1535" s="4"/>
      <c r="VIU1535" s="6"/>
      <c r="VIV1535" s="4"/>
      <c r="VIW1535" s="6"/>
      <c r="VIX1535" s="4"/>
      <c r="VIY1535" s="6"/>
      <c r="VIZ1535" s="4"/>
      <c r="VJA1535" s="6"/>
      <c r="VJB1535" s="4"/>
      <c r="VJC1535" s="6"/>
      <c r="VJD1535" s="4"/>
      <c r="VJE1535" s="6"/>
      <c r="VJF1535" s="4"/>
      <c r="VJG1535" s="6"/>
      <c r="VJH1535" s="4"/>
      <c r="VJI1535" s="6"/>
      <c r="VJJ1535" s="4"/>
      <c r="VJK1535" s="6"/>
      <c r="VJL1535" s="4"/>
      <c r="VJM1535" s="6"/>
      <c r="VJN1535" s="4"/>
      <c r="VJO1535" s="6"/>
      <c r="VJP1535" s="4"/>
      <c r="VJQ1535" s="6"/>
      <c r="VJR1535" s="4"/>
      <c r="VJS1535" s="6"/>
      <c r="VJT1535" s="4"/>
      <c r="VJU1535" s="6"/>
      <c r="VJV1535" s="4"/>
      <c r="VJW1535" s="6"/>
      <c r="VJX1535" s="4"/>
      <c r="VJY1535" s="6"/>
      <c r="VJZ1535" s="4"/>
      <c r="VKA1535" s="6"/>
      <c r="VKB1535" s="4"/>
      <c r="VKC1535" s="6"/>
      <c r="VKD1535" s="4"/>
      <c r="VKE1535" s="6"/>
      <c r="VKF1535" s="4"/>
      <c r="VKG1535" s="6"/>
      <c r="VKH1535" s="4"/>
      <c r="VKI1535" s="6"/>
      <c r="VKJ1535" s="4"/>
      <c r="VKK1535" s="6"/>
      <c r="VKL1535" s="4"/>
      <c r="VKM1535" s="6"/>
      <c r="VKN1535" s="4"/>
      <c r="VKO1535" s="6"/>
      <c r="VKP1535" s="4"/>
      <c r="VKQ1535" s="6"/>
      <c r="VKR1535" s="4"/>
      <c r="VKS1535" s="6"/>
      <c r="VKT1535" s="4"/>
      <c r="VKU1535" s="6"/>
      <c r="VKV1535" s="4"/>
      <c r="VKW1535" s="6"/>
      <c r="VKX1535" s="4"/>
      <c r="VKY1535" s="6"/>
      <c r="VKZ1535" s="4"/>
      <c r="VLA1535" s="6"/>
      <c r="VLB1535" s="4"/>
      <c r="VLC1535" s="6"/>
      <c r="VLD1535" s="4"/>
      <c r="VLE1535" s="6"/>
      <c r="VLF1535" s="4"/>
      <c r="VLG1535" s="6"/>
      <c r="VLH1535" s="4"/>
      <c r="VLI1535" s="6"/>
      <c r="VLJ1535" s="4"/>
      <c r="VLK1535" s="6"/>
      <c r="VLL1535" s="4"/>
      <c r="VLM1535" s="6"/>
      <c r="VLN1535" s="4"/>
      <c r="VLO1535" s="6"/>
      <c r="VLP1535" s="4"/>
      <c r="VLQ1535" s="6"/>
      <c r="VLR1535" s="4"/>
      <c r="VLS1535" s="6"/>
      <c r="VLT1535" s="4"/>
      <c r="VLU1535" s="6"/>
      <c r="VLV1535" s="4"/>
      <c r="VLW1535" s="6"/>
      <c r="VLX1535" s="4"/>
      <c r="VLY1535" s="6"/>
      <c r="VLZ1535" s="4"/>
      <c r="VMA1535" s="6"/>
      <c r="VMB1535" s="4"/>
      <c r="VMC1535" s="6"/>
      <c r="VMD1535" s="4"/>
      <c r="VME1535" s="6"/>
      <c r="VMF1535" s="4"/>
      <c r="VMG1535" s="6"/>
      <c r="VMH1535" s="4"/>
      <c r="VMI1535" s="6"/>
      <c r="VMJ1535" s="4"/>
      <c r="VMK1535" s="6"/>
      <c r="VML1535" s="4"/>
      <c r="VMM1535" s="6"/>
      <c r="VMN1535" s="4"/>
      <c r="VMO1535" s="6"/>
      <c r="VMP1535" s="4"/>
      <c r="VMQ1535" s="6"/>
      <c r="VMR1535" s="4"/>
      <c r="VMS1535" s="6"/>
      <c r="VMT1535" s="4"/>
      <c r="VMU1535" s="6"/>
      <c r="VMV1535" s="4"/>
      <c r="VMW1535" s="6"/>
      <c r="VMX1535" s="4"/>
      <c r="VMY1535" s="6"/>
      <c r="VMZ1535" s="4"/>
      <c r="VNA1535" s="6"/>
      <c r="VNB1535" s="4"/>
      <c r="VNC1535" s="6"/>
      <c r="VND1535" s="4"/>
      <c r="VNE1535" s="6"/>
      <c r="VNF1535" s="4"/>
      <c r="VNG1535" s="6"/>
      <c r="VNH1535" s="4"/>
      <c r="VNI1535" s="6"/>
      <c r="VNJ1535" s="4"/>
      <c r="VNK1535" s="6"/>
      <c r="VNL1535" s="4"/>
      <c r="VNM1535" s="6"/>
      <c r="VNN1535" s="4"/>
      <c r="VNO1535" s="6"/>
      <c r="VNP1535" s="4"/>
      <c r="VNQ1535" s="6"/>
      <c r="VNR1535" s="4"/>
      <c r="VNS1535" s="6"/>
      <c r="VNT1535" s="4"/>
      <c r="VNU1535" s="6"/>
      <c r="VNV1535" s="4"/>
      <c r="VNW1535" s="6"/>
      <c r="VNX1535" s="4"/>
      <c r="VNY1535" s="6"/>
      <c r="VNZ1535" s="4"/>
      <c r="VOA1535" s="6"/>
      <c r="VOB1535" s="4"/>
      <c r="VOC1535" s="6"/>
      <c r="VOD1535" s="4"/>
      <c r="VOE1535" s="6"/>
      <c r="VOF1535" s="4"/>
      <c r="VOG1535" s="6"/>
      <c r="VOH1535" s="4"/>
      <c r="VOI1535" s="6"/>
      <c r="VOJ1535" s="4"/>
      <c r="VOK1535" s="6"/>
      <c r="VOL1535" s="4"/>
      <c r="VOM1535" s="6"/>
      <c r="VON1535" s="4"/>
      <c r="VOO1535" s="6"/>
      <c r="VOP1535" s="4"/>
      <c r="VOQ1535" s="6"/>
      <c r="VOR1535" s="4"/>
      <c r="VOS1535" s="6"/>
      <c r="VOT1535" s="4"/>
      <c r="VOU1535" s="6"/>
      <c r="VOV1535" s="4"/>
      <c r="VOW1535" s="6"/>
      <c r="VOX1535" s="4"/>
      <c r="VOY1535" s="6"/>
      <c r="VOZ1535" s="4"/>
      <c r="VPA1535" s="6"/>
      <c r="VPB1535" s="4"/>
      <c r="VPC1535" s="6"/>
      <c r="VPD1535" s="4"/>
      <c r="VPE1535" s="6"/>
      <c r="VPF1535" s="4"/>
      <c r="VPG1535" s="6"/>
      <c r="VPH1535" s="4"/>
      <c r="VPI1535" s="6"/>
      <c r="VPJ1535" s="4"/>
      <c r="VPK1535" s="6"/>
      <c r="VPL1535" s="4"/>
      <c r="VPM1535" s="6"/>
      <c r="VPN1535" s="4"/>
      <c r="VPO1535" s="6"/>
      <c r="VPP1535" s="4"/>
      <c r="VPQ1535" s="6"/>
      <c r="VPR1535" s="4"/>
      <c r="VPS1535" s="6"/>
      <c r="VPT1535" s="4"/>
      <c r="VPU1535" s="6"/>
      <c r="VPV1535" s="4"/>
      <c r="VPW1535" s="6"/>
      <c r="VPX1535" s="4"/>
      <c r="VPY1535" s="6"/>
      <c r="VPZ1535" s="4"/>
      <c r="VQA1535" s="6"/>
      <c r="VQB1535" s="4"/>
      <c r="VQC1535" s="6"/>
      <c r="VQD1535" s="4"/>
      <c r="VQE1535" s="6"/>
      <c r="VQF1535" s="4"/>
      <c r="VQG1535" s="6"/>
      <c r="VQH1535" s="4"/>
      <c r="VQI1535" s="6"/>
      <c r="VQJ1535" s="4"/>
      <c r="VQK1535" s="6"/>
      <c r="VQL1535" s="4"/>
      <c r="VQM1535" s="6"/>
      <c r="VQN1535" s="4"/>
      <c r="VQO1535" s="6"/>
      <c r="VQP1535" s="4"/>
      <c r="VQQ1535" s="6"/>
      <c r="VQR1535" s="4"/>
      <c r="VQS1535" s="6"/>
      <c r="VQT1535" s="4"/>
      <c r="VQU1535" s="6"/>
      <c r="VQV1535" s="4"/>
      <c r="VQW1535" s="6"/>
      <c r="VQX1535" s="4"/>
      <c r="VQY1535" s="6"/>
      <c r="VQZ1535" s="4"/>
      <c r="VRA1535" s="6"/>
      <c r="VRB1535" s="4"/>
      <c r="VRC1535" s="6"/>
      <c r="VRD1535" s="4"/>
      <c r="VRE1535" s="6"/>
      <c r="VRF1535" s="4"/>
      <c r="VRG1535" s="6"/>
      <c r="VRH1535" s="4"/>
      <c r="VRI1535" s="6"/>
      <c r="VRJ1535" s="4"/>
      <c r="VRK1535" s="6"/>
      <c r="VRL1535" s="4"/>
      <c r="VRM1535" s="6"/>
      <c r="VRN1535" s="4"/>
      <c r="VRO1535" s="6"/>
      <c r="VRP1535" s="4"/>
      <c r="VRQ1535" s="6"/>
      <c r="VRR1535" s="4"/>
      <c r="VRS1535" s="6"/>
      <c r="VRT1535" s="4"/>
      <c r="VRU1535" s="6"/>
      <c r="VRV1535" s="4"/>
      <c r="VRW1535" s="6"/>
      <c r="VRX1535" s="4"/>
      <c r="VRY1535" s="6"/>
      <c r="VRZ1535" s="4"/>
      <c r="VSA1535" s="6"/>
      <c r="VSB1535" s="4"/>
      <c r="VSC1535" s="6"/>
      <c r="VSD1535" s="4"/>
      <c r="VSE1535" s="6"/>
      <c r="VSF1535" s="4"/>
      <c r="VSG1535" s="6"/>
      <c r="VSH1535" s="4"/>
      <c r="VSI1535" s="6"/>
      <c r="VSJ1535" s="4"/>
      <c r="VSK1535" s="6"/>
      <c r="VSL1535" s="4"/>
      <c r="VSM1535" s="6"/>
      <c r="VSN1535" s="4"/>
      <c r="VSO1535" s="6"/>
      <c r="VSP1535" s="4"/>
      <c r="VSQ1535" s="6"/>
      <c r="VSR1535" s="4"/>
      <c r="VSS1535" s="6"/>
      <c r="VST1535" s="4"/>
      <c r="VSU1535" s="6"/>
      <c r="VSV1535" s="4"/>
      <c r="VSW1535" s="6"/>
      <c r="VSX1535" s="4"/>
      <c r="VSY1535" s="6"/>
      <c r="VSZ1535" s="4"/>
      <c r="VTA1535" s="6"/>
      <c r="VTB1535" s="4"/>
      <c r="VTC1535" s="6"/>
      <c r="VTD1535" s="4"/>
      <c r="VTE1535" s="6"/>
      <c r="VTF1535" s="4"/>
      <c r="VTG1535" s="6"/>
      <c r="VTH1535" s="4"/>
      <c r="VTI1535" s="6"/>
      <c r="VTJ1535" s="4"/>
      <c r="VTK1535" s="6"/>
      <c r="VTL1535" s="4"/>
      <c r="VTM1535" s="6"/>
      <c r="VTN1535" s="4"/>
      <c r="VTO1535" s="6"/>
      <c r="VTP1535" s="4"/>
      <c r="VTQ1535" s="6"/>
      <c r="VTR1535" s="4"/>
      <c r="VTS1535" s="6"/>
      <c r="VTT1535" s="4"/>
      <c r="VTU1535" s="6"/>
      <c r="VTV1535" s="4"/>
      <c r="VTW1535" s="6"/>
      <c r="VTX1535" s="4"/>
      <c r="VTY1535" s="6"/>
      <c r="VTZ1535" s="4"/>
      <c r="VUA1535" s="6"/>
      <c r="VUB1535" s="4"/>
      <c r="VUC1535" s="6"/>
      <c r="VUD1535" s="4"/>
      <c r="VUE1535" s="6"/>
      <c r="VUF1535" s="4"/>
      <c r="VUG1535" s="6"/>
      <c r="VUH1535" s="4"/>
      <c r="VUI1535" s="6"/>
      <c r="VUJ1535" s="4"/>
      <c r="VUK1535" s="6"/>
      <c r="VUL1535" s="4"/>
      <c r="VUM1535" s="6"/>
      <c r="VUN1535" s="4"/>
      <c r="VUO1535" s="6"/>
      <c r="VUP1535" s="4"/>
      <c r="VUQ1535" s="6"/>
      <c r="VUR1535" s="4"/>
      <c r="VUS1535" s="6"/>
      <c r="VUT1535" s="4"/>
      <c r="VUU1535" s="6"/>
      <c r="VUV1535" s="4"/>
      <c r="VUW1535" s="6"/>
      <c r="VUX1535" s="4"/>
      <c r="VUY1535" s="6"/>
      <c r="VUZ1535" s="4"/>
      <c r="VVA1535" s="6"/>
      <c r="VVB1535" s="4"/>
      <c r="VVC1535" s="6"/>
      <c r="VVD1535" s="4"/>
      <c r="VVE1535" s="6"/>
      <c r="VVF1535" s="4"/>
      <c r="VVG1535" s="6"/>
      <c r="VVH1535" s="4"/>
      <c r="VVI1535" s="6"/>
      <c r="VVJ1535" s="4"/>
      <c r="VVK1535" s="6"/>
      <c r="VVL1535" s="4"/>
      <c r="VVM1535" s="6"/>
      <c r="VVN1535" s="4"/>
      <c r="VVO1535" s="6"/>
      <c r="VVP1535" s="4"/>
      <c r="VVQ1535" s="6"/>
      <c r="VVR1535" s="4"/>
      <c r="VVS1535" s="6"/>
      <c r="VVT1535" s="4"/>
      <c r="VVU1535" s="6"/>
      <c r="VVV1535" s="4"/>
      <c r="VVW1535" s="6"/>
      <c r="VVX1535" s="4"/>
      <c r="VVY1535" s="6"/>
      <c r="VVZ1535" s="4"/>
      <c r="VWA1535" s="6"/>
      <c r="VWB1535" s="4"/>
      <c r="VWC1535" s="6"/>
      <c r="VWD1535" s="4"/>
      <c r="VWE1535" s="6"/>
      <c r="VWF1535" s="4"/>
      <c r="VWG1535" s="6"/>
      <c r="VWH1535" s="4"/>
      <c r="VWI1535" s="6"/>
      <c r="VWJ1535" s="4"/>
      <c r="VWK1535" s="6"/>
      <c r="VWL1535" s="4"/>
      <c r="VWM1535" s="6"/>
      <c r="VWN1535" s="4"/>
      <c r="VWO1535" s="6"/>
      <c r="VWP1535" s="4"/>
      <c r="VWQ1535" s="6"/>
      <c r="VWR1535" s="4"/>
      <c r="VWS1535" s="6"/>
      <c r="VWT1535" s="4"/>
      <c r="VWU1535" s="6"/>
      <c r="VWV1535" s="4"/>
      <c r="VWW1535" s="6"/>
      <c r="VWX1535" s="4"/>
      <c r="VWY1535" s="6"/>
      <c r="VWZ1535" s="4"/>
      <c r="VXA1535" s="6"/>
      <c r="VXB1535" s="4"/>
      <c r="VXC1535" s="6"/>
      <c r="VXD1535" s="4"/>
      <c r="VXE1535" s="6"/>
      <c r="VXF1535" s="4"/>
      <c r="VXG1535" s="6"/>
      <c r="VXH1535" s="4"/>
      <c r="VXI1535" s="6"/>
      <c r="VXJ1535" s="4"/>
      <c r="VXK1535" s="6"/>
      <c r="VXL1535" s="4"/>
      <c r="VXM1535" s="6"/>
      <c r="VXN1535" s="4"/>
      <c r="VXO1535" s="6"/>
      <c r="VXP1535" s="4"/>
      <c r="VXQ1535" s="6"/>
      <c r="VXR1535" s="4"/>
      <c r="VXS1535" s="6"/>
      <c r="VXT1535" s="4"/>
      <c r="VXU1535" s="6"/>
      <c r="VXV1535" s="4"/>
      <c r="VXW1535" s="6"/>
      <c r="VXX1535" s="4"/>
      <c r="VXY1535" s="6"/>
      <c r="VXZ1535" s="4"/>
      <c r="VYA1535" s="6"/>
      <c r="VYB1535" s="4"/>
      <c r="VYC1535" s="6"/>
      <c r="VYD1535" s="4"/>
      <c r="VYE1535" s="6"/>
      <c r="VYF1535" s="4"/>
      <c r="VYG1535" s="6"/>
      <c r="VYH1535" s="4"/>
      <c r="VYI1535" s="6"/>
      <c r="VYJ1535" s="4"/>
      <c r="VYK1535" s="6"/>
      <c r="VYL1535" s="4"/>
      <c r="VYM1535" s="6"/>
      <c r="VYN1535" s="4"/>
      <c r="VYO1535" s="6"/>
      <c r="VYP1535" s="4"/>
      <c r="VYQ1535" s="6"/>
      <c r="VYR1535" s="4"/>
      <c r="VYS1535" s="6"/>
      <c r="VYT1535" s="4"/>
      <c r="VYU1535" s="6"/>
      <c r="VYV1535" s="4"/>
      <c r="VYW1535" s="6"/>
      <c r="VYX1535" s="4"/>
      <c r="VYY1535" s="6"/>
      <c r="VYZ1535" s="4"/>
      <c r="VZA1535" s="6"/>
      <c r="VZB1535" s="4"/>
      <c r="VZC1535" s="6"/>
      <c r="VZD1535" s="4"/>
      <c r="VZE1535" s="6"/>
      <c r="VZF1535" s="4"/>
      <c r="VZG1535" s="6"/>
      <c r="VZH1535" s="4"/>
      <c r="VZI1535" s="6"/>
      <c r="VZJ1535" s="4"/>
      <c r="VZK1535" s="6"/>
      <c r="VZL1535" s="4"/>
      <c r="VZM1535" s="6"/>
      <c r="VZN1535" s="4"/>
      <c r="VZO1535" s="6"/>
      <c r="VZP1535" s="4"/>
      <c r="VZQ1535" s="6"/>
      <c r="VZR1535" s="4"/>
      <c r="VZS1535" s="6"/>
      <c r="VZT1535" s="4"/>
      <c r="VZU1535" s="6"/>
      <c r="VZV1535" s="4"/>
      <c r="VZW1535" s="6"/>
      <c r="VZX1535" s="4"/>
      <c r="VZY1535" s="6"/>
      <c r="VZZ1535" s="4"/>
      <c r="WAA1535" s="6"/>
      <c r="WAB1535" s="4"/>
      <c r="WAC1535" s="6"/>
      <c r="WAD1535" s="4"/>
      <c r="WAE1535" s="6"/>
      <c r="WAF1535" s="4"/>
      <c r="WAG1535" s="6"/>
      <c r="WAH1535" s="4"/>
      <c r="WAI1535" s="6"/>
      <c r="WAJ1535" s="4"/>
      <c r="WAK1535" s="6"/>
      <c r="WAL1535" s="4"/>
      <c r="WAM1535" s="6"/>
      <c r="WAN1535" s="4"/>
      <c r="WAO1535" s="6"/>
      <c r="WAP1535" s="4"/>
      <c r="WAQ1535" s="6"/>
      <c r="WAR1535" s="4"/>
      <c r="WAS1535" s="6"/>
      <c r="WAT1535" s="4"/>
      <c r="WAU1535" s="6"/>
      <c r="WAV1535" s="4"/>
      <c r="WAW1535" s="6"/>
      <c r="WAX1535" s="4"/>
      <c r="WAY1535" s="6"/>
      <c r="WAZ1535" s="4"/>
      <c r="WBA1535" s="6"/>
      <c r="WBB1535" s="4"/>
      <c r="WBC1535" s="6"/>
      <c r="WBD1535" s="4"/>
      <c r="WBE1535" s="6"/>
      <c r="WBF1535" s="4"/>
      <c r="WBG1535" s="6"/>
      <c r="WBH1535" s="4"/>
      <c r="WBI1535" s="6"/>
      <c r="WBJ1535" s="4"/>
      <c r="WBK1535" s="6"/>
      <c r="WBL1535" s="4"/>
      <c r="WBM1535" s="6"/>
      <c r="WBN1535" s="4"/>
      <c r="WBO1535" s="6"/>
      <c r="WBP1535" s="4"/>
      <c r="WBQ1535" s="6"/>
      <c r="WBR1535" s="4"/>
      <c r="WBS1535" s="6"/>
      <c r="WBT1535" s="4"/>
      <c r="WBU1535" s="6"/>
      <c r="WBV1535" s="4"/>
      <c r="WBW1535" s="6"/>
      <c r="WBX1535" s="4"/>
      <c r="WBY1535" s="6"/>
      <c r="WBZ1535" s="4"/>
      <c r="WCA1535" s="6"/>
      <c r="WCB1535" s="4"/>
      <c r="WCC1535" s="6"/>
      <c r="WCD1535" s="4"/>
      <c r="WCE1535" s="6"/>
      <c r="WCF1535" s="4"/>
      <c r="WCG1535" s="6"/>
      <c r="WCH1535" s="4"/>
      <c r="WCI1535" s="6"/>
      <c r="WCJ1535" s="4"/>
      <c r="WCK1535" s="6"/>
      <c r="WCL1535" s="4"/>
      <c r="WCM1535" s="6"/>
      <c r="WCN1535" s="4"/>
      <c r="WCO1535" s="6"/>
      <c r="WCP1535" s="4"/>
      <c r="WCQ1535" s="6"/>
      <c r="WCR1535" s="4"/>
      <c r="WCS1535" s="6"/>
      <c r="WCT1535" s="4"/>
      <c r="WCU1535" s="6"/>
      <c r="WCV1535" s="4"/>
      <c r="WCW1535" s="6"/>
      <c r="WCX1535" s="4"/>
      <c r="WCY1535" s="6"/>
      <c r="WCZ1535" s="4"/>
      <c r="WDA1535" s="6"/>
      <c r="WDB1535" s="4"/>
      <c r="WDC1535" s="6"/>
      <c r="WDD1535" s="4"/>
      <c r="WDE1535" s="6"/>
      <c r="WDF1535" s="4"/>
      <c r="WDG1535" s="6"/>
      <c r="WDH1535" s="4"/>
      <c r="WDI1535" s="6"/>
      <c r="WDJ1535" s="4"/>
      <c r="WDK1535" s="6"/>
      <c r="WDL1535" s="4"/>
      <c r="WDM1535" s="6"/>
      <c r="WDN1535" s="4"/>
      <c r="WDO1535" s="6"/>
      <c r="WDP1535" s="4"/>
      <c r="WDQ1535" s="6"/>
      <c r="WDR1535" s="4"/>
      <c r="WDS1535" s="6"/>
      <c r="WDT1535" s="4"/>
      <c r="WDU1535" s="6"/>
      <c r="WDV1535" s="4"/>
      <c r="WDW1535" s="6"/>
      <c r="WDX1535" s="4"/>
      <c r="WDY1535" s="6"/>
      <c r="WDZ1535" s="4"/>
      <c r="WEA1535" s="6"/>
      <c r="WEB1535" s="4"/>
      <c r="WEC1535" s="6"/>
      <c r="WED1535" s="4"/>
      <c r="WEE1535" s="6"/>
      <c r="WEF1535" s="4"/>
      <c r="WEG1535" s="6"/>
      <c r="WEH1535" s="4"/>
      <c r="WEI1535" s="6"/>
      <c r="WEJ1535" s="4"/>
      <c r="WEK1535" s="6"/>
      <c r="WEL1535" s="4"/>
      <c r="WEM1535" s="6"/>
      <c r="WEN1535" s="4"/>
      <c r="WEO1535" s="6"/>
      <c r="WEP1535" s="4"/>
      <c r="WEQ1535" s="6"/>
      <c r="WER1535" s="4"/>
      <c r="WES1535" s="6"/>
      <c r="WET1535" s="4"/>
      <c r="WEU1535" s="6"/>
      <c r="WEV1535" s="4"/>
      <c r="WEW1535" s="6"/>
      <c r="WEX1535" s="4"/>
      <c r="WEY1535" s="6"/>
      <c r="WEZ1535" s="4"/>
      <c r="WFA1535" s="6"/>
      <c r="WFB1535" s="4"/>
      <c r="WFC1535" s="6"/>
      <c r="WFD1535" s="4"/>
      <c r="WFE1535" s="6"/>
      <c r="WFF1535" s="4"/>
      <c r="WFG1535" s="6"/>
      <c r="WFH1535" s="4"/>
      <c r="WFI1535" s="6"/>
      <c r="WFJ1535" s="4"/>
      <c r="WFK1535" s="6"/>
      <c r="WFL1535" s="4"/>
      <c r="WFM1535" s="6"/>
      <c r="WFN1535" s="4"/>
      <c r="WFO1535" s="6"/>
      <c r="WFP1535" s="4"/>
      <c r="WFQ1535" s="6"/>
      <c r="WFR1535" s="4"/>
      <c r="WFS1535" s="6"/>
      <c r="WFT1535" s="4"/>
      <c r="WFU1535" s="6"/>
      <c r="WFV1535" s="4"/>
      <c r="WFW1535" s="6"/>
      <c r="WFX1535" s="4"/>
      <c r="WFY1535" s="6"/>
      <c r="WFZ1535" s="4"/>
      <c r="WGA1535" s="6"/>
      <c r="WGB1535" s="4"/>
      <c r="WGC1535" s="6"/>
      <c r="WGD1535" s="4"/>
      <c r="WGE1535" s="6"/>
      <c r="WGF1535" s="4"/>
      <c r="WGG1535" s="6"/>
      <c r="WGH1535" s="4"/>
      <c r="WGI1535" s="6"/>
      <c r="WGJ1535" s="4"/>
      <c r="WGK1535" s="6"/>
      <c r="WGL1535" s="4"/>
      <c r="WGM1535" s="6"/>
      <c r="WGN1535" s="4"/>
      <c r="WGO1535" s="6"/>
      <c r="WGP1535" s="4"/>
      <c r="WGQ1535" s="6"/>
      <c r="WGR1535" s="4"/>
      <c r="WGS1535" s="6"/>
      <c r="WGT1535" s="4"/>
      <c r="WGU1535" s="6"/>
      <c r="WGV1535" s="4"/>
      <c r="WGW1535" s="6"/>
      <c r="WGX1535" s="4"/>
      <c r="WGY1535" s="6"/>
      <c r="WGZ1535" s="4"/>
      <c r="WHA1535" s="6"/>
      <c r="WHB1535" s="4"/>
      <c r="WHC1535" s="6"/>
      <c r="WHD1535" s="4"/>
      <c r="WHE1535" s="6"/>
      <c r="WHF1535" s="4"/>
      <c r="WHG1535" s="6"/>
      <c r="WHH1535" s="4"/>
      <c r="WHI1535" s="6"/>
      <c r="WHJ1535" s="4"/>
      <c r="WHK1535" s="6"/>
      <c r="WHL1535" s="4"/>
      <c r="WHM1535" s="6"/>
      <c r="WHN1535" s="4"/>
      <c r="WHO1535" s="6"/>
      <c r="WHP1535" s="4"/>
      <c r="WHQ1535" s="6"/>
      <c r="WHR1535" s="4"/>
      <c r="WHS1535" s="6"/>
      <c r="WHT1535" s="4"/>
      <c r="WHU1535" s="6"/>
      <c r="WHV1535" s="4"/>
      <c r="WHW1535" s="6"/>
      <c r="WHX1535" s="4"/>
      <c r="WHY1535" s="6"/>
      <c r="WHZ1535" s="4"/>
      <c r="WIA1535" s="6"/>
      <c r="WIB1535" s="4"/>
      <c r="WIC1535" s="6"/>
      <c r="WID1535" s="4"/>
      <c r="WIE1535" s="6"/>
      <c r="WIF1535" s="4"/>
      <c r="WIG1535" s="6"/>
      <c r="WIH1535" s="4"/>
      <c r="WII1535" s="6"/>
      <c r="WIJ1535" s="4"/>
      <c r="WIK1535" s="6"/>
      <c r="WIL1535" s="4"/>
      <c r="WIM1535" s="6"/>
      <c r="WIN1535" s="4"/>
      <c r="WIO1535" s="6"/>
      <c r="WIP1535" s="4"/>
      <c r="WIQ1535" s="6"/>
      <c r="WIR1535" s="4"/>
      <c r="WIS1535" s="6"/>
      <c r="WIT1535" s="4"/>
      <c r="WIU1535" s="6"/>
      <c r="WIV1535" s="4"/>
      <c r="WIW1535" s="6"/>
      <c r="WIX1535" s="4"/>
      <c r="WIY1535" s="6"/>
      <c r="WIZ1535" s="4"/>
      <c r="WJA1535" s="6"/>
      <c r="WJB1535" s="4"/>
      <c r="WJC1535" s="6"/>
      <c r="WJD1535" s="4"/>
      <c r="WJE1535" s="6"/>
      <c r="WJF1535" s="4"/>
      <c r="WJG1535" s="6"/>
      <c r="WJH1535" s="4"/>
      <c r="WJI1535" s="6"/>
      <c r="WJJ1535" s="4"/>
      <c r="WJK1535" s="6"/>
      <c r="WJL1535" s="4"/>
      <c r="WJM1535" s="6"/>
      <c r="WJN1535" s="4"/>
      <c r="WJO1535" s="6"/>
      <c r="WJP1535" s="4"/>
      <c r="WJQ1535" s="6"/>
      <c r="WJR1535" s="4"/>
      <c r="WJS1535" s="6"/>
      <c r="WJT1535" s="4"/>
      <c r="WJU1535" s="6"/>
      <c r="WJV1535" s="4"/>
      <c r="WJW1535" s="6"/>
      <c r="WJX1535" s="4"/>
      <c r="WJY1535" s="6"/>
      <c r="WJZ1535" s="4"/>
      <c r="WKA1535" s="6"/>
      <c r="WKB1535" s="4"/>
      <c r="WKC1535" s="6"/>
      <c r="WKD1535" s="4"/>
      <c r="WKE1535" s="6"/>
      <c r="WKF1535" s="4"/>
      <c r="WKG1535" s="6"/>
      <c r="WKH1535" s="4"/>
      <c r="WKI1535" s="6"/>
      <c r="WKJ1535" s="4"/>
      <c r="WKK1535" s="6"/>
      <c r="WKL1535" s="4"/>
      <c r="WKM1535" s="6"/>
      <c r="WKN1535" s="4"/>
      <c r="WKO1535" s="6"/>
      <c r="WKP1535" s="4"/>
      <c r="WKQ1535" s="6"/>
      <c r="WKR1535" s="4"/>
      <c r="WKS1535" s="6"/>
      <c r="WKT1535" s="4"/>
      <c r="WKU1535" s="6"/>
      <c r="WKV1535" s="4"/>
      <c r="WKW1535" s="6"/>
      <c r="WKX1535" s="4"/>
      <c r="WKY1535" s="6"/>
      <c r="WKZ1535" s="4"/>
      <c r="WLA1535" s="6"/>
      <c r="WLB1535" s="4"/>
      <c r="WLC1535" s="6"/>
      <c r="WLD1535" s="4"/>
      <c r="WLE1535" s="6"/>
      <c r="WLF1535" s="4"/>
      <c r="WLG1535" s="6"/>
      <c r="WLH1535" s="4"/>
      <c r="WLI1535" s="6"/>
      <c r="WLJ1535" s="4"/>
      <c r="WLK1535" s="6"/>
      <c r="WLL1535" s="4"/>
      <c r="WLM1535" s="6"/>
      <c r="WLN1535" s="4"/>
      <c r="WLO1535" s="6"/>
      <c r="WLP1535" s="4"/>
      <c r="WLQ1535" s="6"/>
      <c r="WLR1535" s="4"/>
      <c r="WLS1535" s="6"/>
      <c r="WLT1535" s="4"/>
      <c r="WLU1535" s="6"/>
      <c r="WLV1535" s="4"/>
      <c r="WLW1535" s="6"/>
      <c r="WLX1535" s="4"/>
      <c r="WLY1535" s="6"/>
      <c r="WLZ1535" s="4"/>
      <c r="WMA1535" s="6"/>
      <c r="WMB1535" s="4"/>
      <c r="WMC1535" s="6"/>
      <c r="WMD1535" s="4"/>
      <c r="WME1535" s="6"/>
      <c r="WMF1535" s="4"/>
      <c r="WMG1535" s="6"/>
      <c r="WMH1535" s="4"/>
      <c r="WMI1535" s="6"/>
      <c r="WMJ1535" s="4"/>
      <c r="WMK1535" s="6"/>
      <c r="WML1535" s="4"/>
      <c r="WMM1535" s="6"/>
      <c r="WMN1535" s="4"/>
      <c r="WMO1535" s="6"/>
      <c r="WMP1535" s="4"/>
      <c r="WMQ1535" s="6"/>
      <c r="WMR1535" s="4"/>
      <c r="WMS1535" s="6"/>
      <c r="WMT1535" s="4"/>
      <c r="WMU1535" s="6"/>
      <c r="WMV1535" s="4"/>
      <c r="WMW1535" s="6"/>
      <c r="WMX1535" s="4"/>
      <c r="WMY1535" s="6"/>
      <c r="WMZ1535" s="4"/>
      <c r="WNA1535" s="6"/>
      <c r="WNB1535" s="4"/>
      <c r="WNC1535" s="6"/>
      <c r="WND1535" s="4"/>
      <c r="WNE1535" s="6"/>
      <c r="WNF1535" s="4"/>
      <c r="WNG1535" s="6"/>
      <c r="WNH1535" s="4"/>
      <c r="WNI1535" s="6"/>
      <c r="WNJ1535" s="4"/>
      <c r="WNK1535" s="6"/>
      <c r="WNL1535" s="4"/>
      <c r="WNM1535" s="6"/>
      <c r="WNN1535" s="4"/>
      <c r="WNO1535" s="6"/>
      <c r="WNP1535" s="4"/>
      <c r="WNQ1535" s="6"/>
      <c r="WNR1535" s="4"/>
      <c r="WNS1535" s="6"/>
      <c r="WNT1535" s="4"/>
      <c r="WNU1535" s="6"/>
      <c r="WNV1535" s="4"/>
      <c r="WNW1535" s="6"/>
      <c r="WNX1535" s="4"/>
      <c r="WNY1535" s="6"/>
      <c r="WNZ1535" s="4"/>
      <c r="WOA1535" s="6"/>
      <c r="WOB1535" s="4"/>
      <c r="WOC1535" s="6"/>
      <c r="WOD1535" s="4"/>
      <c r="WOE1535" s="6"/>
      <c r="WOF1535" s="4"/>
      <c r="WOG1535" s="6"/>
      <c r="WOH1535" s="4"/>
      <c r="WOI1535" s="6"/>
      <c r="WOJ1535" s="4"/>
      <c r="WOK1535" s="6"/>
      <c r="WOL1535" s="4"/>
      <c r="WOM1535" s="6"/>
      <c r="WON1535" s="4"/>
      <c r="WOO1535" s="6"/>
      <c r="WOP1535" s="4"/>
      <c r="WOQ1535" s="6"/>
      <c r="WOR1535" s="4"/>
      <c r="WOS1535" s="6"/>
      <c r="WOT1535" s="4"/>
      <c r="WOU1535" s="6"/>
      <c r="WOV1535" s="4"/>
      <c r="WOW1535" s="6"/>
      <c r="WOX1535" s="4"/>
      <c r="WOY1535" s="6"/>
      <c r="WOZ1535" s="4"/>
      <c r="WPA1535" s="6"/>
      <c r="WPB1535" s="4"/>
      <c r="WPC1535" s="6"/>
      <c r="WPD1535" s="4"/>
      <c r="WPE1535" s="6"/>
      <c r="WPF1535" s="4"/>
      <c r="WPG1535" s="6"/>
      <c r="WPH1535" s="4"/>
      <c r="WPI1535" s="6"/>
      <c r="WPJ1535" s="4"/>
      <c r="WPK1535" s="6"/>
      <c r="WPL1535" s="4"/>
      <c r="WPM1535" s="6"/>
      <c r="WPN1535" s="4"/>
      <c r="WPO1535" s="6"/>
      <c r="WPP1535" s="4"/>
      <c r="WPQ1535" s="6"/>
      <c r="WPR1535" s="4"/>
      <c r="WPS1535" s="6"/>
      <c r="WPT1535" s="4"/>
      <c r="WPU1535" s="6"/>
      <c r="WPV1535" s="4"/>
      <c r="WPW1535" s="6"/>
      <c r="WPX1535" s="4"/>
      <c r="WPY1535" s="6"/>
      <c r="WPZ1535" s="4"/>
      <c r="WQA1535" s="6"/>
      <c r="WQB1535" s="4"/>
      <c r="WQC1535" s="6"/>
      <c r="WQD1535" s="4"/>
      <c r="WQE1535" s="6"/>
      <c r="WQF1535" s="4"/>
      <c r="WQG1535" s="6"/>
      <c r="WQH1535" s="4"/>
      <c r="WQI1535" s="6"/>
      <c r="WQJ1535" s="4"/>
      <c r="WQK1535" s="6"/>
      <c r="WQL1535" s="4"/>
      <c r="WQM1535" s="6"/>
      <c r="WQN1535" s="4"/>
      <c r="WQO1535" s="6"/>
      <c r="WQP1535" s="4"/>
      <c r="WQQ1535" s="6"/>
      <c r="WQR1535" s="4"/>
      <c r="WQS1535" s="6"/>
      <c r="WQT1535" s="4"/>
      <c r="WQU1535" s="6"/>
      <c r="WQV1535" s="4"/>
      <c r="WQW1535" s="6"/>
      <c r="WQX1535" s="4"/>
      <c r="WQY1535" s="6"/>
      <c r="WQZ1535" s="4"/>
      <c r="WRA1535" s="6"/>
      <c r="WRB1535" s="4"/>
      <c r="WRC1535" s="6"/>
      <c r="WRD1535" s="4"/>
      <c r="WRE1535" s="6"/>
      <c r="WRF1535" s="4"/>
      <c r="WRG1535" s="6"/>
      <c r="WRH1535" s="4"/>
      <c r="WRI1535" s="6"/>
      <c r="WRJ1535" s="4"/>
      <c r="WRK1535" s="6"/>
      <c r="WRL1535" s="4"/>
      <c r="WRM1535" s="6"/>
      <c r="WRN1535" s="4"/>
      <c r="WRO1535" s="6"/>
      <c r="WRP1535" s="4"/>
      <c r="WRQ1535" s="6"/>
      <c r="WRR1535" s="4"/>
      <c r="WRS1535" s="6"/>
      <c r="WRT1535" s="4"/>
      <c r="WRU1535" s="6"/>
      <c r="WRV1535" s="4"/>
      <c r="WRW1535" s="6"/>
      <c r="WRX1535" s="4"/>
      <c r="WRY1535" s="6"/>
      <c r="WRZ1535" s="4"/>
      <c r="WSA1535" s="6"/>
      <c r="WSB1535" s="4"/>
      <c r="WSC1535" s="6"/>
      <c r="WSD1535" s="4"/>
      <c r="WSE1535" s="6"/>
      <c r="WSF1535" s="4"/>
      <c r="WSG1535" s="6"/>
      <c r="WSH1535" s="4"/>
      <c r="WSI1535" s="6"/>
      <c r="WSJ1535" s="4"/>
      <c r="WSK1535" s="6"/>
      <c r="WSL1535" s="4"/>
      <c r="WSM1535" s="6"/>
      <c r="WSN1535" s="4"/>
      <c r="WSO1535" s="6"/>
      <c r="WSP1535" s="4"/>
      <c r="WSQ1535" s="6"/>
      <c r="WSR1535" s="4"/>
      <c r="WSS1535" s="6"/>
      <c r="WST1535" s="4"/>
      <c r="WSU1535" s="6"/>
      <c r="WSV1535" s="4"/>
      <c r="WSW1535" s="6"/>
      <c r="WSX1535" s="4"/>
      <c r="WSY1535" s="6"/>
      <c r="WSZ1535" s="4"/>
      <c r="WTA1535" s="6"/>
      <c r="WTB1535" s="4"/>
      <c r="WTC1535" s="6"/>
      <c r="WTD1535" s="4"/>
      <c r="WTE1535" s="6"/>
      <c r="WTF1535" s="4"/>
      <c r="WTG1535" s="6"/>
      <c r="WTH1535" s="4"/>
      <c r="WTI1535" s="6"/>
      <c r="WTJ1535" s="4"/>
      <c r="WTK1535" s="6"/>
      <c r="WTL1535" s="4"/>
      <c r="WTM1535" s="6"/>
      <c r="WTN1535" s="4"/>
      <c r="WTO1535" s="6"/>
      <c r="WTP1535" s="4"/>
      <c r="WTQ1535" s="6"/>
      <c r="WTR1535" s="4"/>
      <c r="WTS1535" s="6"/>
      <c r="WTT1535" s="4"/>
      <c r="WTU1535" s="6"/>
      <c r="WTV1535" s="4"/>
      <c r="WTW1535" s="6"/>
      <c r="WTX1535" s="4"/>
      <c r="WTY1535" s="6"/>
      <c r="WTZ1535" s="4"/>
      <c r="WUA1535" s="6"/>
      <c r="WUB1535" s="4"/>
      <c r="WUC1535" s="6"/>
      <c r="WUD1535" s="4"/>
      <c r="WUE1535" s="6"/>
      <c r="WUF1535" s="4"/>
      <c r="WUG1535" s="6"/>
      <c r="WUH1535" s="4"/>
      <c r="WUI1535" s="6"/>
      <c r="WUJ1535" s="4"/>
      <c r="WUK1535" s="6"/>
      <c r="WUL1535" s="4"/>
      <c r="WUM1535" s="6"/>
      <c r="WUN1535" s="4"/>
      <c r="WUO1535" s="6"/>
      <c r="WUP1535" s="4"/>
      <c r="WUQ1535" s="6"/>
      <c r="WUR1535" s="4"/>
      <c r="WUS1535" s="6"/>
      <c r="WUT1535" s="4"/>
      <c r="WUU1535" s="6"/>
      <c r="WUV1535" s="4"/>
      <c r="WUW1535" s="6"/>
      <c r="WUX1535" s="4"/>
      <c r="WUY1535" s="6"/>
      <c r="WUZ1535" s="4"/>
      <c r="WVA1535" s="6"/>
      <c r="WVB1535" s="4"/>
      <c r="WVC1535" s="6"/>
      <c r="WVD1535" s="4"/>
      <c r="WVE1535" s="6"/>
      <c r="WVF1535" s="4"/>
      <c r="WVG1535" s="6"/>
      <c r="WVH1535" s="4"/>
      <c r="WVI1535" s="6"/>
      <c r="WVJ1535" s="4"/>
      <c r="WVK1535" s="6"/>
      <c r="WVL1535" s="4"/>
      <c r="WVM1535" s="6"/>
      <c r="WVN1535" s="4"/>
      <c r="WVO1535" s="6"/>
      <c r="WVP1535" s="4"/>
      <c r="WVQ1535" s="6"/>
      <c r="WVR1535" s="4"/>
      <c r="WVS1535" s="6"/>
      <c r="WVT1535" s="4"/>
      <c r="WVU1535" s="6"/>
      <c r="WVV1535" s="4"/>
      <c r="WVW1535" s="6"/>
      <c r="WVX1535" s="4"/>
      <c r="WVY1535" s="6"/>
      <c r="WVZ1535" s="4"/>
      <c r="WWA1535" s="6"/>
      <c r="WWB1535" s="4"/>
      <c r="WWC1535" s="6"/>
      <c r="WWD1535" s="4"/>
      <c r="WWE1535" s="6"/>
      <c r="WWF1535" s="4"/>
      <c r="WWG1535" s="6"/>
      <c r="WWH1535" s="4"/>
      <c r="WWI1535" s="6"/>
      <c r="WWJ1535" s="4"/>
      <c r="WWK1535" s="6"/>
      <c r="WWL1535" s="4"/>
      <c r="WWM1535" s="6"/>
      <c r="WWN1535" s="4"/>
      <c r="WWO1535" s="6"/>
      <c r="WWP1535" s="4"/>
      <c r="WWQ1535" s="6"/>
      <c r="WWR1535" s="4"/>
      <c r="WWS1535" s="6"/>
      <c r="WWT1535" s="4"/>
      <c r="WWU1535" s="6"/>
      <c r="WWV1535" s="4"/>
      <c r="WWW1535" s="6"/>
      <c r="WWX1535" s="4"/>
      <c r="WWY1535" s="6"/>
      <c r="WWZ1535" s="4"/>
      <c r="WXA1535" s="6"/>
      <c r="WXB1535" s="4"/>
      <c r="WXC1535" s="6"/>
      <c r="WXD1535" s="4"/>
      <c r="WXE1535" s="6"/>
      <c r="WXF1535" s="4"/>
      <c r="WXG1535" s="6"/>
      <c r="WXH1535" s="4"/>
      <c r="WXI1535" s="6"/>
      <c r="WXJ1535" s="4"/>
      <c r="WXK1535" s="6"/>
      <c r="WXL1535" s="4"/>
      <c r="WXM1535" s="6"/>
      <c r="WXN1535" s="4"/>
      <c r="WXO1535" s="6"/>
      <c r="WXP1535" s="4"/>
      <c r="WXQ1535" s="6"/>
      <c r="WXR1535" s="4"/>
      <c r="WXS1535" s="6"/>
      <c r="WXT1535" s="4"/>
      <c r="WXU1535" s="6"/>
      <c r="WXV1535" s="4"/>
      <c r="WXW1535" s="6"/>
      <c r="WXX1535" s="4"/>
      <c r="WXY1535" s="6"/>
      <c r="WXZ1535" s="4"/>
      <c r="WYA1535" s="6"/>
      <c r="WYB1535" s="4"/>
      <c r="WYC1535" s="6"/>
      <c r="WYD1535" s="4"/>
      <c r="WYE1535" s="6"/>
      <c r="WYF1535" s="4"/>
      <c r="WYG1535" s="6"/>
      <c r="WYH1535" s="4"/>
      <c r="WYI1535" s="6"/>
      <c r="WYJ1535" s="4"/>
      <c r="WYK1535" s="6"/>
      <c r="WYL1535" s="4"/>
      <c r="WYM1535" s="6"/>
      <c r="WYN1535" s="4"/>
      <c r="WYO1535" s="6"/>
      <c r="WYP1535" s="4"/>
      <c r="WYQ1535" s="6"/>
      <c r="WYR1535" s="4"/>
      <c r="WYS1535" s="6"/>
      <c r="WYT1535" s="4"/>
      <c r="WYU1535" s="6"/>
      <c r="WYV1535" s="4"/>
      <c r="WYW1535" s="6"/>
      <c r="WYX1535" s="4"/>
      <c r="WYY1535" s="6"/>
      <c r="WYZ1535" s="4"/>
      <c r="WZA1535" s="6"/>
      <c r="WZB1535" s="4"/>
      <c r="WZC1535" s="6"/>
      <c r="WZD1535" s="4"/>
      <c r="WZE1535" s="6"/>
      <c r="WZF1535" s="4"/>
      <c r="WZG1535" s="6"/>
      <c r="WZH1535" s="4"/>
      <c r="WZI1535" s="6"/>
      <c r="WZJ1535" s="4"/>
      <c r="WZK1535" s="6"/>
      <c r="WZL1535" s="4"/>
      <c r="WZM1535" s="6"/>
      <c r="WZN1535" s="4"/>
      <c r="WZO1535" s="6"/>
      <c r="WZP1535" s="4"/>
      <c r="WZQ1535" s="6"/>
      <c r="WZR1535" s="4"/>
      <c r="WZS1535" s="6"/>
      <c r="WZT1535" s="4"/>
      <c r="WZU1535" s="6"/>
      <c r="WZV1535" s="4"/>
      <c r="WZW1535" s="6"/>
      <c r="WZX1535" s="4"/>
      <c r="WZY1535" s="6"/>
      <c r="WZZ1535" s="4"/>
      <c r="XAA1535" s="6"/>
      <c r="XAB1535" s="4"/>
      <c r="XAC1535" s="6"/>
      <c r="XAD1535" s="4"/>
      <c r="XAE1535" s="6"/>
      <c r="XAF1535" s="4"/>
      <c r="XAG1535" s="6"/>
      <c r="XAH1535" s="4"/>
      <c r="XAI1535" s="6"/>
      <c r="XAJ1535" s="4"/>
      <c r="XAK1535" s="6"/>
      <c r="XAL1535" s="4"/>
      <c r="XAM1535" s="6"/>
      <c r="XAN1535" s="4"/>
      <c r="XAO1535" s="6"/>
      <c r="XAP1535" s="4"/>
      <c r="XAQ1535" s="6"/>
      <c r="XAR1535" s="4"/>
      <c r="XAS1535" s="6"/>
      <c r="XAT1535" s="4"/>
      <c r="XAU1535" s="6"/>
      <c r="XAV1535" s="4"/>
      <c r="XAW1535" s="6"/>
      <c r="XAX1535" s="4"/>
      <c r="XAY1535" s="6"/>
      <c r="XAZ1535" s="4"/>
      <c r="XBA1535" s="6"/>
      <c r="XBB1535" s="4"/>
      <c r="XBC1535" s="6"/>
      <c r="XBD1535" s="4"/>
      <c r="XBE1535" s="6"/>
      <c r="XBF1535" s="4"/>
      <c r="XBG1535" s="6"/>
      <c r="XBH1535" s="4"/>
      <c r="XBI1535" s="6"/>
      <c r="XBJ1535" s="4"/>
      <c r="XBK1535" s="6"/>
      <c r="XBL1535" s="4"/>
      <c r="XBM1535" s="6"/>
      <c r="XBN1535" s="4"/>
      <c r="XBO1535" s="6"/>
      <c r="XBP1535" s="4"/>
      <c r="XBQ1535" s="6"/>
      <c r="XBR1535" s="4"/>
      <c r="XBS1535" s="6"/>
      <c r="XBT1535" s="4"/>
      <c r="XBU1535" s="6"/>
      <c r="XBV1535" s="4"/>
      <c r="XBW1535" s="6"/>
      <c r="XBX1535" s="4"/>
      <c r="XBY1535" s="6"/>
      <c r="XBZ1535" s="4"/>
      <c r="XCA1535" s="6"/>
      <c r="XCB1535" s="4"/>
      <c r="XCC1535" s="6"/>
      <c r="XCD1535" s="4"/>
      <c r="XCE1535" s="6"/>
      <c r="XCF1535" s="4"/>
      <c r="XCG1535" s="6"/>
      <c r="XCH1535" s="4"/>
      <c r="XCI1535" s="6"/>
      <c r="XCJ1535" s="4"/>
      <c r="XCK1535" s="6"/>
      <c r="XCL1535" s="4"/>
      <c r="XCM1535" s="6"/>
      <c r="XCN1535" s="4"/>
      <c r="XCO1535" s="6"/>
      <c r="XCP1535" s="4"/>
      <c r="XCQ1535" s="6"/>
      <c r="XCR1535" s="4"/>
      <c r="XCS1535" s="6"/>
      <c r="XCT1535" s="4"/>
      <c r="XCU1535" s="6"/>
      <c r="XCV1535" s="4"/>
      <c r="XCW1535" s="6"/>
      <c r="XCX1535" s="4"/>
      <c r="XCY1535" s="6"/>
      <c r="XCZ1535" s="4"/>
      <c r="XDA1535" s="6"/>
      <c r="XDB1535" s="4"/>
      <c r="XDC1535" s="6"/>
      <c r="XDD1535" s="4"/>
      <c r="XDE1535" s="6"/>
      <c r="XDF1535" s="4"/>
      <c r="XDG1535" s="6"/>
      <c r="XDH1535" s="4"/>
      <c r="XDI1535" s="6"/>
      <c r="XDJ1535" s="4"/>
      <c r="XDK1535" s="6"/>
      <c r="XDL1535" s="4"/>
      <c r="XDM1535" s="6"/>
      <c r="XDN1535" s="4"/>
      <c r="XDO1535" s="6"/>
      <c r="XDP1535" s="4"/>
      <c r="XDQ1535" s="6"/>
      <c r="XDR1535" s="4"/>
      <c r="XDS1535" s="6"/>
      <c r="XDT1535" s="4"/>
      <c r="XDU1535" s="6"/>
      <c r="XDV1535" s="4"/>
      <c r="XDW1535" s="6"/>
      <c r="XDX1535" s="4"/>
      <c r="XDY1535" s="6"/>
      <c r="XDZ1535" s="4"/>
      <c r="XEA1535" s="6"/>
      <c r="XEB1535" s="4"/>
      <c r="XEC1535" s="6"/>
      <c r="XED1535" s="4"/>
      <c r="XEE1535" s="6"/>
      <c r="XEF1535" s="4"/>
      <c r="XEG1535" s="6"/>
      <c r="XEH1535" s="4"/>
      <c r="XEI1535" s="6"/>
      <c r="XEJ1535" s="4"/>
      <c r="XEK1535" s="6"/>
      <c r="XEL1535" s="4"/>
      <c r="XEM1535" s="6"/>
      <c r="XEN1535" s="4"/>
      <c r="XEO1535" s="6"/>
      <c r="XEP1535" s="4"/>
      <c r="XEQ1535" s="6"/>
      <c r="XER1535" s="4"/>
      <c r="XES1535" s="6"/>
      <c r="XET1535" s="4"/>
      <c r="XEU1535" s="6"/>
      <c r="XEV1535" s="4"/>
      <c r="XEW1535" s="6"/>
      <c r="XEX1535" s="4"/>
      <c r="XEY1535" s="6"/>
      <c r="XEZ1535" s="4"/>
      <c r="XFA1535" s="6"/>
      <c r="XFB1535" s="4"/>
      <c r="XFC1535" s="6"/>
    </row>
    <row r="1536" spans="1:16383" s="22" customFormat="1" x14ac:dyDescent="0.25">
      <c r="A1536" s="6">
        <v>44026</v>
      </c>
      <c r="B1536" s="59" t="s">
        <v>1692</v>
      </c>
      <c r="C1536" s="6" t="s">
        <v>1706</v>
      </c>
      <c r="D1536" s="63"/>
      <c r="E1536" s="178"/>
      <c r="F1536" s="2">
        <v>500</v>
      </c>
      <c r="G1536" s="2">
        <f t="shared" si="30"/>
        <v>2</v>
      </c>
    </row>
    <row r="1537" spans="1:7" s="22" customFormat="1" x14ac:dyDescent="0.25">
      <c r="A1537" s="6">
        <v>44027</v>
      </c>
      <c r="B1537" s="59" t="s">
        <v>1630</v>
      </c>
      <c r="C1537" s="6" t="s">
        <v>126</v>
      </c>
      <c r="D1537" s="63"/>
      <c r="E1537" s="178"/>
      <c r="F1537" s="2">
        <v>1400</v>
      </c>
      <c r="G1537" s="2">
        <f t="shared" si="30"/>
        <v>5.6000000000000005</v>
      </c>
    </row>
    <row r="1538" spans="1:7" s="22" customFormat="1" x14ac:dyDescent="0.25">
      <c r="A1538" s="6">
        <v>44027</v>
      </c>
      <c r="B1538" s="59" t="s">
        <v>1692</v>
      </c>
      <c r="C1538" s="6" t="s">
        <v>1706</v>
      </c>
      <c r="D1538" s="63"/>
      <c r="E1538" s="178"/>
      <c r="F1538" s="2">
        <v>500</v>
      </c>
      <c r="G1538" s="2">
        <f t="shared" si="30"/>
        <v>2</v>
      </c>
    </row>
    <row r="1539" spans="1:7" s="22" customFormat="1" x14ac:dyDescent="0.25">
      <c r="A1539" s="6">
        <v>44027</v>
      </c>
      <c r="B1539" s="59" t="s">
        <v>1866</v>
      </c>
      <c r="C1539" s="6" t="s">
        <v>1858</v>
      </c>
      <c r="D1539" s="63"/>
      <c r="E1539" s="178"/>
      <c r="F1539" s="2">
        <v>1000</v>
      </c>
      <c r="G1539" s="2">
        <f t="shared" si="30"/>
        <v>4</v>
      </c>
    </row>
    <row r="1540" spans="1:7" s="22" customFormat="1" x14ac:dyDescent="0.25">
      <c r="A1540" s="6">
        <v>44027</v>
      </c>
      <c r="B1540" s="59" t="s">
        <v>1680</v>
      </c>
      <c r="C1540" s="6" t="s">
        <v>1681</v>
      </c>
      <c r="D1540" s="63"/>
      <c r="E1540" s="178"/>
      <c r="F1540" s="2">
        <v>1300</v>
      </c>
      <c r="G1540" s="2">
        <f t="shared" si="30"/>
        <v>5.2</v>
      </c>
    </row>
    <row r="1541" spans="1:7" s="22" customFormat="1" x14ac:dyDescent="0.25">
      <c r="A1541" s="6">
        <v>44027</v>
      </c>
      <c r="B1541" s="59" t="s">
        <v>1853</v>
      </c>
      <c r="C1541" s="6" t="s">
        <v>1854</v>
      </c>
      <c r="D1541" s="63"/>
      <c r="E1541" s="178"/>
      <c r="F1541" s="2">
        <v>500</v>
      </c>
      <c r="G1541" s="2">
        <f t="shared" si="30"/>
        <v>2</v>
      </c>
    </row>
    <row r="1542" spans="1:7" s="22" customFormat="1" x14ac:dyDescent="0.25">
      <c r="A1542" s="6">
        <v>44027</v>
      </c>
      <c r="B1542" s="59" t="s">
        <v>1624</v>
      </c>
      <c r="C1542" s="6" t="s">
        <v>1867</v>
      </c>
      <c r="D1542" s="63"/>
      <c r="E1542" s="178"/>
      <c r="F1542" s="2">
        <v>2000</v>
      </c>
      <c r="G1542" s="2">
        <f t="shared" si="30"/>
        <v>8</v>
      </c>
    </row>
    <row r="1543" spans="1:7" s="22" customFormat="1" x14ac:dyDescent="0.25">
      <c r="A1543" s="6">
        <v>44028</v>
      </c>
      <c r="B1543" s="59" t="s">
        <v>1692</v>
      </c>
      <c r="C1543" s="6" t="s">
        <v>1706</v>
      </c>
      <c r="D1543" s="63"/>
      <c r="E1543" s="178"/>
      <c r="F1543" s="2">
        <v>500</v>
      </c>
      <c r="G1543" s="2">
        <f t="shared" si="30"/>
        <v>2</v>
      </c>
    </row>
    <row r="1544" spans="1:7" s="22" customFormat="1" x14ac:dyDescent="0.25">
      <c r="A1544" s="6">
        <v>44028</v>
      </c>
      <c r="B1544" s="59" t="s">
        <v>1875</v>
      </c>
      <c r="C1544" s="6" t="s">
        <v>1877</v>
      </c>
      <c r="D1544" s="63"/>
      <c r="E1544" s="178"/>
      <c r="F1544" s="2">
        <v>200</v>
      </c>
      <c r="G1544" s="2">
        <f t="shared" si="30"/>
        <v>0.8</v>
      </c>
    </row>
    <row r="1545" spans="1:7" s="22" customFormat="1" x14ac:dyDescent="0.25">
      <c r="A1545" s="6">
        <v>44028</v>
      </c>
      <c r="B1545" s="59" t="s">
        <v>1680</v>
      </c>
      <c r="C1545" s="6" t="s">
        <v>1681</v>
      </c>
      <c r="D1545" s="63"/>
      <c r="E1545" s="178"/>
      <c r="F1545" s="2">
        <v>900</v>
      </c>
      <c r="G1545" s="2">
        <f t="shared" si="30"/>
        <v>3.6</v>
      </c>
    </row>
    <row r="1546" spans="1:7" s="22" customFormat="1" x14ac:dyDescent="0.25">
      <c r="A1546" s="6">
        <v>44029</v>
      </c>
      <c r="B1546" s="59" t="s">
        <v>1880</v>
      </c>
      <c r="C1546" s="6" t="s">
        <v>1881</v>
      </c>
      <c r="D1546" s="63"/>
      <c r="E1546" s="178"/>
      <c r="F1546" s="2">
        <v>200</v>
      </c>
      <c r="G1546" s="2">
        <f t="shared" si="30"/>
        <v>0.8</v>
      </c>
    </row>
    <row r="1547" spans="1:7" s="22" customFormat="1" x14ac:dyDescent="0.25">
      <c r="A1547" s="6">
        <v>44029</v>
      </c>
      <c r="B1547" s="59" t="s">
        <v>1692</v>
      </c>
      <c r="C1547" s="6" t="s">
        <v>1706</v>
      </c>
      <c r="D1547" s="63"/>
      <c r="E1547" s="178"/>
      <c r="F1547" s="2">
        <v>500</v>
      </c>
      <c r="G1547" s="2">
        <f t="shared" si="30"/>
        <v>2</v>
      </c>
    </row>
    <row r="1548" spans="1:7" s="22" customFormat="1" x14ac:dyDescent="0.25">
      <c r="A1548" s="6">
        <v>44029</v>
      </c>
      <c r="B1548" s="59" t="s">
        <v>1887</v>
      </c>
      <c r="C1548" s="6" t="s">
        <v>1885</v>
      </c>
      <c r="D1548" s="63"/>
      <c r="E1548" s="178" t="s">
        <v>66</v>
      </c>
      <c r="F1548" s="2">
        <v>500</v>
      </c>
      <c r="G1548" s="2">
        <f t="shared" si="30"/>
        <v>27</v>
      </c>
    </row>
    <row r="1549" spans="1:7" s="22" customFormat="1" x14ac:dyDescent="0.25">
      <c r="A1549" s="6">
        <v>44029</v>
      </c>
      <c r="B1549" s="59" t="s">
        <v>1887</v>
      </c>
      <c r="C1549" s="6" t="s">
        <v>1885</v>
      </c>
      <c r="D1549" s="63"/>
      <c r="E1549" s="178" t="s">
        <v>1731</v>
      </c>
      <c r="F1549" s="2"/>
      <c r="G1549" s="2">
        <f t="shared" si="30"/>
        <v>35</v>
      </c>
    </row>
    <row r="1550" spans="1:7" s="22" customFormat="1" x14ac:dyDescent="0.25">
      <c r="A1550" s="6">
        <v>44029</v>
      </c>
      <c r="B1550" s="59" t="s">
        <v>1887</v>
      </c>
      <c r="C1550" s="6" t="s">
        <v>1885</v>
      </c>
      <c r="D1550" s="63"/>
      <c r="E1550" s="178" t="s">
        <v>1753</v>
      </c>
      <c r="F1550" s="2"/>
      <c r="G1550" s="2">
        <f t="shared" si="30"/>
        <v>2</v>
      </c>
    </row>
    <row r="1551" spans="1:7" s="22" customFormat="1" x14ac:dyDescent="0.25">
      <c r="A1551" s="6">
        <v>44030</v>
      </c>
      <c r="B1551" s="59" t="s">
        <v>1630</v>
      </c>
      <c r="C1551" s="6" t="s">
        <v>292</v>
      </c>
      <c r="D1551" s="63"/>
      <c r="E1551" s="178"/>
      <c r="F1551" s="2">
        <v>2900</v>
      </c>
      <c r="G1551" s="2">
        <f t="shared" si="30"/>
        <v>11.6</v>
      </c>
    </row>
    <row r="1552" spans="1:7" s="22" customFormat="1" x14ac:dyDescent="0.25">
      <c r="A1552" s="6">
        <v>44030</v>
      </c>
      <c r="B1552" s="59" t="s">
        <v>1692</v>
      </c>
      <c r="C1552" s="6" t="s">
        <v>1706</v>
      </c>
      <c r="D1552" s="63"/>
      <c r="E1552" s="178"/>
      <c r="F1552" s="2">
        <v>500</v>
      </c>
      <c r="G1552" s="2">
        <f t="shared" si="30"/>
        <v>2</v>
      </c>
    </row>
    <row r="1553" spans="1:7" s="22" customFormat="1" x14ac:dyDescent="0.25">
      <c r="A1553" s="6">
        <v>44030</v>
      </c>
      <c r="B1553" s="59" t="s">
        <v>1641</v>
      </c>
      <c r="C1553" s="6" t="s">
        <v>1894</v>
      </c>
      <c r="D1553" s="63"/>
      <c r="E1553" s="178"/>
      <c r="F1553" s="2">
        <v>200</v>
      </c>
      <c r="G1553" s="2">
        <f t="shared" si="30"/>
        <v>0.8</v>
      </c>
    </row>
    <row r="1554" spans="1:7" s="22" customFormat="1" x14ac:dyDescent="0.25">
      <c r="A1554" s="6">
        <v>44030</v>
      </c>
      <c r="B1554" s="59" t="s">
        <v>1649</v>
      </c>
      <c r="C1554" s="6"/>
      <c r="D1554" s="63"/>
      <c r="E1554" s="178"/>
      <c r="F1554" s="2">
        <v>2000</v>
      </c>
      <c r="G1554" s="2">
        <f t="shared" si="30"/>
        <v>8</v>
      </c>
    </row>
    <row r="1555" spans="1:7" s="22" customFormat="1" x14ac:dyDescent="0.25">
      <c r="A1555" s="6">
        <v>44030</v>
      </c>
      <c r="B1555" s="59" t="s">
        <v>1895</v>
      </c>
      <c r="C1555" s="6" t="s">
        <v>1896</v>
      </c>
      <c r="D1555" s="63"/>
      <c r="E1555" s="178" t="s">
        <v>66</v>
      </c>
      <c r="F1555" s="2">
        <v>500</v>
      </c>
      <c r="G1555" s="2">
        <f t="shared" si="30"/>
        <v>27</v>
      </c>
    </row>
    <row r="1556" spans="1:7" s="22" customFormat="1" x14ac:dyDescent="0.25">
      <c r="A1556" s="6">
        <v>44030</v>
      </c>
      <c r="B1556" s="59" t="s">
        <v>1895</v>
      </c>
      <c r="C1556" s="6" t="s">
        <v>1896</v>
      </c>
      <c r="D1556" s="63"/>
      <c r="E1556" s="178" t="s">
        <v>1753</v>
      </c>
      <c r="F1556" s="2"/>
      <c r="G1556" s="2">
        <f t="shared" si="30"/>
        <v>2</v>
      </c>
    </row>
    <row r="1557" spans="1:7" s="22" customFormat="1" x14ac:dyDescent="0.25">
      <c r="A1557" s="6">
        <v>44030</v>
      </c>
      <c r="B1557" s="59" t="s">
        <v>1900</v>
      </c>
      <c r="C1557" s="6" t="s">
        <v>1898</v>
      </c>
      <c r="D1557" s="63"/>
      <c r="E1557" s="178" t="s">
        <v>66</v>
      </c>
      <c r="F1557" s="2">
        <v>500</v>
      </c>
      <c r="G1557" s="2">
        <f t="shared" si="30"/>
        <v>27</v>
      </c>
    </row>
    <row r="1558" spans="1:7" s="22" customFormat="1" x14ac:dyDescent="0.25">
      <c r="A1558" s="6">
        <v>44030</v>
      </c>
      <c r="B1558" s="59" t="s">
        <v>1637</v>
      </c>
      <c r="C1558" s="6" t="s">
        <v>187</v>
      </c>
      <c r="D1558" s="63"/>
      <c r="E1558" s="178"/>
      <c r="F1558" s="2">
        <v>1640</v>
      </c>
      <c r="G1558" s="2">
        <f t="shared" si="30"/>
        <v>6.5600000000000005</v>
      </c>
    </row>
    <row r="1559" spans="1:7" s="22" customFormat="1" x14ac:dyDescent="0.25">
      <c r="A1559" s="6">
        <v>44031</v>
      </c>
      <c r="B1559" s="59" t="s">
        <v>1853</v>
      </c>
      <c r="C1559" s="6" t="s">
        <v>1854</v>
      </c>
      <c r="D1559" s="63"/>
      <c r="E1559" s="178"/>
      <c r="F1559" s="2">
        <v>1000</v>
      </c>
      <c r="G1559" s="2">
        <f t="shared" si="30"/>
        <v>4</v>
      </c>
    </row>
    <row r="1560" spans="1:7" s="22" customFormat="1" x14ac:dyDescent="0.25">
      <c r="A1560" s="6">
        <v>44031</v>
      </c>
      <c r="B1560" s="59" t="s">
        <v>1692</v>
      </c>
      <c r="C1560" s="6" t="s">
        <v>1706</v>
      </c>
      <c r="D1560" s="63"/>
      <c r="E1560" s="178"/>
      <c r="F1560" s="2">
        <v>500</v>
      </c>
      <c r="G1560" s="2">
        <f t="shared" si="30"/>
        <v>2</v>
      </c>
    </row>
    <row r="1561" spans="1:7" s="22" customFormat="1" x14ac:dyDescent="0.25">
      <c r="A1561" s="6">
        <v>44031</v>
      </c>
      <c r="B1561" s="59" t="s">
        <v>1630</v>
      </c>
      <c r="C1561" s="6" t="s">
        <v>292</v>
      </c>
      <c r="D1561" s="63"/>
      <c r="E1561" s="178"/>
      <c r="F1561" s="2">
        <v>1000</v>
      </c>
      <c r="G1561" s="2">
        <f t="shared" si="30"/>
        <v>4</v>
      </c>
    </row>
    <row r="1562" spans="1:7" s="22" customFormat="1" x14ac:dyDescent="0.25">
      <c r="A1562" s="6">
        <v>44032</v>
      </c>
      <c r="B1562" s="59" t="s">
        <v>1692</v>
      </c>
      <c r="C1562" s="6" t="s">
        <v>1706</v>
      </c>
      <c r="D1562" s="63"/>
      <c r="E1562" s="178"/>
      <c r="F1562" s="2">
        <v>500</v>
      </c>
      <c r="G1562" s="2">
        <f t="shared" si="30"/>
        <v>2</v>
      </c>
    </row>
    <row r="1563" spans="1:7" s="22" customFormat="1" x14ac:dyDescent="0.25">
      <c r="A1563" s="6">
        <v>44032</v>
      </c>
      <c r="B1563" s="59" t="s">
        <v>1628</v>
      </c>
      <c r="C1563" s="6" t="s">
        <v>1903</v>
      </c>
      <c r="D1563" s="63"/>
      <c r="E1563" s="178"/>
      <c r="F1563" s="2">
        <v>1000</v>
      </c>
      <c r="G1563" s="2">
        <f t="shared" si="30"/>
        <v>4</v>
      </c>
    </row>
    <row r="1564" spans="1:7" s="22" customFormat="1" x14ac:dyDescent="0.25">
      <c r="A1564" s="6">
        <v>44032</v>
      </c>
      <c r="B1564" s="59" t="s">
        <v>1904</v>
      </c>
      <c r="C1564" s="6" t="s">
        <v>1367</v>
      </c>
      <c r="D1564" s="63"/>
      <c r="E1564" s="178" t="s">
        <v>66</v>
      </c>
      <c r="F1564" s="2">
        <v>500</v>
      </c>
      <c r="G1564" s="2">
        <f t="shared" si="30"/>
        <v>27</v>
      </c>
    </row>
    <row r="1565" spans="1:7" s="22" customFormat="1" x14ac:dyDescent="0.25">
      <c r="A1565" s="6">
        <v>44032</v>
      </c>
      <c r="B1565" s="59" t="s">
        <v>1904</v>
      </c>
      <c r="C1565" s="6" t="s">
        <v>1367</v>
      </c>
      <c r="D1565" s="63"/>
      <c r="E1565" s="178" t="s">
        <v>1753</v>
      </c>
      <c r="F1565" s="2"/>
      <c r="G1565" s="2">
        <f t="shared" si="30"/>
        <v>2</v>
      </c>
    </row>
    <row r="1566" spans="1:7" s="22" customFormat="1" x14ac:dyDescent="0.25">
      <c r="A1566" s="6">
        <v>44032</v>
      </c>
      <c r="B1566" s="59"/>
      <c r="C1566" s="6" t="s">
        <v>1905</v>
      </c>
      <c r="D1566" s="63"/>
      <c r="E1566" s="178"/>
      <c r="F1566" s="2">
        <v>5000</v>
      </c>
      <c r="G1566" s="2">
        <f t="shared" si="30"/>
        <v>20</v>
      </c>
    </row>
    <row r="1567" spans="1:7" s="22" customFormat="1" x14ac:dyDescent="0.25">
      <c r="A1567" s="6">
        <v>44033</v>
      </c>
      <c r="B1567" s="59" t="s">
        <v>1917</v>
      </c>
      <c r="C1567" s="6" t="s">
        <v>1908</v>
      </c>
      <c r="D1567" s="63"/>
      <c r="E1567" s="178" t="s">
        <v>66</v>
      </c>
      <c r="F1567" s="2">
        <v>1000</v>
      </c>
      <c r="G1567" s="2">
        <f t="shared" si="30"/>
        <v>29</v>
      </c>
    </row>
    <row r="1568" spans="1:7" s="22" customFormat="1" x14ac:dyDescent="0.25">
      <c r="A1568" s="6">
        <v>44033</v>
      </c>
      <c r="B1568" s="59" t="s">
        <v>1917</v>
      </c>
      <c r="C1568" s="6" t="s">
        <v>1908</v>
      </c>
      <c r="D1568" s="63"/>
      <c r="E1568" s="178" t="s">
        <v>1731</v>
      </c>
      <c r="F1568" s="2"/>
      <c r="G1568" s="2">
        <f t="shared" si="30"/>
        <v>35</v>
      </c>
    </row>
    <row r="1569" spans="1:7" s="22" customFormat="1" x14ac:dyDescent="0.25">
      <c r="A1569" s="6">
        <v>44033</v>
      </c>
      <c r="B1569" s="59" t="s">
        <v>1917</v>
      </c>
      <c r="C1569" s="6" t="s">
        <v>1908</v>
      </c>
      <c r="D1569" s="63"/>
      <c r="E1569" s="178" t="s">
        <v>1753</v>
      </c>
      <c r="F1569" s="2"/>
      <c r="G1569" s="2">
        <f t="shared" si="30"/>
        <v>2</v>
      </c>
    </row>
    <row r="1570" spans="1:7" s="22" customFormat="1" x14ac:dyDescent="0.25">
      <c r="A1570" s="6">
        <v>44033</v>
      </c>
      <c r="B1570" s="59" t="s">
        <v>1918</v>
      </c>
      <c r="C1570" s="6" t="s">
        <v>1910</v>
      </c>
      <c r="D1570" s="63"/>
      <c r="E1570" s="178" t="s">
        <v>66</v>
      </c>
      <c r="F1570" s="2">
        <v>200</v>
      </c>
      <c r="G1570" s="2">
        <f t="shared" si="30"/>
        <v>25.8</v>
      </c>
    </row>
    <row r="1571" spans="1:7" s="22" customFormat="1" x14ac:dyDescent="0.25">
      <c r="A1571" s="6">
        <v>44033</v>
      </c>
      <c r="B1571" s="59" t="s">
        <v>1918</v>
      </c>
      <c r="C1571" s="6" t="s">
        <v>1910</v>
      </c>
      <c r="D1571" s="63"/>
      <c r="E1571" s="178" t="s">
        <v>1753</v>
      </c>
      <c r="F1571" s="2"/>
      <c r="G1571" s="2">
        <f t="shared" si="30"/>
        <v>2</v>
      </c>
    </row>
    <row r="1572" spans="1:7" s="22" customFormat="1" x14ac:dyDescent="0.25">
      <c r="A1572" s="6">
        <v>44033</v>
      </c>
      <c r="B1572" s="59" t="s">
        <v>1919</v>
      </c>
      <c r="C1572" s="6" t="s">
        <v>1912</v>
      </c>
      <c r="D1572" s="63"/>
      <c r="E1572" s="178" t="s">
        <v>66</v>
      </c>
      <c r="F1572" s="2">
        <v>300</v>
      </c>
      <c r="G1572" s="2">
        <f t="shared" si="30"/>
        <v>26.2</v>
      </c>
    </row>
    <row r="1573" spans="1:7" s="22" customFormat="1" x14ac:dyDescent="0.25">
      <c r="A1573" s="6">
        <v>44033</v>
      </c>
      <c r="B1573" s="59" t="s">
        <v>1920</v>
      </c>
      <c r="C1573" s="6" t="s">
        <v>1921</v>
      </c>
      <c r="D1573" s="63"/>
      <c r="E1573" s="178" t="s">
        <v>66</v>
      </c>
      <c r="F1573" s="2">
        <v>500</v>
      </c>
      <c r="G1573" s="2">
        <f t="shared" si="30"/>
        <v>27</v>
      </c>
    </row>
    <row r="1574" spans="1:7" s="22" customFormat="1" x14ac:dyDescent="0.25">
      <c r="A1574" s="6">
        <v>44033</v>
      </c>
      <c r="B1574" s="59" t="s">
        <v>1692</v>
      </c>
      <c r="C1574" s="6" t="s">
        <v>1706</v>
      </c>
      <c r="D1574" s="63"/>
      <c r="E1574" s="178"/>
      <c r="F1574" s="2">
        <v>500</v>
      </c>
      <c r="G1574" s="2">
        <f t="shared" si="30"/>
        <v>2</v>
      </c>
    </row>
    <row r="1575" spans="1:7" s="22" customFormat="1" x14ac:dyDescent="0.25">
      <c r="A1575" s="6">
        <v>44033</v>
      </c>
      <c r="B1575" s="59" t="s">
        <v>20</v>
      </c>
      <c r="C1575" s="6" t="s">
        <v>1922</v>
      </c>
      <c r="D1575" s="63"/>
      <c r="E1575" s="178"/>
      <c r="F1575" s="2">
        <v>2100</v>
      </c>
      <c r="G1575" s="2">
        <f t="shared" si="30"/>
        <v>8.4</v>
      </c>
    </row>
    <row r="1576" spans="1:7" s="22" customFormat="1" x14ac:dyDescent="0.25">
      <c r="A1576" s="6">
        <v>44033</v>
      </c>
      <c r="B1576" s="59" t="s">
        <v>1918</v>
      </c>
      <c r="C1576" s="6" t="s">
        <v>1910</v>
      </c>
      <c r="D1576" s="63"/>
      <c r="E1576" s="178"/>
      <c r="F1576" s="2">
        <v>300</v>
      </c>
      <c r="G1576" s="2">
        <f t="shared" si="30"/>
        <v>1.2</v>
      </c>
    </row>
    <row r="1577" spans="1:7" s="22" customFormat="1" x14ac:dyDescent="0.25">
      <c r="A1577" s="6">
        <v>44033</v>
      </c>
      <c r="B1577" s="59" t="s">
        <v>1923</v>
      </c>
      <c r="C1577" s="6" t="s">
        <v>1924</v>
      </c>
      <c r="D1577" s="63"/>
      <c r="E1577" s="178" t="s">
        <v>66</v>
      </c>
      <c r="F1577" s="2">
        <v>400</v>
      </c>
      <c r="G1577" s="2">
        <f t="shared" si="30"/>
        <v>26.6</v>
      </c>
    </row>
    <row r="1578" spans="1:7" s="22" customFormat="1" x14ac:dyDescent="0.25">
      <c r="A1578" s="6">
        <v>44033</v>
      </c>
      <c r="B1578" s="59" t="s">
        <v>1624</v>
      </c>
      <c r="C1578" s="6" t="s">
        <v>1712</v>
      </c>
      <c r="D1578" s="63"/>
      <c r="E1578" s="178"/>
      <c r="F1578" s="2">
        <v>4850</v>
      </c>
      <c r="G1578" s="2">
        <f t="shared" si="30"/>
        <v>19.400000000000002</v>
      </c>
    </row>
    <row r="1579" spans="1:7" s="22" customFormat="1" x14ac:dyDescent="0.25">
      <c r="A1579" s="6">
        <v>44033</v>
      </c>
      <c r="B1579" s="59" t="s">
        <v>1926</v>
      </c>
      <c r="C1579" s="6" t="s">
        <v>1927</v>
      </c>
      <c r="D1579" s="63"/>
      <c r="E1579" s="178"/>
      <c r="F1579" s="2">
        <v>1000</v>
      </c>
      <c r="G1579" s="2">
        <f t="shared" si="30"/>
        <v>4</v>
      </c>
    </row>
    <row r="1580" spans="1:7" s="22" customFormat="1" x14ac:dyDescent="0.25">
      <c r="A1580" s="6">
        <v>44034</v>
      </c>
      <c r="B1580" s="59"/>
      <c r="C1580" s="6"/>
      <c r="D1580" s="63"/>
      <c r="E1580" s="178"/>
      <c r="F1580" s="2">
        <v>2000</v>
      </c>
      <c r="G1580" s="2">
        <f t="shared" si="30"/>
        <v>8</v>
      </c>
    </row>
    <row r="1581" spans="1:7" s="22" customFormat="1" x14ac:dyDescent="0.25">
      <c r="A1581" s="6">
        <v>44034</v>
      </c>
      <c r="B1581" s="59" t="s">
        <v>1945</v>
      </c>
      <c r="C1581" s="6"/>
      <c r="D1581" s="63"/>
      <c r="E1581" s="178" t="s">
        <v>66</v>
      </c>
      <c r="F1581" s="2">
        <v>4000</v>
      </c>
      <c r="G1581" s="2">
        <f t="shared" si="30"/>
        <v>41</v>
      </c>
    </row>
    <row r="1582" spans="1:7" s="22" customFormat="1" x14ac:dyDescent="0.25">
      <c r="A1582" s="6">
        <v>44034</v>
      </c>
      <c r="B1582" s="59"/>
      <c r="C1582" s="6"/>
      <c r="D1582" s="63"/>
      <c r="E1582" s="178"/>
      <c r="F1582" s="2">
        <v>7500</v>
      </c>
      <c r="G1582" s="2">
        <f t="shared" si="30"/>
        <v>20</v>
      </c>
    </row>
    <row r="1583" spans="1:7" s="22" customFormat="1" x14ac:dyDescent="0.25">
      <c r="A1583" s="6">
        <v>44035</v>
      </c>
      <c r="B1583" s="59" t="s">
        <v>1946</v>
      </c>
      <c r="C1583" s="6" t="s">
        <v>1937</v>
      </c>
      <c r="D1583" s="63"/>
      <c r="E1583" s="178" t="s">
        <v>66</v>
      </c>
      <c r="F1583" s="2">
        <v>300</v>
      </c>
      <c r="G1583" s="2">
        <f t="shared" si="30"/>
        <v>26.2</v>
      </c>
    </row>
    <row r="1584" spans="1:7" s="22" customFormat="1" x14ac:dyDescent="0.25">
      <c r="A1584" s="6">
        <v>44035</v>
      </c>
      <c r="B1584" s="59" t="s">
        <v>1947</v>
      </c>
      <c r="C1584" s="6" t="s">
        <v>1939</v>
      </c>
      <c r="D1584" s="63"/>
      <c r="E1584" s="178" t="s">
        <v>66</v>
      </c>
      <c r="F1584" s="2">
        <v>200</v>
      </c>
      <c r="G1584" s="2">
        <f t="shared" si="30"/>
        <v>25.8</v>
      </c>
    </row>
    <row r="1585" spans="1:7" s="22" customFormat="1" x14ac:dyDescent="0.25">
      <c r="A1585" s="6">
        <v>44035</v>
      </c>
      <c r="B1585" s="59" t="s">
        <v>1942</v>
      </c>
      <c r="C1585" s="6" t="s">
        <v>1706</v>
      </c>
      <c r="D1585" s="63"/>
      <c r="E1585" s="178"/>
      <c r="F1585" s="2">
        <v>1000</v>
      </c>
      <c r="G1585" s="2">
        <f t="shared" si="30"/>
        <v>4</v>
      </c>
    </row>
    <row r="1586" spans="1:7" s="22" customFormat="1" x14ac:dyDescent="0.25">
      <c r="A1586" s="6">
        <v>44035</v>
      </c>
      <c r="B1586" s="59" t="s">
        <v>1943</v>
      </c>
      <c r="C1586" s="6" t="s">
        <v>1814</v>
      </c>
      <c r="D1586" s="63"/>
      <c r="E1586" s="178"/>
      <c r="F1586" s="2">
        <v>1500</v>
      </c>
      <c r="G1586" s="2">
        <f t="shared" si="30"/>
        <v>6</v>
      </c>
    </row>
    <row r="1587" spans="1:7" s="22" customFormat="1" x14ac:dyDescent="0.25">
      <c r="A1587" s="6">
        <v>44035</v>
      </c>
      <c r="B1587" s="59" t="s">
        <v>1944</v>
      </c>
      <c r="C1587" s="6" t="s">
        <v>292</v>
      </c>
      <c r="D1587" s="63"/>
      <c r="E1587" s="178"/>
      <c r="F1587" s="2">
        <v>800</v>
      </c>
      <c r="G1587" s="2">
        <f t="shared" si="30"/>
        <v>3.2</v>
      </c>
    </row>
    <row r="1588" spans="1:7" s="22" customFormat="1" x14ac:dyDescent="0.25">
      <c r="A1588" s="6">
        <v>44035</v>
      </c>
      <c r="B1588" s="59" t="s">
        <v>1948</v>
      </c>
      <c r="C1588" s="6" t="s">
        <v>1949</v>
      </c>
      <c r="D1588" s="63"/>
      <c r="E1588" s="178"/>
      <c r="F1588" s="2">
        <v>700</v>
      </c>
      <c r="G1588" s="2">
        <f t="shared" si="30"/>
        <v>2.8000000000000003</v>
      </c>
    </row>
    <row r="1589" spans="1:7" s="22" customFormat="1" x14ac:dyDescent="0.25">
      <c r="A1589" s="6">
        <v>44036</v>
      </c>
      <c r="B1589" s="59" t="s">
        <v>1942</v>
      </c>
      <c r="C1589" s="6" t="s">
        <v>1706</v>
      </c>
      <c r="D1589" s="63"/>
      <c r="E1589" s="178"/>
      <c r="F1589" s="2">
        <v>500</v>
      </c>
      <c r="G1589" s="2">
        <f t="shared" si="30"/>
        <v>2</v>
      </c>
    </row>
    <row r="1590" spans="1:7" s="22" customFormat="1" x14ac:dyDescent="0.25">
      <c r="A1590" s="6">
        <v>44037</v>
      </c>
      <c r="B1590" s="59" t="s">
        <v>1956</v>
      </c>
      <c r="C1590" s="6" t="s">
        <v>1957</v>
      </c>
      <c r="D1590" s="63"/>
      <c r="E1590" s="178"/>
      <c r="F1590" s="2">
        <v>700</v>
      </c>
      <c r="G1590" s="2">
        <f t="shared" si="30"/>
        <v>2.8000000000000003</v>
      </c>
    </row>
    <row r="1591" spans="1:7" s="22" customFormat="1" x14ac:dyDescent="0.25">
      <c r="A1591" s="6">
        <v>44037</v>
      </c>
      <c r="B1591" s="59" t="s">
        <v>1942</v>
      </c>
      <c r="C1591" s="6" t="s">
        <v>1706</v>
      </c>
      <c r="D1591" s="63"/>
      <c r="E1591" s="178"/>
      <c r="F1591" s="2">
        <v>500</v>
      </c>
      <c r="G1591" s="2">
        <f t="shared" si="30"/>
        <v>2</v>
      </c>
    </row>
    <row r="1592" spans="1:7" s="22" customFormat="1" x14ac:dyDescent="0.25">
      <c r="A1592" s="6">
        <v>44037</v>
      </c>
      <c r="B1592" s="59" t="s">
        <v>1948</v>
      </c>
      <c r="C1592" s="6" t="s">
        <v>1949</v>
      </c>
      <c r="D1592" s="63"/>
      <c r="E1592" s="178"/>
      <c r="F1592" s="2">
        <v>1600</v>
      </c>
      <c r="G1592" s="2">
        <f t="shared" si="30"/>
        <v>6.4</v>
      </c>
    </row>
    <row r="1593" spans="1:7" s="22" customFormat="1" x14ac:dyDescent="0.25">
      <c r="A1593" s="6">
        <v>44039</v>
      </c>
      <c r="B1593" s="59" t="s">
        <v>1942</v>
      </c>
      <c r="C1593" s="6" t="s">
        <v>1706</v>
      </c>
      <c r="D1593" s="63"/>
      <c r="E1593" s="178"/>
      <c r="F1593" s="2">
        <v>500</v>
      </c>
      <c r="G1593" s="2">
        <f t="shared" si="30"/>
        <v>2</v>
      </c>
    </row>
    <row r="1594" spans="1:7" s="22" customFormat="1" x14ac:dyDescent="0.25">
      <c r="A1594" s="6">
        <v>44039</v>
      </c>
      <c r="B1594" s="59" t="s">
        <v>1948</v>
      </c>
      <c r="C1594" s="6" t="s">
        <v>1949</v>
      </c>
      <c r="D1594" s="63"/>
      <c r="E1594" s="178"/>
      <c r="F1594" s="2">
        <v>2500</v>
      </c>
      <c r="G1594" s="2">
        <f t="shared" si="30"/>
        <v>10</v>
      </c>
    </row>
    <row r="1595" spans="1:7" s="22" customFormat="1" x14ac:dyDescent="0.25">
      <c r="A1595" s="6">
        <v>44039</v>
      </c>
      <c r="B1595" s="59" t="s">
        <v>1944</v>
      </c>
      <c r="C1595" s="6" t="s">
        <v>292</v>
      </c>
      <c r="D1595" s="63"/>
      <c r="E1595" s="178"/>
      <c r="F1595" s="2">
        <v>1800</v>
      </c>
      <c r="G1595" s="2">
        <f t="shared" si="30"/>
        <v>7.2</v>
      </c>
    </row>
    <row r="1596" spans="1:7" s="22" customFormat="1" x14ac:dyDescent="0.25">
      <c r="A1596" s="6">
        <v>44039</v>
      </c>
      <c r="B1596" s="59" t="s">
        <v>1984</v>
      </c>
      <c r="C1596" s="6" t="s">
        <v>1985</v>
      </c>
      <c r="D1596" s="63"/>
      <c r="E1596" s="178" t="s">
        <v>66</v>
      </c>
      <c r="F1596" s="2">
        <v>200</v>
      </c>
      <c r="G1596" s="2">
        <f t="shared" si="30"/>
        <v>25.8</v>
      </c>
    </row>
    <row r="1597" spans="1:7" s="22" customFormat="1" x14ac:dyDescent="0.25">
      <c r="A1597" s="6">
        <v>44039</v>
      </c>
      <c r="B1597" s="59" t="s">
        <v>1986</v>
      </c>
      <c r="C1597" s="6" t="s">
        <v>1858</v>
      </c>
      <c r="D1597" s="63"/>
      <c r="E1597" s="178"/>
      <c r="F1597" s="2">
        <v>1000</v>
      </c>
      <c r="G1597" s="2">
        <f t="shared" si="30"/>
        <v>4</v>
      </c>
    </row>
    <row r="1598" spans="1:7" s="22" customFormat="1" x14ac:dyDescent="0.25">
      <c r="A1598" s="6">
        <v>44039</v>
      </c>
      <c r="B1598" s="59" t="s">
        <v>1987</v>
      </c>
      <c r="C1598" s="6" t="s">
        <v>118</v>
      </c>
      <c r="D1598" s="63"/>
      <c r="E1598" s="178"/>
      <c r="F1598" s="2">
        <v>3000</v>
      </c>
      <c r="G1598" s="2">
        <f t="shared" si="30"/>
        <v>12</v>
      </c>
    </row>
    <row r="1599" spans="1:7" s="22" customFormat="1" x14ac:dyDescent="0.25">
      <c r="A1599" s="6">
        <v>44039</v>
      </c>
      <c r="B1599" s="59">
        <v>168013</v>
      </c>
      <c r="C1599" s="6" t="s">
        <v>1988</v>
      </c>
      <c r="D1599" s="63"/>
      <c r="E1599" s="178"/>
      <c r="F1599" s="2">
        <v>5000</v>
      </c>
      <c r="G1599" s="2">
        <f t="shared" si="30"/>
        <v>20</v>
      </c>
    </row>
    <row r="1600" spans="1:7" s="22" customFormat="1" x14ac:dyDescent="0.25">
      <c r="A1600" s="6">
        <v>44039</v>
      </c>
      <c r="B1600" s="59" t="s">
        <v>1979</v>
      </c>
      <c r="C1600" s="6" t="s">
        <v>1705</v>
      </c>
      <c r="D1600" s="63"/>
      <c r="E1600" s="178"/>
      <c r="F1600" s="2">
        <v>200</v>
      </c>
      <c r="G1600" s="2">
        <f t="shared" si="30"/>
        <v>0.8</v>
      </c>
    </row>
    <row r="1601" spans="1:7" s="22" customFormat="1" x14ac:dyDescent="0.25">
      <c r="A1601" s="6">
        <v>44040</v>
      </c>
      <c r="B1601" s="59"/>
      <c r="C1601" s="6" t="s">
        <v>292</v>
      </c>
      <c r="D1601" s="63"/>
      <c r="E1601" s="178"/>
      <c r="F1601" s="2">
        <v>2000</v>
      </c>
      <c r="G1601" s="2">
        <f t="shared" si="30"/>
        <v>8</v>
      </c>
    </row>
    <row r="1602" spans="1:7" s="22" customFormat="1" x14ac:dyDescent="0.25">
      <c r="A1602" s="6">
        <v>44040</v>
      </c>
      <c r="B1602" s="59">
        <v>2303</v>
      </c>
      <c r="C1602" s="6" t="s">
        <v>1980</v>
      </c>
      <c r="D1602" s="63"/>
      <c r="E1602" s="178"/>
      <c r="F1602" s="2">
        <v>2460</v>
      </c>
      <c r="G1602" s="2">
        <f t="shared" si="30"/>
        <v>9.84</v>
      </c>
    </row>
    <row r="1603" spans="1:7" s="22" customFormat="1" x14ac:dyDescent="0.25">
      <c r="A1603" s="6">
        <v>44040</v>
      </c>
      <c r="B1603" s="59" t="s">
        <v>1987</v>
      </c>
      <c r="C1603" s="6" t="s">
        <v>118</v>
      </c>
      <c r="D1603" s="63"/>
      <c r="E1603" s="178"/>
      <c r="F1603" s="2">
        <v>3500</v>
      </c>
      <c r="G1603" s="2">
        <f t="shared" si="30"/>
        <v>14</v>
      </c>
    </row>
    <row r="1604" spans="1:7" s="22" customFormat="1" x14ac:dyDescent="0.25">
      <c r="A1604" s="6">
        <v>44040</v>
      </c>
      <c r="B1604" s="59" t="s">
        <v>1991</v>
      </c>
      <c r="C1604" s="6" t="s">
        <v>1990</v>
      </c>
      <c r="D1604" s="63"/>
      <c r="E1604" s="178" t="s">
        <v>66</v>
      </c>
      <c r="F1604" s="2">
        <v>150</v>
      </c>
      <c r="G1604" s="2">
        <f t="shared" si="30"/>
        <v>25.6</v>
      </c>
    </row>
    <row r="1605" spans="1:7" s="22" customFormat="1" x14ac:dyDescent="0.25">
      <c r="A1605" s="6">
        <v>44040</v>
      </c>
      <c r="B1605" s="59" t="s">
        <v>1989</v>
      </c>
      <c r="C1605" s="6" t="s">
        <v>1706</v>
      </c>
      <c r="D1605" s="63"/>
      <c r="E1605" s="178"/>
      <c r="F1605" s="2">
        <v>500</v>
      </c>
      <c r="G1605" s="2">
        <f t="shared" si="30"/>
        <v>2</v>
      </c>
    </row>
    <row r="1606" spans="1:7" s="22" customFormat="1" x14ac:dyDescent="0.25">
      <c r="A1606" s="6">
        <v>44040</v>
      </c>
      <c r="B1606" s="59" t="s">
        <v>1944</v>
      </c>
      <c r="C1606" s="6" t="s">
        <v>126</v>
      </c>
      <c r="D1606" s="63"/>
      <c r="E1606" s="178"/>
      <c r="F1606" s="2">
        <v>1800</v>
      </c>
      <c r="G1606" s="2">
        <f t="shared" si="30"/>
        <v>7.2</v>
      </c>
    </row>
    <row r="1607" spans="1:7" s="22" customFormat="1" x14ac:dyDescent="0.25">
      <c r="A1607" s="6">
        <v>44041</v>
      </c>
      <c r="B1607" s="59" t="s">
        <v>1999</v>
      </c>
      <c r="C1607" s="6" t="s">
        <v>2000</v>
      </c>
      <c r="D1607" s="63"/>
      <c r="E1607" s="178" t="s">
        <v>66</v>
      </c>
      <c r="F1607" s="2">
        <v>500</v>
      </c>
      <c r="G1607" s="2">
        <f t="shared" si="30"/>
        <v>27</v>
      </c>
    </row>
    <row r="1608" spans="1:7" s="22" customFormat="1" x14ac:dyDescent="0.25">
      <c r="A1608" s="6">
        <v>44041</v>
      </c>
      <c r="B1608" s="59" t="s">
        <v>1999</v>
      </c>
      <c r="C1608" s="6" t="s">
        <v>2000</v>
      </c>
      <c r="D1608" s="63"/>
      <c r="E1608" s="178" t="s">
        <v>1685</v>
      </c>
      <c r="F1608" s="2"/>
      <c r="G1608" s="2">
        <f t="shared" si="30"/>
        <v>35</v>
      </c>
    </row>
    <row r="1609" spans="1:7" s="22" customFormat="1" x14ac:dyDescent="0.25">
      <c r="A1609" s="6">
        <v>44041</v>
      </c>
      <c r="B1609" s="59" t="s">
        <v>1999</v>
      </c>
      <c r="C1609" s="6" t="s">
        <v>2000</v>
      </c>
      <c r="D1609" s="63"/>
      <c r="E1609" s="178" t="s">
        <v>1753</v>
      </c>
      <c r="F1609" s="2"/>
      <c r="G1609" s="2">
        <f t="shared" si="30"/>
        <v>2</v>
      </c>
    </row>
    <row r="1610" spans="1:7" s="22" customFormat="1" x14ac:dyDescent="0.25">
      <c r="A1610" s="6">
        <v>44041</v>
      </c>
      <c r="B1610" s="59" t="s">
        <v>1942</v>
      </c>
      <c r="C1610" s="6" t="s">
        <v>1706</v>
      </c>
      <c r="D1610" s="63"/>
      <c r="E1610" s="178"/>
      <c r="F1610" s="2">
        <v>500</v>
      </c>
      <c r="G1610" s="2">
        <f t="shared" si="30"/>
        <v>2</v>
      </c>
    </row>
    <row r="1611" spans="1:7" s="22" customFormat="1" x14ac:dyDescent="0.25">
      <c r="A1611" s="6">
        <v>44042</v>
      </c>
      <c r="B1611" s="59" t="s">
        <v>2022</v>
      </c>
      <c r="C1611" s="6"/>
      <c r="D1611" s="63"/>
      <c r="E1611" s="178"/>
      <c r="F1611" s="2">
        <v>600</v>
      </c>
      <c r="G1611" s="2">
        <f t="shared" si="30"/>
        <v>2.4</v>
      </c>
    </row>
    <row r="1612" spans="1:7" s="22" customFormat="1" x14ac:dyDescent="0.25">
      <c r="A1612" s="6">
        <v>44042</v>
      </c>
      <c r="B1612" s="59" t="s">
        <v>1942</v>
      </c>
      <c r="C1612" s="6" t="s">
        <v>1706</v>
      </c>
      <c r="D1612" s="63"/>
      <c r="E1612" s="178"/>
      <c r="F1612" s="2">
        <v>500</v>
      </c>
      <c r="G1612" s="2">
        <f t="shared" si="30"/>
        <v>2</v>
      </c>
    </row>
    <row r="1613" spans="1:7" s="22" customFormat="1" x14ac:dyDescent="0.25">
      <c r="A1613" s="6">
        <v>44042</v>
      </c>
      <c r="B1613" s="59"/>
      <c r="C1613" s="6" t="s">
        <v>2023</v>
      </c>
      <c r="D1613" s="63"/>
      <c r="E1613" s="178"/>
      <c r="F1613" s="2">
        <v>500</v>
      </c>
      <c r="G1613" s="2">
        <f t="shared" si="30"/>
        <v>2</v>
      </c>
    </row>
    <row r="1614" spans="1:7" s="22" customFormat="1" x14ac:dyDescent="0.25">
      <c r="A1614" s="6">
        <v>44043</v>
      </c>
      <c r="B1614" s="59" t="s">
        <v>2029</v>
      </c>
      <c r="C1614" s="6" t="s">
        <v>2030</v>
      </c>
      <c r="D1614" s="63"/>
      <c r="E1614" s="178" t="s">
        <v>66</v>
      </c>
      <c r="F1614" s="2">
        <v>400</v>
      </c>
      <c r="G1614" s="2">
        <f t="shared" si="30"/>
        <v>26.6</v>
      </c>
    </row>
    <row r="1615" spans="1:7" s="22" customFormat="1" x14ac:dyDescent="0.25">
      <c r="A1615" s="6">
        <v>44043</v>
      </c>
      <c r="B1615" s="59" t="s">
        <v>2029</v>
      </c>
      <c r="C1615" s="6" t="s">
        <v>2030</v>
      </c>
      <c r="D1615" s="63"/>
      <c r="E1615" s="178" t="s">
        <v>1753</v>
      </c>
      <c r="F1615" s="2"/>
      <c r="G1615" s="2">
        <f t="shared" si="30"/>
        <v>2</v>
      </c>
    </row>
    <row r="1616" spans="1:7" s="22" customFormat="1" x14ac:dyDescent="0.25">
      <c r="A1616" s="6">
        <v>44043</v>
      </c>
      <c r="B1616" s="59" t="s">
        <v>1942</v>
      </c>
      <c r="C1616" s="6" t="s">
        <v>1706</v>
      </c>
      <c r="D1616" s="63"/>
      <c r="E1616" s="178"/>
      <c r="F1616" s="2">
        <v>500</v>
      </c>
      <c r="G1616" s="2">
        <f t="shared" si="30"/>
        <v>2</v>
      </c>
    </row>
    <row r="1617" spans="1:12" s="22" customFormat="1" x14ac:dyDescent="0.25">
      <c r="A1617" s="6">
        <v>44043</v>
      </c>
      <c r="B1617" s="59" t="s">
        <v>1944</v>
      </c>
      <c r="C1617" s="6" t="s">
        <v>126</v>
      </c>
      <c r="D1617" s="63"/>
      <c r="E1617" s="178"/>
      <c r="F1617" s="2">
        <v>1200</v>
      </c>
      <c r="G1617" s="2">
        <f t="shared" si="30"/>
        <v>4.8</v>
      </c>
    </row>
    <row r="1618" spans="1:12" s="22" customFormat="1" x14ac:dyDescent="0.25">
      <c r="A1618" s="6">
        <v>44043</v>
      </c>
      <c r="B1618" s="59" t="s">
        <v>1926</v>
      </c>
      <c r="C1618" s="6"/>
      <c r="D1618" s="63"/>
      <c r="E1618" s="178"/>
      <c r="F1618" s="2">
        <v>1000</v>
      </c>
      <c r="G1618" s="2">
        <f t="shared" si="30"/>
        <v>4</v>
      </c>
    </row>
    <row r="1620" spans="1:12" x14ac:dyDescent="0.25">
      <c r="A1620" s="36">
        <f>COUNT(A1437:A1619)</f>
        <v>182</v>
      </c>
      <c r="B1620" s="70"/>
      <c r="C1620" s="37"/>
      <c r="D1620" s="70"/>
      <c r="E1620" s="36">
        <f>COUNTIF(E1437:E1619,"y")</f>
        <v>30</v>
      </c>
      <c r="F1620" s="37">
        <f>SUM(F1437:F1619)</f>
        <v>155770</v>
      </c>
      <c r="G1620" s="37">
        <f>SUM(G1437:G1619)</f>
        <v>2053.08</v>
      </c>
      <c r="H1620" s="37">
        <f>G1620*0.8</f>
        <v>1642.4639999999999</v>
      </c>
      <c r="I1620" s="37"/>
      <c r="J1620" s="37"/>
      <c r="K1620" s="37"/>
      <c r="L1620" s="37"/>
    </row>
    <row r="1622" spans="1:12" x14ac:dyDescent="0.25">
      <c r="A1622" s="6">
        <v>44044</v>
      </c>
      <c r="B1622" s="59" t="s">
        <v>2044</v>
      </c>
      <c r="C1622" s="6" t="s">
        <v>2045</v>
      </c>
      <c r="F1622" s="2">
        <v>7400</v>
      </c>
      <c r="G1622" s="2">
        <f t="shared" ref="G1622:G1696" si="31">IF(E1622="y",25,IF(OR(E1622="N",E1622="RD",E1622="I"),10,0))+IF(F1622&gt;5000,20,F1622*0.4%)+IF(E1622="SB",2,IF(E1622="JJ",35,IF(E1622="A",50,0)))</f>
        <v>20</v>
      </c>
      <c r="H1622" s="22"/>
      <c r="I1622" s="22"/>
      <c r="J1622" s="22"/>
    </row>
    <row r="1623" spans="1:12" x14ac:dyDescent="0.25">
      <c r="A1623" s="6">
        <v>44044</v>
      </c>
      <c r="B1623" s="59" t="s">
        <v>2046</v>
      </c>
      <c r="C1623" s="6" t="s">
        <v>1716</v>
      </c>
      <c r="F1623" s="2">
        <v>500</v>
      </c>
      <c r="G1623" s="2">
        <f t="shared" si="31"/>
        <v>2</v>
      </c>
      <c r="H1623" s="22"/>
      <c r="I1623" s="22"/>
      <c r="J1623" s="22"/>
    </row>
    <row r="1624" spans="1:12" x14ac:dyDescent="0.25">
      <c r="A1624" s="6">
        <v>44044</v>
      </c>
      <c r="B1624" s="59" t="s">
        <v>1926</v>
      </c>
      <c r="C1624" s="6"/>
      <c r="F1624" s="2">
        <v>1300</v>
      </c>
      <c r="G1624" s="2">
        <f t="shared" si="31"/>
        <v>5.2</v>
      </c>
      <c r="H1624" s="22"/>
      <c r="I1624" s="22"/>
      <c r="J1624" s="22">
        <v>10</v>
      </c>
    </row>
    <row r="1625" spans="1:12" x14ac:dyDescent="0.25">
      <c r="A1625" s="6">
        <v>44044</v>
      </c>
      <c r="B1625" s="59" t="s">
        <v>1703</v>
      </c>
      <c r="C1625" s="6"/>
      <c r="F1625" s="2">
        <v>5000</v>
      </c>
      <c r="G1625" s="2">
        <f t="shared" si="31"/>
        <v>20</v>
      </c>
      <c r="H1625" s="22"/>
      <c r="I1625" s="22"/>
      <c r="J1625" s="22">
        <v>40</v>
      </c>
    </row>
    <row r="1626" spans="1:12" x14ac:dyDescent="0.25">
      <c r="A1626" s="6">
        <v>44044</v>
      </c>
      <c r="B1626" s="59" t="s">
        <v>1979</v>
      </c>
      <c r="C1626" s="6"/>
      <c r="F1626" s="2">
        <v>200</v>
      </c>
      <c r="G1626" s="2">
        <f t="shared" si="31"/>
        <v>0.8</v>
      </c>
      <c r="H1626" s="22"/>
      <c r="I1626" s="22"/>
      <c r="J1626" s="22"/>
    </row>
    <row r="1627" spans="1:12" x14ac:dyDescent="0.25">
      <c r="A1627" s="6">
        <v>44045</v>
      </c>
      <c r="B1627" s="59" t="s">
        <v>2046</v>
      </c>
      <c r="C1627" s="6" t="s">
        <v>1716</v>
      </c>
      <c r="F1627" s="2">
        <v>500</v>
      </c>
      <c r="G1627" s="2">
        <f t="shared" si="31"/>
        <v>2</v>
      </c>
      <c r="H1627" s="22"/>
      <c r="I1627" s="22"/>
      <c r="J1627" s="22"/>
    </row>
    <row r="1628" spans="1:12" s="22" customFormat="1" x14ac:dyDescent="0.25">
      <c r="A1628" s="6">
        <v>44045</v>
      </c>
      <c r="B1628" s="59" t="s">
        <v>2049</v>
      </c>
      <c r="C1628" s="6" t="s">
        <v>2050</v>
      </c>
      <c r="D1628" s="63"/>
      <c r="E1628" s="178"/>
      <c r="F1628" s="2">
        <v>200</v>
      </c>
      <c r="G1628" s="2">
        <f t="shared" si="31"/>
        <v>0.8</v>
      </c>
    </row>
    <row r="1629" spans="1:12" s="22" customFormat="1" x14ac:dyDescent="0.25">
      <c r="A1629" s="6">
        <v>44045</v>
      </c>
      <c r="B1629" s="59" t="s">
        <v>2048</v>
      </c>
      <c r="C1629" s="6" t="s">
        <v>314</v>
      </c>
      <c r="D1629" s="63"/>
      <c r="E1629" s="178"/>
      <c r="F1629" s="2">
        <v>10000</v>
      </c>
      <c r="G1629" s="2">
        <f t="shared" si="31"/>
        <v>20</v>
      </c>
    </row>
    <row r="1630" spans="1:12" s="22" customFormat="1" x14ac:dyDescent="0.25">
      <c r="A1630" s="6">
        <v>44045</v>
      </c>
      <c r="B1630" s="59" t="s">
        <v>1944</v>
      </c>
      <c r="C1630" s="6" t="s">
        <v>292</v>
      </c>
      <c r="D1630" s="63"/>
      <c r="E1630" s="178"/>
      <c r="F1630" s="2">
        <v>800</v>
      </c>
      <c r="G1630" s="2">
        <f t="shared" si="31"/>
        <v>3.2</v>
      </c>
    </row>
    <row r="1631" spans="1:12" s="22" customFormat="1" x14ac:dyDescent="0.25">
      <c r="A1631" s="6">
        <v>44045</v>
      </c>
      <c r="B1631" s="59" t="s">
        <v>1649</v>
      </c>
      <c r="C1631" s="6"/>
      <c r="D1631" s="63"/>
      <c r="E1631" s="178"/>
      <c r="F1631" s="2">
        <v>2000</v>
      </c>
      <c r="G1631" s="2">
        <f t="shared" si="31"/>
        <v>8</v>
      </c>
      <c r="J1631" s="22">
        <v>20</v>
      </c>
    </row>
    <row r="1632" spans="1:12" s="22" customFormat="1" x14ac:dyDescent="0.25">
      <c r="A1632" s="6">
        <v>44045</v>
      </c>
      <c r="B1632" s="59" t="s">
        <v>2051</v>
      </c>
      <c r="C1632" s="6"/>
      <c r="D1632" s="63"/>
      <c r="E1632" s="178"/>
      <c r="F1632" s="2">
        <v>1600</v>
      </c>
      <c r="G1632" s="2">
        <f t="shared" si="31"/>
        <v>6.4</v>
      </c>
    </row>
    <row r="1633" spans="1:7" s="22" customFormat="1" x14ac:dyDescent="0.25">
      <c r="A1633" s="6">
        <v>44046</v>
      </c>
      <c r="B1633" s="59" t="s">
        <v>1948</v>
      </c>
      <c r="C1633" s="6" t="s">
        <v>1652</v>
      </c>
      <c r="D1633" s="63"/>
      <c r="E1633" s="178"/>
      <c r="F1633" s="2">
        <v>5000</v>
      </c>
      <c r="G1633" s="2">
        <f t="shared" si="31"/>
        <v>20</v>
      </c>
    </row>
    <row r="1634" spans="1:7" s="22" customFormat="1" x14ac:dyDescent="0.25">
      <c r="A1634" s="6">
        <v>44047</v>
      </c>
      <c r="B1634" s="59" t="s">
        <v>2046</v>
      </c>
      <c r="C1634" s="6" t="s">
        <v>1716</v>
      </c>
      <c r="D1634" s="63"/>
      <c r="E1634" s="178"/>
      <c r="F1634" s="2">
        <v>1000</v>
      </c>
      <c r="G1634" s="2">
        <f t="shared" si="31"/>
        <v>4</v>
      </c>
    </row>
    <row r="1635" spans="1:7" s="22" customFormat="1" x14ac:dyDescent="0.25">
      <c r="A1635" s="6">
        <v>44047</v>
      </c>
      <c r="B1635" s="59" t="s">
        <v>2059</v>
      </c>
      <c r="C1635" s="6"/>
      <c r="D1635" s="63"/>
      <c r="E1635" s="178"/>
      <c r="F1635" s="2">
        <v>3000</v>
      </c>
      <c r="G1635" s="2">
        <f t="shared" si="31"/>
        <v>12</v>
      </c>
    </row>
    <row r="1636" spans="1:7" s="22" customFormat="1" x14ac:dyDescent="0.25">
      <c r="A1636" s="6">
        <v>44048</v>
      </c>
      <c r="B1636" s="59" t="s">
        <v>2061</v>
      </c>
      <c r="C1636" s="6"/>
      <c r="D1636" s="63"/>
      <c r="E1636" s="178"/>
      <c r="F1636" s="2">
        <v>2500</v>
      </c>
      <c r="G1636" s="2">
        <f t="shared" si="31"/>
        <v>10</v>
      </c>
    </row>
    <row r="1637" spans="1:7" s="22" customFormat="1" x14ac:dyDescent="0.25">
      <c r="A1637" s="6">
        <v>44048</v>
      </c>
      <c r="B1637" s="59" t="s">
        <v>2060</v>
      </c>
      <c r="C1637" s="6"/>
      <c r="D1637" s="63"/>
      <c r="E1637" s="178"/>
      <c r="F1637" s="2">
        <v>500</v>
      </c>
      <c r="G1637" s="2">
        <f t="shared" si="31"/>
        <v>2</v>
      </c>
    </row>
    <row r="1638" spans="1:7" s="22" customFormat="1" x14ac:dyDescent="0.25">
      <c r="A1638" s="6">
        <v>44048</v>
      </c>
      <c r="B1638" s="59" t="s">
        <v>2046</v>
      </c>
      <c r="C1638" s="6"/>
      <c r="D1638" s="63"/>
      <c r="E1638" s="178"/>
      <c r="F1638" s="2">
        <v>500</v>
      </c>
      <c r="G1638" s="2">
        <f t="shared" si="31"/>
        <v>2</v>
      </c>
    </row>
    <row r="1639" spans="1:7" s="22" customFormat="1" x14ac:dyDescent="0.25">
      <c r="A1639" s="6">
        <v>44048</v>
      </c>
      <c r="B1639" s="59" t="s">
        <v>1944</v>
      </c>
      <c r="C1639" s="6" t="s">
        <v>292</v>
      </c>
      <c r="D1639" s="63"/>
      <c r="E1639" s="178"/>
      <c r="F1639" s="2">
        <v>1400</v>
      </c>
      <c r="G1639" s="2">
        <f t="shared" si="31"/>
        <v>5.6000000000000005</v>
      </c>
    </row>
    <row r="1640" spans="1:7" s="22" customFormat="1" x14ac:dyDescent="0.25">
      <c r="A1640" s="6">
        <v>44048</v>
      </c>
      <c r="B1640" s="59" t="s">
        <v>2062</v>
      </c>
      <c r="C1640" s="6"/>
      <c r="D1640" s="63"/>
      <c r="E1640" s="178"/>
      <c r="F1640" s="2">
        <v>3000</v>
      </c>
      <c r="G1640" s="2">
        <f t="shared" si="31"/>
        <v>12</v>
      </c>
    </row>
    <row r="1641" spans="1:7" s="22" customFormat="1" x14ac:dyDescent="0.25">
      <c r="A1641" s="6">
        <v>44048</v>
      </c>
      <c r="B1641" s="59" t="s">
        <v>2065</v>
      </c>
      <c r="C1641" s="6" t="s">
        <v>2063</v>
      </c>
      <c r="D1641" s="63"/>
      <c r="E1641" s="178" t="s">
        <v>66</v>
      </c>
      <c r="F1641" s="2">
        <v>200</v>
      </c>
      <c r="G1641" s="2">
        <f t="shared" si="31"/>
        <v>25.8</v>
      </c>
    </row>
    <row r="1642" spans="1:7" s="22" customFormat="1" x14ac:dyDescent="0.25">
      <c r="A1642" s="6">
        <v>44048</v>
      </c>
      <c r="B1642" s="59">
        <v>1278</v>
      </c>
      <c r="C1642" s="6" t="s">
        <v>292</v>
      </c>
      <c r="D1642" s="63"/>
      <c r="E1642" s="178"/>
      <c r="F1642" s="2">
        <v>600</v>
      </c>
      <c r="G1642" s="2">
        <f t="shared" si="31"/>
        <v>2.4</v>
      </c>
    </row>
    <row r="1643" spans="1:7" s="22" customFormat="1" x14ac:dyDescent="0.25">
      <c r="A1643" s="6">
        <v>44049</v>
      </c>
      <c r="B1643" s="59" t="s">
        <v>2068</v>
      </c>
      <c r="C1643" s="6" t="s">
        <v>2069</v>
      </c>
      <c r="D1643" s="63"/>
      <c r="E1643" s="178"/>
      <c r="F1643" s="2">
        <v>300</v>
      </c>
      <c r="G1643" s="2">
        <f t="shared" si="31"/>
        <v>1.2</v>
      </c>
    </row>
    <row r="1644" spans="1:7" s="22" customFormat="1" x14ac:dyDescent="0.25">
      <c r="A1644" s="6">
        <v>44049</v>
      </c>
      <c r="B1644" s="59" t="s">
        <v>2126</v>
      </c>
      <c r="C1644" s="6" t="s">
        <v>2077</v>
      </c>
      <c r="D1644" s="63"/>
      <c r="E1644" s="178" t="s">
        <v>66</v>
      </c>
      <c r="F1644" s="2">
        <v>300</v>
      </c>
      <c r="G1644" s="2">
        <f t="shared" si="31"/>
        <v>26.2</v>
      </c>
    </row>
    <row r="1645" spans="1:7" s="22" customFormat="1" x14ac:dyDescent="0.25">
      <c r="A1645" s="6">
        <v>44050</v>
      </c>
      <c r="B1645" s="59" t="s">
        <v>2071</v>
      </c>
      <c r="C1645" s="6" t="s">
        <v>2073</v>
      </c>
      <c r="D1645" s="63"/>
      <c r="E1645" s="178"/>
      <c r="F1645" s="2">
        <v>550</v>
      </c>
      <c r="G1645" s="2">
        <f t="shared" si="31"/>
        <v>2.2000000000000002</v>
      </c>
    </row>
    <row r="1646" spans="1:7" s="22" customFormat="1" x14ac:dyDescent="0.25">
      <c r="A1646" s="6">
        <v>44050</v>
      </c>
      <c r="B1646" s="59" t="s">
        <v>2070</v>
      </c>
      <c r="C1646" s="6" t="s">
        <v>159</v>
      </c>
      <c r="D1646" s="63"/>
      <c r="E1646" s="178"/>
      <c r="F1646" s="2">
        <v>10000</v>
      </c>
      <c r="G1646" s="2">
        <f t="shared" si="31"/>
        <v>20</v>
      </c>
    </row>
    <row r="1647" spans="1:7" s="22" customFormat="1" x14ac:dyDescent="0.25">
      <c r="A1647" s="6">
        <v>44050</v>
      </c>
      <c r="B1647" s="59" t="s">
        <v>2059</v>
      </c>
      <c r="C1647" s="6" t="s">
        <v>2062</v>
      </c>
      <c r="D1647" s="63"/>
      <c r="E1647" s="178"/>
      <c r="F1647" s="2">
        <v>10000</v>
      </c>
      <c r="G1647" s="2">
        <f t="shared" si="31"/>
        <v>20</v>
      </c>
    </row>
    <row r="1648" spans="1:7" s="22" customFormat="1" x14ac:dyDescent="0.25">
      <c r="A1648" s="6">
        <v>44050</v>
      </c>
      <c r="B1648" s="59" t="s">
        <v>2080</v>
      </c>
      <c r="C1648" s="6" t="s">
        <v>2125</v>
      </c>
      <c r="D1648" s="63"/>
      <c r="E1648" s="178" t="s">
        <v>66</v>
      </c>
      <c r="F1648" s="2">
        <v>300</v>
      </c>
      <c r="G1648" s="2">
        <f t="shared" si="31"/>
        <v>26.2</v>
      </c>
    </row>
    <row r="1649" spans="1:10" s="22" customFormat="1" x14ac:dyDescent="0.25">
      <c r="A1649" s="6">
        <v>44050</v>
      </c>
      <c r="B1649" s="59" t="s">
        <v>2046</v>
      </c>
      <c r="C1649" s="6" t="s">
        <v>1716</v>
      </c>
      <c r="D1649" s="63"/>
      <c r="E1649" s="178"/>
      <c r="F1649" s="2">
        <v>1000</v>
      </c>
      <c r="G1649" s="2">
        <f t="shared" si="31"/>
        <v>4</v>
      </c>
    </row>
    <row r="1650" spans="1:10" s="22" customFormat="1" x14ac:dyDescent="0.25">
      <c r="A1650" s="6">
        <v>44050</v>
      </c>
      <c r="B1650" s="59" t="s">
        <v>2083</v>
      </c>
      <c r="C1650" s="6"/>
      <c r="D1650" s="63"/>
      <c r="E1650" s="178"/>
      <c r="F1650" s="2">
        <v>200</v>
      </c>
      <c r="G1650" s="2">
        <f t="shared" si="31"/>
        <v>0.8</v>
      </c>
      <c r="J1650" s="22">
        <v>10</v>
      </c>
    </row>
    <row r="1651" spans="1:10" s="22" customFormat="1" x14ac:dyDescent="0.25">
      <c r="A1651" s="6">
        <v>44051</v>
      </c>
      <c r="B1651" s="59" t="s">
        <v>1649</v>
      </c>
      <c r="C1651" s="6"/>
      <c r="D1651" s="63"/>
      <c r="E1651" s="178"/>
      <c r="F1651" s="2">
        <v>2000</v>
      </c>
      <c r="G1651" s="2">
        <f t="shared" si="31"/>
        <v>8</v>
      </c>
      <c r="J1651" s="22">
        <v>20</v>
      </c>
    </row>
    <row r="1652" spans="1:10" s="22" customFormat="1" x14ac:dyDescent="0.25">
      <c r="A1652" s="6">
        <v>44051</v>
      </c>
      <c r="B1652" s="59" t="s">
        <v>1979</v>
      </c>
      <c r="C1652" s="6"/>
      <c r="D1652" s="63"/>
      <c r="E1652" s="178"/>
      <c r="F1652" s="2">
        <v>200</v>
      </c>
      <c r="G1652" s="2">
        <f t="shared" si="31"/>
        <v>0.8</v>
      </c>
    </row>
    <row r="1653" spans="1:10" s="22" customFormat="1" x14ac:dyDescent="0.25">
      <c r="A1653" s="6">
        <v>44051</v>
      </c>
      <c r="B1653" s="59" t="s">
        <v>2087</v>
      </c>
      <c r="C1653" s="6"/>
      <c r="D1653" s="63"/>
      <c r="E1653" s="178"/>
      <c r="F1653" s="2">
        <v>3000</v>
      </c>
      <c r="G1653" s="2">
        <f t="shared" si="31"/>
        <v>12</v>
      </c>
    </row>
    <row r="1654" spans="1:10" s="22" customFormat="1" x14ac:dyDescent="0.25">
      <c r="A1654" s="6">
        <v>44051</v>
      </c>
      <c r="B1654" s="59" t="s">
        <v>2085</v>
      </c>
      <c r="C1654" s="6"/>
      <c r="D1654" s="63"/>
      <c r="E1654" s="178"/>
      <c r="F1654" s="2">
        <v>2900</v>
      </c>
      <c r="G1654" s="2">
        <f t="shared" si="31"/>
        <v>11.6</v>
      </c>
    </row>
    <row r="1655" spans="1:10" s="22" customFormat="1" x14ac:dyDescent="0.25">
      <c r="A1655" s="6">
        <v>44051</v>
      </c>
      <c r="B1655" s="59" t="s">
        <v>2070</v>
      </c>
      <c r="C1655" s="6"/>
      <c r="D1655" s="63"/>
      <c r="E1655" s="178"/>
      <c r="F1655" s="2">
        <v>5000</v>
      </c>
      <c r="G1655" s="2">
        <f t="shared" si="31"/>
        <v>20</v>
      </c>
    </row>
    <row r="1656" spans="1:10" s="22" customFormat="1" x14ac:dyDescent="0.25">
      <c r="A1656" s="6">
        <v>44051</v>
      </c>
      <c r="B1656" s="59" t="s">
        <v>1926</v>
      </c>
      <c r="C1656" s="6"/>
      <c r="D1656" s="63"/>
      <c r="E1656" s="178"/>
      <c r="F1656" s="2">
        <v>400</v>
      </c>
      <c r="G1656" s="2">
        <f t="shared" si="31"/>
        <v>1.6</v>
      </c>
      <c r="J1656" s="22">
        <v>20</v>
      </c>
    </row>
    <row r="1657" spans="1:10" s="22" customFormat="1" x14ac:dyDescent="0.25">
      <c r="A1657" s="6">
        <v>44051</v>
      </c>
      <c r="B1657" s="59" t="s">
        <v>2046</v>
      </c>
      <c r="C1657" s="6"/>
      <c r="D1657" s="63"/>
      <c r="E1657" s="178"/>
      <c r="F1657" s="2">
        <v>500</v>
      </c>
      <c r="G1657" s="2">
        <f t="shared" si="31"/>
        <v>2</v>
      </c>
    </row>
    <row r="1658" spans="1:10" s="22" customFormat="1" x14ac:dyDescent="0.25">
      <c r="A1658" s="6">
        <v>44052</v>
      </c>
      <c r="B1658" s="59" t="s">
        <v>2094</v>
      </c>
      <c r="C1658" s="6"/>
      <c r="D1658" s="63"/>
      <c r="E1658" s="178"/>
      <c r="F1658" s="2">
        <v>300</v>
      </c>
      <c r="G1658" s="2">
        <f t="shared" si="31"/>
        <v>1.2</v>
      </c>
      <c r="J1658" s="22">
        <v>10</v>
      </c>
    </row>
    <row r="1659" spans="1:10" s="22" customFormat="1" x14ac:dyDescent="0.25">
      <c r="A1659" s="6">
        <v>44052</v>
      </c>
      <c r="B1659" s="59" t="s">
        <v>2046</v>
      </c>
      <c r="C1659" s="6"/>
      <c r="D1659" s="63"/>
      <c r="E1659" s="178"/>
      <c r="F1659" s="2">
        <v>500</v>
      </c>
      <c r="G1659" s="2">
        <f t="shared" si="31"/>
        <v>2</v>
      </c>
    </row>
    <row r="1660" spans="1:10" s="22" customFormat="1" x14ac:dyDescent="0.25">
      <c r="A1660" s="6">
        <v>44053</v>
      </c>
      <c r="B1660" s="59" t="s">
        <v>2062</v>
      </c>
      <c r="C1660" s="6"/>
      <c r="D1660" s="63"/>
      <c r="E1660" s="178"/>
      <c r="F1660" s="72">
        <v>10000</v>
      </c>
      <c r="G1660" s="2">
        <f t="shared" si="31"/>
        <v>20</v>
      </c>
    </row>
    <row r="1661" spans="1:10" s="22" customFormat="1" x14ac:dyDescent="0.25">
      <c r="A1661" s="6">
        <v>44053</v>
      </c>
      <c r="B1661" s="59" t="s">
        <v>2100</v>
      </c>
      <c r="C1661" s="6"/>
      <c r="D1661" s="63"/>
      <c r="E1661" s="178" t="s">
        <v>66</v>
      </c>
      <c r="F1661" s="72">
        <v>500</v>
      </c>
      <c r="G1661" s="2">
        <f t="shared" si="31"/>
        <v>27</v>
      </c>
    </row>
    <row r="1662" spans="1:10" s="22" customFormat="1" x14ac:dyDescent="0.25">
      <c r="A1662" s="6">
        <v>44053</v>
      </c>
      <c r="B1662" s="59" t="s">
        <v>2101</v>
      </c>
      <c r="C1662" s="6"/>
      <c r="D1662" s="63"/>
      <c r="E1662" s="178" t="s">
        <v>66</v>
      </c>
      <c r="F1662" s="72">
        <v>500</v>
      </c>
      <c r="G1662" s="2">
        <f t="shared" si="31"/>
        <v>27</v>
      </c>
    </row>
    <row r="1663" spans="1:10" s="22" customFormat="1" x14ac:dyDescent="0.25">
      <c r="A1663" s="6">
        <v>44053</v>
      </c>
      <c r="B1663" s="59" t="s">
        <v>2101</v>
      </c>
      <c r="C1663" s="6"/>
      <c r="D1663" s="63"/>
      <c r="E1663" s="178" t="s">
        <v>1685</v>
      </c>
      <c r="F1663" s="72"/>
      <c r="G1663" s="2">
        <f t="shared" si="31"/>
        <v>35</v>
      </c>
    </row>
    <row r="1664" spans="1:10" s="22" customFormat="1" x14ac:dyDescent="0.25">
      <c r="A1664" s="6">
        <v>44053</v>
      </c>
      <c r="B1664" s="59" t="s">
        <v>2101</v>
      </c>
      <c r="C1664" s="6"/>
      <c r="D1664" s="63"/>
      <c r="E1664" s="178" t="s">
        <v>1686</v>
      </c>
      <c r="F1664" s="72"/>
      <c r="G1664" s="2">
        <f t="shared" si="31"/>
        <v>2</v>
      </c>
    </row>
    <row r="1665" spans="1:11" s="22" customFormat="1" x14ac:dyDescent="0.25">
      <c r="A1665" s="6">
        <v>44053</v>
      </c>
      <c r="B1665" s="59" t="s">
        <v>2095</v>
      </c>
      <c r="C1665" s="6"/>
      <c r="D1665" s="63"/>
      <c r="E1665" s="178"/>
      <c r="F1665" s="72">
        <v>200</v>
      </c>
      <c r="G1665" s="2">
        <f t="shared" si="31"/>
        <v>0.8</v>
      </c>
    </row>
    <row r="1666" spans="1:11" s="22" customFormat="1" x14ac:dyDescent="0.25">
      <c r="A1666" s="6">
        <v>44053</v>
      </c>
      <c r="B1666" s="59" t="s">
        <v>2046</v>
      </c>
      <c r="C1666" s="6"/>
      <c r="D1666" s="63"/>
      <c r="E1666" s="178"/>
      <c r="F1666" s="72">
        <v>500</v>
      </c>
      <c r="G1666" s="2">
        <f t="shared" si="31"/>
        <v>2</v>
      </c>
    </row>
    <row r="1667" spans="1:11" s="22" customFormat="1" x14ac:dyDescent="0.25">
      <c r="A1667" s="6">
        <v>44053</v>
      </c>
      <c r="B1667" s="59" t="s">
        <v>2102</v>
      </c>
      <c r="C1667" s="6"/>
      <c r="D1667" s="63"/>
      <c r="E1667" s="178"/>
      <c r="F1667" s="72">
        <v>6000</v>
      </c>
      <c r="G1667" s="2">
        <f t="shared" si="31"/>
        <v>20</v>
      </c>
    </row>
    <row r="1668" spans="1:11" s="22" customFormat="1" x14ac:dyDescent="0.25">
      <c r="A1668" s="6">
        <v>44053</v>
      </c>
      <c r="B1668" s="59" t="s">
        <v>2060</v>
      </c>
      <c r="C1668" s="6"/>
      <c r="D1668" s="63"/>
      <c r="E1668" s="178"/>
      <c r="F1668" s="72">
        <v>2000</v>
      </c>
      <c r="G1668" s="2">
        <f t="shared" si="31"/>
        <v>8</v>
      </c>
    </row>
    <row r="1669" spans="1:11" s="22" customFormat="1" x14ac:dyDescent="0.25">
      <c r="A1669" s="6">
        <v>44053</v>
      </c>
      <c r="B1669" s="59" t="s">
        <v>2127</v>
      </c>
      <c r="C1669" s="6" t="s">
        <v>2128</v>
      </c>
      <c r="D1669" s="63"/>
      <c r="E1669" s="178"/>
      <c r="F1669" s="72">
        <v>3750</v>
      </c>
      <c r="G1669" s="2">
        <f t="shared" si="31"/>
        <v>15</v>
      </c>
    </row>
    <row r="1670" spans="1:11" s="22" customFormat="1" x14ac:dyDescent="0.25">
      <c r="A1670" s="6">
        <v>44053</v>
      </c>
      <c r="B1670" s="59" t="s">
        <v>2085</v>
      </c>
      <c r="C1670" s="6" t="s">
        <v>2129</v>
      </c>
      <c r="D1670" s="63"/>
      <c r="E1670" s="178"/>
      <c r="F1670" s="72">
        <v>1950</v>
      </c>
      <c r="G1670" s="2">
        <f t="shared" si="31"/>
        <v>7.8</v>
      </c>
    </row>
    <row r="1671" spans="1:11" s="22" customFormat="1" x14ac:dyDescent="0.25">
      <c r="A1671" s="6">
        <v>44054</v>
      </c>
      <c r="B1671" s="59" t="s">
        <v>2046</v>
      </c>
      <c r="C1671" s="6"/>
      <c r="D1671" s="63"/>
      <c r="E1671" s="82"/>
      <c r="F1671" s="72">
        <v>500</v>
      </c>
      <c r="G1671" s="2">
        <f t="shared" si="31"/>
        <v>2</v>
      </c>
    </row>
    <row r="1672" spans="1:11" s="22" customFormat="1" x14ac:dyDescent="0.25">
      <c r="A1672" s="6">
        <v>44054</v>
      </c>
      <c r="B1672" s="59" t="s">
        <v>2111</v>
      </c>
      <c r="C1672" s="6"/>
      <c r="D1672" s="63"/>
      <c r="E1672" s="82"/>
      <c r="F1672" s="72">
        <v>500</v>
      </c>
      <c r="G1672" s="2">
        <f t="shared" si="31"/>
        <v>2</v>
      </c>
    </row>
    <row r="1673" spans="1:11" x14ac:dyDescent="0.25">
      <c r="A1673" s="6">
        <v>44054</v>
      </c>
      <c r="B1673" s="59" t="s">
        <v>2112</v>
      </c>
      <c r="C1673" s="6"/>
      <c r="E1673" s="82"/>
      <c r="F1673" s="72">
        <v>200</v>
      </c>
      <c r="G1673" s="2">
        <f t="shared" si="31"/>
        <v>0.8</v>
      </c>
      <c r="H1673" s="22"/>
      <c r="I1673" s="22"/>
      <c r="J1673" s="22"/>
      <c r="K1673" s="22"/>
    </row>
    <row r="1674" spans="1:11" x14ac:dyDescent="0.25">
      <c r="A1674" s="6">
        <v>44054</v>
      </c>
      <c r="B1674" s="59" t="s">
        <v>2102</v>
      </c>
      <c r="C1674" s="6"/>
      <c r="E1674" s="82"/>
      <c r="F1674" s="72">
        <v>5000</v>
      </c>
      <c r="G1674" s="2">
        <f t="shared" si="31"/>
        <v>20</v>
      </c>
      <c r="H1674" s="22"/>
      <c r="I1674" s="22"/>
      <c r="J1674" s="22"/>
      <c r="K1674" s="22"/>
    </row>
    <row r="1675" spans="1:11" x14ac:dyDescent="0.25">
      <c r="A1675" s="6">
        <v>44054</v>
      </c>
      <c r="B1675" s="59" t="s">
        <v>2048</v>
      </c>
      <c r="C1675" s="6"/>
      <c r="E1675" s="82"/>
      <c r="F1675" s="72">
        <v>5000</v>
      </c>
      <c r="G1675" s="2">
        <f t="shared" si="31"/>
        <v>20</v>
      </c>
      <c r="H1675" s="22"/>
      <c r="I1675" s="22"/>
      <c r="J1675" s="22"/>
      <c r="K1675" s="22"/>
    </row>
    <row r="1676" spans="1:11" x14ac:dyDescent="0.25">
      <c r="A1676" s="6">
        <v>44055</v>
      </c>
      <c r="B1676" s="59" t="s">
        <v>2046</v>
      </c>
      <c r="C1676" s="6"/>
      <c r="E1676" s="82"/>
      <c r="F1676" s="72">
        <v>500</v>
      </c>
      <c r="G1676" s="2">
        <f t="shared" si="31"/>
        <v>2</v>
      </c>
      <c r="H1676" s="22"/>
      <c r="I1676" s="22"/>
      <c r="J1676" s="22"/>
      <c r="K1676" s="22"/>
    </row>
    <row r="1677" spans="1:11" x14ac:dyDescent="0.25">
      <c r="A1677" s="6">
        <v>44055</v>
      </c>
      <c r="B1677" s="59" t="s">
        <v>2048</v>
      </c>
      <c r="C1677" s="6"/>
      <c r="E1677" s="82"/>
      <c r="F1677" s="72">
        <v>5000</v>
      </c>
      <c r="G1677" s="2">
        <f t="shared" si="31"/>
        <v>20</v>
      </c>
      <c r="H1677" s="22"/>
      <c r="I1677" s="22"/>
      <c r="J1677" s="22"/>
      <c r="K1677" s="22"/>
    </row>
    <row r="1678" spans="1:11" x14ac:dyDescent="0.25">
      <c r="A1678" s="6">
        <v>44055</v>
      </c>
      <c r="B1678" s="59" t="s">
        <v>2116</v>
      </c>
      <c r="C1678" s="6"/>
      <c r="F1678" s="72">
        <v>200</v>
      </c>
      <c r="G1678" s="2">
        <f t="shared" si="31"/>
        <v>0.8</v>
      </c>
      <c r="H1678" s="22"/>
      <c r="I1678" s="22"/>
      <c r="J1678" s="22"/>
      <c r="K1678" s="22"/>
    </row>
    <row r="1679" spans="1:11" x14ac:dyDescent="0.25">
      <c r="A1679" s="6">
        <v>44055</v>
      </c>
      <c r="B1679" s="59" t="s">
        <v>2117</v>
      </c>
      <c r="C1679" s="6"/>
      <c r="F1679" s="72">
        <v>300</v>
      </c>
      <c r="G1679" s="2">
        <f t="shared" si="31"/>
        <v>1.2</v>
      </c>
      <c r="H1679" s="22"/>
      <c r="I1679" s="22"/>
      <c r="J1679" s="22"/>
      <c r="K1679" s="22"/>
    </row>
    <row r="1680" spans="1:11" x14ac:dyDescent="0.25">
      <c r="A1680" s="6">
        <v>44055</v>
      </c>
      <c r="B1680" s="59" t="s">
        <v>2120</v>
      </c>
      <c r="C1680" s="6"/>
      <c r="F1680" s="72">
        <v>2800</v>
      </c>
      <c r="G1680" s="2">
        <f t="shared" si="31"/>
        <v>11.200000000000001</v>
      </c>
      <c r="H1680" s="22"/>
      <c r="I1680" s="22"/>
      <c r="J1680" s="22"/>
      <c r="K1680" s="22"/>
    </row>
    <row r="1681" spans="1:11" x14ac:dyDescent="0.25">
      <c r="A1681" s="6">
        <v>44055</v>
      </c>
      <c r="B1681" s="59" t="s">
        <v>2123</v>
      </c>
      <c r="C1681" s="6" t="s">
        <v>2124</v>
      </c>
      <c r="F1681" s="72">
        <v>400</v>
      </c>
      <c r="G1681" s="2">
        <f t="shared" si="31"/>
        <v>1.6</v>
      </c>
      <c r="H1681" s="22"/>
      <c r="I1681" s="22"/>
      <c r="J1681" s="22"/>
      <c r="K1681" s="22"/>
    </row>
    <row r="1682" spans="1:11" x14ac:dyDescent="0.25">
      <c r="A1682" s="6">
        <v>44055</v>
      </c>
      <c r="B1682" s="59" t="s">
        <v>2123</v>
      </c>
      <c r="C1682" s="6" t="s">
        <v>2124</v>
      </c>
      <c r="F1682" s="72">
        <v>500</v>
      </c>
      <c r="G1682" s="2">
        <f t="shared" si="31"/>
        <v>2</v>
      </c>
      <c r="H1682" s="22"/>
      <c r="I1682" s="22"/>
      <c r="J1682" s="22">
        <v>10</v>
      </c>
      <c r="K1682" s="22"/>
    </row>
    <row r="1683" spans="1:11" x14ac:dyDescent="0.25">
      <c r="A1683" s="6">
        <v>44056</v>
      </c>
      <c r="B1683" s="59" t="s">
        <v>2138</v>
      </c>
      <c r="C1683" s="6"/>
      <c r="E1683" s="178" t="s">
        <v>66</v>
      </c>
      <c r="F1683" s="72">
        <v>1000</v>
      </c>
      <c r="G1683" s="2">
        <f t="shared" si="31"/>
        <v>29</v>
      </c>
      <c r="H1683" s="22"/>
      <c r="I1683" s="22"/>
      <c r="J1683" s="22"/>
      <c r="K1683" s="22"/>
    </row>
    <row r="1684" spans="1:11" x14ac:dyDescent="0.25">
      <c r="A1684" s="6">
        <v>44056</v>
      </c>
      <c r="B1684" s="59" t="s">
        <v>2139</v>
      </c>
      <c r="C1684" s="6"/>
      <c r="E1684" s="178" t="s">
        <v>66</v>
      </c>
      <c r="F1684" s="72">
        <v>200</v>
      </c>
      <c r="G1684" s="2">
        <f t="shared" si="31"/>
        <v>25.8</v>
      </c>
      <c r="H1684" s="22"/>
      <c r="I1684" s="22"/>
      <c r="J1684" s="22"/>
      <c r="K1684" s="22"/>
    </row>
    <row r="1685" spans="1:11" s="22" customFormat="1" x14ac:dyDescent="0.25">
      <c r="A1685" s="6">
        <v>44056</v>
      </c>
      <c r="B1685" s="59" t="s">
        <v>2046</v>
      </c>
      <c r="C1685" s="6" t="s">
        <v>1716</v>
      </c>
      <c r="D1685" s="63"/>
      <c r="E1685" s="178"/>
      <c r="F1685" s="72">
        <v>500</v>
      </c>
      <c r="G1685" s="2">
        <f t="shared" si="31"/>
        <v>2</v>
      </c>
    </row>
    <row r="1686" spans="1:11" s="22" customFormat="1" x14ac:dyDescent="0.25">
      <c r="A1686" s="6">
        <v>44056</v>
      </c>
      <c r="B1686" s="59" t="s">
        <v>1703</v>
      </c>
      <c r="C1686" s="6" t="s">
        <v>71</v>
      </c>
      <c r="D1686" s="63"/>
      <c r="E1686" s="178"/>
      <c r="F1686" s="72">
        <v>2000</v>
      </c>
      <c r="G1686" s="2">
        <f t="shared" si="31"/>
        <v>8</v>
      </c>
      <c r="J1686" s="22">
        <v>30</v>
      </c>
    </row>
    <row r="1687" spans="1:11" s="22" customFormat="1" x14ac:dyDescent="0.25">
      <c r="A1687" s="6">
        <v>44056</v>
      </c>
      <c r="B1687" s="59"/>
      <c r="C1687" s="6" t="s">
        <v>2062</v>
      </c>
      <c r="D1687" s="63"/>
      <c r="E1687" s="178"/>
      <c r="F1687" s="72">
        <v>2000</v>
      </c>
      <c r="G1687" s="2">
        <f t="shared" si="31"/>
        <v>8</v>
      </c>
    </row>
    <row r="1688" spans="1:11" x14ac:dyDescent="0.25">
      <c r="A1688" s="6">
        <v>44056</v>
      </c>
      <c r="B1688" s="59" t="s">
        <v>2048</v>
      </c>
      <c r="C1688" s="6" t="s">
        <v>314</v>
      </c>
      <c r="F1688" s="2">
        <v>5000</v>
      </c>
      <c r="G1688" s="2">
        <f t="shared" si="31"/>
        <v>20</v>
      </c>
      <c r="H1688" s="22"/>
      <c r="I1688" s="22"/>
      <c r="J1688" s="22"/>
      <c r="K1688" s="22"/>
    </row>
    <row r="1689" spans="1:11" s="22" customFormat="1" x14ac:dyDescent="0.25">
      <c r="A1689" s="6">
        <v>44057</v>
      </c>
      <c r="B1689" s="59" t="s">
        <v>2059</v>
      </c>
      <c r="C1689" s="6" t="s">
        <v>2062</v>
      </c>
      <c r="D1689" s="63"/>
      <c r="E1689" s="178"/>
      <c r="F1689" s="54">
        <v>5000</v>
      </c>
      <c r="G1689" s="2">
        <f t="shared" si="31"/>
        <v>20</v>
      </c>
    </row>
    <row r="1690" spans="1:11" s="22" customFormat="1" x14ac:dyDescent="0.25">
      <c r="A1690" s="6">
        <v>44057</v>
      </c>
      <c r="B1690" s="59" t="s">
        <v>1948</v>
      </c>
      <c r="C1690" s="6"/>
      <c r="D1690" s="63"/>
      <c r="E1690" s="178"/>
      <c r="F1690" s="54">
        <v>1700</v>
      </c>
      <c r="G1690" s="2">
        <f t="shared" si="31"/>
        <v>6.8</v>
      </c>
    </row>
    <row r="1691" spans="1:11" s="22" customFormat="1" x14ac:dyDescent="0.25">
      <c r="A1691" s="6">
        <v>44057</v>
      </c>
      <c r="B1691" s="59" t="s">
        <v>2060</v>
      </c>
      <c r="C1691" s="6"/>
      <c r="D1691" s="63"/>
      <c r="E1691" s="178"/>
      <c r="F1691" s="54">
        <v>7000</v>
      </c>
      <c r="G1691" s="2">
        <f t="shared" si="31"/>
        <v>20</v>
      </c>
    </row>
    <row r="1692" spans="1:11" s="22" customFormat="1" x14ac:dyDescent="0.25">
      <c r="A1692" s="6">
        <v>44057</v>
      </c>
      <c r="B1692" s="59" t="s">
        <v>2157</v>
      </c>
      <c r="C1692" s="6"/>
      <c r="D1692" s="63"/>
      <c r="E1692" s="178" t="s">
        <v>66</v>
      </c>
      <c r="F1692" s="2">
        <v>150</v>
      </c>
      <c r="G1692" s="2">
        <f t="shared" si="31"/>
        <v>25.6</v>
      </c>
    </row>
    <row r="1693" spans="1:11" s="22" customFormat="1" x14ac:dyDescent="0.25">
      <c r="A1693" s="6">
        <v>44057</v>
      </c>
      <c r="B1693" s="59" t="s">
        <v>1948</v>
      </c>
      <c r="C1693" s="6"/>
      <c r="D1693" s="63"/>
      <c r="E1693" s="178"/>
      <c r="F1693" s="2">
        <v>700</v>
      </c>
      <c r="G1693" s="2">
        <f t="shared" si="31"/>
        <v>2.8000000000000003</v>
      </c>
    </row>
    <row r="1694" spans="1:11" s="22" customFormat="1" x14ac:dyDescent="0.25">
      <c r="A1694" s="6">
        <v>44057</v>
      </c>
      <c r="B1694" s="59" t="s">
        <v>2046</v>
      </c>
      <c r="C1694" s="6"/>
      <c r="D1694" s="63"/>
      <c r="E1694" s="178"/>
      <c r="F1694" s="2">
        <v>500</v>
      </c>
      <c r="G1694" s="2">
        <f t="shared" si="31"/>
        <v>2</v>
      </c>
    </row>
    <row r="1695" spans="1:11" s="22" customFormat="1" x14ac:dyDescent="0.25">
      <c r="A1695" s="6">
        <v>44058</v>
      </c>
      <c r="B1695" s="59" t="s">
        <v>2046</v>
      </c>
      <c r="C1695" s="6"/>
      <c r="D1695" s="63"/>
      <c r="E1695" s="178"/>
      <c r="F1695" s="76">
        <v>500</v>
      </c>
      <c r="G1695" s="2">
        <f t="shared" si="31"/>
        <v>2</v>
      </c>
    </row>
    <row r="1696" spans="1:11" s="22" customFormat="1" x14ac:dyDescent="0.25">
      <c r="A1696" s="6">
        <v>44059</v>
      </c>
      <c r="B1696" s="59" t="s">
        <v>2046</v>
      </c>
      <c r="C1696" s="6"/>
      <c r="D1696" s="63"/>
      <c r="E1696" s="178"/>
      <c r="F1696" s="72">
        <v>500</v>
      </c>
      <c r="G1696" s="2">
        <f t="shared" si="31"/>
        <v>2</v>
      </c>
    </row>
    <row r="1697" spans="1:10" s="22" customFormat="1" x14ac:dyDescent="0.25">
      <c r="A1697" s="6">
        <v>44059</v>
      </c>
      <c r="B1697" s="59" t="s">
        <v>2164</v>
      </c>
      <c r="C1697" s="6"/>
      <c r="D1697" s="63"/>
      <c r="E1697" s="178"/>
      <c r="F1697" s="72">
        <v>500</v>
      </c>
      <c r="G1697" s="2">
        <f t="shared" ref="G1697:G1780" si="32">IF(E1697="y",25,IF(OR(E1697="N",E1697="RD",E1697="I"),10,0))+IF(F1697&gt;5000,20,F1697*0.4%)+IF(E1697="SB",2,IF(E1697="JJ",35,IF(E1697="A",50,0)))</f>
        <v>2</v>
      </c>
    </row>
    <row r="1698" spans="1:10" s="22" customFormat="1" x14ac:dyDescent="0.25">
      <c r="A1698" s="6">
        <v>44060</v>
      </c>
      <c r="B1698" s="59" t="s">
        <v>2046</v>
      </c>
      <c r="C1698" s="6"/>
      <c r="D1698" s="63"/>
      <c r="E1698" s="178"/>
      <c r="F1698" s="72">
        <v>500</v>
      </c>
      <c r="G1698" s="2">
        <f t="shared" si="32"/>
        <v>2</v>
      </c>
    </row>
    <row r="1699" spans="1:10" s="22" customFormat="1" x14ac:dyDescent="0.25">
      <c r="A1699" s="6">
        <v>44060</v>
      </c>
      <c r="B1699" s="59" t="s">
        <v>2165</v>
      </c>
      <c r="C1699" s="6"/>
      <c r="D1699" s="63"/>
      <c r="E1699" s="178"/>
      <c r="F1699" s="72">
        <v>100</v>
      </c>
      <c r="G1699" s="2">
        <f t="shared" si="32"/>
        <v>0.4</v>
      </c>
    </row>
    <row r="1700" spans="1:10" s="22" customFormat="1" x14ac:dyDescent="0.25">
      <c r="A1700" s="6">
        <v>44060</v>
      </c>
      <c r="B1700" s="59" t="s">
        <v>1944</v>
      </c>
      <c r="C1700" s="6"/>
      <c r="D1700" s="63"/>
      <c r="E1700" s="178"/>
      <c r="F1700" s="72">
        <v>2200</v>
      </c>
      <c r="G1700" s="2">
        <f t="shared" si="32"/>
        <v>8.8000000000000007</v>
      </c>
    </row>
    <row r="1701" spans="1:10" s="22" customFormat="1" x14ac:dyDescent="0.25">
      <c r="A1701" s="6">
        <v>44060</v>
      </c>
      <c r="B1701" s="59" t="s">
        <v>1979</v>
      </c>
      <c r="C1701" s="6"/>
      <c r="D1701" s="63"/>
      <c r="E1701" s="178"/>
      <c r="F1701" s="72">
        <v>200</v>
      </c>
      <c r="G1701" s="2">
        <f t="shared" si="32"/>
        <v>0.8</v>
      </c>
    </row>
    <row r="1702" spans="1:10" s="22" customFormat="1" x14ac:dyDescent="0.25">
      <c r="A1702" s="6">
        <v>44060</v>
      </c>
      <c r="B1702" s="59" t="s">
        <v>2061</v>
      </c>
      <c r="C1702" s="6"/>
      <c r="D1702" s="63"/>
      <c r="E1702" s="178"/>
      <c r="F1702" s="72">
        <v>6000</v>
      </c>
      <c r="G1702" s="2">
        <f t="shared" si="32"/>
        <v>20</v>
      </c>
    </row>
    <row r="1703" spans="1:10" s="22" customFormat="1" x14ac:dyDescent="0.25">
      <c r="A1703" s="6">
        <v>44061</v>
      </c>
      <c r="B1703" s="59" t="s">
        <v>2171</v>
      </c>
      <c r="C1703" s="6"/>
      <c r="D1703" s="63"/>
      <c r="E1703" s="178"/>
      <c r="F1703" s="72">
        <v>500</v>
      </c>
      <c r="G1703" s="2">
        <f t="shared" si="32"/>
        <v>2</v>
      </c>
    </row>
    <row r="1704" spans="1:10" s="22" customFormat="1" x14ac:dyDescent="0.25">
      <c r="A1704" s="6">
        <v>44061</v>
      </c>
      <c r="B1704" s="59" t="s">
        <v>2061</v>
      </c>
      <c r="C1704" s="6"/>
      <c r="D1704" s="63"/>
      <c r="E1704" s="178"/>
      <c r="F1704" s="72">
        <v>9000</v>
      </c>
      <c r="G1704" s="2">
        <f t="shared" si="32"/>
        <v>20</v>
      </c>
    </row>
    <row r="1705" spans="1:10" s="22" customFormat="1" x14ac:dyDescent="0.25">
      <c r="A1705" s="6">
        <v>44061</v>
      </c>
      <c r="B1705" s="59" t="s">
        <v>2046</v>
      </c>
      <c r="C1705" s="6"/>
      <c r="D1705" s="63"/>
      <c r="E1705" s="178"/>
      <c r="F1705" s="72">
        <v>500</v>
      </c>
      <c r="G1705" s="2">
        <f t="shared" si="32"/>
        <v>2</v>
      </c>
    </row>
    <row r="1706" spans="1:10" s="22" customFormat="1" x14ac:dyDescent="0.25">
      <c r="A1706" s="6">
        <v>44061</v>
      </c>
      <c r="B1706" s="59" t="s">
        <v>2048</v>
      </c>
      <c r="C1706" s="6"/>
      <c r="D1706" s="63"/>
      <c r="E1706" s="178"/>
      <c r="F1706" s="72">
        <v>5000</v>
      </c>
      <c r="G1706" s="2">
        <f t="shared" si="32"/>
        <v>20</v>
      </c>
    </row>
    <row r="1707" spans="1:10" s="22" customFormat="1" x14ac:dyDescent="0.25">
      <c r="A1707" s="6">
        <v>44061</v>
      </c>
      <c r="B1707" s="59" t="s">
        <v>2172</v>
      </c>
      <c r="C1707" s="6"/>
      <c r="D1707" s="63"/>
      <c r="E1707" s="178"/>
      <c r="F1707" s="72">
        <v>2000</v>
      </c>
      <c r="G1707" s="2">
        <f t="shared" si="32"/>
        <v>8</v>
      </c>
    </row>
    <row r="1708" spans="1:10" s="22" customFormat="1" x14ac:dyDescent="0.25">
      <c r="A1708" s="6">
        <v>44061</v>
      </c>
      <c r="B1708" s="59" t="s">
        <v>2170</v>
      </c>
      <c r="C1708" s="6"/>
      <c r="D1708" s="63"/>
      <c r="E1708" s="178"/>
      <c r="F1708" s="72">
        <v>5000</v>
      </c>
      <c r="G1708" s="2">
        <f t="shared" si="32"/>
        <v>20</v>
      </c>
    </row>
    <row r="1709" spans="1:10" x14ac:dyDescent="0.25">
      <c r="A1709" s="6">
        <v>44061</v>
      </c>
      <c r="B1709" s="59" t="s">
        <v>1944</v>
      </c>
      <c r="C1709" s="22"/>
      <c r="F1709" s="72">
        <v>1600</v>
      </c>
      <c r="G1709" s="2">
        <f t="shared" si="32"/>
        <v>6.4</v>
      </c>
      <c r="H1709" s="22"/>
      <c r="I1709" s="22"/>
      <c r="J1709" s="22"/>
    </row>
    <row r="1710" spans="1:10" x14ac:dyDescent="0.25">
      <c r="A1710" s="6">
        <v>44061</v>
      </c>
      <c r="B1710" s="59" t="s">
        <v>2173</v>
      </c>
      <c r="F1710" s="72">
        <v>1200</v>
      </c>
      <c r="G1710" s="2">
        <f t="shared" si="32"/>
        <v>4.8</v>
      </c>
    </row>
    <row r="1711" spans="1:10" x14ac:dyDescent="0.25">
      <c r="A1711" s="6">
        <v>44061</v>
      </c>
      <c r="B1711" s="59" t="s">
        <v>2127</v>
      </c>
      <c r="F1711" s="72">
        <v>500</v>
      </c>
      <c r="G1711" s="2">
        <f t="shared" si="32"/>
        <v>2</v>
      </c>
    </row>
    <row r="1712" spans="1:10" x14ac:dyDescent="0.25">
      <c r="A1712" s="6">
        <v>44062</v>
      </c>
      <c r="B1712" s="63" t="s">
        <v>2046</v>
      </c>
      <c r="F1712" s="76">
        <v>500</v>
      </c>
      <c r="G1712" s="2">
        <f t="shared" si="32"/>
        <v>2</v>
      </c>
    </row>
    <row r="1713" spans="1:7" x14ac:dyDescent="0.25">
      <c r="A1713" s="6">
        <v>44062</v>
      </c>
      <c r="B1713" s="63" t="s">
        <v>2175</v>
      </c>
      <c r="F1713" s="2">
        <v>5000</v>
      </c>
      <c r="G1713" s="2">
        <f t="shared" si="32"/>
        <v>20</v>
      </c>
    </row>
    <row r="1714" spans="1:7" x14ac:dyDescent="0.25">
      <c r="A1714" s="6">
        <v>44062</v>
      </c>
      <c r="B1714" s="59" t="s">
        <v>2174</v>
      </c>
      <c r="F1714" s="2">
        <v>300</v>
      </c>
      <c r="G1714" s="2">
        <f t="shared" si="32"/>
        <v>1.2</v>
      </c>
    </row>
    <row r="1715" spans="1:7" x14ac:dyDescent="0.25">
      <c r="A1715" s="6">
        <v>44062</v>
      </c>
      <c r="B1715" s="59" t="s">
        <v>2060</v>
      </c>
      <c r="F1715" s="2">
        <v>1720</v>
      </c>
      <c r="G1715" s="2">
        <f t="shared" si="32"/>
        <v>6.88</v>
      </c>
    </row>
    <row r="1716" spans="1:7" x14ac:dyDescent="0.25">
      <c r="A1716" s="6">
        <v>44062</v>
      </c>
      <c r="B1716" s="63" t="s">
        <v>1946</v>
      </c>
      <c r="F1716" s="2">
        <v>5000</v>
      </c>
      <c r="G1716" s="2">
        <f t="shared" si="32"/>
        <v>20</v>
      </c>
    </row>
    <row r="1717" spans="1:7" x14ac:dyDescent="0.25">
      <c r="A1717" s="6">
        <v>44062</v>
      </c>
      <c r="B1717" s="63" t="s">
        <v>2102</v>
      </c>
      <c r="F1717" s="2">
        <v>3000</v>
      </c>
      <c r="G1717" s="2">
        <f t="shared" si="32"/>
        <v>12</v>
      </c>
    </row>
    <row r="1718" spans="1:7" s="22" customFormat="1" x14ac:dyDescent="0.25">
      <c r="A1718" s="6">
        <v>44062</v>
      </c>
      <c r="B1718" s="59" t="s">
        <v>2178</v>
      </c>
      <c r="D1718" s="63"/>
      <c r="E1718" s="178"/>
      <c r="F1718" s="2">
        <v>1000</v>
      </c>
      <c r="G1718" s="2">
        <f t="shared" si="32"/>
        <v>4</v>
      </c>
    </row>
    <row r="1719" spans="1:7" s="22" customFormat="1" x14ac:dyDescent="0.25">
      <c r="A1719" s="6">
        <v>44062</v>
      </c>
      <c r="B1719" s="59" t="s">
        <v>2177</v>
      </c>
      <c r="D1719" s="63"/>
      <c r="E1719" s="178"/>
      <c r="F1719" s="2">
        <v>2000</v>
      </c>
      <c r="G1719" s="2">
        <f t="shared" si="32"/>
        <v>8</v>
      </c>
    </row>
    <row r="1720" spans="1:7" x14ac:dyDescent="0.25">
      <c r="A1720" s="6">
        <v>44062</v>
      </c>
      <c r="B1720" s="63" t="s">
        <v>2179</v>
      </c>
      <c r="F1720" s="2">
        <v>9000</v>
      </c>
      <c r="G1720" s="2">
        <f t="shared" si="32"/>
        <v>20</v>
      </c>
    </row>
    <row r="1721" spans="1:7" s="22" customFormat="1" x14ac:dyDescent="0.25">
      <c r="A1721" s="6">
        <v>44062</v>
      </c>
      <c r="B1721" s="63" t="s">
        <v>2022</v>
      </c>
      <c r="D1721" s="63"/>
      <c r="E1721" s="178"/>
      <c r="F1721" s="2">
        <v>1500</v>
      </c>
      <c r="G1721" s="2">
        <f t="shared" si="32"/>
        <v>6</v>
      </c>
    </row>
    <row r="1722" spans="1:7" s="22" customFormat="1" x14ac:dyDescent="0.25">
      <c r="A1722" s="6">
        <v>44062</v>
      </c>
      <c r="B1722" s="63" t="s">
        <v>1948</v>
      </c>
      <c r="D1722" s="63"/>
      <c r="E1722" s="178"/>
      <c r="F1722" s="2">
        <v>500</v>
      </c>
      <c r="G1722" s="2">
        <f t="shared" si="32"/>
        <v>2</v>
      </c>
    </row>
    <row r="1723" spans="1:7" s="22" customFormat="1" x14ac:dyDescent="0.25">
      <c r="A1723" s="6">
        <v>44062</v>
      </c>
      <c r="B1723" s="63" t="s">
        <v>2181</v>
      </c>
      <c r="D1723" s="63"/>
      <c r="E1723" s="178"/>
      <c r="F1723" s="2">
        <v>50</v>
      </c>
      <c r="G1723" s="2">
        <f t="shared" si="32"/>
        <v>0.2</v>
      </c>
    </row>
    <row r="1724" spans="1:7" s="22" customFormat="1" x14ac:dyDescent="0.25">
      <c r="A1724" s="6">
        <v>44063</v>
      </c>
      <c r="B1724" s="59" t="s">
        <v>2180</v>
      </c>
      <c r="D1724" s="63"/>
      <c r="E1724" s="178"/>
      <c r="F1724" s="2">
        <v>1600</v>
      </c>
      <c r="G1724" s="2">
        <f t="shared" si="32"/>
        <v>6.4</v>
      </c>
    </row>
    <row r="1725" spans="1:7" s="22" customFormat="1" x14ac:dyDescent="0.25">
      <c r="A1725" s="6">
        <v>44063</v>
      </c>
      <c r="B1725" s="59" t="s">
        <v>2046</v>
      </c>
      <c r="D1725" s="63"/>
      <c r="E1725" s="178"/>
      <c r="F1725" s="2">
        <v>500</v>
      </c>
      <c r="G1725" s="2">
        <f t="shared" si="32"/>
        <v>2</v>
      </c>
    </row>
    <row r="1726" spans="1:7" s="22" customFormat="1" x14ac:dyDescent="0.25">
      <c r="A1726" s="6">
        <v>44063</v>
      </c>
      <c r="B1726" s="63" t="s">
        <v>2138</v>
      </c>
      <c r="D1726" s="63"/>
      <c r="E1726" s="178"/>
      <c r="F1726" s="2">
        <v>500</v>
      </c>
      <c r="G1726" s="2">
        <f t="shared" si="32"/>
        <v>2</v>
      </c>
    </row>
    <row r="1727" spans="1:7" s="22" customFormat="1" x14ac:dyDescent="0.25">
      <c r="A1727" s="6">
        <v>44063</v>
      </c>
      <c r="B1727" s="63" t="s">
        <v>1944</v>
      </c>
      <c r="D1727" s="63"/>
      <c r="E1727" s="178"/>
      <c r="F1727" s="2">
        <v>3800</v>
      </c>
      <c r="G1727" s="2">
        <f t="shared" si="32"/>
        <v>15.200000000000001</v>
      </c>
    </row>
    <row r="1728" spans="1:7" s="22" customFormat="1" x14ac:dyDescent="0.25">
      <c r="A1728" s="6">
        <v>44063</v>
      </c>
      <c r="B1728" s="63" t="s">
        <v>2181</v>
      </c>
      <c r="D1728" s="63"/>
      <c r="E1728" s="178"/>
      <c r="F1728" s="2">
        <v>50</v>
      </c>
      <c r="G1728" s="2">
        <f t="shared" si="32"/>
        <v>0.2</v>
      </c>
    </row>
    <row r="1729" spans="1:7" s="22" customFormat="1" x14ac:dyDescent="0.25">
      <c r="A1729" s="6">
        <v>44064</v>
      </c>
      <c r="B1729" s="63" t="s">
        <v>2046</v>
      </c>
      <c r="D1729" s="63"/>
      <c r="E1729" s="178"/>
      <c r="F1729" s="2">
        <v>500</v>
      </c>
      <c r="G1729" s="2">
        <f t="shared" si="32"/>
        <v>2</v>
      </c>
    </row>
    <row r="1730" spans="1:7" s="22" customFormat="1" x14ac:dyDescent="0.25">
      <c r="A1730" s="6">
        <v>44064</v>
      </c>
      <c r="B1730" s="63" t="s">
        <v>2183</v>
      </c>
      <c r="D1730" s="63"/>
      <c r="E1730" s="178"/>
      <c r="F1730" s="2">
        <v>2500</v>
      </c>
      <c r="G1730" s="2">
        <f t="shared" si="32"/>
        <v>10</v>
      </c>
    </row>
    <row r="1731" spans="1:7" x14ac:dyDescent="0.25">
      <c r="A1731" s="6">
        <v>44064</v>
      </c>
      <c r="B1731" s="63" t="s">
        <v>2186</v>
      </c>
      <c r="F1731" s="2">
        <v>500</v>
      </c>
      <c r="G1731" s="2">
        <f t="shared" si="32"/>
        <v>2</v>
      </c>
    </row>
    <row r="1732" spans="1:7" s="22" customFormat="1" x14ac:dyDescent="0.25">
      <c r="A1732" s="6">
        <v>44064</v>
      </c>
      <c r="B1732" s="63" t="s">
        <v>2183</v>
      </c>
      <c r="D1732" s="63"/>
      <c r="E1732" s="178"/>
      <c r="F1732" s="2">
        <v>2000</v>
      </c>
      <c r="G1732" s="2">
        <f t="shared" si="32"/>
        <v>8</v>
      </c>
    </row>
    <row r="1733" spans="1:7" s="22" customFormat="1" x14ac:dyDescent="0.25">
      <c r="A1733" s="6">
        <v>44064</v>
      </c>
      <c r="B1733" s="63" t="s">
        <v>1661</v>
      </c>
      <c r="C1733" s="22" t="s">
        <v>2191</v>
      </c>
      <c r="D1733" s="63"/>
      <c r="E1733" s="178"/>
      <c r="F1733" s="2">
        <v>3000</v>
      </c>
      <c r="G1733" s="2">
        <f t="shared" si="32"/>
        <v>12</v>
      </c>
    </row>
    <row r="1734" spans="1:7" s="22" customFormat="1" x14ac:dyDescent="0.25">
      <c r="A1734" s="6">
        <v>44064</v>
      </c>
      <c r="B1734" s="63" t="s">
        <v>1944</v>
      </c>
      <c r="D1734" s="63"/>
      <c r="E1734" s="178"/>
      <c r="F1734" s="2">
        <v>1400</v>
      </c>
      <c r="G1734" s="2">
        <f t="shared" si="32"/>
        <v>5.6000000000000005</v>
      </c>
    </row>
    <row r="1735" spans="1:7" s="22" customFormat="1" x14ac:dyDescent="0.25">
      <c r="A1735" s="6">
        <v>44064</v>
      </c>
      <c r="B1735" s="63" t="s">
        <v>2181</v>
      </c>
      <c r="D1735" s="63"/>
      <c r="E1735" s="178"/>
      <c r="F1735" s="2">
        <v>150</v>
      </c>
      <c r="G1735" s="2">
        <f t="shared" si="32"/>
        <v>0.6</v>
      </c>
    </row>
    <row r="1736" spans="1:7" s="22" customFormat="1" x14ac:dyDescent="0.25">
      <c r="A1736" s="6">
        <v>44064</v>
      </c>
      <c r="B1736" s="63" t="s">
        <v>2189</v>
      </c>
      <c r="C1736" s="22" t="s">
        <v>2190</v>
      </c>
      <c r="D1736" s="63"/>
      <c r="E1736" s="178"/>
      <c r="F1736" s="2">
        <v>1000</v>
      </c>
      <c r="G1736" s="2">
        <f t="shared" si="32"/>
        <v>4</v>
      </c>
    </row>
    <row r="1737" spans="1:7" s="22" customFormat="1" x14ac:dyDescent="0.25">
      <c r="A1737" s="6">
        <v>44064</v>
      </c>
      <c r="B1737" s="63" t="s">
        <v>2046</v>
      </c>
      <c r="D1737" s="63"/>
      <c r="E1737" s="178"/>
      <c r="F1737" s="2">
        <v>500</v>
      </c>
      <c r="G1737" s="2">
        <f t="shared" si="32"/>
        <v>2</v>
      </c>
    </row>
    <row r="1738" spans="1:7" s="22" customFormat="1" x14ac:dyDescent="0.25">
      <c r="A1738" s="6">
        <v>44064</v>
      </c>
      <c r="B1738" s="63" t="s">
        <v>1948</v>
      </c>
      <c r="D1738" s="63"/>
      <c r="E1738" s="178"/>
      <c r="F1738" s="2">
        <v>1000</v>
      </c>
      <c r="G1738" s="2">
        <f t="shared" si="32"/>
        <v>4</v>
      </c>
    </row>
    <row r="1739" spans="1:7" s="22" customFormat="1" x14ac:dyDescent="0.25">
      <c r="A1739" s="6">
        <v>44066</v>
      </c>
      <c r="B1739" s="63" t="s">
        <v>2046</v>
      </c>
      <c r="D1739" s="63"/>
      <c r="E1739" s="178"/>
      <c r="F1739" s="2">
        <v>500</v>
      </c>
      <c r="G1739" s="2">
        <f t="shared" si="32"/>
        <v>2</v>
      </c>
    </row>
    <row r="1740" spans="1:7" s="22" customFormat="1" x14ac:dyDescent="0.25">
      <c r="A1740" s="6">
        <v>44067</v>
      </c>
      <c r="B1740" s="59" t="s">
        <v>2046</v>
      </c>
      <c r="D1740" s="63"/>
      <c r="E1740" s="178"/>
      <c r="F1740" s="2">
        <v>500</v>
      </c>
      <c r="G1740" s="2">
        <f t="shared" si="32"/>
        <v>2</v>
      </c>
    </row>
    <row r="1741" spans="1:7" s="22" customFormat="1" x14ac:dyDescent="0.25">
      <c r="A1741" s="6">
        <v>44067</v>
      </c>
      <c r="B1741" s="59" t="s">
        <v>1948</v>
      </c>
      <c r="D1741" s="63"/>
      <c r="E1741" s="178"/>
      <c r="F1741" s="2">
        <v>800</v>
      </c>
      <c r="G1741" s="2">
        <f t="shared" si="32"/>
        <v>3.2</v>
      </c>
    </row>
    <row r="1742" spans="1:7" s="22" customFormat="1" x14ac:dyDescent="0.25">
      <c r="A1742" s="6">
        <v>44067</v>
      </c>
      <c r="B1742" s="63" t="s">
        <v>2200</v>
      </c>
      <c r="D1742" s="63"/>
      <c r="E1742" s="178"/>
      <c r="F1742" s="2">
        <v>800</v>
      </c>
      <c r="G1742" s="2">
        <f t="shared" si="32"/>
        <v>3.2</v>
      </c>
    </row>
    <row r="1743" spans="1:7" s="22" customFormat="1" x14ac:dyDescent="0.25">
      <c r="A1743" s="6">
        <v>44067</v>
      </c>
      <c r="B1743" s="6">
        <v>44067</v>
      </c>
      <c r="D1743" s="63"/>
      <c r="E1743" s="178"/>
      <c r="F1743" s="2">
        <v>1000</v>
      </c>
      <c r="G1743" s="2">
        <f t="shared" si="32"/>
        <v>4</v>
      </c>
    </row>
    <row r="1744" spans="1:7" s="22" customFormat="1" x14ac:dyDescent="0.25">
      <c r="A1744" s="6">
        <v>44067</v>
      </c>
      <c r="B1744" s="6">
        <v>44067</v>
      </c>
      <c r="D1744" s="63"/>
      <c r="E1744" s="178"/>
      <c r="F1744" s="2">
        <v>3000</v>
      </c>
      <c r="G1744" s="2">
        <f t="shared" si="32"/>
        <v>12</v>
      </c>
    </row>
    <row r="1745" spans="1:10" s="22" customFormat="1" x14ac:dyDescent="0.25">
      <c r="A1745" s="6">
        <v>44067</v>
      </c>
      <c r="B1745" s="6">
        <v>44067</v>
      </c>
      <c r="D1745" s="63"/>
      <c r="E1745" s="178"/>
      <c r="F1745" s="2">
        <v>5000</v>
      </c>
      <c r="G1745" s="2">
        <f t="shared" si="32"/>
        <v>20</v>
      </c>
    </row>
    <row r="1746" spans="1:10" s="22" customFormat="1" x14ac:dyDescent="0.25">
      <c r="A1746" s="6">
        <v>44067</v>
      </c>
      <c r="B1746" s="6">
        <v>44067</v>
      </c>
      <c r="D1746" s="63"/>
      <c r="E1746" s="178"/>
      <c r="F1746" s="2">
        <v>5000</v>
      </c>
      <c r="G1746" s="2">
        <f t="shared" si="32"/>
        <v>20</v>
      </c>
    </row>
    <row r="1747" spans="1:10" s="22" customFormat="1" x14ac:dyDescent="0.25">
      <c r="A1747" s="6">
        <v>44067</v>
      </c>
      <c r="B1747" s="6" t="s">
        <v>1649</v>
      </c>
      <c r="D1747" s="63"/>
      <c r="E1747" s="178"/>
      <c r="F1747" s="2">
        <v>500</v>
      </c>
      <c r="G1747" s="2">
        <f t="shared" si="32"/>
        <v>2</v>
      </c>
      <c r="J1747" s="22">
        <v>10</v>
      </c>
    </row>
    <row r="1748" spans="1:10" s="22" customFormat="1" x14ac:dyDescent="0.25">
      <c r="A1748" s="6">
        <v>44068</v>
      </c>
      <c r="B1748" s="6" t="s">
        <v>2046</v>
      </c>
      <c r="D1748" s="63"/>
      <c r="E1748" s="178"/>
      <c r="F1748" s="2">
        <v>500</v>
      </c>
      <c r="G1748" s="2">
        <f t="shared" si="32"/>
        <v>2</v>
      </c>
    </row>
    <row r="1749" spans="1:10" s="22" customFormat="1" x14ac:dyDescent="0.25">
      <c r="A1749" s="6">
        <v>44068</v>
      </c>
      <c r="B1749" s="6" t="s">
        <v>1986</v>
      </c>
      <c r="D1749" s="63"/>
      <c r="E1749" s="178"/>
      <c r="F1749" s="2">
        <v>1000</v>
      </c>
      <c r="G1749" s="2">
        <f t="shared" si="32"/>
        <v>4</v>
      </c>
    </row>
    <row r="1750" spans="1:10" s="22" customFormat="1" x14ac:dyDescent="0.25">
      <c r="A1750" s="6">
        <v>44068</v>
      </c>
      <c r="B1750" s="59" t="s">
        <v>2212</v>
      </c>
      <c r="D1750" s="63"/>
      <c r="E1750" s="178"/>
      <c r="F1750" s="2">
        <v>1300</v>
      </c>
      <c r="G1750" s="2">
        <f t="shared" si="32"/>
        <v>5.2</v>
      </c>
    </row>
    <row r="1751" spans="1:10" s="22" customFormat="1" x14ac:dyDescent="0.25">
      <c r="A1751" s="6">
        <v>44068</v>
      </c>
      <c r="B1751" s="59" t="s">
        <v>1979</v>
      </c>
      <c r="D1751" s="63"/>
      <c r="E1751" s="178"/>
      <c r="F1751" s="2">
        <v>200</v>
      </c>
      <c r="G1751" s="2">
        <f t="shared" si="32"/>
        <v>0.8</v>
      </c>
    </row>
    <row r="1752" spans="1:10" s="22" customFormat="1" x14ac:dyDescent="0.25">
      <c r="A1752" s="6">
        <v>44068</v>
      </c>
      <c r="B1752" s="59" t="s">
        <v>1649</v>
      </c>
      <c r="D1752" s="63"/>
      <c r="E1752" s="178"/>
      <c r="F1752" s="2">
        <v>3000</v>
      </c>
      <c r="G1752" s="2">
        <f t="shared" si="32"/>
        <v>12</v>
      </c>
      <c r="J1752" s="22">
        <v>30</v>
      </c>
    </row>
    <row r="1753" spans="1:10" s="22" customFormat="1" x14ac:dyDescent="0.25">
      <c r="A1753" s="6">
        <v>44068</v>
      </c>
      <c r="B1753" s="59" t="s">
        <v>1948</v>
      </c>
      <c r="D1753" s="63"/>
      <c r="E1753" s="178"/>
      <c r="F1753" s="2">
        <v>1000</v>
      </c>
      <c r="G1753" s="2">
        <f t="shared" si="32"/>
        <v>4</v>
      </c>
    </row>
    <row r="1754" spans="1:10" s="22" customFormat="1" x14ac:dyDescent="0.25">
      <c r="A1754" s="6">
        <v>44068</v>
      </c>
      <c r="B1754" s="59" t="s">
        <v>1944</v>
      </c>
      <c r="D1754" s="63"/>
      <c r="E1754" s="178"/>
      <c r="F1754" s="2">
        <v>3000</v>
      </c>
      <c r="G1754" s="2">
        <f t="shared" si="32"/>
        <v>12</v>
      </c>
    </row>
    <row r="1755" spans="1:10" s="22" customFormat="1" x14ac:dyDescent="0.25">
      <c r="A1755" s="6">
        <v>44068</v>
      </c>
      <c r="B1755" s="59" t="s">
        <v>2181</v>
      </c>
      <c r="D1755" s="63"/>
      <c r="E1755" s="178"/>
      <c r="F1755" s="2">
        <v>250</v>
      </c>
      <c r="G1755" s="2">
        <f t="shared" si="32"/>
        <v>1</v>
      </c>
    </row>
    <row r="1756" spans="1:10" s="22" customFormat="1" x14ac:dyDescent="0.25">
      <c r="A1756" s="6">
        <v>44069</v>
      </c>
      <c r="B1756" s="59" t="s">
        <v>2230</v>
      </c>
      <c r="D1756" s="63"/>
      <c r="E1756" s="178" t="s">
        <v>66</v>
      </c>
      <c r="F1756" s="2">
        <v>200</v>
      </c>
      <c r="G1756" s="2">
        <f t="shared" si="32"/>
        <v>25.8</v>
      </c>
    </row>
    <row r="1757" spans="1:10" s="22" customFormat="1" x14ac:dyDescent="0.25">
      <c r="A1757" s="6">
        <v>44069</v>
      </c>
      <c r="B1757" s="59" t="s">
        <v>2046</v>
      </c>
      <c r="D1757" s="63"/>
      <c r="E1757" s="178"/>
      <c r="F1757" s="2">
        <v>500</v>
      </c>
      <c r="G1757" s="2">
        <f t="shared" si="32"/>
        <v>2</v>
      </c>
    </row>
    <row r="1758" spans="1:10" s="22" customFormat="1" x14ac:dyDescent="0.25">
      <c r="A1758" s="6">
        <v>44069</v>
      </c>
      <c r="B1758" s="59" t="s">
        <v>2087</v>
      </c>
      <c r="D1758" s="63"/>
      <c r="E1758" s="178"/>
      <c r="F1758" s="2">
        <v>1000</v>
      </c>
      <c r="G1758" s="2">
        <f t="shared" si="32"/>
        <v>4</v>
      </c>
    </row>
    <row r="1759" spans="1:10" s="22" customFormat="1" x14ac:dyDescent="0.25">
      <c r="A1759" s="6">
        <v>44069</v>
      </c>
      <c r="B1759" s="59" t="s">
        <v>1946</v>
      </c>
      <c r="D1759" s="63"/>
      <c r="E1759" s="178"/>
      <c r="F1759" s="2">
        <v>2000</v>
      </c>
      <c r="G1759" s="2">
        <f t="shared" si="32"/>
        <v>8</v>
      </c>
    </row>
    <row r="1760" spans="1:10" s="22" customFormat="1" x14ac:dyDescent="0.25">
      <c r="A1760" s="6">
        <v>44069</v>
      </c>
      <c r="B1760" s="59" t="s">
        <v>1944</v>
      </c>
      <c r="D1760" s="63"/>
      <c r="E1760" s="178"/>
      <c r="F1760" s="2">
        <v>800</v>
      </c>
      <c r="G1760" s="2">
        <f t="shared" si="32"/>
        <v>3.2</v>
      </c>
    </row>
    <row r="1761" spans="1:10" s="22" customFormat="1" x14ac:dyDescent="0.25">
      <c r="A1761" s="6">
        <v>44069</v>
      </c>
      <c r="B1761" s="59" t="s">
        <v>2221</v>
      </c>
      <c r="D1761" s="63"/>
      <c r="E1761" s="178"/>
      <c r="F1761" s="2">
        <v>5000</v>
      </c>
      <c r="G1761" s="2">
        <f t="shared" si="32"/>
        <v>20</v>
      </c>
    </row>
    <row r="1762" spans="1:10" s="22" customFormat="1" x14ac:dyDescent="0.25">
      <c r="A1762" s="6">
        <v>44069</v>
      </c>
      <c r="B1762" s="59" t="s">
        <v>1948</v>
      </c>
      <c r="D1762" s="63"/>
      <c r="E1762" s="178"/>
      <c r="F1762" s="2">
        <v>3000</v>
      </c>
      <c r="G1762" s="2">
        <f t="shared" si="32"/>
        <v>12</v>
      </c>
    </row>
    <row r="1763" spans="1:10" s="22" customFormat="1" x14ac:dyDescent="0.25">
      <c r="A1763" s="6">
        <v>44069</v>
      </c>
      <c r="D1763" s="63"/>
      <c r="E1763" s="178"/>
      <c r="F1763" s="2">
        <v>1000</v>
      </c>
      <c r="G1763" s="2">
        <f t="shared" si="32"/>
        <v>4</v>
      </c>
    </row>
    <row r="1764" spans="1:10" s="22" customFormat="1" x14ac:dyDescent="0.25">
      <c r="A1764" s="6">
        <v>44069</v>
      </c>
      <c r="B1764" s="59" t="s">
        <v>1948</v>
      </c>
      <c r="D1764" s="63"/>
      <c r="E1764" s="178"/>
      <c r="F1764" s="2">
        <v>3300</v>
      </c>
      <c r="G1764" s="2">
        <f t="shared" si="32"/>
        <v>13.200000000000001</v>
      </c>
    </row>
    <row r="1765" spans="1:10" s="22" customFormat="1" x14ac:dyDescent="0.25">
      <c r="A1765" s="6">
        <v>44070</v>
      </c>
      <c r="B1765" s="78">
        <v>18295</v>
      </c>
      <c r="D1765" s="63"/>
      <c r="E1765" s="178"/>
      <c r="F1765" s="2">
        <v>2000</v>
      </c>
      <c r="G1765" s="2">
        <f t="shared" si="32"/>
        <v>8</v>
      </c>
    </row>
    <row r="1766" spans="1:10" s="22" customFormat="1" x14ac:dyDescent="0.25">
      <c r="A1766" s="6">
        <v>44070</v>
      </c>
      <c r="B1766" s="59" t="s">
        <v>2231</v>
      </c>
      <c r="D1766" s="63"/>
      <c r="E1766" s="178" t="s">
        <v>66</v>
      </c>
      <c r="F1766" s="2">
        <v>100</v>
      </c>
      <c r="G1766" s="2">
        <f t="shared" si="32"/>
        <v>25.4</v>
      </c>
    </row>
    <row r="1767" spans="1:10" s="22" customFormat="1" x14ac:dyDescent="0.25">
      <c r="A1767" s="6">
        <v>44070</v>
      </c>
      <c r="B1767" s="59" t="s">
        <v>1649</v>
      </c>
      <c r="D1767" s="63"/>
      <c r="E1767" s="178"/>
      <c r="F1767" s="2">
        <v>800</v>
      </c>
      <c r="G1767" s="2">
        <f t="shared" si="32"/>
        <v>3.2</v>
      </c>
      <c r="J1767" s="22">
        <v>20</v>
      </c>
    </row>
    <row r="1768" spans="1:10" s="22" customFormat="1" x14ac:dyDescent="0.25">
      <c r="A1768" s="6">
        <v>44070</v>
      </c>
      <c r="B1768" s="59" t="s">
        <v>2046</v>
      </c>
      <c r="D1768" s="63"/>
      <c r="E1768" s="178"/>
      <c r="F1768" s="2">
        <v>500</v>
      </c>
      <c r="G1768" s="2">
        <f t="shared" si="32"/>
        <v>2</v>
      </c>
    </row>
    <row r="1769" spans="1:10" s="22" customFormat="1" x14ac:dyDescent="0.25">
      <c r="A1769" s="6">
        <v>44070</v>
      </c>
      <c r="B1769" s="59" t="s">
        <v>129</v>
      </c>
      <c r="D1769" s="63"/>
      <c r="E1769" s="178"/>
      <c r="F1769" s="2">
        <v>400</v>
      </c>
      <c r="G1769" s="2">
        <f t="shared" si="32"/>
        <v>1.6</v>
      </c>
    </row>
    <row r="1770" spans="1:10" s="22" customFormat="1" x14ac:dyDescent="0.25">
      <c r="A1770" s="6">
        <v>44071</v>
      </c>
      <c r="B1770" s="59" t="s">
        <v>2046</v>
      </c>
      <c r="D1770" s="63"/>
      <c r="E1770" s="178"/>
      <c r="F1770" s="54">
        <v>500</v>
      </c>
      <c r="G1770" s="2">
        <f t="shared" si="32"/>
        <v>2</v>
      </c>
    </row>
    <row r="1771" spans="1:10" s="22" customFormat="1" x14ac:dyDescent="0.25">
      <c r="A1771" s="6">
        <v>44071</v>
      </c>
      <c r="B1771" s="59" t="s">
        <v>1944</v>
      </c>
      <c r="D1771" s="63"/>
      <c r="E1771" s="178"/>
      <c r="F1771" s="54">
        <v>1200</v>
      </c>
      <c r="G1771" s="2">
        <f t="shared" si="32"/>
        <v>4.8</v>
      </c>
    </row>
    <row r="1772" spans="1:10" s="22" customFormat="1" x14ac:dyDescent="0.25">
      <c r="A1772" s="6">
        <v>44072</v>
      </c>
      <c r="B1772" s="59" t="s">
        <v>2046</v>
      </c>
      <c r="D1772" s="63"/>
      <c r="E1772" s="178"/>
      <c r="F1772" s="54">
        <v>500</v>
      </c>
      <c r="G1772" s="2">
        <f t="shared" si="32"/>
        <v>2</v>
      </c>
    </row>
    <row r="1773" spans="1:10" s="22" customFormat="1" x14ac:dyDescent="0.25">
      <c r="A1773" s="6">
        <v>44072</v>
      </c>
      <c r="B1773" s="59" t="s">
        <v>2232</v>
      </c>
      <c r="D1773" s="63"/>
      <c r="E1773" s="178"/>
      <c r="F1773" s="54">
        <v>500</v>
      </c>
      <c r="G1773" s="2">
        <f t="shared" si="32"/>
        <v>2</v>
      </c>
    </row>
    <row r="1774" spans="1:10" s="22" customFormat="1" x14ac:dyDescent="0.25">
      <c r="A1774" s="6">
        <v>44072</v>
      </c>
      <c r="B1774" s="59" t="s">
        <v>1694</v>
      </c>
      <c r="D1774" s="63"/>
      <c r="E1774" s="178"/>
      <c r="F1774" s="2">
        <v>5000</v>
      </c>
      <c r="G1774" s="2">
        <f t="shared" si="32"/>
        <v>20</v>
      </c>
    </row>
    <row r="1775" spans="1:10" s="22" customFormat="1" x14ac:dyDescent="0.25">
      <c r="A1775" s="6">
        <v>44073</v>
      </c>
      <c r="B1775" s="59" t="s">
        <v>2046</v>
      </c>
      <c r="D1775" s="63"/>
      <c r="E1775" s="178"/>
      <c r="F1775" s="2">
        <v>500</v>
      </c>
      <c r="G1775" s="2">
        <f t="shared" si="32"/>
        <v>2</v>
      </c>
    </row>
    <row r="1776" spans="1:10" s="22" customFormat="1" x14ac:dyDescent="0.25">
      <c r="A1776" s="6">
        <v>44073</v>
      </c>
      <c r="B1776" s="59" t="s">
        <v>1948</v>
      </c>
      <c r="D1776" s="63"/>
      <c r="E1776" s="178"/>
      <c r="F1776" s="2">
        <v>2300</v>
      </c>
      <c r="G1776" s="2">
        <f t="shared" si="32"/>
        <v>9.2000000000000011</v>
      </c>
    </row>
    <row r="1777" spans="1:10" s="22" customFormat="1" x14ac:dyDescent="0.25">
      <c r="A1777" s="6">
        <v>44073</v>
      </c>
      <c r="B1777" s="59" t="s">
        <v>2241</v>
      </c>
      <c r="D1777" s="63"/>
      <c r="E1777" s="178"/>
      <c r="F1777" s="2">
        <v>1000</v>
      </c>
      <c r="G1777" s="2">
        <f t="shared" si="32"/>
        <v>4</v>
      </c>
    </row>
    <row r="1778" spans="1:10" s="22" customFormat="1" x14ac:dyDescent="0.25">
      <c r="A1778" s="6">
        <v>44074</v>
      </c>
      <c r="B1778" s="59" t="s">
        <v>2239</v>
      </c>
      <c r="C1778" s="22" t="s">
        <v>2240</v>
      </c>
      <c r="D1778" s="63"/>
      <c r="E1778" s="178"/>
      <c r="F1778" s="2">
        <v>500</v>
      </c>
      <c r="G1778" s="2">
        <f t="shared" si="32"/>
        <v>2</v>
      </c>
    </row>
    <row r="1779" spans="1:10" s="22" customFormat="1" x14ac:dyDescent="0.25">
      <c r="A1779" s="6">
        <v>44074</v>
      </c>
      <c r="B1779" s="6" t="s">
        <v>1948</v>
      </c>
      <c r="D1779" s="63"/>
      <c r="E1779" s="178"/>
      <c r="F1779" s="2">
        <v>300</v>
      </c>
      <c r="G1779" s="2">
        <f t="shared" si="32"/>
        <v>1.2</v>
      </c>
    </row>
    <row r="1780" spans="1:10" s="22" customFormat="1" x14ac:dyDescent="0.25">
      <c r="A1780" s="6">
        <v>44074</v>
      </c>
      <c r="B1780" s="6" t="s">
        <v>2242</v>
      </c>
      <c r="D1780" s="63"/>
      <c r="E1780" s="178"/>
      <c r="F1780" s="2">
        <v>2000</v>
      </c>
      <c r="G1780" s="2">
        <f t="shared" si="32"/>
        <v>8</v>
      </c>
    </row>
    <row r="1781" spans="1:10" s="22" customFormat="1" x14ac:dyDescent="0.25">
      <c r="A1781" s="6"/>
      <c r="B1781" s="6"/>
      <c r="D1781" s="63"/>
      <c r="E1781" s="178"/>
      <c r="F1781" s="2"/>
      <c r="G1781" s="2"/>
    </row>
    <row r="1782" spans="1:10" s="22" customFormat="1" x14ac:dyDescent="0.25">
      <c r="A1782" s="6"/>
      <c r="B1782" s="6"/>
      <c r="D1782" s="63"/>
      <c r="E1782" s="178"/>
      <c r="F1782" s="2"/>
      <c r="G1782" s="2"/>
    </row>
    <row r="1783" spans="1:10" x14ac:dyDescent="0.25">
      <c r="A1783" s="36">
        <f>COUNT(A1622:A1709)</f>
        <v>88</v>
      </c>
      <c r="B1783" s="70"/>
      <c r="C1783" s="36" t="str">
        <f>CONCATENATE("SB = ",COUNTIF(E1622:E1709,"SB"),"        JJ = ",COUNTIF(E1622:E1709,"JJ"))</f>
        <v>SB = 1        JJ = 1</v>
      </c>
      <c r="D1783" s="70"/>
      <c r="E1783" s="36">
        <f>COUNTIF(E1622:E1709,"y")</f>
        <v>8</v>
      </c>
      <c r="F1783" s="37">
        <f>SUM(F1622:F1782)</f>
        <v>303320</v>
      </c>
      <c r="G1783" s="37">
        <f>SUM(G1622:G1782)</f>
        <v>1362.68</v>
      </c>
      <c r="H1783" s="37">
        <f>G1783*0.8</f>
        <v>1090.144</v>
      </c>
      <c r="I1783" s="37"/>
      <c r="J1783" s="37">
        <f>SUM(J1622:J1709)</f>
        <v>170</v>
      </c>
    </row>
    <row r="1785" spans="1:10" x14ac:dyDescent="0.25">
      <c r="A1785" s="6">
        <v>44075</v>
      </c>
      <c r="B1785" s="59" t="s">
        <v>2239</v>
      </c>
      <c r="E1785" s="82"/>
      <c r="F1785" s="72">
        <v>500</v>
      </c>
      <c r="G1785" s="2">
        <f t="shared" ref="G1785:G1848" si="33">IF(E1785="y",25,IF(OR(E1785="N",E1785="RD",E1785="I"),10,0))+IF(F1785&gt;5000,20,F1785*0.4%)+IF(E1785="SB",2,IF(E1785="JJ",35,IF(E1785="A",50,0)))</f>
        <v>2</v>
      </c>
    </row>
    <row r="1786" spans="1:10" s="22" customFormat="1" x14ac:dyDescent="0.25">
      <c r="A1786" s="6">
        <v>44075</v>
      </c>
      <c r="B1786" s="59" t="s">
        <v>2308</v>
      </c>
      <c r="C1786" s="22" t="s">
        <v>2309</v>
      </c>
      <c r="D1786" s="63"/>
      <c r="E1786" s="82" t="s">
        <v>66</v>
      </c>
      <c r="F1786" s="72">
        <v>100</v>
      </c>
      <c r="G1786" s="2">
        <f t="shared" si="33"/>
        <v>25.4</v>
      </c>
    </row>
    <row r="1787" spans="1:10" s="22" customFormat="1" x14ac:dyDescent="0.25">
      <c r="A1787" s="6">
        <v>44075</v>
      </c>
      <c r="B1787" s="59" t="s">
        <v>2286</v>
      </c>
      <c r="C1787" s="22" t="s">
        <v>2307</v>
      </c>
      <c r="D1787" s="63"/>
      <c r="E1787" s="82" t="s">
        <v>66</v>
      </c>
      <c r="F1787" s="72">
        <v>300</v>
      </c>
      <c r="G1787" s="2">
        <f t="shared" si="33"/>
        <v>26.2</v>
      </c>
    </row>
    <row r="1788" spans="1:10" x14ac:dyDescent="0.25">
      <c r="A1788" s="6">
        <v>44075</v>
      </c>
      <c r="B1788" s="59" t="s">
        <v>2087</v>
      </c>
      <c r="E1788" s="82"/>
      <c r="F1788" s="72">
        <v>2000</v>
      </c>
      <c r="G1788" s="2">
        <f t="shared" si="33"/>
        <v>8</v>
      </c>
    </row>
    <row r="1789" spans="1:10" x14ac:dyDescent="0.25">
      <c r="A1789" s="6">
        <v>44076</v>
      </c>
      <c r="B1789" s="59" t="s">
        <v>2062</v>
      </c>
      <c r="E1789" s="82"/>
      <c r="F1789" s="72">
        <v>2500</v>
      </c>
      <c r="G1789" s="2">
        <f t="shared" si="33"/>
        <v>10</v>
      </c>
    </row>
    <row r="1790" spans="1:10" x14ac:dyDescent="0.25">
      <c r="A1790" s="6">
        <v>44076</v>
      </c>
      <c r="B1790" s="59" t="s">
        <v>2273</v>
      </c>
      <c r="E1790" s="82" t="s">
        <v>66</v>
      </c>
      <c r="F1790" s="72">
        <v>10000</v>
      </c>
      <c r="G1790" s="2">
        <f t="shared" si="33"/>
        <v>45</v>
      </c>
    </row>
    <row r="1791" spans="1:10" x14ac:dyDescent="0.25">
      <c r="A1791" s="6">
        <v>44076</v>
      </c>
      <c r="B1791" s="59" t="s">
        <v>2275</v>
      </c>
      <c r="E1791" s="82"/>
      <c r="F1791" s="72">
        <v>3500</v>
      </c>
      <c r="G1791" s="2">
        <f t="shared" si="33"/>
        <v>14</v>
      </c>
    </row>
    <row r="1792" spans="1:10" x14ac:dyDescent="0.25">
      <c r="A1792" s="6">
        <v>44077</v>
      </c>
      <c r="B1792" s="59" t="s">
        <v>2273</v>
      </c>
      <c r="E1792" s="82"/>
      <c r="F1792" s="72">
        <v>10000</v>
      </c>
      <c r="G1792" s="2">
        <f t="shared" si="33"/>
        <v>20</v>
      </c>
    </row>
    <row r="1793" spans="1:7" x14ac:dyDescent="0.25">
      <c r="A1793" s="6">
        <v>44077</v>
      </c>
      <c r="B1793" s="59" t="s">
        <v>1944</v>
      </c>
      <c r="E1793" s="82"/>
      <c r="F1793" s="72">
        <v>2000</v>
      </c>
      <c r="G1793" s="2">
        <f t="shared" si="33"/>
        <v>8</v>
      </c>
    </row>
    <row r="1794" spans="1:7" x14ac:dyDescent="0.25">
      <c r="A1794" s="6">
        <v>44077</v>
      </c>
      <c r="B1794" s="59" t="s">
        <v>2062</v>
      </c>
      <c r="E1794" s="82"/>
      <c r="F1794" s="72">
        <v>7000</v>
      </c>
      <c r="G1794" s="2">
        <f t="shared" si="33"/>
        <v>20</v>
      </c>
    </row>
    <row r="1795" spans="1:7" s="22" customFormat="1" x14ac:dyDescent="0.25">
      <c r="A1795" s="6">
        <v>44077</v>
      </c>
      <c r="B1795" s="59" t="s">
        <v>2288</v>
      </c>
      <c r="D1795" s="63"/>
      <c r="E1795" s="82" t="s">
        <v>66</v>
      </c>
      <c r="F1795" s="72">
        <v>100</v>
      </c>
      <c r="G1795" s="2">
        <f t="shared" si="33"/>
        <v>25.4</v>
      </c>
    </row>
    <row r="1796" spans="1:7" x14ac:dyDescent="0.25">
      <c r="A1796" s="6">
        <v>44078</v>
      </c>
      <c r="B1796" s="59" t="s">
        <v>2271</v>
      </c>
      <c r="E1796" s="82"/>
      <c r="F1796" s="72">
        <v>500</v>
      </c>
      <c r="G1796" s="2">
        <f t="shared" si="33"/>
        <v>2</v>
      </c>
    </row>
    <row r="1797" spans="1:7" x14ac:dyDescent="0.25">
      <c r="A1797" s="6">
        <v>44078</v>
      </c>
      <c r="B1797" s="59" t="s">
        <v>2273</v>
      </c>
      <c r="E1797" s="83"/>
      <c r="F1797" s="72">
        <v>19000</v>
      </c>
      <c r="G1797" s="2">
        <f t="shared" si="33"/>
        <v>20</v>
      </c>
    </row>
    <row r="1798" spans="1:7" x14ac:dyDescent="0.25">
      <c r="A1798" s="6">
        <v>44078</v>
      </c>
      <c r="B1798" s="59" t="s">
        <v>2175</v>
      </c>
      <c r="E1798" s="82"/>
      <c r="F1798" s="72">
        <v>2000</v>
      </c>
      <c r="G1798" s="2">
        <f t="shared" si="33"/>
        <v>8</v>
      </c>
    </row>
    <row r="1799" spans="1:7" x14ac:dyDescent="0.25">
      <c r="A1799" s="6">
        <v>44078</v>
      </c>
      <c r="B1799" s="59" t="s">
        <v>2134</v>
      </c>
      <c r="E1799" s="82"/>
      <c r="F1799" s="72">
        <v>3000</v>
      </c>
      <c r="G1799" s="2">
        <f t="shared" si="33"/>
        <v>12</v>
      </c>
    </row>
    <row r="1800" spans="1:7" x14ac:dyDescent="0.25">
      <c r="A1800" s="6">
        <v>44078</v>
      </c>
      <c r="B1800" s="59" t="s">
        <v>2282</v>
      </c>
      <c r="E1800" s="82"/>
      <c r="F1800" s="72">
        <v>10000</v>
      </c>
      <c r="G1800" s="2">
        <f t="shared" si="33"/>
        <v>20</v>
      </c>
    </row>
    <row r="1801" spans="1:7" x14ac:dyDescent="0.25">
      <c r="A1801" s="6">
        <v>44079</v>
      </c>
      <c r="B1801" s="59" t="s">
        <v>2283</v>
      </c>
      <c r="E1801" s="82" t="s">
        <v>66</v>
      </c>
      <c r="F1801" s="72">
        <v>100</v>
      </c>
      <c r="G1801" s="2">
        <f t="shared" si="33"/>
        <v>25.4</v>
      </c>
    </row>
    <row r="1802" spans="1:7" s="22" customFormat="1" x14ac:dyDescent="0.25">
      <c r="A1802" s="6">
        <v>44079</v>
      </c>
      <c r="B1802" s="59" t="s">
        <v>2285</v>
      </c>
      <c r="D1802" s="63"/>
      <c r="E1802" s="82" t="s">
        <v>66</v>
      </c>
      <c r="F1802" s="72">
        <v>100</v>
      </c>
      <c r="G1802" s="2">
        <f t="shared" si="33"/>
        <v>25.4</v>
      </c>
    </row>
    <row r="1803" spans="1:7" x14ac:dyDescent="0.25">
      <c r="A1803" s="6">
        <v>44079</v>
      </c>
      <c r="B1803" s="59" t="s">
        <v>2239</v>
      </c>
      <c r="E1803" s="82"/>
      <c r="F1803" s="72">
        <v>500</v>
      </c>
      <c r="G1803" s="2">
        <f t="shared" si="33"/>
        <v>2</v>
      </c>
    </row>
    <row r="1804" spans="1:7" x14ac:dyDescent="0.25">
      <c r="A1804" s="6">
        <v>44079</v>
      </c>
      <c r="B1804" s="59" t="s">
        <v>2062</v>
      </c>
      <c r="E1804" s="82"/>
      <c r="F1804" s="72">
        <v>10000</v>
      </c>
      <c r="G1804" s="2">
        <f t="shared" si="33"/>
        <v>20</v>
      </c>
    </row>
    <row r="1805" spans="1:7" x14ac:dyDescent="0.25">
      <c r="A1805" s="6">
        <v>44079</v>
      </c>
      <c r="B1805" s="59" t="s">
        <v>2284</v>
      </c>
      <c r="E1805" s="82"/>
      <c r="F1805" s="72">
        <v>5000</v>
      </c>
      <c r="G1805" s="2">
        <f t="shared" si="33"/>
        <v>20</v>
      </c>
    </row>
    <row r="1806" spans="1:7" x14ac:dyDescent="0.25">
      <c r="A1806" s="6">
        <v>44079</v>
      </c>
      <c r="B1806" s="59" t="s">
        <v>292</v>
      </c>
      <c r="E1806" s="82"/>
      <c r="F1806" s="72">
        <v>3400</v>
      </c>
      <c r="G1806" s="2">
        <f t="shared" si="33"/>
        <v>13.6</v>
      </c>
    </row>
    <row r="1807" spans="1:7" s="22" customFormat="1" x14ac:dyDescent="0.25">
      <c r="A1807" s="6">
        <v>44080</v>
      </c>
      <c r="B1807" s="59" t="s">
        <v>2299</v>
      </c>
      <c r="D1807" s="63"/>
      <c r="E1807" s="82"/>
      <c r="F1807" s="72">
        <v>3500</v>
      </c>
      <c r="G1807" s="2">
        <f t="shared" si="33"/>
        <v>14</v>
      </c>
    </row>
    <row r="1808" spans="1:7" s="22" customFormat="1" x14ac:dyDescent="0.25">
      <c r="A1808" s="6">
        <v>44080</v>
      </c>
      <c r="B1808" s="59" t="s">
        <v>2239</v>
      </c>
      <c r="D1808" s="63"/>
      <c r="E1808" s="82"/>
      <c r="F1808" s="72">
        <v>500</v>
      </c>
      <c r="G1808" s="2">
        <f t="shared" si="33"/>
        <v>2</v>
      </c>
    </row>
    <row r="1809" spans="1:7" s="22" customFormat="1" x14ac:dyDescent="0.25">
      <c r="A1809" s="6">
        <v>44081</v>
      </c>
      <c r="B1809" s="59" t="s">
        <v>2300</v>
      </c>
      <c r="D1809" s="63"/>
      <c r="E1809" s="178"/>
      <c r="F1809" s="72">
        <v>500</v>
      </c>
      <c r="G1809" s="2">
        <f t="shared" si="33"/>
        <v>2</v>
      </c>
    </row>
    <row r="1810" spans="1:7" s="22" customFormat="1" x14ac:dyDescent="0.25">
      <c r="A1810" s="6">
        <v>44081</v>
      </c>
      <c r="B1810" s="59" t="s">
        <v>2286</v>
      </c>
      <c r="D1810" s="63"/>
      <c r="E1810" s="82"/>
      <c r="F1810" s="72">
        <v>100</v>
      </c>
      <c r="G1810" s="2">
        <f t="shared" si="33"/>
        <v>0.4</v>
      </c>
    </row>
    <row r="1811" spans="1:7" s="22" customFormat="1" x14ac:dyDescent="0.25">
      <c r="A1811" s="6">
        <v>44081</v>
      </c>
      <c r="B1811" s="59" t="s">
        <v>1926</v>
      </c>
      <c r="D1811" s="63"/>
      <c r="E1811" s="178"/>
      <c r="F1811" s="72">
        <v>5000</v>
      </c>
      <c r="G1811" s="2">
        <f t="shared" si="33"/>
        <v>20</v>
      </c>
    </row>
    <row r="1812" spans="1:7" s="22" customFormat="1" x14ac:dyDescent="0.25">
      <c r="A1812" s="6">
        <v>44081</v>
      </c>
      <c r="B1812" s="59" t="s">
        <v>1948</v>
      </c>
      <c r="D1812" s="63"/>
      <c r="E1812" s="82"/>
      <c r="F1812" s="72">
        <v>3500</v>
      </c>
      <c r="G1812" s="2">
        <f t="shared" si="33"/>
        <v>14</v>
      </c>
    </row>
    <row r="1813" spans="1:7" s="22" customFormat="1" x14ac:dyDescent="0.25">
      <c r="A1813" s="6">
        <v>44081</v>
      </c>
      <c r="B1813" s="59" t="s">
        <v>2301</v>
      </c>
      <c r="D1813" s="63"/>
      <c r="E1813" s="82" t="s">
        <v>53</v>
      </c>
      <c r="F1813" s="72">
        <v>200</v>
      </c>
      <c r="G1813" s="2">
        <f t="shared" si="33"/>
        <v>25.8</v>
      </c>
    </row>
    <row r="1814" spans="1:7" s="22" customFormat="1" x14ac:dyDescent="0.25">
      <c r="A1814" s="6">
        <v>44081</v>
      </c>
      <c r="B1814" s="59" t="s">
        <v>2302</v>
      </c>
      <c r="D1814" s="63"/>
      <c r="E1814" s="82" t="s">
        <v>53</v>
      </c>
      <c r="F1814" s="72">
        <v>200</v>
      </c>
      <c r="G1814" s="2">
        <f t="shared" si="33"/>
        <v>25.8</v>
      </c>
    </row>
    <row r="1815" spans="1:7" s="22" customFormat="1" x14ac:dyDescent="0.25">
      <c r="A1815" s="6">
        <v>44081</v>
      </c>
      <c r="B1815" s="59" t="s">
        <v>2303</v>
      </c>
      <c r="D1815" s="63"/>
      <c r="E1815" s="82"/>
      <c r="F1815" s="72">
        <v>900</v>
      </c>
      <c r="G1815" s="2">
        <f t="shared" si="33"/>
        <v>3.6</v>
      </c>
    </row>
    <row r="1816" spans="1:7" s="22" customFormat="1" x14ac:dyDescent="0.25">
      <c r="A1816" s="6">
        <v>44081</v>
      </c>
      <c r="B1816" s="59" t="s">
        <v>2288</v>
      </c>
      <c r="D1816" s="63"/>
      <c r="E1816" s="82"/>
      <c r="F1816" s="72">
        <v>100</v>
      </c>
      <c r="G1816" s="2">
        <f t="shared" si="33"/>
        <v>0.4</v>
      </c>
    </row>
    <row r="1817" spans="1:7" s="22" customFormat="1" x14ac:dyDescent="0.25">
      <c r="A1817" s="6">
        <v>44081</v>
      </c>
      <c r="B1817" s="59" t="s">
        <v>2062</v>
      </c>
      <c r="D1817" s="63"/>
      <c r="E1817" s="82"/>
      <c r="F1817" s="72">
        <v>1600</v>
      </c>
      <c r="G1817" s="2">
        <f t="shared" si="33"/>
        <v>6.4</v>
      </c>
    </row>
    <row r="1818" spans="1:7" s="22" customFormat="1" x14ac:dyDescent="0.25">
      <c r="A1818" s="6">
        <v>44081</v>
      </c>
      <c r="B1818" s="59" t="s">
        <v>2304</v>
      </c>
      <c r="D1818" s="63"/>
      <c r="E1818" s="82" t="s">
        <v>66</v>
      </c>
      <c r="F1818" s="72">
        <v>200</v>
      </c>
      <c r="G1818" s="2">
        <f t="shared" si="33"/>
        <v>25.8</v>
      </c>
    </row>
    <row r="1819" spans="1:7" s="22" customFormat="1" x14ac:dyDescent="0.25">
      <c r="A1819" s="6">
        <v>44081</v>
      </c>
      <c r="B1819" s="59" t="s">
        <v>2305</v>
      </c>
      <c r="D1819" s="63"/>
      <c r="E1819" s="82" t="s">
        <v>66</v>
      </c>
      <c r="F1819" s="72">
        <v>200</v>
      </c>
      <c r="G1819" s="2">
        <f t="shared" si="33"/>
        <v>25.8</v>
      </c>
    </row>
    <row r="1820" spans="1:7" s="22" customFormat="1" x14ac:dyDescent="0.25">
      <c r="A1820" s="6">
        <v>44081</v>
      </c>
      <c r="B1820" s="59" t="s">
        <v>1979</v>
      </c>
      <c r="D1820" s="63"/>
      <c r="E1820" s="82"/>
      <c r="F1820" s="72">
        <v>200</v>
      </c>
      <c r="G1820" s="2">
        <f t="shared" si="33"/>
        <v>0.8</v>
      </c>
    </row>
    <row r="1821" spans="1:7" s="22" customFormat="1" x14ac:dyDescent="0.25">
      <c r="A1821" s="6">
        <v>44081</v>
      </c>
      <c r="B1821" s="59" t="s">
        <v>2306</v>
      </c>
      <c r="D1821" s="63"/>
      <c r="E1821" s="178"/>
      <c r="F1821" s="72">
        <v>7000</v>
      </c>
      <c r="G1821" s="2">
        <f t="shared" si="33"/>
        <v>20</v>
      </c>
    </row>
    <row r="1822" spans="1:7" x14ac:dyDescent="0.25">
      <c r="A1822" s="6">
        <v>44081</v>
      </c>
      <c r="B1822" s="59" t="s">
        <v>2060</v>
      </c>
      <c r="E1822" s="82"/>
      <c r="F1822" s="72">
        <v>5000</v>
      </c>
      <c r="G1822" s="2">
        <f t="shared" si="33"/>
        <v>20</v>
      </c>
    </row>
    <row r="1823" spans="1:7" s="22" customFormat="1" x14ac:dyDescent="0.25">
      <c r="A1823" s="6">
        <v>44082</v>
      </c>
      <c r="B1823" s="59" t="s">
        <v>2239</v>
      </c>
      <c r="D1823" s="63"/>
      <c r="E1823" s="82"/>
      <c r="F1823" s="72">
        <v>500</v>
      </c>
      <c r="G1823" s="2">
        <f t="shared" si="33"/>
        <v>2</v>
      </c>
    </row>
    <row r="1824" spans="1:7" s="22" customFormat="1" x14ac:dyDescent="0.25">
      <c r="A1824" s="6">
        <v>44082</v>
      </c>
      <c r="B1824" s="59" t="s">
        <v>2350</v>
      </c>
      <c r="D1824" s="63"/>
      <c r="E1824" s="82"/>
      <c r="F1824" s="72">
        <v>500</v>
      </c>
      <c r="G1824" s="2">
        <f t="shared" si="33"/>
        <v>2</v>
      </c>
    </row>
    <row r="1825" spans="1:7" s="22" customFormat="1" x14ac:dyDescent="0.25">
      <c r="A1825" s="6">
        <v>44082</v>
      </c>
      <c r="B1825" s="59" t="s">
        <v>1948</v>
      </c>
      <c r="D1825" s="63"/>
      <c r="E1825" s="82"/>
      <c r="F1825" s="72">
        <v>4200</v>
      </c>
      <c r="G1825" s="2">
        <f t="shared" si="33"/>
        <v>16.8</v>
      </c>
    </row>
    <row r="1826" spans="1:7" s="22" customFormat="1" x14ac:dyDescent="0.25">
      <c r="A1826" s="6">
        <v>44082</v>
      </c>
      <c r="B1826" s="59" t="s">
        <v>2351</v>
      </c>
      <c r="D1826" s="63"/>
      <c r="E1826" s="82" t="s">
        <v>66</v>
      </c>
      <c r="F1826" s="72">
        <v>1000</v>
      </c>
      <c r="G1826" s="2">
        <f t="shared" si="33"/>
        <v>29</v>
      </c>
    </row>
    <row r="1827" spans="1:7" s="22" customFormat="1" x14ac:dyDescent="0.25">
      <c r="A1827" s="6">
        <v>44082</v>
      </c>
      <c r="B1827" s="59" t="s">
        <v>2352</v>
      </c>
      <c r="D1827" s="63"/>
      <c r="E1827" s="82" t="s">
        <v>66</v>
      </c>
      <c r="F1827" s="72">
        <v>200</v>
      </c>
      <c r="G1827" s="2">
        <f t="shared" si="33"/>
        <v>25.8</v>
      </c>
    </row>
    <row r="1828" spans="1:7" s="22" customFormat="1" x14ac:dyDescent="0.25">
      <c r="A1828" s="6">
        <v>44082</v>
      </c>
      <c r="B1828" s="59" t="s">
        <v>2353</v>
      </c>
      <c r="D1828" s="63"/>
      <c r="E1828" s="82" t="s">
        <v>66</v>
      </c>
      <c r="F1828" s="72">
        <v>200</v>
      </c>
      <c r="G1828" s="2">
        <f t="shared" si="33"/>
        <v>25.8</v>
      </c>
    </row>
    <row r="1829" spans="1:7" s="22" customFormat="1" x14ac:dyDescent="0.25">
      <c r="A1829" s="6">
        <v>44082</v>
      </c>
      <c r="B1829" s="59" t="s">
        <v>2273</v>
      </c>
      <c r="D1829" s="63"/>
      <c r="E1829" s="82"/>
      <c r="F1829" s="72">
        <v>10000</v>
      </c>
      <c r="G1829" s="2">
        <f t="shared" si="33"/>
        <v>20</v>
      </c>
    </row>
    <row r="1830" spans="1:7" s="22" customFormat="1" x14ac:dyDescent="0.25">
      <c r="A1830" s="6">
        <v>44082</v>
      </c>
      <c r="B1830" s="59" t="s">
        <v>2306</v>
      </c>
      <c r="D1830" s="63"/>
      <c r="E1830" s="82"/>
      <c r="F1830" s="72">
        <v>5000</v>
      </c>
      <c r="G1830" s="2">
        <f t="shared" si="33"/>
        <v>20</v>
      </c>
    </row>
    <row r="1831" spans="1:7" x14ac:dyDescent="0.25">
      <c r="A1831" s="6">
        <v>44082</v>
      </c>
      <c r="B1831" s="59" t="s">
        <v>2354</v>
      </c>
      <c r="E1831" s="82" t="s">
        <v>66</v>
      </c>
      <c r="F1831" s="72">
        <v>500</v>
      </c>
      <c r="G1831" s="2">
        <f t="shared" si="33"/>
        <v>27</v>
      </c>
    </row>
    <row r="1832" spans="1:7" x14ac:dyDescent="0.25">
      <c r="A1832" s="6">
        <v>44083</v>
      </c>
      <c r="B1832" s="59" t="s">
        <v>2239</v>
      </c>
      <c r="E1832" s="82"/>
      <c r="F1832" s="72">
        <v>500</v>
      </c>
      <c r="G1832" s="2">
        <f t="shared" si="33"/>
        <v>2</v>
      </c>
    </row>
    <row r="1833" spans="1:7" s="22" customFormat="1" x14ac:dyDescent="0.25">
      <c r="A1833" s="6">
        <v>44083</v>
      </c>
      <c r="B1833" s="59" t="s">
        <v>2273</v>
      </c>
      <c r="D1833" s="63"/>
      <c r="E1833" s="82"/>
      <c r="F1833" s="72">
        <v>4000</v>
      </c>
      <c r="G1833" s="2">
        <f t="shared" si="33"/>
        <v>16</v>
      </c>
    </row>
    <row r="1834" spans="1:7" s="22" customFormat="1" x14ac:dyDescent="0.25">
      <c r="A1834" s="6">
        <v>44083</v>
      </c>
      <c r="B1834" s="59" t="s">
        <v>2062</v>
      </c>
      <c r="D1834" s="63"/>
      <c r="E1834" s="82"/>
      <c r="F1834" s="72">
        <v>2200</v>
      </c>
      <c r="G1834" s="2">
        <f t="shared" si="33"/>
        <v>8.8000000000000007</v>
      </c>
    </row>
    <row r="1835" spans="1:7" s="22" customFormat="1" x14ac:dyDescent="0.25">
      <c r="A1835" s="6">
        <v>44084</v>
      </c>
      <c r="B1835" s="59" t="s">
        <v>2362</v>
      </c>
      <c r="D1835" s="63"/>
      <c r="E1835" s="178"/>
      <c r="F1835" s="72">
        <v>1300</v>
      </c>
      <c r="G1835" s="2">
        <f t="shared" si="33"/>
        <v>5.2</v>
      </c>
    </row>
    <row r="1836" spans="1:7" s="22" customFormat="1" x14ac:dyDescent="0.25">
      <c r="A1836" s="6">
        <v>44084</v>
      </c>
      <c r="B1836" s="59" t="s">
        <v>2062</v>
      </c>
      <c r="D1836" s="63"/>
      <c r="E1836" s="82"/>
      <c r="F1836" s="72">
        <v>500</v>
      </c>
      <c r="G1836" s="2">
        <f t="shared" si="33"/>
        <v>2</v>
      </c>
    </row>
    <row r="1837" spans="1:7" s="22" customFormat="1" x14ac:dyDescent="0.25">
      <c r="A1837" s="6">
        <v>44084</v>
      </c>
      <c r="B1837" s="59" t="s">
        <v>2363</v>
      </c>
      <c r="D1837" s="63"/>
      <c r="E1837" s="82"/>
      <c r="F1837" s="72">
        <v>3000</v>
      </c>
      <c r="G1837" s="2">
        <f t="shared" si="33"/>
        <v>12</v>
      </c>
    </row>
    <row r="1838" spans="1:7" s="22" customFormat="1" x14ac:dyDescent="0.25">
      <c r="A1838" s="6">
        <v>44084</v>
      </c>
      <c r="B1838" s="59" t="s">
        <v>2306</v>
      </c>
      <c r="D1838" s="63"/>
      <c r="E1838" s="82"/>
      <c r="F1838" s="72">
        <v>2500</v>
      </c>
      <c r="G1838" s="2">
        <f t="shared" si="33"/>
        <v>10</v>
      </c>
    </row>
    <row r="1839" spans="1:7" s="22" customFormat="1" x14ac:dyDescent="0.25">
      <c r="A1839" s="6">
        <v>44084</v>
      </c>
      <c r="B1839" s="59" t="s">
        <v>2087</v>
      </c>
      <c r="D1839" s="63"/>
      <c r="E1839" s="82"/>
      <c r="F1839" s="72">
        <v>2000</v>
      </c>
      <c r="G1839" s="2">
        <f t="shared" si="33"/>
        <v>8</v>
      </c>
    </row>
    <row r="1840" spans="1:7" s="22" customFormat="1" x14ac:dyDescent="0.25">
      <c r="A1840" s="6">
        <v>44085</v>
      </c>
      <c r="B1840" s="59" t="s">
        <v>2239</v>
      </c>
      <c r="D1840" s="63"/>
      <c r="E1840" s="82"/>
      <c r="F1840" s="72">
        <v>500</v>
      </c>
      <c r="G1840" s="2">
        <f t="shared" si="33"/>
        <v>2</v>
      </c>
    </row>
    <row r="1841" spans="1:7" s="22" customFormat="1" x14ac:dyDescent="0.25">
      <c r="A1841" s="6">
        <v>44085</v>
      </c>
      <c r="B1841" s="59" t="s">
        <v>2364</v>
      </c>
      <c r="D1841" s="63"/>
      <c r="E1841" s="82" t="s">
        <v>66</v>
      </c>
      <c r="F1841" s="72">
        <v>1000</v>
      </c>
      <c r="G1841" s="2">
        <f t="shared" si="33"/>
        <v>29</v>
      </c>
    </row>
    <row r="1842" spans="1:7" s="22" customFormat="1" x14ac:dyDescent="0.25">
      <c r="A1842" s="6">
        <v>44085</v>
      </c>
      <c r="B1842" s="59" t="s">
        <v>2365</v>
      </c>
      <c r="D1842" s="63"/>
      <c r="E1842" s="82"/>
      <c r="F1842" s="72">
        <v>1000</v>
      </c>
      <c r="G1842" s="2">
        <f t="shared" si="33"/>
        <v>4</v>
      </c>
    </row>
    <row r="1843" spans="1:7" s="22" customFormat="1" x14ac:dyDescent="0.25">
      <c r="A1843" s="6">
        <v>44085</v>
      </c>
      <c r="B1843" s="59" t="s">
        <v>2366</v>
      </c>
      <c r="D1843" s="63"/>
      <c r="E1843" s="82"/>
      <c r="F1843" s="72">
        <v>1000</v>
      </c>
      <c r="G1843" s="2">
        <f t="shared" si="33"/>
        <v>4</v>
      </c>
    </row>
    <row r="1844" spans="1:7" x14ac:dyDescent="0.25">
      <c r="A1844" s="6">
        <v>44085</v>
      </c>
      <c r="B1844" s="59" t="s">
        <v>2062</v>
      </c>
      <c r="E1844" s="133">
        <v>3900.0000000000018</v>
      </c>
      <c r="F1844" s="72">
        <v>1800</v>
      </c>
      <c r="G1844" s="2">
        <f t="shared" si="33"/>
        <v>7.2</v>
      </c>
    </row>
    <row r="1845" spans="1:7" x14ac:dyDescent="0.25">
      <c r="A1845" s="6">
        <v>44086</v>
      </c>
      <c r="B1845" s="59" t="s">
        <v>2362</v>
      </c>
      <c r="F1845" s="72">
        <v>4000</v>
      </c>
      <c r="G1845" s="2">
        <f t="shared" si="33"/>
        <v>16</v>
      </c>
    </row>
    <row r="1846" spans="1:7" s="22" customFormat="1" x14ac:dyDescent="0.25">
      <c r="A1846" s="6">
        <v>44086</v>
      </c>
      <c r="B1846" s="59" t="s">
        <v>2239</v>
      </c>
      <c r="C1846"/>
      <c r="D1846" s="63"/>
      <c r="E1846" s="82"/>
      <c r="F1846" s="72">
        <v>500</v>
      </c>
      <c r="G1846" s="2">
        <f t="shared" si="33"/>
        <v>2</v>
      </c>
    </row>
    <row r="1847" spans="1:7" s="22" customFormat="1" x14ac:dyDescent="0.25">
      <c r="A1847" s="6">
        <v>44086</v>
      </c>
      <c r="B1847" s="59" t="s">
        <v>2368</v>
      </c>
      <c r="D1847" s="63"/>
      <c r="E1847" s="82"/>
      <c r="F1847" s="72">
        <v>2500</v>
      </c>
      <c r="G1847" s="2">
        <f t="shared" si="33"/>
        <v>10</v>
      </c>
    </row>
    <row r="1848" spans="1:7" s="22" customFormat="1" x14ac:dyDescent="0.25">
      <c r="A1848" s="6">
        <v>44086</v>
      </c>
      <c r="B1848" s="59"/>
      <c r="D1848" s="63"/>
      <c r="E1848" s="82"/>
      <c r="F1848" s="72">
        <v>300</v>
      </c>
      <c r="G1848" s="2">
        <f t="shared" si="33"/>
        <v>1.2</v>
      </c>
    </row>
    <row r="1849" spans="1:7" s="22" customFormat="1" x14ac:dyDescent="0.25">
      <c r="A1849" s="6">
        <v>44086</v>
      </c>
      <c r="B1849" s="59"/>
      <c r="D1849" s="63"/>
      <c r="E1849" s="82"/>
      <c r="F1849" s="72">
        <v>100</v>
      </c>
      <c r="G1849" s="2">
        <f t="shared" ref="G1849:G1879" si="34">IF(E1849="y",25,IF(OR(E1849="N",E1849="RD",E1849="I"),10,0))+IF(F1849&gt;5000,20,F1849*0.4%)+IF(E1849="SB",2,IF(E1849="JJ",35,IF(E1849="A",50,0)))</f>
        <v>0.4</v>
      </c>
    </row>
    <row r="1850" spans="1:7" s="22" customFormat="1" x14ac:dyDescent="0.25">
      <c r="A1850" s="6">
        <v>44086</v>
      </c>
      <c r="B1850" s="59" t="s">
        <v>2182</v>
      </c>
      <c r="D1850" s="63"/>
      <c r="E1850" s="82"/>
      <c r="F1850" s="72">
        <v>3000</v>
      </c>
      <c r="G1850" s="2">
        <f t="shared" si="34"/>
        <v>12</v>
      </c>
    </row>
    <row r="1851" spans="1:7" s="22" customFormat="1" x14ac:dyDescent="0.25">
      <c r="A1851" s="6">
        <v>44086</v>
      </c>
      <c r="B1851" s="59"/>
      <c r="D1851" s="63"/>
      <c r="E1851" s="82"/>
      <c r="F1851" s="72">
        <v>800</v>
      </c>
      <c r="G1851" s="2">
        <f t="shared" si="34"/>
        <v>3.2</v>
      </c>
    </row>
    <row r="1852" spans="1:7" s="22" customFormat="1" x14ac:dyDescent="0.25">
      <c r="A1852" s="6">
        <v>44088</v>
      </c>
      <c r="B1852" s="59" t="s">
        <v>2134</v>
      </c>
      <c r="D1852" s="63"/>
      <c r="E1852" s="82"/>
      <c r="F1852" s="72">
        <v>3000</v>
      </c>
      <c r="G1852" s="2">
        <f t="shared" si="34"/>
        <v>12</v>
      </c>
    </row>
    <row r="1853" spans="1:7" s="22" customFormat="1" x14ac:dyDescent="0.25">
      <c r="A1853" s="6">
        <v>44088</v>
      </c>
      <c r="B1853" s="59"/>
      <c r="D1853" s="63"/>
      <c r="E1853" s="82"/>
      <c r="F1853" s="72">
        <v>900</v>
      </c>
      <c r="G1853" s="2">
        <f t="shared" si="34"/>
        <v>3.6</v>
      </c>
    </row>
    <row r="1854" spans="1:7" s="22" customFormat="1" x14ac:dyDescent="0.25">
      <c r="A1854" s="6">
        <v>44088</v>
      </c>
      <c r="B1854" s="59" t="s">
        <v>2239</v>
      </c>
      <c r="D1854" s="63"/>
      <c r="E1854" s="82"/>
      <c r="F1854" s="72">
        <v>500</v>
      </c>
      <c r="G1854" s="2">
        <f t="shared" si="34"/>
        <v>2</v>
      </c>
    </row>
    <row r="1855" spans="1:7" s="22" customFormat="1" x14ac:dyDescent="0.25">
      <c r="A1855" s="6">
        <v>44088</v>
      </c>
      <c r="B1855" s="59" t="s">
        <v>2414</v>
      </c>
      <c r="D1855" s="63"/>
      <c r="E1855" s="82"/>
      <c r="F1855" s="72">
        <v>2000</v>
      </c>
      <c r="G1855" s="2">
        <f t="shared" si="34"/>
        <v>8</v>
      </c>
    </row>
    <row r="1856" spans="1:7" s="22" customFormat="1" x14ac:dyDescent="0.25">
      <c r="A1856" s="6">
        <v>44088</v>
      </c>
      <c r="B1856" s="59" t="s">
        <v>2415</v>
      </c>
      <c r="D1856" s="63"/>
      <c r="E1856" s="82"/>
      <c r="F1856" s="72">
        <v>1500</v>
      </c>
      <c r="G1856" s="2">
        <f t="shared" si="34"/>
        <v>6</v>
      </c>
    </row>
    <row r="1857" spans="1:7" s="22" customFormat="1" x14ac:dyDescent="0.25">
      <c r="A1857" s="6">
        <v>44088</v>
      </c>
      <c r="B1857" s="59" t="s">
        <v>2416</v>
      </c>
      <c r="D1857" s="63"/>
      <c r="E1857" s="82"/>
      <c r="F1857" s="72">
        <v>2000</v>
      </c>
      <c r="G1857" s="2">
        <f t="shared" si="34"/>
        <v>8</v>
      </c>
    </row>
    <row r="1858" spans="1:7" s="22" customFormat="1" x14ac:dyDescent="0.25">
      <c r="A1858" s="6">
        <v>44089</v>
      </c>
      <c r="B1858" s="59" t="s">
        <v>2239</v>
      </c>
      <c r="D1858" s="63"/>
      <c r="E1858" s="82"/>
      <c r="F1858" s="72">
        <v>500</v>
      </c>
      <c r="G1858" s="2">
        <f t="shared" si="34"/>
        <v>2</v>
      </c>
    </row>
    <row r="1859" spans="1:7" s="22" customFormat="1" x14ac:dyDescent="0.25">
      <c r="A1859" s="6">
        <v>44090</v>
      </c>
      <c r="B1859" s="59" t="s">
        <v>2300</v>
      </c>
      <c r="D1859" s="63"/>
      <c r="E1859" s="82"/>
      <c r="F1859" s="72">
        <v>700</v>
      </c>
      <c r="G1859" s="2">
        <f t="shared" si="34"/>
        <v>2.8000000000000003</v>
      </c>
    </row>
    <row r="1860" spans="1:7" s="22" customFormat="1" x14ac:dyDescent="0.25">
      <c r="A1860" s="6">
        <v>44090</v>
      </c>
      <c r="B1860" s="59" t="s">
        <v>2417</v>
      </c>
      <c r="D1860" s="63"/>
      <c r="E1860" s="82"/>
      <c r="F1860" s="72">
        <v>200</v>
      </c>
      <c r="G1860" s="2">
        <f t="shared" si="34"/>
        <v>0.8</v>
      </c>
    </row>
    <row r="1861" spans="1:7" s="22" customFormat="1" x14ac:dyDescent="0.25">
      <c r="A1861" s="6">
        <v>44090</v>
      </c>
      <c r="B1861" s="59" t="s">
        <v>2239</v>
      </c>
      <c r="D1861" s="63"/>
      <c r="E1861" s="82"/>
      <c r="F1861" s="72">
        <v>500</v>
      </c>
      <c r="G1861" s="2">
        <f t="shared" si="34"/>
        <v>2</v>
      </c>
    </row>
    <row r="1862" spans="1:7" s="22" customFormat="1" x14ac:dyDescent="0.25">
      <c r="A1862" s="6">
        <v>44090</v>
      </c>
      <c r="B1862" s="59" t="s">
        <v>2085</v>
      </c>
      <c r="D1862" s="63"/>
      <c r="E1862" s="82"/>
      <c r="F1862" s="72">
        <v>1100</v>
      </c>
      <c r="G1862" s="2">
        <f t="shared" si="34"/>
        <v>4.4000000000000004</v>
      </c>
    </row>
    <row r="1863" spans="1:7" s="22" customFormat="1" x14ac:dyDescent="0.25">
      <c r="A1863" s="6">
        <v>44090</v>
      </c>
      <c r="B1863" s="59" t="s">
        <v>2418</v>
      </c>
      <c r="D1863" s="63"/>
      <c r="E1863" s="82"/>
      <c r="F1863" s="72">
        <v>2500</v>
      </c>
      <c r="G1863" s="2">
        <f t="shared" si="34"/>
        <v>10</v>
      </c>
    </row>
    <row r="1864" spans="1:7" s="22" customFormat="1" x14ac:dyDescent="0.25">
      <c r="A1864" s="6">
        <v>44090</v>
      </c>
      <c r="B1864" s="59" t="s">
        <v>2060</v>
      </c>
      <c r="D1864" s="63"/>
      <c r="E1864" s="82"/>
      <c r="F1864" s="72">
        <v>1100</v>
      </c>
      <c r="G1864" s="2">
        <f t="shared" si="34"/>
        <v>4.4000000000000004</v>
      </c>
    </row>
    <row r="1865" spans="1:7" s="22" customFormat="1" x14ac:dyDescent="0.25">
      <c r="A1865" s="6">
        <v>44091</v>
      </c>
      <c r="B1865" s="59" t="s">
        <v>2239</v>
      </c>
      <c r="D1865" s="63"/>
      <c r="E1865" s="82"/>
      <c r="F1865" s="72">
        <v>500</v>
      </c>
      <c r="G1865" s="2">
        <f t="shared" si="34"/>
        <v>2</v>
      </c>
    </row>
    <row r="1866" spans="1:7" s="22" customFormat="1" x14ac:dyDescent="0.25">
      <c r="A1866" s="6">
        <v>44091</v>
      </c>
      <c r="B1866" s="59" t="s">
        <v>2415</v>
      </c>
      <c r="D1866" s="63"/>
      <c r="E1866" s="82"/>
      <c r="F1866" s="72">
        <v>4000</v>
      </c>
      <c r="G1866" s="2">
        <f t="shared" si="34"/>
        <v>16</v>
      </c>
    </row>
    <row r="1867" spans="1:7" s="22" customFormat="1" x14ac:dyDescent="0.25">
      <c r="A1867" s="6">
        <v>44092</v>
      </c>
      <c r="B1867" s="59" t="s">
        <v>2239</v>
      </c>
      <c r="D1867" s="63"/>
      <c r="E1867" s="82"/>
      <c r="F1867" s="72">
        <v>500</v>
      </c>
      <c r="G1867" s="2">
        <f t="shared" si="34"/>
        <v>2</v>
      </c>
    </row>
    <row r="1868" spans="1:7" s="22" customFormat="1" x14ac:dyDescent="0.25">
      <c r="A1868" s="6">
        <v>44092</v>
      </c>
      <c r="B1868" s="59" t="s">
        <v>71</v>
      </c>
      <c r="D1868" s="63"/>
      <c r="E1868" s="178"/>
      <c r="F1868" s="72">
        <v>500</v>
      </c>
      <c r="G1868" s="2">
        <f t="shared" si="34"/>
        <v>2</v>
      </c>
    </row>
    <row r="1869" spans="1:7" s="22" customFormat="1" x14ac:dyDescent="0.25">
      <c r="A1869" s="6">
        <v>44092</v>
      </c>
      <c r="B1869" s="59" t="s">
        <v>71</v>
      </c>
      <c r="D1869" s="63"/>
      <c r="E1869" s="178"/>
      <c r="F1869" s="72">
        <v>200</v>
      </c>
      <c r="G1869" s="2">
        <f t="shared" si="34"/>
        <v>0.8</v>
      </c>
    </row>
    <row r="1870" spans="1:7" s="22" customFormat="1" x14ac:dyDescent="0.25">
      <c r="A1870" s="6">
        <v>44092</v>
      </c>
      <c r="B1870" s="59" t="s">
        <v>2411</v>
      </c>
      <c r="D1870" s="63"/>
      <c r="E1870" s="82" t="s">
        <v>66</v>
      </c>
      <c r="F1870" s="72">
        <v>100</v>
      </c>
      <c r="G1870" s="2">
        <f t="shared" si="34"/>
        <v>25.4</v>
      </c>
    </row>
    <row r="1871" spans="1:7" s="22" customFormat="1" x14ac:dyDescent="0.25">
      <c r="A1871" s="6">
        <v>44092</v>
      </c>
      <c r="B1871" s="59" t="s">
        <v>2239</v>
      </c>
      <c r="D1871" s="63"/>
      <c r="E1871" s="82"/>
      <c r="F1871" s="72">
        <v>500</v>
      </c>
      <c r="G1871" s="2">
        <f t="shared" si="34"/>
        <v>2</v>
      </c>
    </row>
    <row r="1872" spans="1:7" s="22" customFormat="1" x14ac:dyDescent="0.25">
      <c r="A1872" s="6">
        <v>44092</v>
      </c>
      <c r="B1872" s="59" t="s">
        <v>2412</v>
      </c>
      <c r="D1872" s="63"/>
      <c r="E1872" s="82"/>
      <c r="F1872" s="72">
        <v>500</v>
      </c>
      <c r="G1872" s="2">
        <f t="shared" si="34"/>
        <v>2</v>
      </c>
    </row>
    <row r="1873" spans="1:7" s="22" customFormat="1" x14ac:dyDescent="0.25">
      <c r="A1873" s="6">
        <v>44092</v>
      </c>
      <c r="B1873" s="59" t="s">
        <v>2350</v>
      </c>
      <c r="D1873" s="63"/>
      <c r="E1873" s="82"/>
      <c r="F1873" s="72">
        <v>1000</v>
      </c>
      <c r="G1873" s="2">
        <f t="shared" si="34"/>
        <v>4</v>
      </c>
    </row>
    <row r="1874" spans="1:7" s="22" customFormat="1" x14ac:dyDescent="0.25">
      <c r="A1874" s="6">
        <v>44092</v>
      </c>
      <c r="B1874" s="59" t="s">
        <v>2127</v>
      </c>
      <c r="D1874" s="63"/>
      <c r="E1874" s="82"/>
      <c r="F1874" s="72">
        <v>2000</v>
      </c>
      <c r="G1874" s="2">
        <f t="shared" si="34"/>
        <v>8</v>
      </c>
    </row>
    <row r="1875" spans="1:7" s="22" customFormat="1" x14ac:dyDescent="0.25">
      <c r="A1875" s="6">
        <v>44092</v>
      </c>
      <c r="B1875" s="59" t="s">
        <v>2413</v>
      </c>
      <c r="D1875" s="63"/>
      <c r="E1875" s="82"/>
      <c r="F1875" s="72">
        <v>1500</v>
      </c>
      <c r="G1875" s="2">
        <f t="shared" si="34"/>
        <v>6</v>
      </c>
    </row>
    <row r="1876" spans="1:7" s="22" customFormat="1" x14ac:dyDescent="0.25">
      <c r="A1876" s="6"/>
      <c r="B1876" s="61" t="s">
        <v>93</v>
      </c>
      <c r="D1876" s="63"/>
      <c r="E1876" s="83">
        <v>500</v>
      </c>
      <c r="F1876" s="125"/>
      <c r="G1876" s="2">
        <f t="shared" si="34"/>
        <v>0</v>
      </c>
    </row>
    <row r="1877" spans="1:7" s="22" customFormat="1" x14ac:dyDescent="0.25">
      <c r="A1877" s="6">
        <v>44093</v>
      </c>
      <c r="B1877" s="59" t="s">
        <v>1979</v>
      </c>
      <c r="D1877" s="63"/>
      <c r="E1877" s="82"/>
      <c r="F1877" s="72">
        <v>200</v>
      </c>
      <c r="G1877" s="2">
        <f t="shared" si="34"/>
        <v>0.8</v>
      </c>
    </row>
    <row r="1878" spans="1:7" s="22" customFormat="1" x14ac:dyDescent="0.25">
      <c r="A1878" s="6">
        <v>44093</v>
      </c>
      <c r="B1878" s="59" t="s">
        <v>1948</v>
      </c>
      <c r="D1878" s="63"/>
      <c r="E1878" s="82"/>
      <c r="F1878" s="72">
        <v>700</v>
      </c>
      <c r="G1878" s="2">
        <f t="shared" si="34"/>
        <v>2.8000000000000003</v>
      </c>
    </row>
    <row r="1879" spans="1:7" s="22" customFormat="1" x14ac:dyDescent="0.25">
      <c r="A1879" s="6">
        <v>44093</v>
      </c>
      <c r="B1879" s="59" t="s">
        <v>2164</v>
      </c>
      <c r="D1879" s="63"/>
      <c r="E1879" s="82"/>
      <c r="F1879" s="72">
        <v>1500</v>
      </c>
      <c r="G1879" s="2">
        <f t="shared" si="34"/>
        <v>6</v>
      </c>
    </row>
    <row r="1880" spans="1:7" s="22" customFormat="1" x14ac:dyDescent="0.25">
      <c r="A1880" s="6">
        <v>44093</v>
      </c>
      <c r="B1880" s="59" t="s">
        <v>2164</v>
      </c>
      <c r="D1880" s="63"/>
      <c r="E1880" s="82" t="s">
        <v>1685</v>
      </c>
      <c r="F1880" s="72"/>
      <c r="G1880" s="2">
        <f>IF(E1880="y",25,IF(OR(E1880="N",E1880="RD",E1880="I"),10,0))+IF(F1880&gt;5000,20,F1880*0.4%)+IF(E1880="SB",1,IF(E1880="JJ",30,IF(E1880="A",50,0)))</f>
        <v>30</v>
      </c>
    </row>
    <row r="1881" spans="1:7" s="22" customFormat="1" x14ac:dyDescent="0.25">
      <c r="A1881" s="6">
        <v>44093</v>
      </c>
      <c r="B1881" s="59" t="s">
        <v>2164</v>
      </c>
      <c r="D1881" s="63"/>
      <c r="E1881" s="82" t="s">
        <v>1686</v>
      </c>
      <c r="F1881" s="72"/>
      <c r="G1881" s="2">
        <f t="shared" ref="G1881:G1943" si="35">IF(E1881="y",25,IF(OR(E1881="N",E1881="RD",E1881="I"),10,0))+IF(F1881&gt;5000,20,F1881*0.4%)+IF(E1881="SB",1,IF(E1881="JJ",30,IF(E1881="A",50,0)))</f>
        <v>1</v>
      </c>
    </row>
    <row r="1882" spans="1:7" s="22" customFormat="1" x14ac:dyDescent="0.25">
      <c r="A1882" s="6">
        <v>44093</v>
      </c>
      <c r="B1882" s="59" t="s">
        <v>2439</v>
      </c>
      <c r="D1882" s="63"/>
      <c r="E1882" s="82"/>
      <c r="F1882" s="72">
        <v>1000</v>
      </c>
      <c r="G1882" s="2">
        <f t="shared" si="35"/>
        <v>4</v>
      </c>
    </row>
    <row r="1883" spans="1:7" s="22" customFormat="1" x14ac:dyDescent="0.25">
      <c r="A1883" s="6">
        <v>44093</v>
      </c>
      <c r="B1883" s="59" t="s">
        <v>2350</v>
      </c>
      <c r="D1883" s="63"/>
      <c r="E1883" s="82"/>
      <c r="F1883" s="72">
        <v>2000</v>
      </c>
      <c r="G1883" s="2">
        <f t="shared" si="35"/>
        <v>8</v>
      </c>
    </row>
    <row r="1884" spans="1:7" s="22" customFormat="1" x14ac:dyDescent="0.25">
      <c r="A1884" s="6">
        <v>44093</v>
      </c>
      <c r="B1884" s="59" t="s">
        <v>1943</v>
      </c>
      <c r="D1884" s="63"/>
      <c r="E1884" s="82"/>
      <c r="F1884" s="72">
        <v>1000</v>
      </c>
      <c r="G1884" s="2">
        <f t="shared" si="35"/>
        <v>4</v>
      </c>
    </row>
    <row r="1885" spans="1:7" s="22" customFormat="1" x14ac:dyDescent="0.25">
      <c r="A1885" s="6">
        <v>44093</v>
      </c>
      <c r="B1885" s="59" t="s">
        <v>2062</v>
      </c>
      <c r="D1885" s="63"/>
      <c r="E1885" s="82"/>
      <c r="F1885" s="72">
        <v>4000</v>
      </c>
      <c r="G1885" s="2">
        <f t="shared" si="35"/>
        <v>16</v>
      </c>
    </row>
    <row r="1886" spans="1:7" s="22" customFormat="1" x14ac:dyDescent="0.25">
      <c r="A1886" s="6">
        <v>44093</v>
      </c>
      <c r="B1886" s="59" t="s">
        <v>2440</v>
      </c>
      <c r="D1886" s="63"/>
      <c r="E1886" s="178"/>
      <c r="F1886" s="72">
        <v>1500</v>
      </c>
      <c r="G1886" s="2">
        <f t="shared" si="35"/>
        <v>6</v>
      </c>
    </row>
    <row r="1887" spans="1:7" s="22" customFormat="1" x14ac:dyDescent="0.25">
      <c r="A1887" s="6">
        <v>44093</v>
      </c>
      <c r="B1887" s="59" t="s">
        <v>2441</v>
      </c>
      <c r="D1887" s="63"/>
      <c r="E1887" s="178"/>
      <c r="F1887" s="72">
        <v>2500</v>
      </c>
      <c r="G1887" s="2">
        <f t="shared" si="35"/>
        <v>10</v>
      </c>
    </row>
    <row r="1888" spans="1:7" s="22" customFormat="1" x14ac:dyDescent="0.25">
      <c r="A1888" s="6">
        <v>44094</v>
      </c>
      <c r="B1888" s="59" t="s">
        <v>2239</v>
      </c>
      <c r="D1888" s="63"/>
      <c r="E1888" s="82"/>
      <c r="F1888" s="72">
        <v>500</v>
      </c>
      <c r="G1888" s="2">
        <f t="shared" si="35"/>
        <v>2</v>
      </c>
    </row>
    <row r="1889" spans="1:14" s="22" customFormat="1" x14ac:dyDescent="0.25">
      <c r="A1889" s="6">
        <v>44094</v>
      </c>
      <c r="B1889" s="59" t="s">
        <v>2449</v>
      </c>
      <c r="D1889" s="63"/>
      <c r="E1889" s="82"/>
      <c r="F1889" s="72">
        <v>100</v>
      </c>
      <c r="G1889" s="2">
        <f t="shared" si="35"/>
        <v>0.4</v>
      </c>
      <c r="N1889" s="22">
        <f>799*5</f>
        <v>3995</v>
      </c>
    </row>
    <row r="1890" spans="1:14" s="22" customFormat="1" x14ac:dyDescent="0.25">
      <c r="A1890" s="6">
        <v>44094</v>
      </c>
      <c r="B1890" s="59" t="s">
        <v>2138</v>
      </c>
      <c r="D1890" s="63"/>
      <c r="E1890" s="82"/>
      <c r="F1890" s="72">
        <v>700</v>
      </c>
      <c r="G1890" s="2">
        <f t="shared" si="35"/>
        <v>2.8000000000000003</v>
      </c>
    </row>
    <row r="1891" spans="1:14" s="22" customFormat="1" x14ac:dyDescent="0.25">
      <c r="A1891" s="6">
        <v>44094</v>
      </c>
      <c r="B1891" s="59" t="s">
        <v>2060</v>
      </c>
      <c r="D1891" s="63"/>
      <c r="E1891" s="82"/>
      <c r="F1891" s="72">
        <v>2000</v>
      </c>
      <c r="G1891" s="2">
        <f t="shared" si="35"/>
        <v>8</v>
      </c>
    </row>
    <row r="1892" spans="1:14" s="22" customFormat="1" x14ac:dyDescent="0.25">
      <c r="A1892" s="6">
        <v>44094</v>
      </c>
      <c r="B1892" s="59" t="s">
        <v>2062</v>
      </c>
      <c r="D1892" s="63"/>
      <c r="E1892" s="82"/>
      <c r="F1892" s="72">
        <v>5000</v>
      </c>
      <c r="G1892" s="2">
        <f t="shared" si="35"/>
        <v>20</v>
      </c>
    </row>
    <row r="1893" spans="1:14" s="22" customFormat="1" x14ac:dyDescent="0.25">
      <c r="A1893" s="6">
        <v>44095</v>
      </c>
      <c r="B1893" s="59" t="s">
        <v>2239</v>
      </c>
      <c r="D1893" s="63"/>
      <c r="E1893" s="82"/>
      <c r="F1893" s="72">
        <v>500</v>
      </c>
      <c r="G1893" s="2">
        <f t="shared" si="35"/>
        <v>2</v>
      </c>
    </row>
    <row r="1894" spans="1:14" s="22" customFormat="1" x14ac:dyDescent="0.25">
      <c r="A1894" s="6">
        <v>44095</v>
      </c>
      <c r="B1894" s="59" t="s">
        <v>2073</v>
      </c>
      <c r="D1894" s="63"/>
      <c r="E1894" s="82"/>
      <c r="F1894" s="72">
        <v>500</v>
      </c>
      <c r="G1894" s="2">
        <f t="shared" si="35"/>
        <v>2</v>
      </c>
    </row>
    <row r="1895" spans="1:14" s="22" customFormat="1" x14ac:dyDescent="0.25">
      <c r="A1895" s="6">
        <v>44095</v>
      </c>
      <c r="B1895" s="59" t="s">
        <v>1948</v>
      </c>
      <c r="D1895" s="63"/>
      <c r="E1895" s="82"/>
      <c r="F1895" s="72">
        <v>500</v>
      </c>
      <c r="G1895" s="2">
        <f t="shared" si="35"/>
        <v>2</v>
      </c>
    </row>
    <row r="1896" spans="1:14" s="22" customFormat="1" x14ac:dyDescent="0.25">
      <c r="A1896" s="6">
        <v>44097</v>
      </c>
      <c r="B1896" s="59"/>
      <c r="D1896" s="63"/>
      <c r="E1896" s="82"/>
      <c r="F1896" s="72">
        <v>2000</v>
      </c>
      <c r="G1896" s="2">
        <f t="shared" si="35"/>
        <v>8</v>
      </c>
    </row>
    <row r="1897" spans="1:14" s="22" customFormat="1" x14ac:dyDescent="0.25">
      <c r="A1897" s="6">
        <v>44097</v>
      </c>
      <c r="B1897" s="59" t="s">
        <v>2239</v>
      </c>
      <c r="D1897" s="63"/>
      <c r="E1897" s="82"/>
      <c r="F1897" s="72">
        <v>500</v>
      </c>
      <c r="G1897" s="2">
        <f t="shared" si="35"/>
        <v>2</v>
      </c>
    </row>
    <row r="1898" spans="1:14" s="22" customFormat="1" x14ac:dyDescent="0.25">
      <c r="A1898" s="6">
        <v>44097</v>
      </c>
      <c r="B1898" s="59" t="s">
        <v>2273</v>
      </c>
      <c r="D1898" s="63"/>
      <c r="E1898" s="82"/>
      <c r="F1898" s="72">
        <v>10000</v>
      </c>
      <c r="G1898" s="2">
        <f t="shared" si="35"/>
        <v>20</v>
      </c>
    </row>
    <row r="1899" spans="1:14" s="22" customFormat="1" x14ac:dyDescent="0.25">
      <c r="A1899" s="6">
        <v>44097</v>
      </c>
      <c r="B1899" s="59" t="s">
        <v>2303</v>
      </c>
      <c r="D1899" s="63"/>
      <c r="E1899" s="82"/>
      <c r="F1899" s="72">
        <v>500</v>
      </c>
      <c r="G1899" s="2">
        <f t="shared" si="35"/>
        <v>2</v>
      </c>
    </row>
    <row r="1900" spans="1:14" s="22" customFormat="1" x14ac:dyDescent="0.25">
      <c r="A1900" s="6">
        <v>44097</v>
      </c>
      <c r="B1900" s="59" t="s">
        <v>71</v>
      </c>
      <c r="D1900" s="63"/>
      <c r="E1900" s="82"/>
      <c r="F1900" s="72">
        <v>1500</v>
      </c>
      <c r="G1900" s="2">
        <f t="shared" si="35"/>
        <v>6</v>
      </c>
    </row>
    <row r="1901" spans="1:14" s="22" customFormat="1" x14ac:dyDescent="0.25">
      <c r="A1901" s="6">
        <v>44097</v>
      </c>
      <c r="B1901" s="59" t="s">
        <v>2102</v>
      </c>
      <c r="D1901" s="63"/>
      <c r="E1901" s="82"/>
      <c r="F1901" s="72">
        <v>7000</v>
      </c>
      <c r="G1901" s="2">
        <f t="shared" si="35"/>
        <v>20</v>
      </c>
    </row>
    <row r="1902" spans="1:14" s="22" customFormat="1" x14ac:dyDescent="0.25">
      <c r="A1902" s="6">
        <v>44097</v>
      </c>
      <c r="B1902" s="59" t="s">
        <v>2465</v>
      </c>
      <c r="D1902" s="63"/>
      <c r="E1902" s="82"/>
      <c r="F1902" s="72">
        <v>200</v>
      </c>
      <c r="G1902" s="2">
        <f t="shared" si="35"/>
        <v>0.8</v>
      </c>
    </row>
    <row r="1903" spans="1:14" s="22" customFormat="1" x14ac:dyDescent="0.25">
      <c r="A1903" s="6">
        <v>44098</v>
      </c>
      <c r="B1903" s="59" t="s">
        <v>2273</v>
      </c>
      <c r="D1903" s="63"/>
      <c r="E1903" s="82"/>
      <c r="F1903" s="72">
        <v>2000</v>
      </c>
      <c r="G1903" s="2">
        <f t="shared" si="35"/>
        <v>8</v>
      </c>
    </row>
    <row r="1904" spans="1:14" s="22" customFormat="1" x14ac:dyDescent="0.25">
      <c r="A1904" s="6">
        <v>44098</v>
      </c>
      <c r="B1904" s="59" t="s">
        <v>2466</v>
      </c>
      <c r="D1904" s="63"/>
      <c r="E1904" s="82"/>
      <c r="F1904" s="72">
        <v>500</v>
      </c>
      <c r="G1904" s="2">
        <f t="shared" si="35"/>
        <v>2</v>
      </c>
    </row>
    <row r="1905" spans="1:7" s="22" customFormat="1" x14ac:dyDescent="0.25">
      <c r="A1905" s="6">
        <v>44098</v>
      </c>
      <c r="B1905" s="59" t="s">
        <v>2303</v>
      </c>
      <c r="D1905" s="63"/>
      <c r="E1905" s="82"/>
      <c r="F1905" s="72">
        <v>150</v>
      </c>
      <c r="G1905" s="2">
        <f t="shared" si="35"/>
        <v>0.6</v>
      </c>
    </row>
    <row r="1906" spans="1:7" s="22" customFormat="1" x14ac:dyDescent="0.25">
      <c r="A1906" s="6">
        <v>44098</v>
      </c>
      <c r="B1906" s="59" t="s">
        <v>1948</v>
      </c>
      <c r="D1906" s="63"/>
      <c r="E1906" s="82"/>
      <c r="F1906" s="72">
        <v>3500</v>
      </c>
      <c r="G1906" s="2">
        <f t="shared" si="35"/>
        <v>14</v>
      </c>
    </row>
    <row r="1907" spans="1:7" s="22" customFormat="1" x14ac:dyDescent="0.25">
      <c r="A1907" s="6">
        <v>44098</v>
      </c>
      <c r="B1907" s="59" t="s">
        <v>2239</v>
      </c>
      <c r="D1907" s="63"/>
      <c r="E1907" s="82"/>
      <c r="F1907" s="72">
        <v>500</v>
      </c>
      <c r="G1907" s="2">
        <f t="shared" si="35"/>
        <v>2</v>
      </c>
    </row>
    <row r="1908" spans="1:7" s="22" customFormat="1" x14ac:dyDescent="0.25">
      <c r="A1908" s="6">
        <v>44098</v>
      </c>
      <c r="B1908" s="59" t="s">
        <v>2062</v>
      </c>
      <c r="D1908" s="63"/>
      <c r="E1908" s="82"/>
      <c r="F1908" s="72">
        <v>4000</v>
      </c>
      <c r="G1908" s="2">
        <f t="shared" si="35"/>
        <v>16</v>
      </c>
    </row>
    <row r="1909" spans="1:7" s="22" customFormat="1" x14ac:dyDescent="0.25">
      <c r="A1909" s="6">
        <v>44098</v>
      </c>
      <c r="B1909" s="59" t="s">
        <v>71</v>
      </c>
      <c r="D1909" s="63"/>
      <c r="E1909" s="82"/>
      <c r="F1909" s="72">
        <v>1500</v>
      </c>
      <c r="G1909" s="2">
        <f t="shared" si="35"/>
        <v>6</v>
      </c>
    </row>
    <row r="1910" spans="1:7" s="22" customFormat="1" x14ac:dyDescent="0.25">
      <c r="A1910" s="6">
        <v>44098</v>
      </c>
      <c r="B1910" s="59" t="s">
        <v>2467</v>
      </c>
      <c r="D1910" s="63"/>
      <c r="E1910" s="82"/>
      <c r="F1910" s="72">
        <v>300</v>
      </c>
      <c r="G1910" s="2">
        <f t="shared" si="35"/>
        <v>1.2</v>
      </c>
    </row>
    <row r="1911" spans="1:7" s="22" customFormat="1" x14ac:dyDescent="0.25">
      <c r="A1911" s="6">
        <v>44099</v>
      </c>
      <c r="B1911" s="59" t="s">
        <v>2023</v>
      </c>
      <c r="D1911" s="63"/>
      <c r="E1911" s="82"/>
      <c r="F1911" s="72">
        <v>1600</v>
      </c>
      <c r="G1911" s="2">
        <f t="shared" si="35"/>
        <v>6.4</v>
      </c>
    </row>
    <row r="1912" spans="1:7" s="22" customFormat="1" x14ac:dyDescent="0.25">
      <c r="A1912" s="6">
        <v>44099</v>
      </c>
      <c r="B1912" s="59" t="s">
        <v>2165</v>
      </c>
      <c r="D1912" s="63"/>
      <c r="E1912" s="82"/>
      <c r="F1912" s="72">
        <v>400</v>
      </c>
      <c r="G1912" s="2">
        <f t="shared" si="35"/>
        <v>1.6</v>
      </c>
    </row>
    <row r="1913" spans="1:7" s="22" customFormat="1" x14ac:dyDescent="0.25">
      <c r="A1913" s="6">
        <v>44099</v>
      </c>
      <c r="B1913" s="59" t="s">
        <v>2239</v>
      </c>
      <c r="D1913" s="63"/>
      <c r="E1913" s="82"/>
      <c r="F1913" s="72">
        <v>500</v>
      </c>
      <c r="G1913" s="2">
        <f t="shared" si="35"/>
        <v>2</v>
      </c>
    </row>
    <row r="1914" spans="1:7" s="22" customFormat="1" x14ac:dyDescent="0.25">
      <c r="A1914" s="6">
        <v>44099</v>
      </c>
      <c r="B1914" s="59" t="s">
        <v>2468</v>
      </c>
      <c r="D1914" s="63"/>
      <c r="E1914" s="82"/>
      <c r="F1914" s="72">
        <v>200</v>
      </c>
      <c r="G1914" s="2">
        <f t="shared" si="35"/>
        <v>0.8</v>
      </c>
    </row>
    <row r="1915" spans="1:7" s="22" customFormat="1" x14ac:dyDescent="0.25">
      <c r="A1915" s="6">
        <v>44099</v>
      </c>
      <c r="B1915" s="59" t="s">
        <v>2469</v>
      </c>
      <c r="D1915" s="63"/>
      <c r="E1915" s="82"/>
      <c r="F1915" s="72">
        <v>1000</v>
      </c>
      <c r="G1915" s="2">
        <f t="shared" si="35"/>
        <v>4</v>
      </c>
    </row>
    <row r="1916" spans="1:7" s="22" customFormat="1" x14ac:dyDescent="0.25">
      <c r="A1916" s="6">
        <v>44099</v>
      </c>
      <c r="B1916" s="59" t="s">
        <v>2470</v>
      </c>
      <c r="D1916" s="63"/>
      <c r="E1916" s="82"/>
      <c r="F1916" s="72">
        <v>1000</v>
      </c>
      <c r="G1916" s="2">
        <f t="shared" si="35"/>
        <v>4</v>
      </c>
    </row>
    <row r="1917" spans="1:7" s="22" customFormat="1" x14ac:dyDescent="0.25">
      <c r="A1917" s="6">
        <v>44099</v>
      </c>
      <c r="B1917" s="59" t="s">
        <v>2471</v>
      </c>
      <c r="D1917" s="63"/>
      <c r="E1917" s="82"/>
      <c r="F1917" s="72">
        <v>100</v>
      </c>
      <c r="G1917" s="2">
        <f t="shared" si="35"/>
        <v>0.4</v>
      </c>
    </row>
    <row r="1918" spans="1:7" s="22" customFormat="1" x14ac:dyDescent="0.25">
      <c r="A1918" s="6">
        <v>44099</v>
      </c>
      <c r="B1918" s="59" t="s">
        <v>2241</v>
      </c>
      <c r="D1918" s="63"/>
      <c r="E1918" s="82"/>
      <c r="F1918" s="72">
        <v>2000</v>
      </c>
      <c r="G1918" s="2">
        <f t="shared" si="35"/>
        <v>8</v>
      </c>
    </row>
    <row r="1919" spans="1:7" s="22" customFormat="1" x14ac:dyDescent="0.25">
      <c r="A1919" s="6">
        <v>44099</v>
      </c>
      <c r="B1919" s="59" t="s">
        <v>1928</v>
      </c>
      <c r="D1919" s="63"/>
      <c r="E1919" s="82"/>
      <c r="F1919" s="72">
        <v>1000</v>
      </c>
      <c r="G1919" s="2">
        <f t="shared" si="35"/>
        <v>4</v>
      </c>
    </row>
    <row r="1920" spans="1:7" s="22" customFormat="1" x14ac:dyDescent="0.25">
      <c r="A1920" s="6">
        <v>44099</v>
      </c>
      <c r="B1920" s="59" t="s">
        <v>2060</v>
      </c>
      <c r="D1920" s="63"/>
      <c r="E1920" s="82"/>
      <c r="F1920" s="72">
        <v>400</v>
      </c>
      <c r="G1920" s="2">
        <f t="shared" si="35"/>
        <v>1.6</v>
      </c>
    </row>
    <row r="1921" spans="1:7" s="22" customFormat="1" x14ac:dyDescent="0.25">
      <c r="A1921" s="6">
        <v>44100</v>
      </c>
      <c r="B1921" s="59" t="s">
        <v>2239</v>
      </c>
      <c r="D1921" s="63"/>
      <c r="E1921" s="82"/>
      <c r="F1921" s="72">
        <v>500</v>
      </c>
      <c r="G1921" s="2">
        <f t="shared" si="35"/>
        <v>2</v>
      </c>
    </row>
    <row r="1922" spans="1:7" s="22" customFormat="1" x14ac:dyDescent="0.25">
      <c r="A1922" s="6">
        <v>44100</v>
      </c>
      <c r="B1922" s="59" t="s">
        <v>2060</v>
      </c>
      <c r="D1922" s="63"/>
      <c r="E1922" s="82"/>
      <c r="F1922" s="72">
        <v>1500</v>
      </c>
      <c r="G1922" s="2">
        <f t="shared" si="35"/>
        <v>6</v>
      </c>
    </row>
    <row r="1923" spans="1:7" s="22" customFormat="1" x14ac:dyDescent="0.25">
      <c r="A1923" s="6">
        <v>44101</v>
      </c>
      <c r="B1923" s="59" t="s">
        <v>1948</v>
      </c>
      <c r="D1923" s="63"/>
      <c r="E1923" s="82"/>
      <c r="F1923" s="72">
        <v>3000</v>
      </c>
      <c r="G1923" s="2">
        <f t="shared" si="35"/>
        <v>12</v>
      </c>
    </row>
    <row r="1924" spans="1:7" s="22" customFormat="1" x14ac:dyDescent="0.25">
      <c r="A1924" s="6"/>
      <c r="B1924" s="61" t="s">
        <v>2473</v>
      </c>
      <c r="D1924" s="63"/>
      <c r="E1924" s="83">
        <v>1270.5</v>
      </c>
      <c r="F1924" s="72"/>
      <c r="G1924" s="2">
        <f t="shared" si="35"/>
        <v>0</v>
      </c>
    </row>
    <row r="1925" spans="1:7" s="22" customFormat="1" x14ac:dyDescent="0.25">
      <c r="A1925" s="6">
        <v>44102</v>
      </c>
      <c r="B1925" s="59" t="s">
        <v>2273</v>
      </c>
      <c r="D1925" s="63"/>
      <c r="E1925" s="82"/>
      <c r="F1925" s="72">
        <v>8000</v>
      </c>
      <c r="G1925" s="2">
        <f t="shared" si="35"/>
        <v>20</v>
      </c>
    </row>
    <row r="1926" spans="1:7" s="22" customFormat="1" x14ac:dyDescent="0.25">
      <c r="A1926" s="6">
        <v>44102</v>
      </c>
      <c r="B1926" s="59" t="s">
        <v>2239</v>
      </c>
      <c r="D1926" s="63"/>
      <c r="E1926" s="82"/>
      <c r="F1926" s="72">
        <v>1000</v>
      </c>
      <c r="G1926" s="2">
        <f t="shared" si="35"/>
        <v>4</v>
      </c>
    </row>
    <row r="1927" spans="1:7" s="22" customFormat="1" x14ac:dyDescent="0.25">
      <c r="A1927" s="6"/>
      <c r="B1927" s="59"/>
      <c r="D1927" s="63"/>
      <c r="E1927" s="82"/>
      <c r="F1927" s="72">
        <v>100</v>
      </c>
      <c r="G1927" s="2">
        <f t="shared" si="35"/>
        <v>0.4</v>
      </c>
    </row>
    <row r="1928" spans="1:7" s="22" customFormat="1" x14ac:dyDescent="0.25">
      <c r="A1928" s="6">
        <v>44102</v>
      </c>
      <c r="B1928" s="59" t="s">
        <v>2062</v>
      </c>
      <c r="D1928" s="63"/>
      <c r="E1928" s="82"/>
      <c r="F1928" s="72">
        <v>5000</v>
      </c>
      <c r="G1928" s="2">
        <f t="shared" si="35"/>
        <v>20</v>
      </c>
    </row>
    <row r="1929" spans="1:7" s="22" customFormat="1" x14ac:dyDescent="0.25">
      <c r="A1929" s="6">
        <v>44102</v>
      </c>
      <c r="B1929" s="59" t="s">
        <v>2472</v>
      </c>
      <c r="D1929" s="63"/>
      <c r="E1929" s="82"/>
      <c r="F1929" s="72">
        <v>2000</v>
      </c>
      <c r="G1929" s="2">
        <f t="shared" si="35"/>
        <v>8</v>
      </c>
    </row>
    <row r="1930" spans="1:7" s="22" customFormat="1" x14ac:dyDescent="0.25">
      <c r="A1930" s="6">
        <v>44102</v>
      </c>
      <c r="B1930" s="59" t="s">
        <v>2087</v>
      </c>
      <c r="D1930" s="63"/>
      <c r="E1930" s="82"/>
      <c r="F1930" s="72">
        <v>2000</v>
      </c>
      <c r="G1930" s="2">
        <f t="shared" si="35"/>
        <v>8</v>
      </c>
    </row>
    <row r="1931" spans="1:7" s="22" customFormat="1" x14ac:dyDescent="0.25">
      <c r="A1931" s="6">
        <v>44102</v>
      </c>
      <c r="B1931" s="59" t="s">
        <v>2496</v>
      </c>
      <c r="D1931" s="63"/>
      <c r="E1931" s="82"/>
      <c r="F1931" s="72">
        <v>200</v>
      </c>
      <c r="G1931" s="2">
        <f t="shared" si="35"/>
        <v>0.8</v>
      </c>
    </row>
    <row r="1932" spans="1:7" s="22" customFormat="1" x14ac:dyDescent="0.25">
      <c r="A1932" s="6">
        <v>44102</v>
      </c>
      <c r="B1932" s="59" t="s">
        <v>2305</v>
      </c>
      <c r="D1932" s="63"/>
      <c r="E1932" s="82"/>
      <c r="F1932" s="72">
        <v>200</v>
      </c>
      <c r="G1932" s="2">
        <f t="shared" si="35"/>
        <v>0.8</v>
      </c>
    </row>
    <row r="1933" spans="1:7" s="22" customFormat="1" x14ac:dyDescent="0.25">
      <c r="A1933" s="6">
        <v>44102</v>
      </c>
      <c r="B1933" s="59" t="s">
        <v>2062</v>
      </c>
      <c r="D1933" s="63"/>
      <c r="E1933" s="82"/>
      <c r="F1933" s="72">
        <v>5000</v>
      </c>
      <c r="G1933" s="2">
        <f t="shared" si="35"/>
        <v>20</v>
      </c>
    </row>
    <row r="1934" spans="1:7" s="22" customFormat="1" x14ac:dyDescent="0.25">
      <c r="A1934" s="6">
        <v>44102</v>
      </c>
      <c r="B1934" s="59" t="s">
        <v>2467</v>
      </c>
      <c r="D1934" s="63"/>
      <c r="E1934" s="82"/>
      <c r="F1934" s="72">
        <v>500</v>
      </c>
      <c r="G1934" s="2">
        <f t="shared" si="35"/>
        <v>2</v>
      </c>
    </row>
    <row r="1935" spans="1:7" s="22" customFormat="1" x14ac:dyDescent="0.25">
      <c r="A1935" s="6">
        <v>44103</v>
      </c>
      <c r="B1935" s="59" t="s">
        <v>2497</v>
      </c>
      <c r="D1935" s="63"/>
      <c r="E1935" s="82" t="s">
        <v>66</v>
      </c>
      <c r="F1935" s="72">
        <v>100</v>
      </c>
      <c r="G1935" s="2">
        <f t="shared" si="35"/>
        <v>25.4</v>
      </c>
    </row>
    <row r="1936" spans="1:7" s="22" customFormat="1" x14ac:dyDescent="0.25">
      <c r="A1936" s="6">
        <v>44103</v>
      </c>
      <c r="B1936" s="59" t="s">
        <v>2412</v>
      </c>
      <c r="D1936" s="63"/>
      <c r="E1936" s="82"/>
      <c r="F1936" s="72">
        <v>200</v>
      </c>
      <c r="G1936" s="2">
        <f t="shared" si="35"/>
        <v>0.8</v>
      </c>
    </row>
    <row r="1937" spans="1:10" s="22" customFormat="1" x14ac:dyDescent="0.25">
      <c r="A1937" s="6">
        <v>44103</v>
      </c>
      <c r="B1937" s="59" t="s">
        <v>2273</v>
      </c>
      <c r="D1937" s="63"/>
      <c r="E1937" s="82"/>
      <c r="F1937" s="72">
        <v>7000</v>
      </c>
      <c r="G1937" s="2">
        <f t="shared" si="35"/>
        <v>20</v>
      </c>
    </row>
    <row r="1938" spans="1:10" s="22" customFormat="1" x14ac:dyDescent="0.25">
      <c r="A1938" s="6">
        <v>44103</v>
      </c>
      <c r="B1938" s="59" t="s">
        <v>2498</v>
      </c>
      <c r="D1938" s="63"/>
      <c r="E1938" s="82" t="s">
        <v>66</v>
      </c>
      <c r="F1938" s="72">
        <v>100</v>
      </c>
      <c r="G1938" s="2">
        <f t="shared" si="35"/>
        <v>25.4</v>
      </c>
    </row>
    <row r="1939" spans="1:10" s="22" customFormat="1" x14ac:dyDescent="0.25">
      <c r="A1939" s="6">
        <v>44103</v>
      </c>
      <c r="B1939" s="59" t="s">
        <v>2239</v>
      </c>
      <c r="D1939" s="63"/>
      <c r="E1939" s="82"/>
      <c r="F1939" s="72">
        <v>500</v>
      </c>
      <c r="G1939" s="2">
        <f t="shared" si="35"/>
        <v>2</v>
      </c>
    </row>
    <row r="1940" spans="1:10" s="22" customFormat="1" x14ac:dyDescent="0.25">
      <c r="A1940" s="6">
        <v>44104</v>
      </c>
      <c r="B1940" s="59" t="s">
        <v>2499</v>
      </c>
      <c r="D1940" s="63"/>
      <c r="E1940" s="82" t="s">
        <v>66</v>
      </c>
      <c r="F1940" s="72">
        <v>200</v>
      </c>
      <c r="G1940" s="2">
        <f t="shared" si="35"/>
        <v>25.8</v>
      </c>
    </row>
    <row r="1941" spans="1:10" s="22" customFormat="1" x14ac:dyDescent="0.25">
      <c r="A1941" s="6">
        <v>44104</v>
      </c>
      <c r="B1941" s="59" t="s">
        <v>2239</v>
      </c>
      <c r="D1941" s="63"/>
      <c r="E1941" s="82"/>
      <c r="F1941" s="72">
        <v>500</v>
      </c>
      <c r="G1941" s="2">
        <f t="shared" si="35"/>
        <v>2</v>
      </c>
    </row>
    <row r="1942" spans="1:10" s="22" customFormat="1" x14ac:dyDescent="0.25">
      <c r="A1942" s="6">
        <v>44104</v>
      </c>
      <c r="B1942" s="59" t="s">
        <v>1928</v>
      </c>
      <c r="D1942" s="63"/>
      <c r="E1942" s="82"/>
      <c r="F1942" s="72">
        <v>1000</v>
      </c>
      <c r="G1942" s="2">
        <f t="shared" si="35"/>
        <v>4</v>
      </c>
    </row>
    <row r="1943" spans="1:10" s="22" customFormat="1" x14ac:dyDescent="0.25">
      <c r="A1943" s="6">
        <v>44104</v>
      </c>
      <c r="B1943" s="59" t="s">
        <v>2412</v>
      </c>
      <c r="D1943" s="63"/>
      <c r="E1943" s="82"/>
      <c r="F1943" s="72">
        <v>150</v>
      </c>
      <c r="G1943" s="2">
        <f t="shared" si="35"/>
        <v>0.6</v>
      </c>
    </row>
    <row r="1944" spans="1:10" s="22" customFormat="1" x14ac:dyDescent="0.25">
      <c r="A1944" s="6">
        <v>44104</v>
      </c>
      <c r="B1944" s="59" t="s">
        <v>2303</v>
      </c>
      <c r="D1944" s="63"/>
      <c r="E1944" s="82"/>
      <c r="F1944" s="72">
        <v>250</v>
      </c>
      <c r="G1944" s="2">
        <f>IF(E1944="y",25,IF(OR(E1944="N",E1944="RD",E1944="I"),10,0))+IF(F1944&gt;5000,20,F1944*0.4%)+IF(E1944="SB",1,IF(E1944="JJ",30,IF(E1944="A",50,0)))</f>
        <v>1</v>
      </c>
    </row>
    <row r="1945" spans="1:10" s="22" customFormat="1" x14ac:dyDescent="0.25">
      <c r="A1945" s="6">
        <v>44104</v>
      </c>
      <c r="B1945" s="59"/>
      <c r="D1945" s="63"/>
      <c r="E1945" s="82"/>
      <c r="F1945" s="72">
        <v>1000</v>
      </c>
      <c r="G1945" s="2">
        <f>IF(E1945="y",25,IF(OR(E1945="N",E1945="RD",E1945="I"),10,0))+IF(F1945&gt;5000,20,F1945*0.4%)+IF(E1945="SB",1,IF(E1945="JJ",30,IF(E1945="A",50,0)))</f>
        <v>4</v>
      </c>
    </row>
    <row r="1946" spans="1:10" x14ac:dyDescent="0.25">
      <c r="A1946" s="36">
        <f>COUNT(A1785:A1945)</f>
        <v>158</v>
      </c>
      <c r="B1946" s="70"/>
      <c r="C1946" s="36" t="str">
        <f>CONCATENATE("SB = ",COUNTIF(E1785:E1945,"SB"),"        JJ = ",COUNTIF(E1785:E1945,"JJ"))</f>
        <v>SB = 1        JJ = 1</v>
      </c>
      <c r="D1946" s="70"/>
      <c r="E1946" s="36">
        <f>COUNTIF(E1785:E1945,"y")</f>
        <v>19</v>
      </c>
      <c r="F1946" s="37">
        <f>SUM(F1785:F1945)</f>
        <v>309250</v>
      </c>
      <c r="G1946" s="37">
        <f>SUM(G1785:G1945)</f>
        <v>1522.9999999999995</v>
      </c>
      <c r="H1946" s="37">
        <f>G1946*0.8</f>
        <v>1218.3999999999996</v>
      </c>
      <c r="I1946" s="37"/>
      <c r="J1946" s="37"/>
    </row>
    <row r="1948" spans="1:10" x14ac:dyDescent="0.25">
      <c r="A1948" s="6">
        <v>44107</v>
      </c>
      <c r="B1948" s="59" t="s">
        <v>2476</v>
      </c>
      <c r="E1948" s="82"/>
      <c r="F1948" s="72">
        <v>2000</v>
      </c>
      <c r="G1948" s="2">
        <f t="shared" ref="G1948:G2011" si="36">IF(E1948="y",25,IF(OR(E1948="N",E1948="RD",E1948="I"),10,0))+IF(F1948&gt;5000,20,F1948*0.4%)+IF(E1948="SB",1,IF(E1948="JJ",30,IF(E1948="A",50,0)))</f>
        <v>8</v>
      </c>
    </row>
    <row r="1949" spans="1:10" x14ac:dyDescent="0.25">
      <c r="A1949" s="6">
        <v>44107</v>
      </c>
      <c r="B1949" s="59" t="s">
        <v>2477</v>
      </c>
      <c r="F1949" s="72">
        <v>1500</v>
      </c>
      <c r="G1949" s="2">
        <f t="shared" si="36"/>
        <v>6</v>
      </c>
    </row>
    <row r="1950" spans="1:10" x14ac:dyDescent="0.25">
      <c r="A1950" s="6">
        <v>44107</v>
      </c>
      <c r="B1950" s="59" t="s">
        <v>1942</v>
      </c>
      <c r="E1950" s="82"/>
      <c r="F1950" s="72">
        <v>1000</v>
      </c>
      <c r="G1950" s="2">
        <f t="shared" si="36"/>
        <v>4</v>
      </c>
    </row>
    <row r="1951" spans="1:10" x14ac:dyDescent="0.25">
      <c r="A1951" s="6">
        <v>44107</v>
      </c>
      <c r="B1951" s="59" t="s">
        <v>1979</v>
      </c>
      <c r="E1951" s="82"/>
      <c r="F1951" s="72">
        <v>200</v>
      </c>
      <c r="G1951" s="2">
        <f t="shared" si="36"/>
        <v>0.8</v>
      </c>
    </row>
    <row r="1952" spans="1:10" x14ac:dyDescent="0.25">
      <c r="A1952" s="6">
        <v>44107</v>
      </c>
      <c r="B1952" s="59" t="s">
        <v>2418</v>
      </c>
      <c r="F1952" s="72">
        <v>3000</v>
      </c>
      <c r="G1952" s="2">
        <f t="shared" si="36"/>
        <v>12</v>
      </c>
    </row>
    <row r="1953" spans="1:7" x14ac:dyDescent="0.25">
      <c r="A1953" s="6">
        <v>44107</v>
      </c>
      <c r="B1953" s="59" t="s">
        <v>1999</v>
      </c>
      <c r="E1953" s="82"/>
      <c r="F1953" s="72">
        <v>500</v>
      </c>
      <c r="G1953" s="2">
        <f t="shared" si="36"/>
        <v>2</v>
      </c>
    </row>
    <row r="1954" spans="1:7" x14ac:dyDescent="0.25">
      <c r="A1954" s="6">
        <v>44107</v>
      </c>
      <c r="B1954" s="59" t="s">
        <v>2062</v>
      </c>
      <c r="E1954" s="82"/>
      <c r="F1954" s="72">
        <v>3000</v>
      </c>
      <c r="G1954" s="2">
        <f t="shared" si="36"/>
        <v>12</v>
      </c>
    </row>
    <row r="1955" spans="1:7" x14ac:dyDescent="0.25">
      <c r="A1955" s="6">
        <v>44108</v>
      </c>
      <c r="B1955" s="59" t="s">
        <v>2239</v>
      </c>
      <c r="E1955" s="82"/>
      <c r="F1955" s="72">
        <v>1500</v>
      </c>
      <c r="G1955" s="2">
        <f t="shared" si="36"/>
        <v>6</v>
      </c>
    </row>
    <row r="1956" spans="1:7" x14ac:dyDescent="0.25">
      <c r="A1956" s="6">
        <v>44109</v>
      </c>
      <c r="B1956" s="59" t="s">
        <v>2303</v>
      </c>
      <c r="E1956" s="82"/>
      <c r="F1956" s="72">
        <v>4000</v>
      </c>
      <c r="G1956" s="2">
        <f t="shared" si="36"/>
        <v>16</v>
      </c>
    </row>
    <row r="1957" spans="1:7" x14ac:dyDescent="0.25">
      <c r="A1957" s="6">
        <v>44109</v>
      </c>
      <c r="B1957" s="59" t="s">
        <v>2500</v>
      </c>
      <c r="E1957" s="82"/>
      <c r="F1957" s="72">
        <v>2000</v>
      </c>
      <c r="G1957" s="2">
        <f t="shared" si="36"/>
        <v>8</v>
      </c>
    </row>
    <row r="1958" spans="1:7" x14ac:dyDescent="0.25">
      <c r="A1958" s="6">
        <v>44109</v>
      </c>
      <c r="B1958" s="59" t="s">
        <v>1942</v>
      </c>
      <c r="E1958" s="82"/>
      <c r="F1958" s="72">
        <v>1000</v>
      </c>
      <c r="G1958" s="2">
        <f t="shared" si="36"/>
        <v>4</v>
      </c>
    </row>
    <row r="1959" spans="1:7" x14ac:dyDescent="0.25">
      <c r="A1959" s="6">
        <v>44109</v>
      </c>
      <c r="B1959" s="59" t="s">
        <v>2501</v>
      </c>
      <c r="E1959" s="82"/>
      <c r="F1959" s="72">
        <v>200</v>
      </c>
      <c r="G1959" s="2">
        <f t="shared" si="36"/>
        <v>0.8</v>
      </c>
    </row>
    <row r="1960" spans="1:7" x14ac:dyDescent="0.25">
      <c r="A1960" s="6">
        <v>44109</v>
      </c>
      <c r="B1960" s="59" t="s">
        <v>2533</v>
      </c>
      <c r="E1960" s="82" t="s">
        <v>66</v>
      </c>
      <c r="F1960" s="72">
        <v>200</v>
      </c>
      <c r="G1960" s="2">
        <f t="shared" si="36"/>
        <v>25.8</v>
      </c>
    </row>
    <row r="1961" spans="1:7" x14ac:dyDescent="0.25">
      <c r="A1961" s="6">
        <v>44109</v>
      </c>
      <c r="B1961" s="59" t="s">
        <v>2502</v>
      </c>
      <c r="E1961" s="82"/>
      <c r="F1961" s="72">
        <v>10000</v>
      </c>
      <c r="G1961" s="2">
        <f t="shared" si="36"/>
        <v>20</v>
      </c>
    </row>
    <row r="1962" spans="1:7" x14ac:dyDescent="0.25">
      <c r="A1962" s="6">
        <v>44109</v>
      </c>
      <c r="B1962" s="59" t="s">
        <v>2062</v>
      </c>
      <c r="F1962" s="72">
        <v>3000</v>
      </c>
      <c r="G1962" s="2">
        <f t="shared" si="36"/>
        <v>12</v>
      </c>
    </row>
    <row r="1963" spans="1:7" x14ac:dyDescent="0.25">
      <c r="A1963" s="6">
        <v>44110</v>
      </c>
      <c r="B1963" s="59" t="s">
        <v>1942</v>
      </c>
      <c r="E1963" s="82"/>
      <c r="F1963" s="72">
        <v>500</v>
      </c>
      <c r="G1963" s="2">
        <f t="shared" si="36"/>
        <v>2</v>
      </c>
    </row>
    <row r="1964" spans="1:7" x14ac:dyDescent="0.25">
      <c r="A1964" s="6">
        <v>44110</v>
      </c>
      <c r="B1964" s="59" t="s">
        <v>2062</v>
      </c>
      <c r="F1964" s="72">
        <v>10000</v>
      </c>
      <c r="G1964" s="2">
        <f t="shared" si="36"/>
        <v>20</v>
      </c>
    </row>
    <row r="1965" spans="1:7" x14ac:dyDescent="0.25">
      <c r="A1965" s="6">
        <v>44110</v>
      </c>
      <c r="B1965" s="59" t="s">
        <v>2503</v>
      </c>
      <c r="E1965" s="82"/>
      <c r="F1965" s="72">
        <v>8000</v>
      </c>
      <c r="G1965" s="2">
        <f t="shared" si="36"/>
        <v>20</v>
      </c>
    </row>
    <row r="1966" spans="1:7" x14ac:dyDescent="0.25">
      <c r="A1966" s="6">
        <v>44110</v>
      </c>
      <c r="B1966" s="59"/>
      <c r="F1966" s="72">
        <v>300</v>
      </c>
      <c r="G1966" s="2">
        <f t="shared" si="36"/>
        <v>1.2</v>
      </c>
    </row>
    <row r="1967" spans="1:7" x14ac:dyDescent="0.25">
      <c r="A1967" s="6">
        <v>44110</v>
      </c>
      <c r="B1967" s="59" t="s">
        <v>2504</v>
      </c>
      <c r="E1967" s="82" t="s">
        <v>66</v>
      </c>
      <c r="F1967" s="72">
        <v>100</v>
      </c>
      <c r="G1967" s="2">
        <f t="shared" si="36"/>
        <v>25.4</v>
      </c>
    </row>
    <row r="1968" spans="1:7" x14ac:dyDescent="0.25">
      <c r="A1968" s="6">
        <v>44110</v>
      </c>
      <c r="B1968" s="59" t="s">
        <v>2506</v>
      </c>
      <c r="E1968" s="82"/>
      <c r="F1968" s="72">
        <v>10000</v>
      </c>
      <c r="G1968" s="2">
        <f t="shared" si="36"/>
        <v>20</v>
      </c>
    </row>
    <row r="1969" spans="1:9" x14ac:dyDescent="0.25">
      <c r="A1969" s="6">
        <v>44111</v>
      </c>
      <c r="B1969" s="59" t="s">
        <v>2505</v>
      </c>
      <c r="E1969" s="82" t="s">
        <v>66</v>
      </c>
      <c r="F1969" s="72">
        <v>500</v>
      </c>
      <c r="G1969" s="2">
        <f t="shared" si="36"/>
        <v>27</v>
      </c>
    </row>
    <row r="1970" spans="1:9" x14ac:dyDescent="0.25">
      <c r="A1970" s="6">
        <v>44111</v>
      </c>
      <c r="B1970" s="59" t="s">
        <v>1942</v>
      </c>
      <c r="E1970" s="82"/>
      <c r="F1970" s="72">
        <v>500</v>
      </c>
      <c r="G1970" s="2">
        <f t="shared" si="36"/>
        <v>2</v>
      </c>
    </row>
    <row r="1971" spans="1:9" x14ac:dyDescent="0.25">
      <c r="A1971" s="6">
        <v>44111</v>
      </c>
      <c r="E1971" s="82"/>
      <c r="F1971" s="76">
        <v>500</v>
      </c>
      <c r="G1971" s="2">
        <f t="shared" si="36"/>
        <v>2</v>
      </c>
      <c r="I1971">
        <v>-100</v>
      </c>
    </row>
    <row r="1972" spans="1:9" x14ac:dyDescent="0.25">
      <c r="A1972" s="6">
        <v>44112</v>
      </c>
      <c r="B1972" s="59" t="s">
        <v>1942</v>
      </c>
      <c r="E1972" s="82"/>
      <c r="F1972" s="72">
        <v>500</v>
      </c>
      <c r="G1972" s="2">
        <f t="shared" si="36"/>
        <v>2</v>
      </c>
    </row>
    <row r="1973" spans="1:9" s="22" customFormat="1" x14ac:dyDescent="0.25">
      <c r="A1973" s="6">
        <v>44112</v>
      </c>
      <c r="B1973" s="59" t="s">
        <v>2413</v>
      </c>
      <c r="D1973" s="63"/>
      <c r="E1973" s="82"/>
      <c r="F1973" s="72">
        <v>1500</v>
      </c>
      <c r="G1973" s="2">
        <f t="shared" si="36"/>
        <v>6</v>
      </c>
    </row>
    <row r="1974" spans="1:9" s="22" customFormat="1" x14ac:dyDescent="0.25">
      <c r="A1974" s="6">
        <v>44112</v>
      </c>
      <c r="B1974" s="59" t="s">
        <v>2515</v>
      </c>
      <c r="D1974" s="63"/>
      <c r="E1974" s="82"/>
      <c r="F1974" s="72">
        <v>1500</v>
      </c>
      <c r="G1974" s="2">
        <f t="shared" si="36"/>
        <v>6</v>
      </c>
    </row>
    <row r="1975" spans="1:9" s="22" customFormat="1" x14ac:dyDescent="0.25">
      <c r="A1975" s="6">
        <v>44112</v>
      </c>
      <c r="B1975" s="59" t="s">
        <v>2062</v>
      </c>
      <c r="D1975" s="63"/>
      <c r="E1975" s="82"/>
      <c r="F1975" s="72">
        <v>6000</v>
      </c>
      <c r="G1975" s="2">
        <f t="shared" si="36"/>
        <v>20</v>
      </c>
    </row>
    <row r="1976" spans="1:9" s="22" customFormat="1" x14ac:dyDescent="0.25">
      <c r="A1976" s="6">
        <v>44113</v>
      </c>
      <c r="B1976" s="59" t="s">
        <v>1942</v>
      </c>
      <c r="D1976" s="63"/>
      <c r="E1976" s="82"/>
      <c r="F1976" s="72">
        <v>5000</v>
      </c>
      <c r="G1976" s="2">
        <f t="shared" si="36"/>
        <v>20</v>
      </c>
    </row>
    <row r="1977" spans="1:9" s="22" customFormat="1" x14ac:dyDescent="0.25">
      <c r="A1977" s="6">
        <v>44113</v>
      </c>
      <c r="B1977" s="59" t="s">
        <v>1948</v>
      </c>
      <c r="D1977" s="63"/>
      <c r="E1977" s="82"/>
      <c r="F1977" s="72">
        <v>3500</v>
      </c>
      <c r="G1977" s="2">
        <f t="shared" si="36"/>
        <v>14</v>
      </c>
    </row>
    <row r="1978" spans="1:9" s="22" customFormat="1" x14ac:dyDescent="0.25">
      <c r="A1978" s="6">
        <v>44113</v>
      </c>
      <c r="B1978" s="59" t="s">
        <v>2516</v>
      </c>
      <c r="C1978" s="22" t="s">
        <v>676</v>
      </c>
      <c r="D1978" s="63"/>
      <c r="E1978" s="82" t="s">
        <v>66</v>
      </c>
      <c r="F1978" s="72">
        <v>500</v>
      </c>
      <c r="G1978" s="2">
        <f t="shared" si="36"/>
        <v>27</v>
      </c>
    </row>
    <row r="1979" spans="1:9" s="22" customFormat="1" x14ac:dyDescent="0.25">
      <c r="A1979" s="6">
        <v>44113</v>
      </c>
      <c r="B1979" s="59" t="s">
        <v>1942</v>
      </c>
      <c r="D1979" s="63"/>
      <c r="E1979" s="82"/>
      <c r="F1979" s="72">
        <v>1000</v>
      </c>
      <c r="G1979" s="2">
        <f t="shared" si="36"/>
        <v>4</v>
      </c>
    </row>
    <row r="1980" spans="1:9" s="22" customFormat="1" x14ac:dyDescent="0.25">
      <c r="A1980" s="6">
        <v>44113</v>
      </c>
      <c r="B1980" s="59" t="s">
        <v>2048</v>
      </c>
      <c r="D1980" s="63"/>
      <c r="E1980" s="82"/>
      <c r="F1980" s="72">
        <v>2000</v>
      </c>
      <c r="G1980" s="2">
        <f t="shared" si="36"/>
        <v>8</v>
      </c>
    </row>
    <row r="1981" spans="1:9" s="22" customFormat="1" x14ac:dyDescent="0.25">
      <c r="A1981" s="6">
        <v>44114</v>
      </c>
      <c r="B1981" s="59" t="s">
        <v>1942</v>
      </c>
      <c r="D1981" s="63"/>
      <c r="E1981" s="82"/>
      <c r="F1981" s="72">
        <v>1000</v>
      </c>
      <c r="G1981" s="2">
        <f t="shared" si="36"/>
        <v>4</v>
      </c>
    </row>
    <row r="1982" spans="1:9" s="22" customFormat="1" x14ac:dyDescent="0.25">
      <c r="A1982" s="6">
        <v>44114</v>
      </c>
      <c r="B1982" s="59" t="s">
        <v>2449</v>
      </c>
      <c r="D1982" s="63"/>
      <c r="E1982" s="82"/>
      <c r="F1982" s="72">
        <v>100</v>
      </c>
      <c r="G1982" s="2">
        <f t="shared" si="36"/>
        <v>0.4</v>
      </c>
    </row>
    <row r="1983" spans="1:9" s="22" customFormat="1" x14ac:dyDescent="0.25">
      <c r="A1983" s="6">
        <v>44114</v>
      </c>
      <c r="B1983" s="59" t="s">
        <v>2062</v>
      </c>
      <c r="D1983" s="63"/>
      <c r="E1983" s="82"/>
      <c r="F1983" s="72">
        <v>2000</v>
      </c>
      <c r="G1983" s="2">
        <f t="shared" si="36"/>
        <v>8</v>
      </c>
    </row>
    <row r="1984" spans="1:9" s="22" customFormat="1" x14ac:dyDescent="0.25">
      <c r="A1984" s="6">
        <v>44114</v>
      </c>
      <c r="B1984" s="59" t="s">
        <v>2521</v>
      </c>
      <c r="D1984" s="63"/>
      <c r="E1984" s="82"/>
      <c r="F1984" s="72">
        <v>2500</v>
      </c>
      <c r="G1984" s="2">
        <f t="shared" si="36"/>
        <v>10</v>
      </c>
    </row>
    <row r="1985" spans="1:7" s="22" customFormat="1" x14ac:dyDescent="0.25">
      <c r="A1985" s="6">
        <v>44116</v>
      </c>
      <c r="B1985" s="59" t="s">
        <v>2526</v>
      </c>
      <c r="D1985" s="63"/>
      <c r="E1985" s="82"/>
      <c r="F1985" s="72">
        <v>2500</v>
      </c>
      <c r="G1985" s="2">
        <f t="shared" si="36"/>
        <v>10</v>
      </c>
    </row>
    <row r="1986" spans="1:7" s="22" customFormat="1" x14ac:dyDescent="0.25">
      <c r="A1986" s="6">
        <v>44116</v>
      </c>
      <c r="B1986" s="59" t="s">
        <v>1942</v>
      </c>
      <c r="D1986" s="63"/>
      <c r="E1986" s="82"/>
      <c r="F1986" s="72">
        <v>1000</v>
      </c>
      <c r="G1986" s="2">
        <f t="shared" si="36"/>
        <v>4</v>
      </c>
    </row>
    <row r="1987" spans="1:7" s="22" customFormat="1" x14ac:dyDescent="0.25">
      <c r="A1987" s="6">
        <v>44116</v>
      </c>
      <c r="B1987" s="59" t="s">
        <v>1979</v>
      </c>
      <c r="D1987" s="63"/>
      <c r="E1987" s="82"/>
      <c r="F1987" s="72">
        <v>200</v>
      </c>
      <c r="G1987" s="2">
        <f t="shared" si="36"/>
        <v>0.8</v>
      </c>
    </row>
    <row r="1988" spans="1:7" s="22" customFormat="1" x14ac:dyDescent="0.25">
      <c r="A1988" s="6">
        <v>44116</v>
      </c>
      <c r="B1988" s="59" t="s">
        <v>2449</v>
      </c>
      <c r="D1988" s="63"/>
      <c r="E1988" s="82"/>
      <c r="F1988" s="72">
        <v>400</v>
      </c>
      <c r="G1988" s="2">
        <f t="shared" si="36"/>
        <v>1.6</v>
      </c>
    </row>
    <row r="1989" spans="1:7" s="22" customFormat="1" x14ac:dyDescent="0.25">
      <c r="A1989" s="6">
        <v>44116</v>
      </c>
      <c r="B1989" s="59" t="s">
        <v>2527</v>
      </c>
      <c r="C1989" s="22" t="s">
        <v>2528</v>
      </c>
      <c r="D1989" s="63"/>
      <c r="E1989" s="82" t="s">
        <v>66</v>
      </c>
      <c r="F1989" s="72">
        <v>300</v>
      </c>
      <c r="G1989" s="2">
        <f t="shared" si="36"/>
        <v>26.2</v>
      </c>
    </row>
    <row r="1990" spans="1:7" s="22" customFormat="1" x14ac:dyDescent="0.25">
      <c r="A1990" s="6">
        <v>44117</v>
      </c>
      <c r="B1990" s="59" t="s">
        <v>1942</v>
      </c>
      <c r="D1990" s="63"/>
      <c r="E1990" s="82"/>
      <c r="F1990" s="72">
        <v>500</v>
      </c>
      <c r="G1990" s="2">
        <f t="shared" si="36"/>
        <v>2</v>
      </c>
    </row>
    <row r="1991" spans="1:7" s="22" customFormat="1" x14ac:dyDescent="0.25">
      <c r="A1991" s="6">
        <v>44117</v>
      </c>
      <c r="B1991" s="59" t="s">
        <v>2538</v>
      </c>
      <c r="C1991" s="22" t="s">
        <v>2541</v>
      </c>
      <c r="D1991" s="63"/>
      <c r="E1991" s="82" t="s">
        <v>66</v>
      </c>
      <c r="F1991" s="72">
        <v>500</v>
      </c>
      <c r="G1991" s="2">
        <f t="shared" si="36"/>
        <v>27</v>
      </c>
    </row>
    <row r="1992" spans="1:7" s="22" customFormat="1" x14ac:dyDescent="0.25">
      <c r="A1992" s="6">
        <v>44117</v>
      </c>
      <c r="B1992" s="59" t="s">
        <v>2540</v>
      </c>
      <c r="D1992" s="63"/>
      <c r="E1992" s="82"/>
      <c r="F1992" s="72">
        <v>1800</v>
      </c>
      <c r="G1992" s="2">
        <f t="shared" si="36"/>
        <v>7.2</v>
      </c>
    </row>
    <row r="1993" spans="1:7" s="22" customFormat="1" x14ac:dyDescent="0.25">
      <c r="A1993" s="6">
        <v>44118</v>
      </c>
      <c r="B1993" s="59" t="s">
        <v>2539</v>
      </c>
      <c r="D1993" s="63"/>
      <c r="E1993" s="82"/>
      <c r="F1993" s="72">
        <v>1000</v>
      </c>
      <c r="G1993" s="2">
        <f t="shared" si="36"/>
        <v>4</v>
      </c>
    </row>
    <row r="1994" spans="1:7" s="22" customFormat="1" x14ac:dyDescent="0.25">
      <c r="A1994" s="6">
        <v>44118</v>
      </c>
      <c r="B1994" s="59" t="s">
        <v>1948</v>
      </c>
      <c r="D1994" s="63"/>
      <c r="E1994" s="82"/>
      <c r="F1994" s="72">
        <v>500</v>
      </c>
      <c r="G1994" s="2">
        <f t="shared" si="36"/>
        <v>2</v>
      </c>
    </row>
    <row r="1995" spans="1:7" s="22" customFormat="1" x14ac:dyDescent="0.25">
      <c r="A1995" s="6">
        <v>44118</v>
      </c>
      <c r="B1995" s="59" t="s">
        <v>2062</v>
      </c>
      <c r="D1995" s="63"/>
      <c r="E1995" s="82"/>
      <c r="F1995" s="72">
        <v>5000</v>
      </c>
      <c r="G1995" s="2">
        <f t="shared" si="36"/>
        <v>20</v>
      </c>
    </row>
    <row r="1996" spans="1:7" s="22" customFormat="1" x14ac:dyDescent="0.25">
      <c r="A1996" s="6">
        <v>44118</v>
      </c>
      <c r="B1996" s="63" t="s">
        <v>2138</v>
      </c>
      <c r="D1996" s="63"/>
      <c r="E1996" s="82"/>
      <c r="F1996" s="76">
        <v>1000</v>
      </c>
      <c r="G1996" s="2">
        <f t="shared" si="36"/>
        <v>4</v>
      </c>
    </row>
    <row r="1997" spans="1:7" s="22" customFormat="1" x14ac:dyDescent="0.25">
      <c r="A1997" s="6">
        <v>44118</v>
      </c>
      <c r="B1997" s="59" t="s">
        <v>2543</v>
      </c>
      <c r="D1997" s="63"/>
      <c r="E1997" s="82"/>
      <c r="F1997" s="76">
        <v>2500</v>
      </c>
      <c r="G1997" s="2">
        <f t="shared" si="36"/>
        <v>10</v>
      </c>
    </row>
    <row r="1998" spans="1:7" s="22" customFormat="1" x14ac:dyDescent="0.25">
      <c r="A1998" s="6">
        <v>44118</v>
      </c>
      <c r="B1998" s="59" t="s">
        <v>2542</v>
      </c>
      <c r="D1998" s="63"/>
      <c r="E1998" s="82"/>
      <c r="F1998" s="76">
        <v>500</v>
      </c>
      <c r="G1998" s="2">
        <f t="shared" si="36"/>
        <v>2</v>
      </c>
    </row>
    <row r="1999" spans="1:7" s="22" customFormat="1" x14ac:dyDescent="0.25">
      <c r="A1999" s="6">
        <v>44118</v>
      </c>
      <c r="B1999" s="63" t="s">
        <v>1946</v>
      </c>
      <c r="D1999" s="63"/>
      <c r="E1999" s="82"/>
      <c r="F1999" s="76">
        <v>3000</v>
      </c>
      <c r="G1999" s="2">
        <f t="shared" si="36"/>
        <v>12</v>
      </c>
    </row>
    <row r="2000" spans="1:7" s="22" customFormat="1" x14ac:dyDescent="0.25">
      <c r="A2000" s="6">
        <v>44118</v>
      </c>
      <c r="B2000" s="63" t="s">
        <v>2547</v>
      </c>
      <c r="D2000" s="63"/>
      <c r="E2000" s="82" t="s">
        <v>66</v>
      </c>
      <c r="F2000" s="76">
        <v>100</v>
      </c>
      <c r="G2000" s="2">
        <f t="shared" si="36"/>
        <v>25.4</v>
      </c>
    </row>
    <row r="2001" spans="1:7" s="22" customFormat="1" x14ac:dyDescent="0.25">
      <c r="A2001" s="6">
        <v>44118</v>
      </c>
      <c r="B2001" s="59" t="s">
        <v>2550</v>
      </c>
      <c r="D2001" s="63"/>
      <c r="E2001" s="82"/>
      <c r="F2001" s="72">
        <v>2500</v>
      </c>
      <c r="G2001" s="2">
        <f t="shared" si="36"/>
        <v>10</v>
      </c>
    </row>
    <row r="2002" spans="1:7" s="22" customFormat="1" x14ac:dyDescent="0.25">
      <c r="A2002" s="6">
        <v>44118</v>
      </c>
      <c r="B2002" s="59" t="s">
        <v>2551</v>
      </c>
      <c r="D2002" s="63"/>
      <c r="E2002" s="82"/>
      <c r="F2002" s="76">
        <v>4000</v>
      </c>
      <c r="G2002" s="2">
        <f t="shared" si="36"/>
        <v>16</v>
      </c>
    </row>
    <row r="2003" spans="1:7" s="22" customFormat="1" x14ac:dyDescent="0.25">
      <c r="A2003" s="6">
        <v>44119</v>
      </c>
      <c r="B2003" s="59" t="s">
        <v>2127</v>
      </c>
      <c r="D2003" s="63"/>
      <c r="E2003" s="82"/>
      <c r="F2003" s="72">
        <v>1800</v>
      </c>
      <c r="G2003" s="2">
        <f t="shared" si="36"/>
        <v>7.2</v>
      </c>
    </row>
    <row r="2004" spans="1:7" s="22" customFormat="1" x14ac:dyDescent="0.25">
      <c r="A2004" s="6">
        <v>44119</v>
      </c>
      <c r="B2004" s="59" t="s">
        <v>2551</v>
      </c>
      <c r="D2004" s="63"/>
      <c r="E2004" s="82"/>
      <c r="F2004" s="76">
        <v>3000</v>
      </c>
      <c r="G2004" s="2">
        <f t="shared" si="36"/>
        <v>12</v>
      </c>
    </row>
    <row r="2005" spans="1:7" s="22" customFormat="1" x14ac:dyDescent="0.25">
      <c r="A2005" s="6">
        <v>44119</v>
      </c>
      <c r="B2005" s="59" t="s">
        <v>2553</v>
      </c>
      <c r="D2005" s="63"/>
      <c r="E2005" s="82"/>
      <c r="F2005" s="72">
        <v>500</v>
      </c>
      <c r="G2005" s="2">
        <f t="shared" si="36"/>
        <v>2</v>
      </c>
    </row>
    <row r="2006" spans="1:7" s="22" customFormat="1" x14ac:dyDescent="0.25">
      <c r="A2006" s="6">
        <v>44119</v>
      </c>
      <c r="B2006" s="59" t="s">
        <v>2554</v>
      </c>
      <c r="D2006" s="63"/>
      <c r="E2006" s="82" t="s">
        <v>66</v>
      </c>
      <c r="F2006" s="72">
        <v>100</v>
      </c>
      <c r="G2006" s="2">
        <f t="shared" si="36"/>
        <v>25.4</v>
      </c>
    </row>
    <row r="2007" spans="1:7" s="22" customFormat="1" x14ac:dyDescent="0.25">
      <c r="A2007" s="6">
        <v>44119</v>
      </c>
      <c r="B2007" s="59" t="s">
        <v>2555</v>
      </c>
      <c r="D2007" s="63"/>
      <c r="E2007" s="82" t="s">
        <v>66</v>
      </c>
      <c r="F2007" s="72">
        <v>100</v>
      </c>
      <c r="G2007" s="2">
        <f t="shared" si="36"/>
        <v>25.4</v>
      </c>
    </row>
    <row r="2008" spans="1:7" s="22" customFormat="1" x14ac:dyDescent="0.25">
      <c r="A2008" s="6">
        <v>44119</v>
      </c>
      <c r="B2008" s="59" t="s">
        <v>2556</v>
      </c>
      <c r="D2008" s="63"/>
      <c r="E2008" s="82"/>
      <c r="F2008" s="72">
        <v>100</v>
      </c>
      <c r="G2008" s="2">
        <f t="shared" si="36"/>
        <v>0.4</v>
      </c>
    </row>
    <row r="2009" spans="1:7" s="22" customFormat="1" x14ac:dyDescent="0.25">
      <c r="A2009" s="6">
        <v>44119</v>
      </c>
      <c r="B2009" s="59" t="s">
        <v>1942</v>
      </c>
      <c r="D2009" s="63"/>
      <c r="E2009" s="82"/>
      <c r="F2009" s="72">
        <v>500</v>
      </c>
      <c r="G2009" s="2">
        <f t="shared" si="36"/>
        <v>2</v>
      </c>
    </row>
    <row r="2010" spans="1:7" s="22" customFormat="1" x14ac:dyDescent="0.25">
      <c r="A2010" s="6">
        <v>44120</v>
      </c>
      <c r="B2010" s="59" t="s">
        <v>2048</v>
      </c>
      <c r="D2010" s="63"/>
      <c r="E2010" s="82"/>
      <c r="F2010" s="72">
        <v>2000</v>
      </c>
      <c r="G2010" s="2">
        <f t="shared" si="36"/>
        <v>8</v>
      </c>
    </row>
    <row r="2011" spans="1:7" s="22" customFormat="1" x14ac:dyDescent="0.25">
      <c r="A2011" s="6">
        <v>44120</v>
      </c>
      <c r="B2011" s="59" t="s">
        <v>1942</v>
      </c>
      <c r="D2011" s="63"/>
      <c r="E2011" s="82"/>
      <c r="F2011" s="72">
        <v>500</v>
      </c>
      <c r="G2011" s="2">
        <f t="shared" si="36"/>
        <v>2</v>
      </c>
    </row>
    <row r="2012" spans="1:7" s="22" customFormat="1" x14ac:dyDescent="0.25">
      <c r="A2012" s="6">
        <v>44120</v>
      </c>
      <c r="B2012" s="59" t="s">
        <v>2557</v>
      </c>
      <c r="D2012" s="63"/>
      <c r="E2012" s="82" t="s">
        <v>66</v>
      </c>
      <c r="F2012" s="72">
        <v>100</v>
      </c>
      <c r="G2012" s="2">
        <f t="shared" ref="G2012:G2075" si="37">IF(E2012="y",25,IF(OR(E2012="N",E2012="RD",E2012="I"),10,0))+IF(F2012&gt;5000,20,F2012*0.4%)+IF(E2012="SB",1,IF(E2012="JJ",30,IF(E2012="A",50,0)))</f>
        <v>25.4</v>
      </c>
    </row>
    <row r="2013" spans="1:7" s="22" customFormat="1" x14ac:dyDescent="0.25">
      <c r="A2013" s="6">
        <v>44120</v>
      </c>
      <c r="B2013" s="59" t="s">
        <v>2138</v>
      </c>
      <c r="D2013" s="63"/>
      <c r="E2013" s="82"/>
      <c r="F2013" s="72">
        <v>1000</v>
      </c>
      <c r="G2013" s="2">
        <f t="shared" si="37"/>
        <v>4</v>
      </c>
    </row>
    <row r="2014" spans="1:7" s="22" customFormat="1" x14ac:dyDescent="0.25">
      <c r="A2014" s="6">
        <v>44120</v>
      </c>
      <c r="B2014" s="63" t="s">
        <v>1948</v>
      </c>
      <c r="C2014" s="22" t="s">
        <v>2568</v>
      </c>
      <c r="D2014" s="63"/>
      <c r="E2014" s="82"/>
      <c r="F2014" s="76">
        <v>3700</v>
      </c>
      <c r="G2014" s="2">
        <f t="shared" si="37"/>
        <v>14.8</v>
      </c>
    </row>
    <row r="2015" spans="1:7" s="22" customFormat="1" x14ac:dyDescent="0.25">
      <c r="A2015" s="6">
        <v>44121</v>
      </c>
      <c r="B2015" s="63" t="s">
        <v>329</v>
      </c>
      <c r="D2015" s="63"/>
      <c r="E2015" s="82"/>
      <c r="F2015" s="76">
        <v>1000</v>
      </c>
      <c r="G2015" s="2">
        <f t="shared" si="37"/>
        <v>4</v>
      </c>
    </row>
    <row r="2016" spans="1:7" s="22" customFormat="1" x14ac:dyDescent="0.25">
      <c r="A2016" s="6">
        <v>44121</v>
      </c>
      <c r="B2016" s="63" t="s">
        <v>1948</v>
      </c>
      <c r="C2016" s="22" t="s">
        <v>2568</v>
      </c>
      <c r="D2016" s="63"/>
      <c r="E2016" s="82"/>
      <c r="F2016" s="76">
        <v>700</v>
      </c>
      <c r="G2016" s="2">
        <f t="shared" si="37"/>
        <v>2.8000000000000003</v>
      </c>
    </row>
    <row r="2017" spans="1:7" s="22" customFormat="1" x14ac:dyDescent="0.25">
      <c r="A2017" s="6">
        <v>44121</v>
      </c>
      <c r="B2017" s="59" t="s">
        <v>2580</v>
      </c>
      <c r="D2017" s="63"/>
      <c r="E2017" s="82"/>
      <c r="F2017" s="72">
        <v>200</v>
      </c>
      <c r="G2017" s="2">
        <f t="shared" si="37"/>
        <v>0.8</v>
      </c>
    </row>
    <row r="2018" spans="1:7" s="22" customFormat="1" x14ac:dyDescent="0.25">
      <c r="A2018" s="6">
        <v>44121</v>
      </c>
      <c r="B2018" s="59" t="s">
        <v>2570</v>
      </c>
      <c r="D2018" s="63"/>
      <c r="E2018" s="82"/>
      <c r="F2018" s="76">
        <v>500</v>
      </c>
      <c r="G2018" s="2">
        <f t="shared" si="37"/>
        <v>2</v>
      </c>
    </row>
    <row r="2019" spans="1:7" s="22" customFormat="1" x14ac:dyDescent="0.25">
      <c r="A2019" s="6">
        <v>44121</v>
      </c>
      <c r="B2019" s="59" t="s">
        <v>1942</v>
      </c>
      <c r="D2019" s="63"/>
      <c r="E2019" s="82"/>
      <c r="F2019" s="72">
        <v>500</v>
      </c>
      <c r="G2019" s="2">
        <f t="shared" si="37"/>
        <v>2</v>
      </c>
    </row>
    <row r="2020" spans="1:7" s="22" customFormat="1" x14ac:dyDescent="0.25">
      <c r="A2020" s="6">
        <v>44121</v>
      </c>
      <c r="B2020" s="59" t="s">
        <v>2571</v>
      </c>
      <c r="D2020" s="63"/>
      <c r="E2020" s="82" t="s">
        <v>66</v>
      </c>
      <c r="F2020" s="72">
        <v>100</v>
      </c>
      <c r="G2020" s="2">
        <f t="shared" si="37"/>
        <v>25.4</v>
      </c>
    </row>
    <row r="2021" spans="1:7" s="22" customFormat="1" x14ac:dyDescent="0.25">
      <c r="A2021" s="6">
        <v>44121</v>
      </c>
      <c r="B2021" s="59" t="s">
        <v>2521</v>
      </c>
      <c r="D2021" s="63"/>
      <c r="E2021" s="82"/>
      <c r="F2021" s="72">
        <v>2500</v>
      </c>
      <c r="G2021" s="2">
        <f t="shared" si="37"/>
        <v>10</v>
      </c>
    </row>
    <row r="2022" spans="1:7" s="22" customFormat="1" x14ac:dyDescent="0.25">
      <c r="A2022" s="6">
        <v>44121</v>
      </c>
      <c r="B2022" s="59" t="s">
        <v>2572</v>
      </c>
      <c r="D2022" s="63"/>
      <c r="E2022" s="82"/>
      <c r="F2022" s="72">
        <v>800</v>
      </c>
      <c r="G2022" s="2">
        <f t="shared" si="37"/>
        <v>3.2</v>
      </c>
    </row>
    <row r="2023" spans="1:7" s="22" customFormat="1" x14ac:dyDescent="0.25">
      <c r="A2023" s="6">
        <v>44121</v>
      </c>
      <c r="B2023" s="59" t="s">
        <v>2062</v>
      </c>
      <c r="D2023" s="63"/>
      <c r="E2023" s="82"/>
      <c r="F2023" s="72">
        <v>2000</v>
      </c>
      <c r="G2023" s="2">
        <f t="shared" si="37"/>
        <v>8</v>
      </c>
    </row>
    <row r="2024" spans="1:7" s="22" customFormat="1" x14ac:dyDescent="0.25">
      <c r="A2024" s="6">
        <v>44123</v>
      </c>
      <c r="B2024" s="59" t="s">
        <v>2573</v>
      </c>
      <c r="D2024" s="63"/>
      <c r="E2024" s="82"/>
      <c r="F2024" s="72">
        <v>700</v>
      </c>
      <c r="G2024" s="2">
        <f t="shared" si="37"/>
        <v>2.8000000000000003</v>
      </c>
    </row>
    <row r="2025" spans="1:7" s="22" customFormat="1" x14ac:dyDescent="0.25">
      <c r="A2025" s="6">
        <v>44123</v>
      </c>
      <c r="B2025" s="59" t="s">
        <v>2165</v>
      </c>
      <c r="D2025" s="63"/>
      <c r="E2025" s="82"/>
      <c r="F2025" s="72">
        <v>500</v>
      </c>
      <c r="G2025" s="2">
        <f t="shared" si="37"/>
        <v>2</v>
      </c>
    </row>
    <row r="2026" spans="1:7" s="22" customFormat="1" x14ac:dyDescent="0.25">
      <c r="A2026" s="6">
        <v>44123</v>
      </c>
      <c r="B2026" s="59" t="s">
        <v>2449</v>
      </c>
      <c r="D2026" s="63"/>
      <c r="E2026" s="82"/>
      <c r="F2026" s="72">
        <v>100</v>
      </c>
      <c r="G2026" s="2">
        <f t="shared" si="37"/>
        <v>0.4</v>
      </c>
    </row>
    <row r="2027" spans="1:7" s="22" customFormat="1" x14ac:dyDescent="0.25">
      <c r="A2027" s="6">
        <v>44123</v>
      </c>
      <c r="B2027" s="59" t="s">
        <v>2574</v>
      </c>
      <c r="D2027" s="63"/>
      <c r="E2027" s="82"/>
      <c r="F2027" s="72">
        <v>2500</v>
      </c>
      <c r="G2027" s="2">
        <f t="shared" si="37"/>
        <v>10</v>
      </c>
    </row>
    <row r="2028" spans="1:7" s="22" customFormat="1" x14ac:dyDescent="0.25">
      <c r="A2028" s="6">
        <v>44123</v>
      </c>
      <c r="B2028" s="59" t="s">
        <v>2575</v>
      </c>
      <c r="D2028" s="63"/>
      <c r="E2028" s="82"/>
      <c r="F2028" s="72">
        <v>500</v>
      </c>
      <c r="G2028" s="2">
        <f t="shared" si="37"/>
        <v>2</v>
      </c>
    </row>
    <row r="2029" spans="1:7" s="22" customFormat="1" x14ac:dyDescent="0.25">
      <c r="A2029" s="6">
        <v>44123</v>
      </c>
      <c r="B2029" s="59" t="s">
        <v>2449</v>
      </c>
      <c r="D2029" s="63"/>
      <c r="E2029" s="82"/>
      <c r="F2029" s="72">
        <v>100</v>
      </c>
      <c r="G2029" s="2">
        <f t="shared" si="37"/>
        <v>0.4</v>
      </c>
    </row>
    <row r="2030" spans="1:7" s="22" customFormat="1" x14ac:dyDescent="0.25">
      <c r="A2030" s="6">
        <v>44123</v>
      </c>
      <c r="B2030" s="59" t="s">
        <v>2576</v>
      </c>
      <c r="D2030" s="63"/>
      <c r="E2030" s="82"/>
      <c r="F2030" s="72">
        <v>200</v>
      </c>
      <c r="G2030" s="2">
        <f t="shared" si="37"/>
        <v>0.8</v>
      </c>
    </row>
    <row r="2031" spans="1:7" s="22" customFormat="1" x14ac:dyDescent="0.25">
      <c r="A2031" s="6">
        <v>44123</v>
      </c>
      <c r="B2031" s="59" t="s">
        <v>2577</v>
      </c>
      <c r="D2031" s="63"/>
      <c r="E2031" s="82" t="s">
        <v>66</v>
      </c>
      <c r="F2031" s="72">
        <v>500</v>
      </c>
      <c r="G2031" s="2">
        <f t="shared" si="37"/>
        <v>27</v>
      </c>
    </row>
    <row r="2032" spans="1:7" s="22" customFormat="1" x14ac:dyDescent="0.25">
      <c r="A2032" s="6">
        <v>44123</v>
      </c>
      <c r="B2032" s="59" t="s">
        <v>2578</v>
      </c>
      <c r="D2032" s="63"/>
      <c r="E2032" s="82"/>
      <c r="F2032" s="72">
        <v>200</v>
      </c>
      <c r="G2032" s="2">
        <f t="shared" si="37"/>
        <v>0.8</v>
      </c>
    </row>
    <row r="2033" spans="1:7" s="22" customFormat="1" x14ac:dyDescent="0.25">
      <c r="A2033" s="6">
        <v>44124</v>
      </c>
      <c r="B2033" s="59" t="s">
        <v>2134</v>
      </c>
      <c r="D2033" s="63"/>
      <c r="E2033" s="82"/>
      <c r="F2033" s="72">
        <v>3000</v>
      </c>
      <c r="G2033" s="2">
        <f t="shared" si="37"/>
        <v>12</v>
      </c>
    </row>
    <row r="2034" spans="1:7" s="22" customFormat="1" x14ac:dyDescent="0.25">
      <c r="A2034" s="6">
        <v>44124</v>
      </c>
      <c r="B2034" s="59" t="s">
        <v>1942</v>
      </c>
      <c r="D2034" s="63"/>
      <c r="E2034" s="82"/>
      <c r="F2034" s="72">
        <v>1000</v>
      </c>
      <c r="G2034" s="2">
        <f t="shared" si="37"/>
        <v>4</v>
      </c>
    </row>
    <row r="2035" spans="1:7" s="22" customFormat="1" x14ac:dyDescent="0.25">
      <c r="A2035" s="6">
        <v>44124</v>
      </c>
      <c r="B2035" s="59" t="s">
        <v>2048</v>
      </c>
      <c r="D2035" s="63"/>
      <c r="E2035" s="82"/>
      <c r="F2035" s="72">
        <v>1000</v>
      </c>
      <c r="G2035" s="2">
        <f t="shared" si="37"/>
        <v>4</v>
      </c>
    </row>
    <row r="2036" spans="1:7" s="22" customFormat="1" x14ac:dyDescent="0.25">
      <c r="A2036" s="6">
        <v>44124</v>
      </c>
      <c r="B2036" s="59" t="s">
        <v>2062</v>
      </c>
      <c r="D2036" s="63"/>
      <c r="E2036" s="82"/>
      <c r="F2036" s="72">
        <v>1000</v>
      </c>
      <c r="G2036" s="2">
        <f t="shared" si="37"/>
        <v>4</v>
      </c>
    </row>
    <row r="2037" spans="1:7" s="22" customFormat="1" x14ac:dyDescent="0.25">
      <c r="A2037" s="6">
        <v>44124</v>
      </c>
      <c r="B2037" s="59" t="s">
        <v>2300</v>
      </c>
      <c r="D2037" s="63"/>
      <c r="E2037" s="82"/>
      <c r="F2037" s="72">
        <v>1000</v>
      </c>
      <c r="G2037" s="2">
        <f t="shared" si="37"/>
        <v>4</v>
      </c>
    </row>
    <row r="2038" spans="1:7" s="22" customFormat="1" x14ac:dyDescent="0.25">
      <c r="A2038" s="6">
        <v>44124</v>
      </c>
      <c r="B2038" s="59" t="s">
        <v>1942</v>
      </c>
      <c r="D2038" s="63"/>
      <c r="E2038" s="82"/>
      <c r="F2038" s="72">
        <v>500</v>
      </c>
      <c r="G2038" s="2">
        <f t="shared" si="37"/>
        <v>2</v>
      </c>
    </row>
    <row r="2039" spans="1:7" s="22" customFormat="1" x14ac:dyDescent="0.25">
      <c r="A2039" s="6">
        <v>44124</v>
      </c>
      <c r="B2039" s="59" t="s">
        <v>1979</v>
      </c>
      <c r="D2039" s="63"/>
      <c r="E2039" s="82"/>
      <c r="F2039" s="72">
        <v>500</v>
      </c>
      <c r="G2039" s="2">
        <f t="shared" si="37"/>
        <v>2</v>
      </c>
    </row>
    <row r="2040" spans="1:7" s="22" customFormat="1" x14ac:dyDescent="0.25">
      <c r="A2040" s="6">
        <v>44124</v>
      </c>
      <c r="B2040" s="59" t="s">
        <v>1948</v>
      </c>
      <c r="D2040" s="63"/>
      <c r="E2040" s="82"/>
      <c r="F2040" s="72">
        <v>1300</v>
      </c>
      <c r="G2040" s="2">
        <f t="shared" si="37"/>
        <v>5.2</v>
      </c>
    </row>
    <row r="2041" spans="1:7" s="22" customFormat="1" x14ac:dyDescent="0.25">
      <c r="A2041" s="6">
        <v>44124</v>
      </c>
      <c r="B2041" s="59" t="s">
        <v>2449</v>
      </c>
      <c r="D2041" s="63"/>
      <c r="E2041" s="82"/>
      <c r="F2041" s="72">
        <v>100</v>
      </c>
      <c r="G2041" s="2">
        <f t="shared" si="37"/>
        <v>0.4</v>
      </c>
    </row>
    <row r="2042" spans="1:7" s="22" customFormat="1" x14ac:dyDescent="0.25">
      <c r="A2042" s="6">
        <v>44125</v>
      </c>
      <c r="B2042" s="59" t="s">
        <v>2581</v>
      </c>
      <c r="D2042" s="63"/>
      <c r="E2042" s="82"/>
      <c r="F2042" s="72">
        <v>500</v>
      </c>
      <c r="G2042" s="2">
        <f t="shared" si="37"/>
        <v>2</v>
      </c>
    </row>
    <row r="2043" spans="1:7" s="22" customFormat="1" x14ac:dyDescent="0.25">
      <c r="A2043" s="6">
        <v>44125</v>
      </c>
      <c r="B2043" s="59" t="s">
        <v>2581</v>
      </c>
      <c r="D2043" s="63"/>
      <c r="E2043" s="82"/>
      <c r="F2043" s="72">
        <v>300</v>
      </c>
      <c r="G2043" s="2">
        <f t="shared" si="37"/>
        <v>1.2</v>
      </c>
    </row>
    <row r="2044" spans="1:7" s="22" customFormat="1" x14ac:dyDescent="0.25">
      <c r="A2044" s="6">
        <v>44125</v>
      </c>
      <c r="B2044" s="59" t="s">
        <v>2582</v>
      </c>
      <c r="D2044" s="63"/>
      <c r="E2044" s="82"/>
      <c r="F2044" s="72">
        <v>2300</v>
      </c>
      <c r="G2044" s="2">
        <f t="shared" si="37"/>
        <v>9.2000000000000011</v>
      </c>
    </row>
    <row r="2045" spans="1:7" s="22" customFormat="1" x14ac:dyDescent="0.25">
      <c r="A2045" s="6">
        <v>44125</v>
      </c>
      <c r="B2045" s="59" t="s">
        <v>2583</v>
      </c>
      <c r="D2045" s="63"/>
      <c r="E2045" s="82"/>
      <c r="F2045" s="72">
        <v>700</v>
      </c>
      <c r="G2045" s="2">
        <f t="shared" si="37"/>
        <v>2.8000000000000003</v>
      </c>
    </row>
    <row r="2046" spans="1:7" s="22" customFormat="1" x14ac:dyDescent="0.25">
      <c r="A2046" s="6">
        <v>44125</v>
      </c>
      <c r="B2046" s="59" t="s">
        <v>1942</v>
      </c>
      <c r="D2046" s="63"/>
      <c r="E2046" s="82"/>
      <c r="F2046" s="72">
        <v>10000</v>
      </c>
      <c r="G2046" s="2">
        <f t="shared" si="37"/>
        <v>20</v>
      </c>
    </row>
    <row r="2047" spans="1:7" s="22" customFormat="1" x14ac:dyDescent="0.25">
      <c r="A2047" s="6">
        <v>44125</v>
      </c>
      <c r="B2047" s="59" t="s">
        <v>2062</v>
      </c>
      <c r="D2047" s="63"/>
      <c r="E2047" s="82"/>
      <c r="F2047" s="72">
        <v>10000</v>
      </c>
      <c r="G2047" s="2">
        <f t="shared" si="37"/>
        <v>20</v>
      </c>
    </row>
    <row r="2048" spans="1:7" s="22" customFormat="1" x14ac:dyDescent="0.25">
      <c r="A2048" s="6">
        <v>44125</v>
      </c>
      <c r="B2048" s="59" t="s">
        <v>1946</v>
      </c>
      <c r="D2048" s="63"/>
      <c r="E2048" s="82"/>
      <c r="F2048" s="72">
        <v>3000</v>
      </c>
      <c r="G2048" s="2">
        <f t="shared" si="37"/>
        <v>12</v>
      </c>
    </row>
    <row r="2049" spans="1:10" s="22" customFormat="1" x14ac:dyDescent="0.25">
      <c r="A2049" s="6">
        <v>44126</v>
      </c>
      <c r="B2049" s="59" t="s">
        <v>2584</v>
      </c>
      <c r="D2049" s="63"/>
      <c r="E2049" s="82"/>
      <c r="F2049" s="72">
        <v>10000</v>
      </c>
      <c r="G2049" s="2">
        <f t="shared" si="37"/>
        <v>20</v>
      </c>
    </row>
    <row r="2050" spans="1:10" s="22" customFormat="1" x14ac:dyDescent="0.25">
      <c r="A2050" s="6">
        <v>44126</v>
      </c>
      <c r="B2050" s="59" t="s">
        <v>2062</v>
      </c>
      <c r="D2050" s="63"/>
      <c r="E2050" s="82"/>
      <c r="F2050" s="72">
        <v>10000</v>
      </c>
      <c r="G2050" s="2">
        <f t="shared" si="37"/>
        <v>20</v>
      </c>
    </row>
    <row r="2051" spans="1:10" s="22" customFormat="1" x14ac:dyDescent="0.25">
      <c r="A2051" s="6">
        <v>44127</v>
      </c>
      <c r="B2051" s="59" t="s">
        <v>2585</v>
      </c>
      <c r="D2051" s="63"/>
      <c r="E2051" s="82"/>
      <c r="F2051" s="72">
        <v>2000</v>
      </c>
      <c r="G2051" s="2">
        <f t="shared" si="37"/>
        <v>8</v>
      </c>
    </row>
    <row r="2052" spans="1:10" s="22" customFormat="1" x14ac:dyDescent="0.25">
      <c r="A2052" s="6">
        <v>44127</v>
      </c>
      <c r="B2052" s="59" t="s">
        <v>1942</v>
      </c>
      <c r="D2052" s="63"/>
      <c r="E2052" s="82"/>
      <c r="F2052" s="72">
        <v>800</v>
      </c>
      <c r="G2052" s="2">
        <f t="shared" si="37"/>
        <v>3.2</v>
      </c>
    </row>
    <row r="2053" spans="1:10" s="22" customFormat="1" x14ac:dyDescent="0.25">
      <c r="A2053" s="6">
        <v>44127</v>
      </c>
      <c r="B2053" s="59" t="s">
        <v>1624</v>
      </c>
      <c r="D2053" s="63"/>
      <c r="E2053" s="82"/>
      <c r="F2053" s="72">
        <v>700</v>
      </c>
      <c r="G2053" s="2">
        <f t="shared" si="37"/>
        <v>2.8000000000000003</v>
      </c>
    </row>
    <row r="2054" spans="1:10" s="22" customFormat="1" x14ac:dyDescent="0.25">
      <c r="A2054" s="6">
        <v>44127</v>
      </c>
      <c r="B2054" s="59" t="s">
        <v>2449</v>
      </c>
      <c r="D2054" s="63"/>
      <c r="E2054" s="82"/>
      <c r="F2054" s="72">
        <v>100</v>
      </c>
      <c r="G2054" s="2">
        <f t="shared" si="37"/>
        <v>0.4</v>
      </c>
    </row>
    <row r="2055" spans="1:10" s="22" customFormat="1" x14ac:dyDescent="0.25">
      <c r="A2055" s="6">
        <v>44127</v>
      </c>
      <c r="B2055" s="59" t="s">
        <v>2586</v>
      </c>
      <c r="D2055" s="63"/>
      <c r="E2055" s="82"/>
      <c r="F2055" s="72">
        <v>1000</v>
      </c>
      <c r="G2055" s="2">
        <f t="shared" si="37"/>
        <v>4</v>
      </c>
    </row>
    <row r="2056" spans="1:10" s="22" customFormat="1" x14ac:dyDescent="0.25">
      <c r="A2056" s="6">
        <v>44127</v>
      </c>
      <c r="B2056" s="59" t="s">
        <v>1942</v>
      </c>
      <c r="D2056" s="63"/>
      <c r="E2056" s="82"/>
      <c r="F2056" s="72">
        <v>500</v>
      </c>
      <c r="G2056" s="2">
        <f t="shared" si="37"/>
        <v>2</v>
      </c>
    </row>
    <row r="2057" spans="1:10" s="22" customFormat="1" x14ac:dyDescent="0.25">
      <c r="A2057" s="6">
        <v>44127</v>
      </c>
      <c r="B2057" s="59" t="s">
        <v>2449</v>
      </c>
      <c r="D2057" s="63"/>
      <c r="E2057" s="82"/>
      <c r="F2057" s="72">
        <v>200</v>
      </c>
      <c r="G2057" s="2">
        <f t="shared" si="37"/>
        <v>0.8</v>
      </c>
    </row>
    <row r="2058" spans="1:10" s="22" customFormat="1" x14ac:dyDescent="0.25">
      <c r="A2058" s="6">
        <v>44127</v>
      </c>
      <c r="B2058" s="59" t="s">
        <v>2070</v>
      </c>
      <c r="D2058" s="63"/>
      <c r="E2058" s="82"/>
      <c r="F2058" s="72">
        <v>4000</v>
      </c>
      <c r="G2058" s="2">
        <f t="shared" si="37"/>
        <v>16</v>
      </c>
    </row>
    <row r="2059" spans="1:10" s="22" customFormat="1" x14ac:dyDescent="0.25">
      <c r="A2059" s="6">
        <v>44127</v>
      </c>
      <c r="B2059" s="59" t="s">
        <v>2587</v>
      </c>
      <c r="D2059" s="63"/>
      <c r="E2059" s="82"/>
      <c r="F2059" s="72">
        <v>500</v>
      </c>
      <c r="G2059" s="2">
        <f t="shared" si="37"/>
        <v>2</v>
      </c>
    </row>
    <row r="2060" spans="1:10" s="22" customFormat="1" x14ac:dyDescent="0.25">
      <c r="A2060" s="6">
        <v>44129</v>
      </c>
      <c r="B2060" s="63" t="s">
        <v>2062</v>
      </c>
      <c r="D2060" s="63"/>
      <c r="E2060" s="178"/>
      <c r="F2060" s="72">
        <v>1800</v>
      </c>
      <c r="G2060" s="2">
        <f t="shared" si="37"/>
        <v>7.2</v>
      </c>
    </row>
    <row r="2061" spans="1:10" s="22" customFormat="1" x14ac:dyDescent="0.25">
      <c r="A2061" s="6">
        <v>44130</v>
      </c>
      <c r="B2061" s="59" t="s">
        <v>1649</v>
      </c>
      <c r="D2061" s="63"/>
      <c r="E2061" s="82"/>
      <c r="F2061" s="72">
        <v>1000</v>
      </c>
      <c r="G2061" s="2">
        <f t="shared" si="37"/>
        <v>4</v>
      </c>
      <c r="J2061" s="22">
        <v>20</v>
      </c>
    </row>
    <row r="2062" spans="1:10" s="22" customFormat="1" x14ac:dyDescent="0.25">
      <c r="A2062" s="6">
        <v>44131</v>
      </c>
      <c r="B2062" s="59" t="s">
        <v>1649</v>
      </c>
      <c r="D2062" s="63"/>
      <c r="E2062" s="82"/>
      <c r="F2062" s="72">
        <v>4000</v>
      </c>
      <c r="G2062" s="2">
        <f t="shared" si="37"/>
        <v>16</v>
      </c>
      <c r="J2062" s="22">
        <v>30</v>
      </c>
    </row>
    <row r="2063" spans="1:10" s="22" customFormat="1" x14ac:dyDescent="0.25">
      <c r="A2063" s="6">
        <v>44131</v>
      </c>
      <c r="B2063" s="59" t="s">
        <v>2062</v>
      </c>
      <c r="D2063" s="63"/>
      <c r="E2063" s="82"/>
      <c r="F2063" s="72">
        <v>5000</v>
      </c>
      <c r="G2063" s="2">
        <f t="shared" si="37"/>
        <v>20</v>
      </c>
    </row>
    <row r="2064" spans="1:10" s="22" customFormat="1" x14ac:dyDescent="0.25">
      <c r="A2064" s="6">
        <v>44131</v>
      </c>
      <c r="B2064" s="59" t="s">
        <v>2596</v>
      </c>
      <c r="D2064" s="63"/>
      <c r="E2064" s="82"/>
      <c r="F2064" s="72">
        <v>5000</v>
      </c>
      <c r="G2064" s="2">
        <f t="shared" si="37"/>
        <v>20</v>
      </c>
      <c r="J2064" s="22">
        <v>40</v>
      </c>
    </row>
    <row r="2065" spans="1:10" s="22" customFormat="1" x14ac:dyDescent="0.25">
      <c r="A2065" s="6">
        <v>44131</v>
      </c>
      <c r="B2065" s="59" t="s">
        <v>2597</v>
      </c>
      <c r="D2065" s="63"/>
      <c r="E2065" s="82"/>
      <c r="F2065" s="72">
        <v>2000</v>
      </c>
      <c r="G2065" s="2">
        <f t="shared" si="37"/>
        <v>8</v>
      </c>
    </row>
    <row r="2066" spans="1:10" s="22" customFormat="1" x14ac:dyDescent="0.25">
      <c r="A2066" s="6">
        <v>44131</v>
      </c>
      <c r="B2066" s="59" t="s">
        <v>2598</v>
      </c>
      <c r="D2066" s="63"/>
      <c r="E2066" s="82" t="s">
        <v>53</v>
      </c>
      <c r="F2066" s="72">
        <v>200</v>
      </c>
      <c r="G2066" s="2">
        <f t="shared" si="37"/>
        <v>25.8</v>
      </c>
      <c r="J2066" s="22">
        <v>20</v>
      </c>
    </row>
    <row r="2067" spans="1:10" s="22" customFormat="1" x14ac:dyDescent="0.25">
      <c r="A2067" s="6">
        <v>44131</v>
      </c>
      <c r="B2067" s="59" t="s">
        <v>2599</v>
      </c>
      <c r="D2067" s="63"/>
      <c r="E2067" s="82" t="s">
        <v>53</v>
      </c>
      <c r="F2067" s="72">
        <v>200</v>
      </c>
      <c r="G2067" s="2">
        <f t="shared" si="37"/>
        <v>25.8</v>
      </c>
      <c r="J2067" s="22">
        <v>20</v>
      </c>
    </row>
    <row r="2068" spans="1:10" s="22" customFormat="1" x14ac:dyDescent="0.25">
      <c r="A2068" s="6">
        <v>44131</v>
      </c>
      <c r="B2068" s="59" t="s">
        <v>2048</v>
      </c>
      <c r="D2068" s="63"/>
      <c r="E2068" s="82"/>
      <c r="F2068" s="72">
        <v>3000</v>
      </c>
      <c r="G2068" s="2">
        <f t="shared" si="37"/>
        <v>12</v>
      </c>
    </row>
    <row r="2069" spans="1:10" s="22" customFormat="1" x14ac:dyDescent="0.25">
      <c r="A2069" s="6">
        <v>44132</v>
      </c>
      <c r="B2069" s="59" t="s">
        <v>2062</v>
      </c>
      <c r="D2069" s="63"/>
      <c r="E2069" s="82"/>
      <c r="F2069" s="72">
        <v>3000</v>
      </c>
      <c r="G2069" s="2">
        <f t="shared" si="37"/>
        <v>12</v>
      </c>
    </row>
    <row r="2070" spans="1:10" s="22" customFormat="1" x14ac:dyDescent="0.25">
      <c r="A2070" s="6">
        <v>44132</v>
      </c>
      <c r="B2070" s="59" t="s">
        <v>2175</v>
      </c>
      <c r="D2070" s="63"/>
      <c r="E2070" s="82"/>
      <c r="F2070" s="72">
        <v>3000</v>
      </c>
      <c r="G2070" s="2">
        <f t="shared" si="37"/>
        <v>12</v>
      </c>
    </row>
    <row r="2071" spans="1:10" s="22" customFormat="1" x14ac:dyDescent="0.25">
      <c r="A2071" s="6">
        <v>44132</v>
      </c>
      <c r="B2071" s="59" t="s">
        <v>1941</v>
      </c>
      <c r="D2071" s="63"/>
      <c r="E2071" s="82"/>
      <c r="F2071" s="72">
        <v>2000</v>
      </c>
      <c r="G2071" s="2">
        <f t="shared" si="37"/>
        <v>8</v>
      </c>
    </row>
    <row r="2072" spans="1:10" s="22" customFormat="1" x14ac:dyDescent="0.25">
      <c r="A2072" s="6">
        <v>44133</v>
      </c>
      <c r="B2072" s="59" t="s">
        <v>2601</v>
      </c>
      <c r="D2072" s="63"/>
      <c r="E2072" s="82" t="s">
        <v>53</v>
      </c>
      <c r="F2072" s="72">
        <v>1000</v>
      </c>
      <c r="G2072" s="2">
        <f t="shared" si="37"/>
        <v>29</v>
      </c>
      <c r="J2072" s="22">
        <v>20</v>
      </c>
    </row>
    <row r="2073" spans="1:10" s="22" customFormat="1" x14ac:dyDescent="0.25">
      <c r="A2073" s="6">
        <v>44133</v>
      </c>
      <c r="B2073" s="59" t="s">
        <v>2102</v>
      </c>
      <c r="D2073" s="63"/>
      <c r="E2073" s="82"/>
      <c r="F2073" s="72">
        <v>6500</v>
      </c>
      <c r="G2073" s="2">
        <f t="shared" si="37"/>
        <v>20</v>
      </c>
    </row>
    <row r="2074" spans="1:10" s="22" customFormat="1" x14ac:dyDescent="0.25">
      <c r="A2074" s="6">
        <v>44133</v>
      </c>
      <c r="B2074" s="59" t="s">
        <v>1649</v>
      </c>
      <c r="D2074" s="63"/>
      <c r="E2074" s="82"/>
      <c r="F2074" s="72">
        <v>2000</v>
      </c>
      <c r="G2074" s="2">
        <f t="shared" si="37"/>
        <v>8</v>
      </c>
      <c r="J2074" s="22">
        <v>20</v>
      </c>
    </row>
    <row r="2075" spans="1:10" s="22" customFormat="1" x14ac:dyDescent="0.25">
      <c r="A2075" s="6">
        <v>44133</v>
      </c>
      <c r="B2075" s="59" t="s">
        <v>2605</v>
      </c>
      <c r="D2075" s="63"/>
      <c r="E2075" s="82" t="s">
        <v>66</v>
      </c>
      <c r="F2075" s="72">
        <v>500</v>
      </c>
      <c r="G2075" s="2">
        <f t="shared" si="37"/>
        <v>27</v>
      </c>
      <c r="J2075" s="22">
        <v>20</v>
      </c>
    </row>
    <row r="2076" spans="1:10" s="22" customFormat="1" x14ac:dyDescent="0.25">
      <c r="A2076" s="6">
        <v>44134</v>
      </c>
      <c r="B2076" s="59" t="s">
        <v>2611</v>
      </c>
      <c r="D2076" s="63"/>
      <c r="E2076" s="82"/>
      <c r="F2076" s="72">
        <v>5000</v>
      </c>
      <c r="G2076" s="2">
        <f t="shared" ref="G2076:G2081" si="38">IF(E2076="y",25,IF(OR(E2076="N",E2076="RD",E2076="I"),10,0))+IF(F2076&gt;5000,20,F2076*0.4%)+IF(E2076="SB",1,IF(E2076="JJ",30,IF(E2076="A",50,0)))</f>
        <v>20</v>
      </c>
    </row>
    <row r="2077" spans="1:10" s="22" customFormat="1" x14ac:dyDescent="0.25">
      <c r="A2077" s="6">
        <v>44134</v>
      </c>
      <c r="B2077" s="59" t="s">
        <v>2612</v>
      </c>
      <c r="D2077" s="63"/>
      <c r="E2077" s="82"/>
      <c r="F2077" s="72">
        <v>1000</v>
      </c>
      <c r="G2077" s="2">
        <f t="shared" si="38"/>
        <v>4</v>
      </c>
    </row>
    <row r="2078" spans="1:10" s="22" customFormat="1" x14ac:dyDescent="0.25">
      <c r="A2078" s="6">
        <v>44134</v>
      </c>
      <c r="B2078" s="59" t="s">
        <v>2062</v>
      </c>
      <c r="D2078" s="63"/>
      <c r="E2078" s="82"/>
      <c r="F2078" s="72">
        <v>2000</v>
      </c>
      <c r="G2078" s="2">
        <f t="shared" si="38"/>
        <v>8</v>
      </c>
    </row>
    <row r="2079" spans="1:10" s="22" customFormat="1" x14ac:dyDescent="0.25">
      <c r="A2079" s="6">
        <v>44134</v>
      </c>
      <c r="B2079" s="59" t="s">
        <v>2613</v>
      </c>
      <c r="D2079" s="63"/>
      <c r="E2079" s="82" t="s">
        <v>66</v>
      </c>
      <c r="F2079" s="72">
        <v>500</v>
      </c>
      <c r="G2079" s="2">
        <f t="shared" si="38"/>
        <v>27</v>
      </c>
      <c r="J2079" s="22">
        <v>20</v>
      </c>
    </row>
    <row r="2080" spans="1:10" s="22" customFormat="1" x14ac:dyDescent="0.25">
      <c r="A2080" s="6">
        <v>44134</v>
      </c>
      <c r="B2080" s="59" t="s">
        <v>1928</v>
      </c>
      <c r="D2080" s="63"/>
      <c r="E2080" s="82"/>
      <c r="F2080" s="72">
        <v>1000</v>
      </c>
      <c r="G2080" s="2">
        <f t="shared" si="38"/>
        <v>4</v>
      </c>
    </row>
    <row r="2081" spans="1:10" s="22" customFormat="1" x14ac:dyDescent="0.25">
      <c r="A2081" s="6">
        <v>44135</v>
      </c>
      <c r="B2081" s="59" t="s">
        <v>2134</v>
      </c>
      <c r="D2081" s="63"/>
      <c r="E2081" s="82"/>
      <c r="F2081" s="72">
        <v>1600</v>
      </c>
      <c r="G2081" s="2">
        <f t="shared" si="38"/>
        <v>6.4</v>
      </c>
      <c r="J2081" s="22">
        <v>30</v>
      </c>
    </row>
    <row r="2083" spans="1:10" x14ac:dyDescent="0.25">
      <c r="A2083" s="70">
        <f>COUNT(A1948:A2082)</f>
        <v>134</v>
      </c>
      <c r="B2083" s="70"/>
      <c r="C2083" s="70" t="str">
        <f>CONCATENATE("SB = ",COUNTIF(E1948:E2082,"SB"),"        JJ = ",COUNTIF(E1944:E2082,"JJ"))</f>
        <v>SB = 0        JJ = 0</v>
      </c>
      <c r="D2083" s="70"/>
      <c r="E2083" s="134">
        <f>COUNTIF(E1948:E2082,"y")</f>
        <v>17</v>
      </c>
      <c r="F2083" s="131">
        <f>SUM(F1948:F2082)</f>
        <v>262200</v>
      </c>
      <c r="G2083" s="131">
        <f>SUM(G1948:G2082)</f>
        <v>1311.7999999999997</v>
      </c>
      <c r="H2083" s="131">
        <f>G2083*0.8</f>
        <v>1049.4399999999998</v>
      </c>
      <c r="I2083" s="70"/>
      <c r="J2083" s="131">
        <f>SUM(J1948:J2082)</f>
        <v>240</v>
      </c>
    </row>
    <row r="2085" spans="1:10" x14ac:dyDescent="0.25">
      <c r="A2085" s="6">
        <v>44136</v>
      </c>
      <c r="B2085" s="59" t="s">
        <v>2618</v>
      </c>
      <c r="E2085" s="82"/>
      <c r="F2085" s="72">
        <v>3000</v>
      </c>
      <c r="G2085" s="2">
        <f t="shared" ref="G2085:G2148" si="39">IF(E2085="y",25,IF(OR(E2085="N",E2085="RD",E2085="I"),10,0))+IF(F2085&gt;5000,20,F2085*0.4%)+IF(E2085="SB",1,IF(E2085="JJ",30,IF(E2085="A",50,0)))</f>
        <v>12</v>
      </c>
    </row>
    <row r="2086" spans="1:10" x14ac:dyDescent="0.25">
      <c r="A2086" s="6">
        <v>44136</v>
      </c>
      <c r="B2086" s="59" t="s">
        <v>2620</v>
      </c>
      <c r="E2086" s="82"/>
      <c r="F2086" s="72">
        <v>300</v>
      </c>
      <c r="G2086" s="2">
        <f t="shared" si="39"/>
        <v>1.2</v>
      </c>
    </row>
    <row r="2087" spans="1:10" x14ac:dyDescent="0.25">
      <c r="A2087" s="6">
        <v>44136</v>
      </c>
      <c r="B2087" s="59" t="s">
        <v>2617</v>
      </c>
      <c r="E2087" s="82"/>
      <c r="F2087" s="72">
        <v>500</v>
      </c>
      <c r="G2087" s="2">
        <f t="shared" si="39"/>
        <v>2</v>
      </c>
    </row>
    <row r="2088" spans="1:10" x14ac:dyDescent="0.25">
      <c r="A2088" s="6">
        <v>44136</v>
      </c>
      <c r="B2088" s="59" t="s">
        <v>2062</v>
      </c>
      <c r="E2088" s="82"/>
      <c r="F2088" s="72">
        <v>5000</v>
      </c>
      <c r="G2088" s="2">
        <f t="shared" si="39"/>
        <v>20</v>
      </c>
    </row>
    <row r="2089" spans="1:10" x14ac:dyDescent="0.25">
      <c r="A2089" s="6">
        <v>44137</v>
      </c>
      <c r="B2089" s="59" t="s">
        <v>2624</v>
      </c>
      <c r="E2089" s="82"/>
      <c r="F2089" s="72">
        <v>1350</v>
      </c>
      <c r="G2089" s="2">
        <f t="shared" si="39"/>
        <v>5.4</v>
      </c>
    </row>
    <row r="2090" spans="1:10" x14ac:dyDescent="0.25">
      <c r="A2090" s="6">
        <v>44138</v>
      </c>
      <c r="B2090" s="59" t="s">
        <v>2626</v>
      </c>
      <c r="E2090" s="82"/>
      <c r="F2090" s="72">
        <v>1000</v>
      </c>
      <c r="G2090" s="2">
        <f t="shared" si="39"/>
        <v>4</v>
      </c>
    </row>
    <row r="2091" spans="1:10" x14ac:dyDescent="0.25">
      <c r="A2091" s="6">
        <v>44138</v>
      </c>
      <c r="B2091" s="59" t="s">
        <v>2627</v>
      </c>
      <c r="E2091" s="82"/>
      <c r="F2091" s="72">
        <v>500</v>
      </c>
      <c r="G2091" s="2">
        <f t="shared" si="39"/>
        <v>2</v>
      </c>
    </row>
    <row r="2092" spans="1:10" x14ac:dyDescent="0.25">
      <c r="A2092" s="6">
        <v>44138</v>
      </c>
      <c r="B2092" s="59" t="s">
        <v>2062</v>
      </c>
      <c r="E2092" s="82"/>
      <c r="F2092" s="72">
        <v>8500</v>
      </c>
      <c r="G2092" s="2">
        <f t="shared" si="39"/>
        <v>20</v>
      </c>
    </row>
    <row r="2093" spans="1:10" x14ac:dyDescent="0.25">
      <c r="A2093" s="6">
        <v>44139</v>
      </c>
      <c r="B2093" s="59" t="s">
        <v>2628</v>
      </c>
      <c r="F2093" s="72">
        <v>10000</v>
      </c>
      <c r="G2093" s="2">
        <f t="shared" si="39"/>
        <v>20</v>
      </c>
    </row>
    <row r="2094" spans="1:10" x14ac:dyDescent="0.25">
      <c r="A2094" s="6">
        <v>44139</v>
      </c>
      <c r="B2094" s="59" t="s">
        <v>2630</v>
      </c>
      <c r="E2094" s="82"/>
      <c r="F2094" s="72">
        <v>4000</v>
      </c>
      <c r="G2094" s="2">
        <f t="shared" si="39"/>
        <v>16</v>
      </c>
    </row>
    <row r="2095" spans="1:10" x14ac:dyDescent="0.25">
      <c r="A2095" s="6">
        <v>44139</v>
      </c>
      <c r="B2095" s="59" t="s">
        <v>2062</v>
      </c>
      <c r="E2095" s="82"/>
      <c r="F2095" s="72">
        <v>4000</v>
      </c>
      <c r="G2095" s="2">
        <f t="shared" si="39"/>
        <v>16</v>
      </c>
    </row>
    <row r="2096" spans="1:10" x14ac:dyDescent="0.25">
      <c r="A2096" s="6">
        <v>44139</v>
      </c>
      <c r="B2096" s="59" t="s">
        <v>2631</v>
      </c>
      <c r="E2096" s="82" t="s">
        <v>53</v>
      </c>
      <c r="F2096" s="72">
        <v>100</v>
      </c>
      <c r="G2096" s="2">
        <f t="shared" si="39"/>
        <v>25.4</v>
      </c>
      <c r="J2096">
        <v>20</v>
      </c>
    </row>
    <row r="2097" spans="1:10" x14ac:dyDescent="0.25">
      <c r="A2097" s="6">
        <v>44139</v>
      </c>
      <c r="B2097" s="59" t="s">
        <v>2632</v>
      </c>
      <c r="E2097" s="82" t="s">
        <v>53</v>
      </c>
      <c r="F2097" s="72">
        <v>200</v>
      </c>
      <c r="G2097" s="2">
        <f t="shared" si="39"/>
        <v>25.8</v>
      </c>
      <c r="J2097">
        <v>20</v>
      </c>
    </row>
    <row r="2098" spans="1:10" x14ac:dyDescent="0.25">
      <c r="A2098" s="6">
        <v>44139</v>
      </c>
      <c r="B2098" s="59" t="s">
        <v>1948</v>
      </c>
      <c r="E2098" s="82"/>
      <c r="F2098" s="72">
        <v>800</v>
      </c>
      <c r="G2098" s="2">
        <f t="shared" si="39"/>
        <v>3.2</v>
      </c>
    </row>
    <row r="2099" spans="1:10" x14ac:dyDescent="0.25">
      <c r="A2099" s="6">
        <v>44140</v>
      </c>
      <c r="B2099" s="59" t="s">
        <v>2062</v>
      </c>
      <c r="E2099" s="82"/>
      <c r="F2099" s="72">
        <v>800</v>
      </c>
      <c r="G2099" s="2">
        <f t="shared" si="39"/>
        <v>3.2</v>
      </c>
    </row>
    <row r="2100" spans="1:10" x14ac:dyDescent="0.25">
      <c r="A2100" s="6">
        <v>44140</v>
      </c>
      <c r="B2100" s="59" t="s">
        <v>2633</v>
      </c>
      <c r="E2100" s="82"/>
      <c r="F2100" s="72">
        <v>500</v>
      </c>
      <c r="G2100" s="2">
        <f t="shared" si="39"/>
        <v>2</v>
      </c>
    </row>
    <row r="2101" spans="1:10" x14ac:dyDescent="0.25">
      <c r="A2101" s="6">
        <v>44140</v>
      </c>
      <c r="B2101" s="59" t="s">
        <v>2181</v>
      </c>
      <c r="E2101" s="82"/>
      <c r="F2101" s="72">
        <v>200</v>
      </c>
      <c r="G2101" s="2">
        <f t="shared" si="39"/>
        <v>0.8</v>
      </c>
    </row>
    <row r="2102" spans="1:10" x14ac:dyDescent="0.25">
      <c r="A2102" s="6">
        <v>44140</v>
      </c>
      <c r="B2102" s="59" t="s">
        <v>2062</v>
      </c>
      <c r="E2102" s="82"/>
      <c r="F2102" s="72">
        <v>8000</v>
      </c>
      <c r="G2102" s="2">
        <f t="shared" si="39"/>
        <v>20</v>
      </c>
    </row>
    <row r="2103" spans="1:10" x14ac:dyDescent="0.25">
      <c r="A2103" s="6">
        <v>44141</v>
      </c>
      <c r="B2103" s="59" t="s">
        <v>2634</v>
      </c>
      <c r="E2103" s="82"/>
      <c r="F2103" s="72">
        <v>5000</v>
      </c>
      <c r="G2103" s="2">
        <f t="shared" si="39"/>
        <v>20</v>
      </c>
    </row>
    <row r="2104" spans="1:10" x14ac:dyDescent="0.25">
      <c r="A2104" s="6">
        <v>44141</v>
      </c>
      <c r="B2104" s="59" t="s">
        <v>2635</v>
      </c>
      <c r="E2104" s="82"/>
      <c r="F2104" s="72">
        <v>2000</v>
      </c>
      <c r="G2104" s="2">
        <f t="shared" si="39"/>
        <v>8</v>
      </c>
    </row>
    <row r="2105" spans="1:10" x14ac:dyDescent="0.25">
      <c r="A2105" s="6">
        <v>44141</v>
      </c>
      <c r="B2105" s="59" t="s">
        <v>2300</v>
      </c>
      <c r="E2105" s="82"/>
      <c r="F2105" s="72">
        <v>3000</v>
      </c>
      <c r="G2105" s="2">
        <f t="shared" si="39"/>
        <v>12</v>
      </c>
    </row>
    <row r="2106" spans="1:10" x14ac:dyDescent="0.25">
      <c r="A2106" s="6">
        <v>44141</v>
      </c>
      <c r="B2106" s="59" t="s">
        <v>2636</v>
      </c>
      <c r="E2106" s="82"/>
      <c r="F2106" s="72">
        <v>1500</v>
      </c>
      <c r="G2106" s="2">
        <f t="shared" si="39"/>
        <v>6</v>
      </c>
    </row>
    <row r="2107" spans="1:10" x14ac:dyDescent="0.25">
      <c r="A2107" s="6">
        <v>44142</v>
      </c>
      <c r="B2107" s="59" t="s">
        <v>2637</v>
      </c>
      <c r="E2107" s="82"/>
      <c r="F2107" s="72">
        <v>1100</v>
      </c>
      <c r="G2107" s="2">
        <f t="shared" si="39"/>
        <v>4.4000000000000004</v>
      </c>
    </row>
    <row r="2108" spans="1:10" x14ac:dyDescent="0.25">
      <c r="A2108" s="6">
        <v>44142</v>
      </c>
      <c r="B2108" s="59" t="s">
        <v>2467</v>
      </c>
      <c r="E2108" s="82"/>
      <c r="F2108" s="72">
        <v>1000</v>
      </c>
      <c r="G2108" s="2">
        <f t="shared" si="39"/>
        <v>4</v>
      </c>
    </row>
    <row r="2109" spans="1:10" x14ac:dyDescent="0.25">
      <c r="A2109" s="6">
        <v>44142</v>
      </c>
      <c r="B2109" s="59" t="s">
        <v>2638</v>
      </c>
      <c r="E2109" s="82"/>
      <c r="F2109" s="72">
        <v>1000</v>
      </c>
      <c r="G2109" s="2">
        <f t="shared" si="39"/>
        <v>4</v>
      </c>
    </row>
    <row r="2110" spans="1:10" x14ac:dyDescent="0.25">
      <c r="A2110" s="6">
        <v>44142</v>
      </c>
      <c r="B2110" s="59" t="s">
        <v>2639</v>
      </c>
      <c r="E2110" s="82" t="s">
        <v>53</v>
      </c>
      <c r="F2110" s="72">
        <v>5000</v>
      </c>
      <c r="G2110" s="2">
        <f t="shared" si="39"/>
        <v>45</v>
      </c>
      <c r="J2110">
        <v>20</v>
      </c>
    </row>
    <row r="2111" spans="1:10" x14ac:dyDescent="0.25">
      <c r="A2111" s="6">
        <v>44143</v>
      </c>
      <c r="B2111" s="59" t="s">
        <v>2062</v>
      </c>
      <c r="E2111" s="82"/>
      <c r="F2111" s="72">
        <v>2500</v>
      </c>
      <c r="G2111" s="2">
        <f t="shared" si="39"/>
        <v>10</v>
      </c>
    </row>
    <row r="2112" spans="1:10" x14ac:dyDescent="0.25">
      <c r="A2112" s="6">
        <v>44143</v>
      </c>
      <c r="B2112" s="59" t="s">
        <v>2640</v>
      </c>
      <c r="E2112" s="82" t="s">
        <v>53</v>
      </c>
      <c r="F2112" s="72">
        <v>100</v>
      </c>
      <c r="G2112" s="2">
        <f t="shared" si="39"/>
        <v>25.4</v>
      </c>
      <c r="J2112">
        <v>20</v>
      </c>
    </row>
    <row r="2113" spans="1:10" x14ac:dyDescent="0.25">
      <c r="A2113" s="6">
        <v>44143</v>
      </c>
      <c r="B2113" s="59" t="s">
        <v>2362</v>
      </c>
      <c r="E2113" s="82"/>
      <c r="F2113" s="72">
        <v>6000</v>
      </c>
      <c r="G2113" s="2">
        <f t="shared" si="39"/>
        <v>20</v>
      </c>
    </row>
    <row r="2114" spans="1:10" x14ac:dyDescent="0.25">
      <c r="A2114" s="6">
        <v>44143</v>
      </c>
      <c r="B2114" s="59" t="s">
        <v>2362</v>
      </c>
      <c r="E2114" s="82"/>
      <c r="F2114" s="72">
        <v>2000</v>
      </c>
      <c r="G2114" s="2">
        <f t="shared" si="39"/>
        <v>8</v>
      </c>
    </row>
    <row r="2115" spans="1:10" x14ac:dyDescent="0.25">
      <c r="A2115" s="6">
        <v>44143</v>
      </c>
      <c r="B2115" s="59" t="s">
        <v>2641</v>
      </c>
      <c r="E2115" s="82"/>
      <c r="F2115" s="72">
        <v>200</v>
      </c>
      <c r="G2115" s="2">
        <f t="shared" si="39"/>
        <v>0.8</v>
      </c>
    </row>
    <row r="2116" spans="1:10" x14ac:dyDescent="0.25">
      <c r="A2116" s="6">
        <v>44143</v>
      </c>
      <c r="B2116" s="59" t="s">
        <v>2642</v>
      </c>
      <c r="E2116" s="82"/>
      <c r="F2116" s="72">
        <v>2500</v>
      </c>
      <c r="G2116" s="2">
        <f t="shared" si="39"/>
        <v>10</v>
      </c>
    </row>
    <row r="2117" spans="1:10" x14ac:dyDescent="0.25">
      <c r="A2117" s="6">
        <v>44143</v>
      </c>
      <c r="B2117" s="59" t="s">
        <v>2643</v>
      </c>
      <c r="E2117" s="82"/>
      <c r="F2117" s="72">
        <v>1000</v>
      </c>
      <c r="G2117" s="2">
        <f t="shared" si="39"/>
        <v>4</v>
      </c>
    </row>
    <row r="2118" spans="1:10" x14ac:dyDescent="0.25">
      <c r="A2118" s="6">
        <v>44143</v>
      </c>
      <c r="B2118" s="59" t="s">
        <v>2644</v>
      </c>
      <c r="E2118" s="82"/>
      <c r="F2118" s="72">
        <v>500</v>
      </c>
      <c r="G2118" s="2">
        <f t="shared" si="39"/>
        <v>2</v>
      </c>
    </row>
    <row r="2119" spans="1:10" x14ac:dyDescent="0.25">
      <c r="A2119" s="6">
        <v>44143</v>
      </c>
      <c r="B2119" s="61" t="s">
        <v>2473</v>
      </c>
      <c r="E2119" s="83"/>
      <c r="F2119" s="72">
        <v>1000</v>
      </c>
      <c r="G2119" s="2">
        <f t="shared" si="39"/>
        <v>4</v>
      </c>
    </row>
    <row r="2120" spans="1:10" s="22" customFormat="1" x14ac:dyDescent="0.25">
      <c r="A2120" s="6">
        <v>44144</v>
      </c>
      <c r="B2120" s="59" t="s">
        <v>2648</v>
      </c>
      <c r="D2120" s="63"/>
      <c r="E2120" s="82"/>
      <c r="F2120" s="72">
        <v>4000</v>
      </c>
      <c r="G2120" s="2">
        <f t="shared" si="39"/>
        <v>16</v>
      </c>
    </row>
    <row r="2121" spans="1:10" s="22" customFormat="1" x14ac:dyDescent="0.25">
      <c r="A2121" s="6">
        <v>44144</v>
      </c>
      <c r="B2121" s="59" t="s">
        <v>2413</v>
      </c>
      <c r="D2121" s="63"/>
      <c r="E2121" s="82"/>
      <c r="F2121" s="72">
        <v>3600</v>
      </c>
      <c r="G2121" s="2">
        <f t="shared" si="39"/>
        <v>14.4</v>
      </c>
    </row>
    <row r="2122" spans="1:10" s="22" customFormat="1" x14ac:dyDescent="0.25">
      <c r="A2122" s="6">
        <v>44144</v>
      </c>
      <c r="B2122" s="59" t="s">
        <v>2649</v>
      </c>
      <c r="D2122" s="63"/>
      <c r="E2122" s="82" t="s">
        <v>66</v>
      </c>
      <c r="F2122" s="72">
        <v>500</v>
      </c>
      <c r="G2122" s="2">
        <f t="shared" si="39"/>
        <v>27</v>
      </c>
      <c r="J2122" s="22">
        <v>20</v>
      </c>
    </row>
    <row r="2123" spans="1:10" s="22" customFormat="1" x14ac:dyDescent="0.25">
      <c r="A2123" s="6">
        <v>44144</v>
      </c>
      <c r="B2123" s="59" t="s">
        <v>2467</v>
      </c>
      <c r="D2123" s="63"/>
      <c r="E2123" s="82"/>
      <c r="F2123" s="72">
        <v>2000</v>
      </c>
      <c r="G2123" s="2">
        <f t="shared" si="39"/>
        <v>8</v>
      </c>
    </row>
    <row r="2124" spans="1:10" s="22" customFormat="1" x14ac:dyDescent="0.25">
      <c r="A2124" s="6">
        <v>44144</v>
      </c>
      <c r="B2124" s="59" t="s">
        <v>2062</v>
      </c>
      <c r="D2124" s="63"/>
      <c r="E2124" s="82"/>
      <c r="F2124" s="72">
        <v>6000</v>
      </c>
      <c r="G2124" s="2">
        <f t="shared" si="39"/>
        <v>20</v>
      </c>
    </row>
    <row r="2125" spans="1:10" s="22" customFormat="1" x14ac:dyDescent="0.25">
      <c r="A2125" s="6">
        <v>44146</v>
      </c>
      <c r="B2125" s="59" t="s">
        <v>2651</v>
      </c>
      <c r="D2125" s="63"/>
      <c r="E2125" s="82"/>
      <c r="F2125" s="72">
        <v>800</v>
      </c>
      <c r="G2125" s="2">
        <f t="shared" si="39"/>
        <v>3.2</v>
      </c>
    </row>
    <row r="2126" spans="1:10" s="22" customFormat="1" x14ac:dyDescent="0.25">
      <c r="A2126" s="6">
        <v>44146</v>
      </c>
      <c r="B2126" s="59" t="s">
        <v>2652</v>
      </c>
      <c r="D2126" s="63"/>
      <c r="E2126" s="82"/>
      <c r="F2126" s="72">
        <v>10000</v>
      </c>
      <c r="G2126" s="2">
        <f t="shared" si="39"/>
        <v>20</v>
      </c>
    </row>
    <row r="2127" spans="1:10" s="22" customFormat="1" x14ac:dyDescent="0.25">
      <c r="A2127" s="6">
        <v>44146</v>
      </c>
      <c r="B2127" s="59" t="s">
        <v>2644</v>
      </c>
      <c r="D2127" s="63"/>
      <c r="E2127" s="82"/>
      <c r="F2127" s="72">
        <v>6000</v>
      </c>
      <c r="G2127" s="2">
        <f t="shared" si="39"/>
        <v>20</v>
      </c>
    </row>
    <row r="2128" spans="1:10" s="22" customFormat="1" x14ac:dyDescent="0.25">
      <c r="A2128" s="6">
        <v>44146</v>
      </c>
      <c r="B2128" s="59" t="s">
        <v>2062</v>
      </c>
      <c r="D2128" s="63"/>
      <c r="E2128" s="82"/>
      <c r="F2128" s="72">
        <v>5000</v>
      </c>
      <c r="G2128" s="2">
        <f t="shared" si="39"/>
        <v>20</v>
      </c>
    </row>
    <row r="2129" spans="1:10" s="22" customFormat="1" x14ac:dyDescent="0.25">
      <c r="A2129" s="6">
        <v>44147</v>
      </c>
      <c r="B2129" s="59" t="s">
        <v>2653</v>
      </c>
      <c r="D2129" s="63"/>
      <c r="E2129" s="82"/>
      <c r="F2129" s="72">
        <v>1500</v>
      </c>
      <c r="G2129" s="2">
        <f t="shared" si="39"/>
        <v>6</v>
      </c>
    </row>
    <row r="2130" spans="1:10" s="22" customFormat="1" x14ac:dyDescent="0.25">
      <c r="A2130" s="6">
        <v>44148</v>
      </c>
      <c r="B2130" s="59" t="s">
        <v>2651</v>
      </c>
      <c r="D2130" s="63"/>
      <c r="E2130" s="82"/>
      <c r="F2130" s="72">
        <v>800</v>
      </c>
      <c r="G2130" s="2">
        <f t="shared" si="39"/>
        <v>3.2</v>
      </c>
    </row>
    <row r="2131" spans="1:10" s="22" customFormat="1" x14ac:dyDescent="0.25">
      <c r="A2131" s="6">
        <v>44148</v>
      </c>
      <c r="B2131" s="59" t="s">
        <v>2659</v>
      </c>
      <c r="D2131" s="63"/>
      <c r="E2131" s="82"/>
      <c r="F2131" s="72">
        <v>200</v>
      </c>
      <c r="G2131" s="2">
        <f t="shared" si="39"/>
        <v>0.8</v>
      </c>
    </row>
    <row r="2132" spans="1:10" s="22" customFormat="1" x14ac:dyDescent="0.25">
      <c r="A2132" s="6">
        <v>44148</v>
      </c>
      <c r="B2132" s="59"/>
      <c r="D2132" s="63"/>
      <c r="E2132" s="82"/>
      <c r="F2132" s="72">
        <v>1100</v>
      </c>
      <c r="G2132" s="2">
        <f t="shared" si="39"/>
        <v>4.4000000000000004</v>
      </c>
    </row>
    <row r="2133" spans="1:10" s="22" customFormat="1" x14ac:dyDescent="0.25">
      <c r="A2133" s="6">
        <v>44149</v>
      </c>
      <c r="B2133" s="59"/>
      <c r="D2133" s="63"/>
      <c r="E2133" s="82"/>
      <c r="F2133" s="72">
        <v>2000</v>
      </c>
      <c r="G2133" s="2">
        <f t="shared" si="39"/>
        <v>8</v>
      </c>
    </row>
    <row r="2134" spans="1:10" s="22" customFormat="1" x14ac:dyDescent="0.25">
      <c r="A2134" s="6">
        <v>44149</v>
      </c>
      <c r="B2134" s="59" t="s">
        <v>2660</v>
      </c>
      <c r="D2134" s="63"/>
      <c r="E2134" s="82"/>
      <c r="F2134" s="72">
        <v>3800</v>
      </c>
      <c r="G2134" s="2">
        <f t="shared" si="39"/>
        <v>15.200000000000001</v>
      </c>
    </row>
    <row r="2135" spans="1:10" s="22" customFormat="1" x14ac:dyDescent="0.25">
      <c r="A2135" s="6">
        <v>44150</v>
      </c>
      <c r="B2135" s="59"/>
      <c r="D2135" s="63"/>
      <c r="E2135" s="82"/>
      <c r="F2135" s="72">
        <v>3000</v>
      </c>
      <c r="G2135" s="2">
        <f t="shared" si="39"/>
        <v>12</v>
      </c>
    </row>
    <row r="2136" spans="1:10" s="22" customFormat="1" x14ac:dyDescent="0.25">
      <c r="A2136" s="6">
        <v>44150</v>
      </c>
      <c r="B2136" s="59" t="s">
        <v>2661</v>
      </c>
      <c r="D2136" s="63"/>
      <c r="E2136" s="82"/>
      <c r="F2136" s="72">
        <v>4000</v>
      </c>
      <c r="G2136" s="2">
        <f t="shared" si="39"/>
        <v>16</v>
      </c>
    </row>
    <row r="2137" spans="1:10" s="22" customFormat="1" x14ac:dyDescent="0.25">
      <c r="A2137" s="6">
        <v>44150</v>
      </c>
      <c r="B2137" s="59" t="s">
        <v>2662</v>
      </c>
      <c r="D2137" s="63"/>
      <c r="E2137" s="82"/>
      <c r="F2137" s="72">
        <v>7000</v>
      </c>
      <c r="G2137" s="2">
        <f t="shared" si="39"/>
        <v>20</v>
      </c>
    </row>
    <row r="2138" spans="1:10" s="22" customFormat="1" x14ac:dyDescent="0.25">
      <c r="A2138" s="6">
        <v>44151</v>
      </c>
      <c r="B2138" s="59" t="s">
        <v>2666</v>
      </c>
      <c r="D2138" s="63"/>
      <c r="E2138" s="82" t="s">
        <v>66</v>
      </c>
      <c r="F2138" s="72">
        <v>500</v>
      </c>
      <c r="G2138" s="2">
        <f t="shared" si="39"/>
        <v>27</v>
      </c>
      <c r="J2138" s="22">
        <v>20</v>
      </c>
    </row>
    <row r="2139" spans="1:10" s="22" customFormat="1" x14ac:dyDescent="0.25">
      <c r="A2139" s="6">
        <v>44151</v>
      </c>
      <c r="B2139" s="59" t="s">
        <v>2665</v>
      </c>
      <c r="D2139" s="63"/>
      <c r="E2139" s="82" t="s">
        <v>53</v>
      </c>
      <c r="F2139" s="72">
        <v>200</v>
      </c>
      <c r="G2139" s="2">
        <f t="shared" si="39"/>
        <v>25.8</v>
      </c>
      <c r="J2139" s="22">
        <v>20</v>
      </c>
    </row>
    <row r="2140" spans="1:10" s="22" customFormat="1" x14ac:dyDescent="0.25">
      <c r="A2140" s="6">
        <v>44151</v>
      </c>
      <c r="B2140" s="59" t="s">
        <v>2664</v>
      </c>
      <c r="D2140" s="63"/>
      <c r="E2140" s="82"/>
      <c r="F2140" s="72">
        <v>200</v>
      </c>
      <c r="G2140" s="2">
        <f t="shared" si="39"/>
        <v>0.8</v>
      </c>
    </row>
    <row r="2141" spans="1:10" s="22" customFormat="1" x14ac:dyDescent="0.25">
      <c r="A2141" s="6">
        <v>44151</v>
      </c>
      <c r="B2141" s="59" t="s">
        <v>2663</v>
      </c>
      <c r="D2141" s="63"/>
      <c r="E2141" s="82" t="s">
        <v>53</v>
      </c>
      <c r="F2141" s="72">
        <v>500</v>
      </c>
      <c r="G2141" s="2">
        <f t="shared" si="39"/>
        <v>27</v>
      </c>
      <c r="J2141" s="22">
        <v>20</v>
      </c>
    </row>
    <row r="2142" spans="1:10" x14ac:dyDescent="0.25">
      <c r="A2142" s="6">
        <v>44151</v>
      </c>
      <c r="B2142" s="59" t="s">
        <v>2413</v>
      </c>
      <c r="E2142" s="82"/>
      <c r="F2142" s="72">
        <v>4000</v>
      </c>
      <c r="G2142" s="2">
        <f t="shared" si="39"/>
        <v>16</v>
      </c>
    </row>
    <row r="2143" spans="1:10" s="22" customFormat="1" x14ac:dyDescent="0.25">
      <c r="A2143" s="6">
        <v>44151</v>
      </c>
      <c r="B2143" s="59" t="s">
        <v>2667</v>
      </c>
      <c r="D2143" s="63"/>
      <c r="E2143" s="82"/>
      <c r="F2143" s="72">
        <v>1500</v>
      </c>
      <c r="G2143" s="2">
        <f t="shared" si="39"/>
        <v>6</v>
      </c>
    </row>
    <row r="2144" spans="1:10" s="22" customFormat="1" x14ac:dyDescent="0.25">
      <c r="A2144" s="6">
        <v>44152</v>
      </c>
      <c r="B2144" s="59" t="s">
        <v>2651</v>
      </c>
      <c r="D2144" s="63"/>
      <c r="E2144" s="82"/>
      <c r="F2144" s="72">
        <v>2000</v>
      </c>
      <c r="G2144" s="2">
        <f t="shared" si="39"/>
        <v>8</v>
      </c>
    </row>
    <row r="2145" spans="1:10" s="22" customFormat="1" x14ac:dyDescent="0.25">
      <c r="A2145" s="6">
        <v>44152</v>
      </c>
      <c r="B2145" s="59" t="s">
        <v>2662</v>
      </c>
      <c r="D2145" s="63"/>
      <c r="E2145" s="82"/>
      <c r="F2145" s="72">
        <v>3000</v>
      </c>
      <c r="G2145" s="2">
        <f t="shared" si="39"/>
        <v>12</v>
      </c>
    </row>
    <row r="2146" spans="1:10" s="22" customFormat="1" x14ac:dyDescent="0.25">
      <c r="A2146" s="6">
        <v>44152</v>
      </c>
      <c r="B2146" s="59" t="s">
        <v>2668</v>
      </c>
      <c r="D2146" s="63"/>
      <c r="E2146" s="82" t="s">
        <v>53</v>
      </c>
      <c r="F2146" s="72">
        <v>200</v>
      </c>
      <c r="G2146" s="2">
        <f t="shared" si="39"/>
        <v>25.8</v>
      </c>
      <c r="J2146" s="22">
        <v>20</v>
      </c>
    </row>
    <row r="2147" spans="1:10" s="22" customFormat="1" x14ac:dyDescent="0.25">
      <c r="A2147" s="6">
        <v>44152</v>
      </c>
      <c r="B2147" s="59" t="s">
        <v>2669</v>
      </c>
      <c r="D2147" s="63"/>
      <c r="E2147" s="82" t="s">
        <v>53</v>
      </c>
      <c r="F2147" s="72">
        <v>200</v>
      </c>
      <c r="G2147" s="2">
        <f t="shared" si="39"/>
        <v>25.8</v>
      </c>
      <c r="J2147" s="22">
        <v>20</v>
      </c>
    </row>
    <row r="2148" spans="1:10" s="22" customFormat="1" x14ac:dyDescent="0.25">
      <c r="A2148" s="6">
        <v>44153</v>
      </c>
      <c r="B2148" s="59" t="s">
        <v>2102</v>
      </c>
      <c r="D2148" s="63"/>
      <c r="E2148" s="82"/>
      <c r="F2148" s="72">
        <v>9800</v>
      </c>
      <c r="G2148" s="2">
        <f t="shared" si="39"/>
        <v>20</v>
      </c>
    </row>
    <row r="2149" spans="1:10" s="22" customFormat="1" x14ac:dyDescent="0.25">
      <c r="A2149" s="6">
        <v>44153</v>
      </c>
      <c r="B2149" s="59" t="s">
        <v>2062</v>
      </c>
      <c r="D2149" s="63"/>
      <c r="E2149" s="82"/>
      <c r="F2149" s="72">
        <v>4000</v>
      </c>
      <c r="G2149" s="2">
        <f t="shared" ref="G2149:G2178" si="40">IF(E2149="y",25,IF(OR(E2149="N",E2149="RD",E2149="I"),10,0))+IF(F2149&gt;5000,20,F2149*0.4%)+IF(E2149="SB",1,IF(E2149="JJ",30,IF(E2149="A",50,0)))</f>
        <v>16</v>
      </c>
    </row>
    <row r="2150" spans="1:10" s="22" customFormat="1" x14ac:dyDescent="0.25">
      <c r="A2150" s="6">
        <v>44154</v>
      </c>
      <c r="B2150" s="59" t="s">
        <v>2670</v>
      </c>
      <c r="D2150" s="63"/>
      <c r="E2150" s="82"/>
      <c r="F2150" s="72">
        <v>5000</v>
      </c>
      <c r="G2150" s="2">
        <f t="shared" si="40"/>
        <v>20</v>
      </c>
    </row>
    <row r="2151" spans="1:10" s="22" customFormat="1" x14ac:dyDescent="0.25">
      <c r="A2151" s="6">
        <v>44154</v>
      </c>
      <c r="B2151" s="59" t="s">
        <v>2671</v>
      </c>
      <c r="D2151" s="63"/>
      <c r="E2151" s="82"/>
      <c r="F2151" s="72">
        <v>1000</v>
      </c>
      <c r="G2151" s="2">
        <f t="shared" si="40"/>
        <v>4</v>
      </c>
    </row>
    <row r="2152" spans="1:10" s="22" customFormat="1" x14ac:dyDescent="0.25">
      <c r="A2152" s="6">
        <v>44154</v>
      </c>
      <c r="B2152" s="59" t="s">
        <v>2062</v>
      </c>
      <c r="D2152" s="63"/>
      <c r="E2152" s="82"/>
      <c r="F2152" s="72">
        <v>9000</v>
      </c>
      <c r="G2152" s="2">
        <f t="shared" si="40"/>
        <v>20</v>
      </c>
    </row>
    <row r="2153" spans="1:10" s="22" customFormat="1" x14ac:dyDescent="0.25">
      <c r="A2153" s="6">
        <v>44154</v>
      </c>
      <c r="B2153" s="59" t="s">
        <v>1948</v>
      </c>
      <c r="D2153" s="63"/>
      <c r="E2153" s="82"/>
      <c r="F2153" s="72">
        <v>300</v>
      </c>
      <c r="G2153" s="2">
        <f t="shared" si="40"/>
        <v>1.2</v>
      </c>
    </row>
    <row r="2154" spans="1:10" s="22" customFormat="1" x14ac:dyDescent="0.25">
      <c r="A2154" s="6">
        <v>44154</v>
      </c>
      <c r="B2154" s="59" t="s">
        <v>2672</v>
      </c>
      <c r="D2154" s="63"/>
      <c r="E2154" s="82"/>
      <c r="F2154" s="72">
        <v>800</v>
      </c>
      <c r="G2154" s="2">
        <f t="shared" si="40"/>
        <v>3.2</v>
      </c>
    </row>
    <row r="2155" spans="1:10" s="22" customFormat="1" x14ac:dyDescent="0.25">
      <c r="A2155" s="6">
        <v>44155</v>
      </c>
      <c r="B2155" s="59" t="s">
        <v>1649</v>
      </c>
      <c r="D2155" s="63"/>
      <c r="E2155" s="82"/>
      <c r="F2155" s="72">
        <v>900</v>
      </c>
      <c r="G2155" s="2">
        <f t="shared" si="40"/>
        <v>3.6</v>
      </c>
    </row>
    <row r="2156" spans="1:10" s="22" customFormat="1" x14ac:dyDescent="0.25">
      <c r="A2156" s="6">
        <v>44155</v>
      </c>
      <c r="B2156" s="59"/>
      <c r="D2156" s="63"/>
      <c r="E2156" s="82"/>
      <c r="F2156" s="72">
        <v>2000</v>
      </c>
      <c r="G2156" s="2">
        <f t="shared" si="40"/>
        <v>8</v>
      </c>
    </row>
    <row r="2157" spans="1:10" s="22" customFormat="1" x14ac:dyDescent="0.25">
      <c r="A2157" s="6">
        <v>44157</v>
      </c>
      <c r="B2157" s="59"/>
      <c r="D2157" s="63"/>
      <c r="E2157" s="82"/>
      <c r="F2157" s="72">
        <v>490</v>
      </c>
      <c r="G2157" s="2">
        <f t="shared" si="40"/>
        <v>1.96</v>
      </c>
    </row>
    <row r="2158" spans="1:10" s="22" customFormat="1" x14ac:dyDescent="0.25">
      <c r="A2158" s="6">
        <v>44157</v>
      </c>
      <c r="B2158" s="59"/>
      <c r="D2158" s="63"/>
      <c r="E2158" s="82"/>
      <c r="F2158" s="72">
        <v>500</v>
      </c>
      <c r="G2158" s="2">
        <f t="shared" si="40"/>
        <v>2</v>
      </c>
    </row>
    <row r="2159" spans="1:10" s="22" customFormat="1" x14ac:dyDescent="0.25">
      <c r="A2159" s="6">
        <v>44158</v>
      </c>
      <c r="B2159" s="59" t="s">
        <v>2046</v>
      </c>
      <c r="D2159" s="63"/>
      <c r="E2159" s="82"/>
      <c r="F2159" s="72">
        <v>3000</v>
      </c>
      <c r="G2159" s="2">
        <f t="shared" si="40"/>
        <v>12</v>
      </c>
    </row>
    <row r="2160" spans="1:10" s="22" customFormat="1" x14ac:dyDescent="0.25">
      <c r="A2160" s="6">
        <v>44158</v>
      </c>
      <c r="B2160" s="59" t="s">
        <v>2674</v>
      </c>
      <c r="D2160" s="63"/>
      <c r="E2160" s="82"/>
      <c r="F2160" s="72">
        <v>4500</v>
      </c>
      <c r="G2160" s="2">
        <f t="shared" si="40"/>
        <v>18</v>
      </c>
    </row>
    <row r="2161" spans="1:7" s="22" customFormat="1" x14ac:dyDescent="0.25">
      <c r="A2161" s="6">
        <v>44158</v>
      </c>
      <c r="B2161" s="59" t="s">
        <v>2071</v>
      </c>
      <c r="D2161" s="63"/>
      <c r="E2161" s="82"/>
      <c r="F2161" s="72">
        <v>700</v>
      </c>
      <c r="G2161" s="2">
        <f t="shared" si="40"/>
        <v>2.8000000000000003</v>
      </c>
    </row>
    <row r="2162" spans="1:7" s="22" customFormat="1" x14ac:dyDescent="0.25">
      <c r="A2162" s="6">
        <v>44158</v>
      </c>
      <c r="B2162" s="59" t="s">
        <v>2675</v>
      </c>
      <c r="D2162" s="63"/>
      <c r="E2162" s="82"/>
      <c r="F2162" s="72">
        <v>3500</v>
      </c>
      <c r="G2162" s="2">
        <f t="shared" si="40"/>
        <v>14</v>
      </c>
    </row>
    <row r="2163" spans="1:7" s="22" customFormat="1" x14ac:dyDescent="0.25">
      <c r="A2163" s="6">
        <v>44158</v>
      </c>
      <c r="B2163" s="59" t="s">
        <v>2676</v>
      </c>
      <c r="D2163" s="63"/>
      <c r="E2163" s="82"/>
      <c r="F2163" s="72">
        <v>2400</v>
      </c>
      <c r="G2163" s="2">
        <f t="shared" si="40"/>
        <v>9.6</v>
      </c>
    </row>
    <row r="2164" spans="1:7" s="22" customFormat="1" x14ac:dyDescent="0.25">
      <c r="A2164" s="6">
        <v>44158</v>
      </c>
      <c r="B2164" s="59" t="s">
        <v>2062</v>
      </c>
      <c r="D2164" s="63"/>
      <c r="E2164" s="82"/>
      <c r="F2164" s="72">
        <v>10000</v>
      </c>
      <c r="G2164" s="2">
        <f t="shared" si="40"/>
        <v>20</v>
      </c>
    </row>
    <row r="2165" spans="1:7" s="22" customFormat="1" x14ac:dyDescent="0.25">
      <c r="A2165" s="6">
        <v>44159</v>
      </c>
      <c r="B2165" s="59" t="s">
        <v>2677</v>
      </c>
      <c r="D2165" s="63"/>
      <c r="E2165" s="82"/>
      <c r="F2165" s="72">
        <v>1000</v>
      </c>
      <c r="G2165" s="2">
        <f t="shared" si="40"/>
        <v>4</v>
      </c>
    </row>
    <row r="2166" spans="1:7" s="22" customFormat="1" x14ac:dyDescent="0.25">
      <c r="A2166" s="6">
        <v>44160</v>
      </c>
      <c r="B2166" s="59" t="s">
        <v>2678</v>
      </c>
      <c r="D2166" s="63"/>
      <c r="E2166" s="82"/>
      <c r="F2166" s="72">
        <v>600</v>
      </c>
      <c r="G2166" s="2">
        <f t="shared" si="40"/>
        <v>2.4</v>
      </c>
    </row>
    <row r="2167" spans="1:7" s="22" customFormat="1" x14ac:dyDescent="0.25">
      <c r="A2167" s="6">
        <v>44160</v>
      </c>
      <c r="B2167" s="59" t="s">
        <v>2679</v>
      </c>
      <c r="D2167" s="63"/>
      <c r="E2167" s="82"/>
      <c r="F2167" s="72">
        <v>200</v>
      </c>
      <c r="G2167" s="2">
        <f t="shared" si="40"/>
        <v>0.8</v>
      </c>
    </row>
    <row r="2168" spans="1:7" s="22" customFormat="1" x14ac:dyDescent="0.25">
      <c r="A2168" s="6">
        <v>44160</v>
      </c>
      <c r="B2168" s="59" t="s">
        <v>2662</v>
      </c>
      <c r="D2168" s="63"/>
      <c r="E2168" s="82"/>
      <c r="F2168" s="72">
        <v>3000</v>
      </c>
      <c r="G2168" s="2">
        <f t="shared" si="40"/>
        <v>12</v>
      </c>
    </row>
    <row r="2169" spans="1:7" s="22" customFormat="1" x14ac:dyDescent="0.25">
      <c r="A2169" s="6">
        <v>44160</v>
      </c>
      <c r="B2169" s="59" t="s">
        <v>2680</v>
      </c>
      <c r="D2169" s="63"/>
      <c r="E2169" s="82"/>
      <c r="F2169" s="72">
        <v>3000</v>
      </c>
      <c r="G2169" s="2">
        <f t="shared" si="40"/>
        <v>12</v>
      </c>
    </row>
    <row r="2170" spans="1:7" s="22" customFormat="1" x14ac:dyDescent="0.25">
      <c r="A2170" s="6">
        <v>44160</v>
      </c>
      <c r="B2170" s="59" t="s">
        <v>2062</v>
      </c>
      <c r="D2170" s="63"/>
      <c r="E2170" s="82"/>
      <c r="F2170" s="72">
        <v>5000</v>
      </c>
      <c r="G2170" s="2">
        <f t="shared" si="40"/>
        <v>20</v>
      </c>
    </row>
    <row r="2171" spans="1:7" s="22" customFormat="1" x14ac:dyDescent="0.25">
      <c r="A2171" s="6">
        <v>44160</v>
      </c>
      <c r="B2171" s="59" t="s">
        <v>2362</v>
      </c>
      <c r="D2171" s="63"/>
      <c r="E2171" s="82"/>
      <c r="F2171" s="72">
        <v>1000</v>
      </c>
      <c r="G2171" s="2">
        <f t="shared" si="40"/>
        <v>4</v>
      </c>
    </row>
    <row r="2172" spans="1:7" s="22" customFormat="1" x14ac:dyDescent="0.25">
      <c r="A2172" s="6">
        <v>44163</v>
      </c>
      <c r="B2172" s="59" t="s">
        <v>2651</v>
      </c>
      <c r="D2172" s="63"/>
      <c r="E2172" s="82"/>
      <c r="F2172" s="72">
        <v>950</v>
      </c>
      <c r="G2172" s="2">
        <f t="shared" si="40"/>
        <v>3.8000000000000003</v>
      </c>
    </row>
    <row r="2173" spans="1:7" s="22" customFormat="1" x14ac:dyDescent="0.25">
      <c r="A2173" s="6">
        <v>44163</v>
      </c>
      <c r="B2173" s="59" t="s">
        <v>2686</v>
      </c>
      <c r="D2173" s="63"/>
      <c r="E2173" s="82"/>
      <c r="F2173" s="72">
        <v>8200</v>
      </c>
      <c r="G2173" s="2">
        <f t="shared" si="40"/>
        <v>20</v>
      </c>
    </row>
    <row r="2174" spans="1:7" s="22" customFormat="1" x14ac:dyDescent="0.25">
      <c r="A2174" s="6">
        <v>44163</v>
      </c>
      <c r="B2174" s="59" t="s">
        <v>2687</v>
      </c>
      <c r="D2174" s="63"/>
      <c r="E2174" s="82"/>
      <c r="F2174" s="72">
        <v>6200</v>
      </c>
      <c r="G2174" s="2">
        <f t="shared" si="40"/>
        <v>20</v>
      </c>
    </row>
    <row r="2175" spans="1:7" s="22" customFormat="1" x14ac:dyDescent="0.25">
      <c r="A2175" s="6">
        <v>44164</v>
      </c>
      <c r="B2175" s="59" t="s">
        <v>1649</v>
      </c>
      <c r="D2175" s="63"/>
      <c r="E2175" s="82"/>
      <c r="F2175" s="72">
        <v>5000</v>
      </c>
      <c r="G2175" s="2">
        <f t="shared" si="40"/>
        <v>20</v>
      </c>
    </row>
    <row r="2176" spans="1:7" s="22" customFormat="1" x14ac:dyDescent="0.25">
      <c r="A2176" s="6">
        <v>44164</v>
      </c>
      <c r="B2176" s="59" t="s">
        <v>2642</v>
      </c>
      <c r="D2176" s="63"/>
      <c r="E2176" s="82"/>
      <c r="F2176" s="72">
        <v>3000</v>
      </c>
      <c r="G2176" s="2">
        <f t="shared" si="40"/>
        <v>12</v>
      </c>
    </row>
    <row r="2177" spans="1:11" s="22" customFormat="1" x14ac:dyDescent="0.25">
      <c r="A2177" s="6">
        <v>44164</v>
      </c>
      <c r="B2177" s="59" t="s">
        <v>2685</v>
      </c>
      <c r="D2177" s="63"/>
      <c r="E2177" s="82"/>
      <c r="F2177" s="72">
        <v>500</v>
      </c>
      <c r="G2177" s="2">
        <f t="shared" si="40"/>
        <v>2</v>
      </c>
    </row>
    <row r="2178" spans="1:11" s="22" customFormat="1" x14ac:dyDescent="0.25">
      <c r="A2178" s="6">
        <v>44164</v>
      </c>
      <c r="B2178" s="59" t="s">
        <v>2684</v>
      </c>
      <c r="D2178" s="63"/>
      <c r="E2178" s="82"/>
      <c r="F2178" s="72">
        <v>500</v>
      </c>
      <c r="G2178" s="2">
        <f t="shared" si="40"/>
        <v>2</v>
      </c>
    </row>
    <row r="2180" spans="1:11" x14ac:dyDescent="0.25">
      <c r="A2180" s="162">
        <f>COUNT(A2085:A2179)</f>
        <v>94</v>
      </c>
      <c r="B2180" s="162"/>
      <c r="C2180" s="162"/>
      <c r="D2180" s="70"/>
      <c r="E2180" s="164">
        <f>COUNTIF(E2085:E2179,"y")</f>
        <v>10</v>
      </c>
      <c r="F2180" s="163">
        <f>SUM(F2085:F2179)</f>
        <v>253790</v>
      </c>
      <c r="G2180" s="163">
        <f>SUM(G2085:G2179)</f>
        <v>1106.3599999999999</v>
      </c>
      <c r="H2180" s="39">
        <f>G2180*0.8</f>
        <v>885.08799999999997</v>
      </c>
      <c r="I2180" s="70"/>
      <c r="J2180" s="70">
        <f>SUM(J2085:J2179)</f>
        <v>200</v>
      </c>
      <c r="K2180" s="70"/>
    </row>
    <row r="2182" spans="1:11" x14ac:dyDescent="0.25">
      <c r="A2182" s="6">
        <v>44166</v>
      </c>
      <c r="B2182" s="63" t="s">
        <v>2662</v>
      </c>
      <c r="C2182" t="s">
        <v>2695</v>
      </c>
      <c r="F2182" s="2">
        <v>9150</v>
      </c>
      <c r="G2182" s="2">
        <f t="shared" ref="G2182:G2256" si="41">IF(E2182="y",25,IF(OR(E2182="N",E2182="RD",E2182="I"),10,0))+IF(F2182&gt;5000,20,F2182*0.4%)+IF(E2182="SB",1,IF(E2182="JJ",30,IF(E2182="A",50,0)))</f>
        <v>20</v>
      </c>
    </row>
    <row r="2183" spans="1:11" x14ac:dyDescent="0.25">
      <c r="A2183" s="6">
        <v>44166</v>
      </c>
      <c r="B2183" s="63" t="s">
        <v>2059</v>
      </c>
      <c r="C2183" t="s">
        <v>2062</v>
      </c>
      <c r="F2183" s="2">
        <v>5000</v>
      </c>
      <c r="G2183" s="2">
        <f t="shared" si="41"/>
        <v>20</v>
      </c>
    </row>
    <row r="2184" spans="1:11" x14ac:dyDescent="0.25">
      <c r="A2184" s="6">
        <v>44167</v>
      </c>
      <c r="B2184" s="63" t="s">
        <v>2697</v>
      </c>
      <c r="C2184" t="s">
        <v>2696</v>
      </c>
      <c r="F2184" s="2">
        <v>500</v>
      </c>
      <c r="G2184" s="2">
        <f t="shared" si="41"/>
        <v>2</v>
      </c>
    </row>
    <row r="2185" spans="1:11" x14ac:dyDescent="0.25">
      <c r="A2185" s="6">
        <v>44167</v>
      </c>
      <c r="B2185" s="63" t="s">
        <v>2724</v>
      </c>
      <c r="F2185" s="2">
        <v>500</v>
      </c>
      <c r="G2185" s="2">
        <f t="shared" si="41"/>
        <v>2</v>
      </c>
    </row>
    <row r="2186" spans="1:11" x14ac:dyDescent="0.25">
      <c r="B2186" s="63" t="s">
        <v>2651</v>
      </c>
      <c r="F2186" s="2">
        <v>1000</v>
      </c>
      <c r="G2186" s="2">
        <f t="shared" si="41"/>
        <v>4</v>
      </c>
    </row>
    <row r="2187" spans="1:11" x14ac:dyDescent="0.25">
      <c r="B2187" s="63" t="s">
        <v>2725</v>
      </c>
      <c r="F2187" s="2">
        <v>3000</v>
      </c>
      <c r="G2187" s="2">
        <f t="shared" si="41"/>
        <v>12</v>
      </c>
    </row>
    <row r="2188" spans="1:11" s="22" customFormat="1" x14ac:dyDescent="0.25">
      <c r="A2188" s="4"/>
      <c r="B2188" s="63" t="s">
        <v>2726</v>
      </c>
      <c r="D2188" s="63"/>
      <c r="E2188" s="178"/>
      <c r="F2188" s="2">
        <v>300</v>
      </c>
      <c r="G2188" s="2">
        <f t="shared" si="41"/>
        <v>1.2</v>
      </c>
    </row>
    <row r="2189" spans="1:11" s="22" customFormat="1" x14ac:dyDescent="0.25">
      <c r="A2189" s="4"/>
      <c r="B2189" s="63" t="s">
        <v>2727</v>
      </c>
      <c r="D2189" s="63"/>
      <c r="E2189" s="178"/>
      <c r="F2189" s="2">
        <v>400</v>
      </c>
      <c r="G2189" s="2">
        <f t="shared" si="41"/>
        <v>1.6</v>
      </c>
    </row>
    <row r="2190" spans="1:11" s="22" customFormat="1" x14ac:dyDescent="0.25">
      <c r="A2190" s="4"/>
      <c r="B2190" s="63" t="s">
        <v>2727</v>
      </c>
      <c r="D2190" s="63"/>
      <c r="E2190" s="178"/>
      <c r="F2190" s="2">
        <v>100</v>
      </c>
      <c r="G2190" s="2">
        <f t="shared" si="41"/>
        <v>0.4</v>
      </c>
    </row>
    <row r="2191" spans="1:11" s="22" customFormat="1" x14ac:dyDescent="0.25">
      <c r="A2191" s="4"/>
      <c r="B2191" s="63" t="s">
        <v>2728</v>
      </c>
      <c r="D2191" s="63"/>
      <c r="E2191" s="178"/>
      <c r="F2191" s="2">
        <v>300</v>
      </c>
      <c r="G2191" s="2">
        <f t="shared" si="41"/>
        <v>1.2</v>
      </c>
    </row>
    <row r="2192" spans="1:11" s="22" customFormat="1" x14ac:dyDescent="0.25">
      <c r="A2192" s="4"/>
      <c r="B2192" s="63" t="s">
        <v>2729</v>
      </c>
      <c r="D2192" s="63"/>
      <c r="E2192" s="178"/>
      <c r="F2192" s="2">
        <v>5000</v>
      </c>
      <c r="G2192" s="2">
        <f t="shared" si="41"/>
        <v>20</v>
      </c>
    </row>
    <row r="2193" spans="1:7" s="22" customFormat="1" x14ac:dyDescent="0.25">
      <c r="A2193" s="4"/>
      <c r="B2193" s="63" t="s">
        <v>2730</v>
      </c>
      <c r="D2193" s="63"/>
      <c r="E2193" s="178"/>
      <c r="F2193" s="2">
        <v>2900</v>
      </c>
      <c r="G2193" s="2">
        <f t="shared" si="41"/>
        <v>11.6</v>
      </c>
    </row>
    <row r="2194" spans="1:7" s="22" customFormat="1" x14ac:dyDescent="0.25">
      <c r="A2194" s="4"/>
      <c r="B2194" s="63" t="s">
        <v>2644</v>
      </c>
      <c r="D2194" s="63"/>
      <c r="E2194" s="178"/>
      <c r="F2194" s="2">
        <v>4050</v>
      </c>
      <c r="G2194" s="2">
        <f t="shared" si="41"/>
        <v>16.2</v>
      </c>
    </row>
    <row r="2195" spans="1:7" s="22" customFormat="1" x14ac:dyDescent="0.25">
      <c r="A2195" s="4"/>
      <c r="B2195" s="63" t="s">
        <v>2731</v>
      </c>
      <c r="D2195" s="63"/>
      <c r="E2195" s="178"/>
      <c r="F2195" s="2">
        <v>1000</v>
      </c>
      <c r="G2195" s="2">
        <f t="shared" si="41"/>
        <v>4</v>
      </c>
    </row>
    <row r="2196" spans="1:7" s="22" customFormat="1" x14ac:dyDescent="0.25">
      <c r="A2196" s="4"/>
      <c r="B2196" s="63" t="s">
        <v>2642</v>
      </c>
      <c r="D2196" s="63"/>
      <c r="E2196" s="178"/>
      <c r="F2196" s="2">
        <v>3500</v>
      </c>
      <c r="G2196" s="2">
        <f t="shared" si="41"/>
        <v>14</v>
      </c>
    </row>
    <row r="2197" spans="1:7" s="22" customFormat="1" x14ac:dyDescent="0.25">
      <c r="A2197" s="4"/>
      <c r="B2197" s="63" t="s">
        <v>2732</v>
      </c>
      <c r="D2197" s="63"/>
      <c r="E2197" s="178"/>
      <c r="F2197" s="2">
        <v>1500</v>
      </c>
      <c r="G2197" s="2">
        <f t="shared" si="41"/>
        <v>6</v>
      </c>
    </row>
    <row r="2198" spans="1:7" s="22" customFormat="1" x14ac:dyDescent="0.25">
      <c r="A2198" s="4"/>
      <c r="B2198" s="63" t="s">
        <v>2642</v>
      </c>
      <c r="D2198" s="63"/>
      <c r="E2198" s="178"/>
      <c r="F2198" s="2">
        <v>1000</v>
      </c>
      <c r="G2198" s="2">
        <f t="shared" si="41"/>
        <v>4</v>
      </c>
    </row>
    <row r="2199" spans="1:7" s="22" customFormat="1" x14ac:dyDescent="0.25">
      <c r="A2199" s="4"/>
      <c r="B2199" s="63" t="s">
        <v>2660</v>
      </c>
      <c r="D2199" s="63"/>
      <c r="E2199" s="178"/>
      <c r="F2199" s="2">
        <v>5000</v>
      </c>
      <c r="G2199" s="2">
        <f t="shared" si="41"/>
        <v>20</v>
      </c>
    </row>
    <row r="2200" spans="1:7" s="22" customFormat="1" x14ac:dyDescent="0.25">
      <c r="A2200" s="4"/>
      <c r="B2200" s="63" t="s">
        <v>2733</v>
      </c>
      <c r="D2200" s="63"/>
      <c r="E2200" s="178"/>
      <c r="F2200" s="2">
        <v>1000</v>
      </c>
      <c r="G2200" s="2">
        <f t="shared" si="41"/>
        <v>4</v>
      </c>
    </row>
    <row r="2201" spans="1:7" s="22" customFormat="1" x14ac:dyDescent="0.25">
      <c r="A2201" s="6">
        <v>44172</v>
      </c>
      <c r="B2201" s="63" t="s">
        <v>2734</v>
      </c>
      <c r="D2201" s="63"/>
      <c r="E2201" s="178"/>
      <c r="F2201" s="2">
        <v>2500</v>
      </c>
      <c r="G2201" s="2">
        <f t="shared" si="41"/>
        <v>10</v>
      </c>
    </row>
    <row r="2202" spans="1:7" s="22" customFormat="1" x14ac:dyDescent="0.25">
      <c r="A2202" s="6">
        <v>44172</v>
      </c>
      <c r="B2202" s="63" t="s">
        <v>2735</v>
      </c>
      <c r="D2202" s="63"/>
      <c r="E2202" s="178"/>
      <c r="F2202" s="2">
        <v>500</v>
      </c>
      <c r="G2202" s="2">
        <f t="shared" si="41"/>
        <v>2</v>
      </c>
    </row>
    <row r="2203" spans="1:7" s="22" customFormat="1" x14ac:dyDescent="0.25">
      <c r="A2203" s="6">
        <v>44172</v>
      </c>
      <c r="B2203" s="63" t="s">
        <v>2725</v>
      </c>
      <c r="D2203" s="63"/>
      <c r="E2203" s="178"/>
      <c r="F2203" s="2">
        <v>1000</v>
      </c>
      <c r="G2203" s="2">
        <f t="shared" si="41"/>
        <v>4</v>
      </c>
    </row>
    <row r="2204" spans="1:7" s="22" customFormat="1" x14ac:dyDescent="0.25">
      <c r="A2204" s="6">
        <v>44172</v>
      </c>
      <c r="B2204" s="63" t="s">
        <v>2736</v>
      </c>
      <c r="D2204" s="63"/>
      <c r="E2204" s="178"/>
      <c r="F2204" s="2">
        <v>100</v>
      </c>
      <c r="G2204" s="2">
        <f t="shared" si="41"/>
        <v>0.4</v>
      </c>
    </row>
    <row r="2205" spans="1:7" s="22" customFormat="1" x14ac:dyDescent="0.25">
      <c r="A2205" s="6">
        <v>44172</v>
      </c>
      <c r="B2205" s="63" t="s">
        <v>2725</v>
      </c>
      <c r="D2205" s="63"/>
      <c r="E2205" s="178"/>
      <c r="F2205" s="2">
        <v>1000</v>
      </c>
      <c r="G2205" s="2">
        <f t="shared" si="41"/>
        <v>4</v>
      </c>
    </row>
    <row r="2206" spans="1:7" s="22" customFormat="1" x14ac:dyDescent="0.25">
      <c r="A2206" s="6">
        <v>44172</v>
      </c>
      <c r="B2206" s="63" t="s">
        <v>2642</v>
      </c>
      <c r="D2206" s="63"/>
      <c r="E2206" s="178"/>
      <c r="F2206" s="2">
        <v>1500</v>
      </c>
      <c r="G2206" s="2">
        <f t="shared" si="41"/>
        <v>6</v>
      </c>
    </row>
    <row r="2207" spans="1:7" s="22" customFormat="1" x14ac:dyDescent="0.25">
      <c r="A2207" s="6">
        <v>44172</v>
      </c>
      <c r="B2207" s="63" t="s">
        <v>2738</v>
      </c>
      <c r="D2207" s="63"/>
      <c r="E2207" s="178"/>
      <c r="F2207" s="2">
        <v>10000</v>
      </c>
      <c r="G2207" s="2">
        <f t="shared" si="41"/>
        <v>20</v>
      </c>
    </row>
    <row r="2208" spans="1:7" s="22" customFormat="1" x14ac:dyDescent="0.25">
      <c r="A2208" s="6">
        <v>44173</v>
      </c>
      <c r="B2208" s="63" t="s">
        <v>2651</v>
      </c>
      <c r="D2208" s="63"/>
      <c r="E2208" s="178"/>
      <c r="F2208" s="2">
        <v>6000</v>
      </c>
      <c r="G2208" s="2">
        <f t="shared" si="41"/>
        <v>20</v>
      </c>
    </row>
    <row r="2209" spans="1:7" s="22" customFormat="1" x14ac:dyDescent="0.25">
      <c r="A2209" s="4"/>
      <c r="B2209" s="63"/>
      <c r="D2209" s="63"/>
      <c r="E2209" s="178"/>
      <c r="F2209" s="2">
        <v>1000</v>
      </c>
      <c r="G2209" s="2">
        <f t="shared" si="41"/>
        <v>4</v>
      </c>
    </row>
    <row r="2210" spans="1:7" s="22" customFormat="1" x14ac:dyDescent="0.25">
      <c r="A2210" s="4"/>
      <c r="B2210" s="63" t="s">
        <v>2737</v>
      </c>
      <c r="D2210" s="63"/>
      <c r="E2210" s="178"/>
      <c r="F2210" s="2">
        <v>10000</v>
      </c>
      <c r="G2210" s="2">
        <f t="shared" si="41"/>
        <v>20</v>
      </c>
    </row>
    <row r="2211" spans="1:7" s="22" customFormat="1" x14ac:dyDescent="0.25">
      <c r="A2211" s="4"/>
      <c r="B2211" s="63" t="s">
        <v>2642</v>
      </c>
      <c r="D2211" s="63"/>
      <c r="E2211" s="178"/>
      <c r="F2211" s="2">
        <v>500</v>
      </c>
      <c r="G2211" s="2">
        <f t="shared" si="41"/>
        <v>2</v>
      </c>
    </row>
    <row r="2212" spans="1:7" s="22" customFormat="1" x14ac:dyDescent="0.25">
      <c r="A2212" s="4"/>
      <c r="B2212" s="63" t="s">
        <v>2725</v>
      </c>
      <c r="D2212" s="63"/>
      <c r="E2212" s="178"/>
      <c r="F2212" s="2">
        <v>1000</v>
      </c>
      <c r="G2212" s="2">
        <f t="shared" si="41"/>
        <v>4</v>
      </c>
    </row>
    <row r="2213" spans="1:7" s="22" customFormat="1" x14ac:dyDescent="0.25">
      <c r="A2213" s="4"/>
      <c r="B2213" s="63" t="s">
        <v>2739</v>
      </c>
      <c r="D2213" s="63"/>
      <c r="E2213" s="178"/>
      <c r="F2213" s="2">
        <v>500</v>
      </c>
      <c r="G2213" s="2">
        <f t="shared" si="41"/>
        <v>2</v>
      </c>
    </row>
    <row r="2214" spans="1:7" s="22" customFormat="1" x14ac:dyDescent="0.25">
      <c r="A2214" s="4"/>
      <c r="B2214" s="63" t="s">
        <v>2642</v>
      </c>
      <c r="D2214" s="63"/>
      <c r="E2214" s="178"/>
      <c r="F2214" s="2">
        <v>500</v>
      </c>
      <c r="G2214" s="2">
        <f t="shared" si="41"/>
        <v>2</v>
      </c>
    </row>
    <row r="2215" spans="1:7" s="22" customFormat="1" x14ac:dyDescent="0.25">
      <c r="A2215" s="4"/>
      <c r="B2215" s="63" t="s">
        <v>2685</v>
      </c>
      <c r="D2215" s="63"/>
      <c r="E2215" s="178"/>
      <c r="F2215" s="2">
        <v>3000</v>
      </c>
      <c r="G2215" s="2">
        <f t="shared" si="41"/>
        <v>12</v>
      </c>
    </row>
    <row r="2216" spans="1:7" s="22" customFormat="1" x14ac:dyDescent="0.25">
      <c r="A2216" s="4"/>
      <c r="B2216" s="63" t="s">
        <v>2651</v>
      </c>
      <c r="D2216" s="63"/>
      <c r="E2216" s="178"/>
      <c r="F2216" s="2">
        <v>5000</v>
      </c>
      <c r="G2216" s="2">
        <f t="shared" si="41"/>
        <v>20</v>
      </c>
    </row>
    <row r="2217" spans="1:7" s="22" customFormat="1" x14ac:dyDescent="0.25">
      <c r="A2217" s="4"/>
      <c r="B2217" s="63" t="s">
        <v>1948</v>
      </c>
      <c r="D2217" s="63"/>
      <c r="E2217" s="178"/>
      <c r="F2217" s="2">
        <v>1050</v>
      </c>
      <c r="G2217" s="2">
        <f t="shared" si="41"/>
        <v>4.2</v>
      </c>
    </row>
    <row r="2218" spans="1:7" s="22" customFormat="1" x14ac:dyDescent="0.25">
      <c r="A2218" s="4"/>
      <c r="B2218" s="63" t="s">
        <v>2740</v>
      </c>
      <c r="D2218" s="63"/>
      <c r="E2218" s="178"/>
      <c r="F2218" s="2">
        <v>1000</v>
      </c>
      <c r="G2218" s="2">
        <f t="shared" si="41"/>
        <v>4</v>
      </c>
    </row>
    <row r="2219" spans="1:7" s="22" customFormat="1" x14ac:dyDescent="0.25">
      <c r="A2219" s="4"/>
      <c r="B2219" s="63" t="s">
        <v>2729</v>
      </c>
      <c r="D2219" s="63"/>
      <c r="E2219" s="178"/>
      <c r="F2219" s="2">
        <v>200</v>
      </c>
      <c r="G2219" s="2">
        <f t="shared" si="41"/>
        <v>0.8</v>
      </c>
    </row>
    <row r="2220" spans="1:7" x14ac:dyDescent="0.25">
      <c r="B2220" s="63" t="s">
        <v>2741</v>
      </c>
      <c r="F2220" s="2">
        <v>2000</v>
      </c>
      <c r="G2220" s="2">
        <f t="shared" si="41"/>
        <v>8</v>
      </c>
    </row>
    <row r="2221" spans="1:7" x14ac:dyDescent="0.25">
      <c r="B2221" s="63" t="s">
        <v>2659</v>
      </c>
      <c r="F2221" s="2">
        <v>200</v>
      </c>
      <c r="G2221" s="2">
        <f t="shared" si="41"/>
        <v>0.8</v>
      </c>
    </row>
    <row r="2222" spans="1:7" x14ac:dyDescent="0.25">
      <c r="B2222" s="63" t="s">
        <v>2642</v>
      </c>
      <c r="F2222" s="2">
        <v>500</v>
      </c>
      <c r="G2222" s="2">
        <f t="shared" si="41"/>
        <v>2</v>
      </c>
    </row>
    <row r="2223" spans="1:7" x14ac:dyDescent="0.25">
      <c r="B2223" s="63" t="s">
        <v>2742</v>
      </c>
      <c r="F2223" s="2">
        <v>400</v>
      </c>
      <c r="G2223" s="2">
        <f t="shared" si="41"/>
        <v>1.6</v>
      </c>
    </row>
    <row r="2224" spans="1:7" x14ac:dyDescent="0.25">
      <c r="A2224" s="6">
        <v>44177</v>
      </c>
      <c r="B2224" s="63" t="s">
        <v>2743</v>
      </c>
      <c r="F2224" s="2">
        <v>6000</v>
      </c>
      <c r="G2224" s="2">
        <f t="shared" si="41"/>
        <v>20</v>
      </c>
    </row>
    <row r="2225" spans="1:7" x14ac:dyDescent="0.25">
      <c r="B2225" s="63" t="s">
        <v>2744</v>
      </c>
      <c r="F2225" s="2">
        <v>5600</v>
      </c>
      <c r="G2225" s="2">
        <f t="shared" si="41"/>
        <v>20</v>
      </c>
    </row>
    <row r="2226" spans="1:7" x14ac:dyDescent="0.25">
      <c r="B2226" s="63" t="s">
        <v>2642</v>
      </c>
      <c r="F2226" s="2">
        <v>500</v>
      </c>
      <c r="G2226" s="2">
        <f t="shared" si="41"/>
        <v>2</v>
      </c>
    </row>
    <row r="2227" spans="1:7" x14ac:dyDescent="0.25">
      <c r="A2227" s="6">
        <v>44177</v>
      </c>
      <c r="B2227" s="63" t="s">
        <v>1649</v>
      </c>
      <c r="F2227" s="2">
        <v>2500</v>
      </c>
      <c r="G2227" s="2">
        <f t="shared" si="41"/>
        <v>10</v>
      </c>
    </row>
    <row r="2228" spans="1:7" x14ac:dyDescent="0.25">
      <c r="B2228" s="63" t="s">
        <v>2071</v>
      </c>
      <c r="F2228" s="2">
        <v>1000</v>
      </c>
      <c r="G2228" s="2">
        <f t="shared" si="41"/>
        <v>4</v>
      </c>
    </row>
    <row r="2229" spans="1:7" s="22" customFormat="1" x14ac:dyDescent="0.25">
      <c r="A2229" s="6">
        <v>44179</v>
      </c>
      <c r="B2229" s="63" t="s">
        <v>1703</v>
      </c>
      <c r="D2229" s="63"/>
      <c r="E2229" s="178"/>
      <c r="F2229" s="2">
        <v>500</v>
      </c>
      <c r="G2229" s="2">
        <f t="shared" si="41"/>
        <v>2</v>
      </c>
    </row>
    <row r="2230" spans="1:7" s="22" customFormat="1" x14ac:dyDescent="0.25">
      <c r="A2230" s="4"/>
      <c r="B2230" s="63" t="s">
        <v>2728</v>
      </c>
      <c r="D2230" s="63"/>
      <c r="E2230" s="178"/>
      <c r="F2230" s="2">
        <v>500</v>
      </c>
      <c r="G2230" s="2">
        <f t="shared" si="41"/>
        <v>2</v>
      </c>
    </row>
    <row r="2231" spans="1:7" s="22" customFormat="1" x14ac:dyDescent="0.25">
      <c r="A2231" s="4"/>
      <c r="B2231" s="63" t="s">
        <v>2642</v>
      </c>
      <c r="D2231" s="63"/>
      <c r="E2231" s="178"/>
      <c r="F2231" s="2">
        <v>500</v>
      </c>
      <c r="G2231" s="2">
        <f t="shared" si="41"/>
        <v>2</v>
      </c>
    </row>
    <row r="2232" spans="1:7" s="22" customFormat="1" x14ac:dyDescent="0.25">
      <c r="A2232" s="4"/>
      <c r="B2232" s="63" t="s">
        <v>2059</v>
      </c>
      <c r="D2232" s="63"/>
      <c r="E2232" s="178"/>
      <c r="F2232" s="2">
        <v>1000</v>
      </c>
      <c r="G2232" s="2">
        <f t="shared" si="41"/>
        <v>4</v>
      </c>
    </row>
    <row r="2233" spans="1:7" s="22" customFormat="1" x14ac:dyDescent="0.25">
      <c r="A2233" s="4"/>
      <c r="B2233" s="63" t="s">
        <v>2743</v>
      </c>
      <c r="D2233" s="63"/>
      <c r="E2233" s="178"/>
      <c r="F2233" s="2">
        <v>2000</v>
      </c>
      <c r="G2233" s="2">
        <f t="shared" si="41"/>
        <v>8</v>
      </c>
    </row>
    <row r="2234" spans="1:7" s="22" customFormat="1" x14ac:dyDescent="0.25">
      <c r="A2234" s="4"/>
      <c r="B2234" s="63"/>
      <c r="D2234" s="63"/>
      <c r="E2234" s="178"/>
      <c r="F2234" s="2">
        <v>500</v>
      </c>
      <c r="G2234" s="2">
        <f t="shared" si="41"/>
        <v>2</v>
      </c>
    </row>
    <row r="2235" spans="1:7" s="22" customFormat="1" x14ac:dyDescent="0.25">
      <c r="A2235" s="4"/>
      <c r="B2235" s="63"/>
      <c r="D2235" s="63"/>
      <c r="E2235" s="178"/>
      <c r="F2235" s="2">
        <v>2000</v>
      </c>
      <c r="G2235" s="2">
        <f t="shared" si="41"/>
        <v>8</v>
      </c>
    </row>
    <row r="2236" spans="1:7" s="22" customFormat="1" x14ac:dyDescent="0.25">
      <c r="A2236" s="4"/>
      <c r="B2236" s="63"/>
      <c r="D2236" s="63"/>
      <c r="E2236" s="178"/>
      <c r="F2236" s="2">
        <v>1500</v>
      </c>
      <c r="G2236" s="2">
        <f t="shared" si="41"/>
        <v>6</v>
      </c>
    </row>
    <row r="2237" spans="1:7" s="22" customFormat="1" x14ac:dyDescent="0.25">
      <c r="A2237" s="4"/>
      <c r="B2237" s="63"/>
      <c r="D2237" s="63"/>
      <c r="E2237" s="178"/>
      <c r="F2237" s="2">
        <v>500</v>
      </c>
      <c r="G2237" s="2">
        <f t="shared" si="41"/>
        <v>2</v>
      </c>
    </row>
    <row r="2238" spans="1:7" s="22" customFormat="1" x14ac:dyDescent="0.25">
      <c r="A2238" s="4"/>
      <c r="B2238" s="63"/>
      <c r="D2238" s="63"/>
      <c r="E2238" s="178"/>
      <c r="F2238" s="2">
        <v>5000</v>
      </c>
      <c r="G2238" s="2">
        <f t="shared" si="41"/>
        <v>20</v>
      </c>
    </row>
    <row r="2239" spans="1:7" s="22" customFormat="1" x14ac:dyDescent="0.25">
      <c r="A2239" s="4"/>
      <c r="B2239" s="63"/>
      <c r="D2239" s="63"/>
      <c r="E2239" s="178"/>
      <c r="F2239" s="2">
        <v>5000</v>
      </c>
      <c r="G2239" s="2">
        <f t="shared" si="41"/>
        <v>20</v>
      </c>
    </row>
    <row r="2240" spans="1:7" s="22" customFormat="1" x14ac:dyDescent="0.25">
      <c r="A2240" s="4"/>
      <c r="B2240" s="63"/>
      <c r="D2240" s="63"/>
      <c r="E2240" s="178"/>
      <c r="F2240" s="2">
        <v>1200</v>
      </c>
      <c r="G2240" s="2">
        <f t="shared" si="41"/>
        <v>4.8</v>
      </c>
    </row>
    <row r="2241" spans="1:7" s="22" customFormat="1" x14ac:dyDescent="0.25">
      <c r="A2241" s="4"/>
      <c r="B2241" s="63"/>
      <c r="D2241" s="63"/>
      <c r="E2241" s="178"/>
      <c r="F2241" s="2">
        <v>1200</v>
      </c>
      <c r="G2241" s="2">
        <f t="shared" si="41"/>
        <v>4.8</v>
      </c>
    </row>
    <row r="2242" spans="1:7" s="22" customFormat="1" x14ac:dyDescent="0.25">
      <c r="A2242" s="4"/>
      <c r="B2242" s="63"/>
      <c r="D2242" s="63"/>
      <c r="E2242" s="178"/>
      <c r="F2242" s="2">
        <v>1000</v>
      </c>
      <c r="G2242" s="2">
        <f t="shared" si="41"/>
        <v>4</v>
      </c>
    </row>
    <row r="2243" spans="1:7" s="22" customFormat="1" x14ac:dyDescent="0.25">
      <c r="A2243" s="4"/>
      <c r="B2243" s="63"/>
      <c r="D2243" s="63"/>
      <c r="E2243" s="178"/>
      <c r="F2243" s="2">
        <v>4000</v>
      </c>
      <c r="G2243" s="2">
        <f t="shared" si="41"/>
        <v>16</v>
      </c>
    </row>
    <row r="2244" spans="1:7" s="22" customFormat="1" x14ac:dyDescent="0.25">
      <c r="A2244" s="4"/>
      <c r="B2244" s="63"/>
      <c r="D2244" s="63"/>
      <c r="E2244" s="178"/>
      <c r="F2244" s="2">
        <v>3000</v>
      </c>
      <c r="G2244" s="2">
        <f t="shared" si="41"/>
        <v>12</v>
      </c>
    </row>
    <row r="2245" spans="1:7" s="22" customFormat="1" x14ac:dyDescent="0.25">
      <c r="A2245" s="4"/>
      <c r="B2245" s="63"/>
      <c r="D2245" s="63"/>
      <c r="E2245" s="178"/>
      <c r="F2245" s="2">
        <v>1000</v>
      </c>
      <c r="G2245" s="2">
        <f t="shared" si="41"/>
        <v>4</v>
      </c>
    </row>
    <row r="2246" spans="1:7" s="22" customFormat="1" x14ac:dyDescent="0.25">
      <c r="A2246" s="4"/>
      <c r="B2246" s="63"/>
      <c r="D2246" s="63"/>
      <c r="E2246" s="178"/>
      <c r="F2246" s="2">
        <v>1000</v>
      </c>
      <c r="G2246" s="2">
        <f t="shared" si="41"/>
        <v>4</v>
      </c>
    </row>
    <row r="2247" spans="1:7" s="22" customFormat="1" x14ac:dyDescent="0.25">
      <c r="A2247" s="4"/>
      <c r="B2247" s="63"/>
      <c r="D2247" s="63"/>
      <c r="E2247" s="178"/>
      <c r="F2247" s="2">
        <v>500</v>
      </c>
      <c r="G2247" s="2">
        <f t="shared" si="41"/>
        <v>2</v>
      </c>
    </row>
    <row r="2248" spans="1:7" s="22" customFormat="1" x14ac:dyDescent="0.25">
      <c r="A2248" s="4"/>
      <c r="B2248" s="63"/>
      <c r="D2248" s="63"/>
      <c r="E2248" s="178"/>
      <c r="F2248" s="2">
        <v>500</v>
      </c>
      <c r="G2248" s="2">
        <f t="shared" si="41"/>
        <v>2</v>
      </c>
    </row>
    <row r="2249" spans="1:7" s="22" customFormat="1" x14ac:dyDescent="0.25">
      <c r="A2249" s="4"/>
      <c r="B2249" s="63"/>
      <c r="D2249" s="63"/>
      <c r="E2249" s="178"/>
      <c r="F2249" s="2">
        <v>500</v>
      </c>
      <c r="G2249" s="2">
        <f t="shared" si="41"/>
        <v>2</v>
      </c>
    </row>
    <row r="2250" spans="1:7" s="22" customFormat="1" x14ac:dyDescent="0.25">
      <c r="A2250" s="4"/>
      <c r="B2250" s="63"/>
      <c r="D2250" s="63"/>
      <c r="E2250" s="178"/>
      <c r="F2250" s="2">
        <v>2000</v>
      </c>
      <c r="G2250" s="2">
        <f t="shared" si="41"/>
        <v>8</v>
      </c>
    </row>
    <row r="2251" spans="1:7" s="22" customFormat="1" x14ac:dyDescent="0.25">
      <c r="A2251" s="4"/>
      <c r="B2251" s="63"/>
      <c r="D2251" s="63"/>
      <c r="E2251" s="178"/>
      <c r="F2251" s="2">
        <v>4500</v>
      </c>
      <c r="G2251" s="2">
        <f t="shared" si="41"/>
        <v>18</v>
      </c>
    </row>
    <row r="2252" spans="1:7" s="22" customFormat="1" x14ac:dyDescent="0.25">
      <c r="A2252" s="4"/>
      <c r="B2252" s="63"/>
      <c r="D2252" s="63"/>
      <c r="E2252" s="178"/>
      <c r="F2252" s="2">
        <v>2500</v>
      </c>
      <c r="G2252" s="2">
        <f t="shared" si="41"/>
        <v>10</v>
      </c>
    </row>
    <row r="2253" spans="1:7" s="22" customFormat="1" x14ac:dyDescent="0.25">
      <c r="A2253" s="4"/>
      <c r="B2253" s="63"/>
      <c r="D2253" s="63"/>
      <c r="E2253" s="178"/>
      <c r="F2253" s="2">
        <v>1500</v>
      </c>
      <c r="G2253" s="2">
        <f t="shared" si="41"/>
        <v>6</v>
      </c>
    </row>
    <row r="2254" spans="1:7" s="22" customFormat="1" x14ac:dyDescent="0.25">
      <c r="A2254" s="4"/>
      <c r="B2254" s="63"/>
      <c r="D2254" s="63"/>
      <c r="E2254" s="178"/>
      <c r="F2254" s="2">
        <v>1500</v>
      </c>
      <c r="G2254" s="2">
        <f t="shared" si="41"/>
        <v>6</v>
      </c>
    </row>
    <row r="2255" spans="1:7" s="22" customFormat="1" x14ac:dyDescent="0.25">
      <c r="A2255" s="4"/>
      <c r="B2255" s="63"/>
      <c r="D2255" s="63"/>
      <c r="E2255" s="178"/>
      <c r="F2255" s="2">
        <v>500</v>
      </c>
      <c r="G2255" s="2">
        <f t="shared" si="41"/>
        <v>2</v>
      </c>
    </row>
    <row r="2256" spans="1:7" s="22" customFormat="1" x14ac:dyDescent="0.25">
      <c r="A2256" s="6">
        <v>44185</v>
      </c>
      <c r="B2256" s="59"/>
      <c r="D2256" s="63"/>
      <c r="E2256" s="82"/>
      <c r="F2256" s="72">
        <v>500</v>
      </c>
      <c r="G2256" s="2">
        <f t="shared" si="41"/>
        <v>2</v>
      </c>
    </row>
    <row r="2257" spans="1:7" s="22" customFormat="1" x14ac:dyDescent="0.25">
      <c r="A2257" s="6">
        <v>44185</v>
      </c>
      <c r="B2257" s="59"/>
      <c r="D2257" s="63"/>
      <c r="E2257" s="82"/>
      <c r="F2257" s="72">
        <v>500</v>
      </c>
      <c r="G2257" s="2">
        <f t="shared" ref="G2257:G2300" si="42">IF(E2257="y",25,IF(OR(E2257="N",E2257="RD",E2257="I"),10,0))+IF(F2257&gt;5000,20,F2257*0.4%)+IF(E2257="SB",1,IF(E2257="JJ",30,IF(E2257="A",50,0)))</f>
        <v>2</v>
      </c>
    </row>
    <row r="2258" spans="1:7" s="22" customFormat="1" x14ac:dyDescent="0.25">
      <c r="A2258" s="6">
        <v>44185</v>
      </c>
      <c r="B2258" s="59"/>
      <c r="D2258" s="63"/>
      <c r="E2258" s="82"/>
      <c r="F2258" s="72">
        <v>10000</v>
      </c>
      <c r="G2258" s="2">
        <f t="shared" si="42"/>
        <v>20</v>
      </c>
    </row>
    <row r="2259" spans="1:7" s="22" customFormat="1" x14ac:dyDescent="0.25">
      <c r="A2259" s="6">
        <v>44185</v>
      </c>
      <c r="B2259" s="59"/>
      <c r="D2259" s="63"/>
      <c r="E2259" s="82"/>
      <c r="F2259" s="72">
        <v>4000</v>
      </c>
      <c r="G2259" s="2">
        <f t="shared" si="42"/>
        <v>16</v>
      </c>
    </row>
    <row r="2260" spans="1:7" s="22" customFormat="1" x14ac:dyDescent="0.25">
      <c r="A2260" s="6">
        <v>44186</v>
      </c>
      <c r="B2260" s="59"/>
      <c r="D2260" s="63"/>
      <c r="E2260" s="82"/>
      <c r="F2260" s="72">
        <v>2000</v>
      </c>
      <c r="G2260" s="2">
        <f t="shared" si="42"/>
        <v>8</v>
      </c>
    </row>
    <row r="2261" spans="1:7" s="22" customFormat="1" x14ac:dyDescent="0.25">
      <c r="A2261" s="6">
        <v>44187</v>
      </c>
      <c r="B2261" s="59"/>
      <c r="D2261" s="63"/>
      <c r="E2261" s="82"/>
      <c r="F2261" s="72">
        <v>5000</v>
      </c>
      <c r="G2261" s="2">
        <f t="shared" si="42"/>
        <v>20</v>
      </c>
    </row>
    <row r="2262" spans="1:7" s="22" customFormat="1" x14ac:dyDescent="0.25">
      <c r="A2262" s="6">
        <v>44187</v>
      </c>
      <c r="B2262" s="59"/>
      <c r="D2262" s="63"/>
      <c r="E2262" s="82"/>
      <c r="F2262" s="72">
        <v>200</v>
      </c>
      <c r="G2262" s="2">
        <f t="shared" si="42"/>
        <v>0.8</v>
      </c>
    </row>
    <row r="2263" spans="1:7" s="22" customFormat="1" x14ac:dyDescent="0.25">
      <c r="A2263" s="6">
        <v>44187</v>
      </c>
      <c r="B2263" s="59"/>
      <c r="D2263" s="63"/>
      <c r="E2263" s="82"/>
      <c r="F2263" s="72">
        <v>1700</v>
      </c>
      <c r="G2263" s="2">
        <f t="shared" si="42"/>
        <v>6.8</v>
      </c>
    </row>
    <row r="2264" spans="1:7" s="22" customFormat="1" x14ac:dyDescent="0.25">
      <c r="A2264" s="6">
        <v>44188</v>
      </c>
      <c r="B2264" s="59"/>
      <c r="D2264" s="63"/>
      <c r="E2264" s="82"/>
      <c r="F2264" s="72">
        <v>500</v>
      </c>
      <c r="G2264" s="2">
        <f t="shared" si="42"/>
        <v>2</v>
      </c>
    </row>
    <row r="2265" spans="1:7" s="22" customFormat="1" x14ac:dyDescent="0.25">
      <c r="A2265" s="6">
        <v>44188</v>
      </c>
      <c r="B2265" s="59"/>
      <c r="D2265" s="63"/>
      <c r="E2265" s="82"/>
      <c r="F2265" s="72">
        <v>500</v>
      </c>
      <c r="G2265" s="2">
        <f t="shared" si="42"/>
        <v>2</v>
      </c>
    </row>
    <row r="2266" spans="1:7" s="22" customFormat="1" x14ac:dyDescent="0.25">
      <c r="A2266" s="6">
        <v>44188</v>
      </c>
      <c r="B2266" s="59"/>
      <c r="D2266" s="63"/>
      <c r="E2266" s="178"/>
      <c r="F2266" s="72">
        <v>1000</v>
      </c>
      <c r="G2266" s="2">
        <f t="shared" si="42"/>
        <v>4</v>
      </c>
    </row>
    <row r="2267" spans="1:7" s="22" customFormat="1" x14ac:dyDescent="0.25">
      <c r="A2267" s="6">
        <v>44188</v>
      </c>
      <c r="B2267" s="59"/>
      <c r="D2267" s="63"/>
      <c r="E2267" s="82"/>
      <c r="F2267" s="72">
        <v>500</v>
      </c>
      <c r="G2267" s="2">
        <f t="shared" si="42"/>
        <v>2</v>
      </c>
    </row>
    <row r="2268" spans="1:7" s="22" customFormat="1" x14ac:dyDescent="0.25">
      <c r="A2268" s="6">
        <v>44188</v>
      </c>
      <c r="B2268" s="59"/>
      <c r="D2268" s="63"/>
      <c r="E2268" s="82"/>
      <c r="F2268" s="72">
        <v>500</v>
      </c>
      <c r="G2268" s="2">
        <f t="shared" si="42"/>
        <v>2</v>
      </c>
    </row>
    <row r="2269" spans="1:7" s="22" customFormat="1" x14ac:dyDescent="0.25">
      <c r="A2269" s="6">
        <v>44188</v>
      </c>
      <c r="B2269" s="59" t="s">
        <v>2747</v>
      </c>
      <c r="D2269" s="63"/>
      <c r="E2269" s="178"/>
      <c r="F2269" s="72">
        <v>6500</v>
      </c>
      <c r="G2269" s="2">
        <f t="shared" si="42"/>
        <v>20</v>
      </c>
    </row>
    <row r="2270" spans="1:7" s="22" customFormat="1" x14ac:dyDescent="0.25">
      <c r="A2270" s="6">
        <v>44188</v>
      </c>
      <c r="B2270" s="59" t="s">
        <v>2752</v>
      </c>
      <c r="D2270" s="63"/>
      <c r="E2270" s="82"/>
      <c r="F2270" s="72">
        <v>6500</v>
      </c>
      <c r="G2270" s="2">
        <f t="shared" si="42"/>
        <v>20</v>
      </c>
    </row>
    <row r="2271" spans="1:7" s="22" customFormat="1" x14ac:dyDescent="0.25">
      <c r="A2271" s="6">
        <v>44189</v>
      </c>
      <c r="B2271" s="59" t="s">
        <v>2840</v>
      </c>
      <c r="D2271" s="63"/>
      <c r="E2271" s="82"/>
      <c r="F2271" s="72">
        <v>10000</v>
      </c>
      <c r="G2271" s="2">
        <f t="shared" si="42"/>
        <v>20</v>
      </c>
    </row>
    <row r="2272" spans="1:7" s="22" customFormat="1" x14ac:dyDescent="0.25">
      <c r="A2272" s="6">
        <v>44189</v>
      </c>
      <c r="B2272" s="59" t="s">
        <v>2841</v>
      </c>
      <c r="D2272" s="63"/>
      <c r="E2272" s="82"/>
      <c r="F2272" s="72">
        <v>1000</v>
      </c>
      <c r="G2272" s="2">
        <f t="shared" si="42"/>
        <v>4</v>
      </c>
    </row>
    <row r="2273" spans="1:7" s="22" customFormat="1" x14ac:dyDescent="0.25">
      <c r="A2273" s="6">
        <v>44189</v>
      </c>
      <c r="B2273" s="59" t="s">
        <v>2842</v>
      </c>
      <c r="D2273" s="63"/>
      <c r="E2273" s="82"/>
      <c r="F2273" s="72">
        <v>1000</v>
      </c>
      <c r="G2273" s="2">
        <f t="shared" si="42"/>
        <v>4</v>
      </c>
    </row>
    <row r="2274" spans="1:7" s="22" customFormat="1" x14ac:dyDescent="0.25">
      <c r="A2274" s="6">
        <v>44189</v>
      </c>
      <c r="B2274" s="59" t="s">
        <v>2062</v>
      </c>
      <c r="D2274" s="63"/>
      <c r="E2274" s="82"/>
      <c r="F2274" s="72">
        <v>6000</v>
      </c>
      <c r="G2274" s="2">
        <f t="shared" si="42"/>
        <v>20</v>
      </c>
    </row>
    <row r="2275" spans="1:7" s="22" customFormat="1" x14ac:dyDescent="0.25">
      <c r="A2275" s="6">
        <v>44190</v>
      </c>
      <c r="B2275" s="59" t="s">
        <v>2241</v>
      </c>
      <c r="D2275" s="63"/>
      <c r="E2275" s="82"/>
      <c r="F2275" s="72">
        <v>2500</v>
      </c>
      <c r="G2275" s="2">
        <f t="shared" si="42"/>
        <v>10</v>
      </c>
    </row>
    <row r="2276" spans="1:7" s="22" customFormat="1" x14ac:dyDescent="0.25">
      <c r="A2276" s="6">
        <v>44191</v>
      </c>
      <c r="B2276" s="59" t="s">
        <v>2638</v>
      </c>
      <c r="D2276" s="63"/>
      <c r="E2276" s="178"/>
      <c r="F2276" s="72">
        <v>3000</v>
      </c>
      <c r="G2276" s="2">
        <f t="shared" si="42"/>
        <v>12</v>
      </c>
    </row>
    <row r="2277" spans="1:7" s="22" customFormat="1" x14ac:dyDescent="0.25">
      <c r="A2277" s="6">
        <v>44191</v>
      </c>
      <c r="B2277" s="59" t="s">
        <v>2843</v>
      </c>
      <c r="D2277" s="63"/>
      <c r="E2277" s="82"/>
      <c r="F2277" s="72">
        <v>800</v>
      </c>
      <c r="G2277" s="2">
        <f t="shared" si="42"/>
        <v>3.2</v>
      </c>
    </row>
    <row r="2278" spans="1:7" s="22" customFormat="1" x14ac:dyDescent="0.25">
      <c r="A2278" s="6">
        <v>44191</v>
      </c>
      <c r="B2278" s="59" t="s">
        <v>2138</v>
      </c>
      <c r="D2278" s="63"/>
      <c r="E2278" s="82"/>
      <c r="F2278" s="72">
        <v>2500</v>
      </c>
      <c r="G2278" s="2">
        <f t="shared" si="42"/>
        <v>10</v>
      </c>
    </row>
    <row r="2279" spans="1:7" s="22" customFormat="1" x14ac:dyDescent="0.25">
      <c r="A2279" s="6">
        <v>44192</v>
      </c>
      <c r="B2279" s="59" t="s">
        <v>1649</v>
      </c>
      <c r="D2279" s="63"/>
      <c r="E2279" s="82"/>
      <c r="F2279" s="72">
        <v>2000</v>
      </c>
      <c r="G2279" s="2">
        <f t="shared" si="42"/>
        <v>8</v>
      </c>
    </row>
    <row r="2280" spans="1:7" s="22" customFormat="1" x14ac:dyDescent="0.25">
      <c r="A2280" s="6">
        <v>44193</v>
      </c>
      <c r="B2280" s="59" t="s">
        <v>2362</v>
      </c>
      <c r="D2280" s="63"/>
      <c r="E2280" s="82"/>
      <c r="F2280" s="72">
        <v>3000</v>
      </c>
      <c r="G2280" s="2">
        <f t="shared" si="42"/>
        <v>12</v>
      </c>
    </row>
    <row r="2281" spans="1:7" s="22" customFormat="1" x14ac:dyDescent="0.25">
      <c r="A2281" s="6">
        <v>44193</v>
      </c>
      <c r="B2281" s="59" t="s">
        <v>2620</v>
      </c>
      <c r="D2281" s="63"/>
      <c r="E2281" s="82"/>
      <c r="F2281" s="72">
        <v>1000</v>
      </c>
      <c r="G2281" s="2">
        <f t="shared" si="42"/>
        <v>4</v>
      </c>
    </row>
    <row r="2282" spans="1:7" s="22" customFormat="1" x14ac:dyDescent="0.25">
      <c r="A2282" s="6">
        <v>44193</v>
      </c>
      <c r="B2282" s="59" t="s">
        <v>2844</v>
      </c>
      <c r="D2282" s="63"/>
      <c r="E2282" s="82"/>
      <c r="F2282" s="72">
        <v>4500</v>
      </c>
      <c r="G2282" s="2">
        <f t="shared" si="42"/>
        <v>18</v>
      </c>
    </row>
    <row r="2283" spans="1:7" s="22" customFormat="1" x14ac:dyDescent="0.25">
      <c r="A2283" s="6">
        <v>44193</v>
      </c>
      <c r="B2283" s="59" t="s">
        <v>2845</v>
      </c>
      <c r="D2283" s="63"/>
      <c r="E2283" s="82"/>
      <c r="F2283" s="72">
        <v>650</v>
      </c>
      <c r="G2283" s="2">
        <f t="shared" si="42"/>
        <v>2.6</v>
      </c>
    </row>
    <row r="2284" spans="1:7" s="22" customFormat="1" x14ac:dyDescent="0.25">
      <c r="A2284" s="6">
        <v>44193</v>
      </c>
      <c r="B2284" s="59" t="s">
        <v>2846</v>
      </c>
      <c r="D2284" s="63"/>
      <c r="E2284" s="82" t="s">
        <v>66</v>
      </c>
      <c r="F2284" s="72">
        <v>500</v>
      </c>
      <c r="G2284" s="2">
        <f t="shared" si="42"/>
        <v>27</v>
      </c>
    </row>
    <row r="2285" spans="1:7" s="22" customFormat="1" x14ac:dyDescent="0.25">
      <c r="A2285" s="6">
        <v>44193</v>
      </c>
      <c r="B2285" s="59" t="s">
        <v>2847</v>
      </c>
      <c r="D2285" s="63"/>
      <c r="E2285" s="82" t="s">
        <v>66</v>
      </c>
      <c r="F2285" s="72">
        <v>500</v>
      </c>
      <c r="G2285" s="2">
        <f t="shared" si="42"/>
        <v>27</v>
      </c>
    </row>
    <row r="2286" spans="1:7" s="22" customFormat="1" x14ac:dyDescent="0.25">
      <c r="A2286" s="6">
        <v>44193</v>
      </c>
      <c r="B2286" s="59" t="s">
        <v>2642</v>
      </c>
      <c r="D2286" s="63"/>
      <c r="E2286" s="82"/>
      <c r="F2286" s="72">
        <v>2000</v>
      </c>
      <c r="G2286" s="2">
        <f t="shared" si="42"/>
        <v>8</v>
      </c>
    </row>
    <row r="2287" spans="1:7" s="22" customFormat="1" x14ac:dyDescent="0.25">
      <c r="A2287" s="6">
        <v>44193</v>
      </c>
      <c r="B2287" s="59" t="s">
        <v>2172</v>
      </c>
      <c r="D2287" s="63"/>
      <c r="E2287" s="82"/>
      <c r="F2287" s="72">
        <v>6000</v>
      </c>
      <c r="G2287" s="2">
        <f t="shared" si="42"/>
        <v>20</v>
      </c>
    </row>
    <row r="2288" spans="1:7" s="22" customFormat="1" x14ac:dyDescent="0.25">
      <c r="A2288" s="6">
        <v>44194</v>
      </c>
      <c r="B2288" s="59" t="s">
        <v>2848</v>
      </c>
      <c r="D2288" s="63"/>
      <c r="E2288" s="82"/>
      <c r="F2288" s="72">
        <v>900</v>
      </c>
      <c r="G2288" s="2">
        <f t="shared" si="42"/>
        <v>3.6</v>
      </c>
    </row>
    <row r="2289" spans="1:11" s="22" customFormat="1" x14ac:dyDescent="0.25">
      <c r="A2289" s="6">
        <v>44194</v>
      </c>
      <c r="B2289" s="59" t="s">
        <v>1703</v>
      </c>
      <c r="D2289" s="63"/>
      <c r="E2289" s="82"/>
      <c r="F2289" s="72">
        <v>2000</v>
      </c>
      <c r="G2289" s="2">
        <f t="shared" si="42"/>
        <v>8</v>
      </c>
    </row>
    <row r="2290" spans="1:11" s="22" customFormat="1" x14ac:dyDescent="0.25">
      <c r="A2290" s="6">
        <v>44194</v>
      </c>
      <c r="B2290" s="59" t="s">
        <v>2849</v>
      </c>
      <c r="D2290" s="63"/>
      <c r="E2290" s="82"/>
      <c r="F2290" s="72">
        <v>1300</v>
      </c>
      <c r="G2290" s="2">
        <f t="shared" si="42"/>
        <v>5.2</v>
      </c>
    </row>
    <row r="2291" spans="1:11" s="22" customFormat="1" x14ac:dyDescent="0.25">
      <c r="A2291" s="6">
        <v>44194</v>
      </c>
      <c r="B2291" s="59" t="s">
        <v>2850</v>
      </c>
      <c r="D2291" s="63"/>
      <c r="E2291" s="82" t="s">
        <v>66</v>
      </c>
      <c r="F2291" s="72">
        <v>500</v>
      </c>
      <c r="G2291" s="2">
        <f t="shared" si="42"/>
        <v>27</v>
      </c>
    </row>
    <row r="2292" spans="1:11" s="22" customFormat="1" x14ac:dyDescent="0.25">
      <c r="A2292" s="6">
        <v>44194</v>
      </c>
      <c r="B2292" s="59" t="s">
        <v>2851</v>
      </c>
      <c r="D2292" s="63"/>
      <c r="E2292" s="82"/>
      <c r="F2292" s="72">
        <v>1500</v>
      </c>
      <c r="G2292" s="2">
        <f t="shared" si="42"/>
        <v>6</v>
      </c>
    </row>
    <row r="2293" spans="1:11" s="22" customFormat="1" x14ac:dyDescent="0.25">
      <c r="A2293" s="6">
        <v>44194</v>
      </c>
      <c r="B2293" s="59" t="s">
        <v>2734</v>
      </c>
      <c r="D2293" s="63"/>
      <c r="E2293" s="82"/>
      <c r="F2293" s="72">
        <v>500</v>
      </c>
      <c r="G2293" s="2">
        <f t="shared" si="42"/>
        <v>2</v>
      </c>
    </row>
    <row r="2294" spans="1:11" s="22" customFormat="1" x14ac:dyDescent="0.25">
      <c r="A2294" s="6">
        <v>44194</v>
      </c>
      <c r="B2294" s="59" t="s">
        <v>2642</v>
      </c>
      <c r="D2294" s="63"/>
      <c r="E2294" s="82"/>
      <c r="F2294" s="72">
        <v>1000</v>
      </c>
      <c r="G2294" s="2">
        <f t="shared" si="42"/>
        <v>4</v>
      </c>
    </row>
    <row r="2295" spans="1:11" s="22" customFormat="1" x14ac:dyDescent="0.25">
      <c r="A2295" s="6">
        <v>44194</v>
      </c>
      <c r="B2295" s="59" t="s">
        <v>2651</v>
      </c>
      <c r="D2295" s="63"/>
      <c r="E2295" s="82"/>
      <c r="F2295" s="72">
        <v>7000</v>
      </c>
      <c r="G2295" s="2">
        <f t="shared" si="42"/>
        <v>20</v>
      </c>
    </row>
    <row r="2296" spans="1:11" s="22" customFormat="1" x14ac:dyDescent="0.25">
      <c r="A2296" s="6">
        <v>44194</v>
      </c>
      <c r="B2296" s="59" t="s">
        <v>2725</v>
      </c>
      <c r="D2296" s="63"/>
      <c r="E2296" s="82"/>
      <c r="F2296" s="72">
        <v>5000</v>
      </c>
      <c r="G2296" s="2">
        <f t="shared" si="42"/>
        <v>20</v>
      </c>
    </row>
    <row r="2297" spans="1:11" s="22" customFormat="1" x14ac:dyDescent="0.25">
      <c r="A2297" s="6">
        <v>44196</v>
      </c>
      <c r="B2297" s="59" t="s">
        <v>2362</v>
      </c>
      <c r="D2297" s="63"/>
      <c r="E2297" s="82"/>
      <c r="F2297" s="72">
        <v>4000</v>
      </c>
      <c r="G2297" s="2">
        <f t="shared" si="42"/>
        <v>16</v>
      </c>
    </row>
    <row r="2298" spans="1:11" s="22" customFormat="1" x14ac:dyDescent="0.25">
      <c r="A2298" s="6">
        <v>44196</v>
      </c>
      <c r="B2298" s="59" t="s">
        <v>2852</v>
      </c>
      <c r="D2298" s="63"/>
      <c r="E2298" s="82"/>
      <c r="F2298" s="72">
        <v>500</v>
      </c>
      <c r="G2298" s="2">
        <f t="shared" si="42"/>
        <v>2</v>
      </c>
    </row>
    <row r="2299" spans="1:11" s="22" customFormat="1" x14ac:dyDescent="0.25">
      <c r="A2299" s="6">
        <v>44196</v>
      </c>
      <c r="B2299" s="59" t="s">
        <v>2851</v>
      </c>
      <c r="D2299" s="63"/>
      <c r="E2299" s="82" t="s">
        <v>66</v>
      </c>
      <c r="F2299" s="72">
        <v>500</v>
      </c>
      <c r="G2299" s="2">
        <f t="shared" si="42"/>
        <v>27</v>
      </c>
    </row>
    <row r="2300" spans="1:11" s="22" customFormat="1" x14ac:dyDescent="0.25">
      <c r="A2300" s="6">
        <v>44196</v>
      </c>
      <c r="B2300" s="59" t="s">
        <v>2853</v>
      </c>
      <c r="D2300" s="63"/>
      <c r="E2300" s="82" t="s">
        <v>66</v>
      </c>
      <c r="F2300" s="72">
        <v>500</v>
      </c>
      <c r="G2300" s="2">
        <f t="shared" si="42"/>
        <v>27</v>
      </c>
    </row>
    <row r="2302" spans="1:11" x14ac:dyDescent="0.25">
      <c r="A2302" s="162">
        <f>COUNT(A2182:A2301)</f>
        <v>60</v>
      </c>
      <c r="B2302" s="162"/>
      <c r="C2302" s="162"/>
      <c r="D2302" s="70"/>
      <c r="E2302" s="164">
        <f>COUNTIF(E2182:E2301,"y")</f>
        <v>5</v>
      </c>
      <c r="F2302" s="162">
        <f>SUM(F2182:F2301)</f>
        <v>267700</v>
      </c>
      <c r="G2302" s="162">
        <f>SUM(G2182:G2301)</f>
        <v>1060.8000000000002</v>
      </c>
      <c r="H2302" s="162">
        <f>G2302*0.8</f>
        <v>848.64000000000021</v>
      </c>
      <c r="I2302" s="162"/>
      <c r="J2302" s="162"/>
      <c r="K2302" s="162"/>
    </row>
    <row r="2304" spans="1:11" x14ac:dyDescent="0.25">
      <c r="A2304" s="6">
        <v>44198</v>
      </c>
      <c r="B2304" s="59"/>
      <c r="C2304" s="72"/>
      <c r="D2304" s="201"/>
      <c r="F2304" s="2">
        <v>5500</v>
      </c>
      <c r="G2304" s="2">
        <f>IF(E2304="Y",IF(F2304&lt;=100,10,IF(F2304&lt;=500,15,IF(F2304&lt;=750,20,25))),0)+IF(OR(E2304="RD",E2304="I"),10,0)+IF(F2304&gt;5000,20,F2304*0.4%)+IF(E2304="SB",1,IF(E2304="JJ",30,IF(E2304="A",50,0)))</f>
        <v>20</v>
      </c>
    </row>
    <row r="2305" spans="1:7" s="22" customFormat="1" x14ac:dyDescent="0.25">
      <c r="A2305" s="6">
        <v>44198</v>
      </c>
      <c r="B2305" s="59" t="s">
        <v>2858</v>
      </c>
      <c r="C2305" s="72"/>
      <c r="D2305" s="63"/>
      <c r="E2305" s="178"/>
      <c r="F2305" s="72">
        <v>6000</v>
      </c>
      <c r="G2305" s="2">
        <f t="shared" ref="G2305:G2387" si="43">IF(E2305="Y",IF(F2305&lt;=100,10,IF(F2305&lt;=500,15,IF(F2305&lt;=750,20,25))),0)+IF(OR(E2305="RD",E2305="I"),10,0)+IF(F2305&gt;5000,20,F2305*0.4%)+IF(E2305="SB",1,IF(E2305="JJ",30,IF(E2305="A",50,0)))</f>
        <v>20</v>
      </c>
    </row>
    <row r="2306" spans="1:7" s="22" customFormat="1" x14ac:dyDescent="0.25">
      <c r="A2306" s="6">
        <v>44200</v>
      </c>
      <c r="B2306" s="59" t="s">
        <v>2859</v>
      </c>
      <c r="D2306" s="63"/>
      <c r="E2306" s="82"/>
      <c r="F2306" s="72">
        <v>1350</v>
      </c>
      <c r="G2306" s="2">
        <f t="shared" si="43"/>
        <v>5.4</v>
      </c>
    </row>
    <row r="2307" spans="1:7" s="22" customFormat="1" x14ac:dyDescent="0.25">
      <c r="A2307" s="6">
        <v>44200</v>
      </c>
      <c r="B2307" s="59" t="s">
        <v>2860</v>
      </c>
      <c r="D2307" s="63"/>
      <c r="E2307" s="82" t="s">
        <v>66</v>
      </c>
      <c r="F2307" s="72">
        <v>500</v>
      </c>
      <c r="G2307" s="2">
        <f t="shared" si="43"/>
        <v>17</v>
      </c>
    </row>
    <row r="2308" spans="1:7" s="22" customFormat="1" x14ac:dyDescent="0.25">
      <c r="A2308" s="6">
        <v>44200</v>
      </c>
      <c r="B2308" s="59"/>
      <c r="D2308" s="63"/>
      <c r="E2308" s="82"/>
      <c r="F2308" s="72">
        <v>2000</v>
      </c>
      <c r="G2308" s="2">
        <f t="shared" si="43"/>
        <v>8</v>
      </c>
    </row>
    <row r="2309" spans="1:7" s="22" customFormat="1" x14ac:dyDescent="0.25">
      <c r="A2309" s="6">
        <v>44200</v>
      </c>
      <c r="B2309" s="59" t="s">
        <v>2861</v>
      </c>
      <c r="D2309" s="63"/>
      <c r="E2309" s="82"/>
      <c r="F2309" s="72">
        <v>3500</v>
      </c>
      <c r="G2309" s="2">
        <f t="shared" si="43"/>
        <v>14</v>
      </c>
    </row>
    <row r="2310" spans="1:7" s="22" customFormat="1" x14ac:dyDescent="0.25">
      <c r="A2310" s="6">
        <v>44200</v>
      </c>
      <c r="B2310" s="59" t="s">
        <v>2138</v>
      </c>
      <c r="D2310" s="63"/>
      <c r="E2310" s="82"/>
      <c r="F2310" s="72">
        <v>700</v>
      </c>
      <c r="G2310" s="2">
        <f t="shared" si="43"/>
        <v>2.8000000000000003</v>
      </c>
    </row>
    <row r="2311" spans="1:7" s="22" customFormat="1" x14ac:dyDescent="0.25">
      <c r="A2311" s="6">
        <v>44202</v>
      </c>
      <c r="B2311" s="59" t="s">
        <v>2862</v>
      </c>
      <c r="D2311" s="63"/>
      <c r="E2311" s="82"/>
      <c r="F2311" s="72">
        <v>9000</v>
      </c>
      <c r="G2311" s="2">
        <f t="shared" si="43"/>
        <v>20</v>
      </c>
    </row>
    <row r="2312" spans="1:7" s="22" customFormat="1" x14ac:dyDescent="0.25">
      <c r="A2312" s="6">
        <v>44202</v>
      </c>
      <c r="B2312" s="59" t="s">
        <v>2858</v>
      </c>
      <c r="D2312" s="63"/>
      <c r="E2312" s="82"/>
      <c r="F2312" s="72">
        <v>8000</v>
      </c>
      <c r="G2312" s="2">
        <f t="shared" si="43"/>
        <v>20</v>
      </c>
    </row>
    <row r="2313" spans="1:7" s="22" customFormat="1" x14ac:dyDescent="0.25">
      <c r="A2313" s="6">
        <v>44202</v>
      </c>
      <c r="B2313" s="59" t="s">
        <v>2581</v>
      </c>
      <c r="D2313" s="63"/>
      <c r="E2313" s="82"/>
      <c r="F2313" s="72">
        <v>1500</v>
      </c>
      <c r="G2313" s="2">
        <f t="shared" si="43"/>
        <v>6</v>
      </c>
    </row>
    <row r="2314" spans="1:7" s="22" customFormat="1" x14ac:dyDescent="0.25">
      <c r="A2314" s="6">
        <v>44202</v>
      </c>
      <c r="B2314" s="59" t="s">
        <v>2863</v>
      </c>
      <c r="D2314" s="63"/>
      <c r="E2314" s="82" t="s">
        <v>66</v>
      </c>
      <c r="F2314" s="72">
        <v>100</v>
      </c>
      <c r="G2314" s="2">
        <f t="shared" si="43"/>
        <v>10.4</v>
      </c>
    </row>
    <row r="2315" spans="1:7" s="22" customFormat="1" x14ac:dyDescent="0.25">
      <c r="A2315" s="6">
        <v>44202</v>
      </c>
      <c r="B2315" s="59" t="s">
        <v>2864</v>
      </c>
      <c r="D2315" s="63"/>
      <c r="E2315" s="82"/>
      <c r="F2315" s="72">
        <v>1500</v>
      </c>
      <c r="G2315" s="2">
        <f t="shared" si="43"/>
        <v>6</v>
      </c>
    </row>
    <row r="2316" spans="1:7" s="22" customFormat="1" x14ac:dyDescent="0.25">
      <c r="A2316" s="6">
        <v>44202</v>
      </c>
      <c r="B2316" s="59" t="s">
        <v>2865</v>
      </c>
      <c r="D2316" s="63"/>
      <c r="E2316" s="82"/>
      <c r="F2316" s="72">
        <v>1000</v>
      </c>
      <c r="G2316" s="2">
        <f t="shared" si="43"/>
        <v>4</v>
      </c>
    </row>
    <row r="2317" spans="1:7" s="22" customFormat="1" x14ac:dyDescent="0.25">
      <c r="A2317" s="6">
        <v>44202</v>
      </c>
      <c r="B2317" s="59" t="s">
        <v>2866</v>
      </c>
      <c r="D2317" s="63"/>
      <c r="E2317" s="82"/>
      <c r="F2317" s="72">
        <v>2000</v>
      </c>
      <c r="G2317" s="2">
        <f t="shared" si="43"/>
        <v>8</v>
      </c>
    </row>
    <row r="2318" spans="1:7" s="22" customFormat="1" x14ac:dyDescent="0.25">
      <c r="A2318" s="6">
        <v>44203</v>
      </c>
      <c r="B2318" s="59" t="s">
        <v>2867</v>
      </c>
      <c r="D2318" s="63"/>
      <c r="E2318" s="82" t="s">
        <v>66</v>
      </c>
      <c r="F2318" s="72">
        <v>1000</v>
      </c>
      <c r="G2318" s="2">
        <f t="shared" si="43"/>
        <v>29</v>
      </c>
    </row>
    <row r="2319" spans="1:7" s="22" customFormat="1" x14ac:dyDescent="0.25">
      <c r="A2319" s="6">
        <v>44203</v>
      </c>
      <c r="B2319" s="59" t="s">
        <v>2868</v>
      </c>
      <c r="D2319" s="63"/>
      <c r="E2319" s="82"/>
      <c r="F2319" s="72">
        <v>2200</v>
      </c>
      <c r="G2319" s="2">
        <f t="shared" si="43"/>
        <v>8.8000000000000007</v>
      </c>
    </row>
    <row r="2320" spans="1:7" s="22" customFormat="1" x14ac:dyDescent="0.25">
      <c r="A2320" s="6">
        <v>44203</v>
      </c>
      <c r="B2320" s="59" t="s">
        <v>2843</v>
      </c>
      <c r="D2320" s="63"/>
      <c r="E2320" s="82"/>
      <c r="F2320" s="72">
        <v>600</v>
      </c>
      <c r="G2320" s="2">
        <f t="shared" si="43"/>
        <v>2.4</v>
      </c>
    </row>
    <row r="2321" spans="1:7" s="22" customFormat="1" x14ac:dyDescent="0.25">
      <c r="A2321" s="6">
        <v>44203</v>
      </c>
      <c r="B2321" s="59" t="s">
        <v>2620</v>
      </c>
      <c r="D2321" s="63"/>
      <c r="E2321" s="82"/>
      <c r="F2321" s="72">
        <v>1000</v>
      </c>
      <c r="G2321" s="2">
        <f t="shared" si="43"/>
        <v>4</v>
      </c>
    </row>
    <row r="2322" spans="1:7" s="22" customFormat="1" x14ac:dyDescent="0.25">
      <c r="A2322" s="6">
        <v>44203</v>
      </c>
      <c r="B2322" s="59" t="s">
        <v>1979</v>
      </c>
      <c r="D2322" s="63"/>
      <c r="E2322" s="82"/>
      <c r="F2322" s="72">
        <v>500</v>
      </c>
      <c r="G2322" s="2">
        <f t="shared" si="43"/>
        <v>2</v>
      </c>
    </row>
    <row r="2323" spans="1:7" s="22" customFormat="1" x14ac:dyDescent="0.25">
      <c r="A2323" s="6">
        <v>44204</v>
      </c>
      <c r="B2323" s="59" t="s">
        <v>2858</v>
      </c>
      <c r="D2323" s="63"/>
      <c r="E2323" s="82"/>
      <c r="F2323" s="72">
        <v>5000</v>
      </c>
      <c r="G2323" s="2">
        <f t="shared" si="43"/>
        <v>20</v>
      </c>
    </row>
    <row r="2324" spans="1:7" s="22" customFormat="1" x14ac:dyDescent="0.25">
      <c r="A2324" s="6">
        <v>44204</v>
      </c>
      <c r="B2324" s="59" t="s">
        <v>2181</v>
      </c>
      <c r="D2324" s="63"/>
      <c r="E2324" s="82"/>
      <c r="F2324" s="72">
        <v>500</v>
      </c>
      <c r="G2324" s="2">
        <f t="shared" si="43"/>
        <v>2</v>
      </c>
    </row>
    <row r="2325" spans="1:7" s="22" customFormat="1" x14ac:dyDescent="0.25">
      <c r="A2325" s="6">
        <v>44204</v>
      </c>
      <c r="B2325" s="59" t="s">
        <v>2882</v>
      </c>
      <c r="D2325" s="63"/>
      <c r="E2325" s="82" t="s">
        <v>66</v>
      </c>
      <c r="F2325" s="72">
        <v>500</v>
      </c>
      <c r="G2325" s="2">
        <f t="shared" si="43"/>
        <v>17</v>
      </c>
    </row>
    <row r="2326" spans="1:7" s="22" customFormat="1" x14ac:dyDescent="0.25">
      <c r="A2326" s="6">
        <v>44204</v>
      </c>
      <c r="B2326" s="59" t="s">
        <v>2609</v>
      </c>
      <c r="D2326" s="63"/>
      <c r="E2326" s="82"/>
      <c r="F2326" s="72">
        <v>1000</v>
      </c>
      <c r="G2326" s="2">
        <f t="shared" si="43"/>
        <v>4</v>
      </c>
    </row>
    <row r="2327" spans="1:7" s="22" customFormat="1" x14ac:dyDescent="0.25">
      <c r="A2327" s="6">
        <v>44205</v>
      </c>
      <c r="B2327" s="59" t="s">
        <v>2869</v>
      </c>
      <c r="D2327" s="63"/>
      <c r="E2327" s="82"/>
      <c r="F2327" s="72">
        <v>500</v>
      </c>
      <c r="G2327" s="2">
        <f t="shared" si="43"/>
        <v>2</v>
      </c>
    </row>
    <row r="2328" spans="1:7" s="22" customFormat="1" x14ac:dyDescent="0.25">
      <c r="A2328" s="6">
        <v>44205</v>
      </c>
      <c r="B2328" s="59" t="s">
        <v>2870</v>
      </c>
      <c r="D2328" s="63"/>
      <c r="E2328" s="82"/>
      <c r="F2328" s="72">
        <v>1000</v>
      </c>
      <c r="G2328" s="2">
        <f t="shared" si="43"/>
        <v>4</v>
      </c>
    </row>
    <row r="2329" spans="1:7" s="22" customFormat="1" x14ac:dyDescent="0.25">
      <c r="A2329" s="6">
        <v>44205</v>
      </c>
      <c r="B2329" s="59" t="s">
        <v>2138</v>
      </c>
      <c r="D2329" s="63"/>
      <c r="E2329" s="82"/>
      <c r="F2329" s="72">
        <v>1000</v>
      </c>
      <c r="G2329" s="2">
        <f t="shared" si="43"/>
        <v>4</v>
      </c>
    </row>
    <row r="2330" spans="1:7" s="22" customFormat="1" x14ac:dyDescent="0.25">
      <c r="A2330" s="6">
        <v>44205</v>
      </c>
      <c r="B2330" s="59" t="s">
        <v>2871</v>
      </c>
      <c r="D2330" s="63"/>
      <c r="E2330" s="82"/>
      <c r="F2330" s="72">
        <v>100</v>
      </c>
      <c r="G2330" s="2">
        <f t="shared" si="43"/>
        <v>0.4</v>
      </c>
    </row>
    <row r="2331" spans="1:7" s="22" customFormat="1" x14ac:dyDescent="0.25">
      <c r="A2331" s="6">
        <v>44206</v>
      </c>
      <c r="B2331" s="59" t="s">
        <v>2872</v>
      </c>
      <c r="D2331" s="63"/>
      <c r="E2331" s="82"/>
      <c r="F2331" s="72">
        <v>5000</v>
      </c>
      <c r="G2331" s="2">
        <f t="shared" si="43"/>
        <v>20</v>
      </c>
    </row>
    <row r="2332" spans="1:7" s="22" customFormat="1" x14ac:dyDescent="0.25">
      <c r="A2332" s="6">
        <v>44206</v>
      </c>
      <c r="B2332" s="59" t="s">
        <v>2413</v>
      </c>
      <c r="D2332" s="63"/>
      <c r="E2332" s="82"/>
      <c r="F2332" s="72">
        <v>2000</v>
      </c>
      <c r="G2332" s="2">
        <f t="shared" si="43"/>
        <v>8</v>
      </c>
    </row>
    <row r="2333" spans="1:7" s="22" customFormat="1" x14ac:dyDescent="0.25">
      <c r="A2333" s="6">
        <v>44207</v>
      </c>
      <c r="B2333" s="59" t="s">
        <v>2301</v>
      </c>
      <c r="D2333" s="63"/>
      <c r="E2333" s="82"/>
      <c r="F2333" s="72">
        <v>1000</v>
      </c>
      <c r="G2333" s="2">
        <f t="shared" si="43"/>
        <v>4</v>
      </c>
    </row>
    <row r="2334" spans="1:7" s="22" customFormat="1" x14ac:dyDescent="0.25">
      <c r="A2334" s="6">
        <v>44207</v>
      </c>
      <c r="B2334" s="59" t="s">
        <v>2858</v>
      </c>
      <c r="D2334" s="63"/>
      <c r="E2334" s="82"/>
      <c r="F2334" s="72">
        <v>2000</v>
      </c>
      <c r="G2334" s="2">
        <f t="shared" si="43"/>
        <v>8</v>
      </c>
    </row>
    <row r="2335" spans="1:7" s="22" customFormat="1" x14ac:dyDescent="0.25">
      <c r="A2335" s="6">
        <v>44207</v>
      </c>
      <c r="B2335" s="59" t="s">
        <v>2873</v>
      </c>
      <c r="D2335" s="63"/>
      <c r="E2335" s="82"/>
      <c r="F2335" s="72">
        <v>2500</v>
      </c>
      <c r="G2335" s="2">
        <f t="shared" si="43"/>
        <v>10</v>
      </c>
    </row>
    <row r="2336" spans="1:7" s="22" customFormat="1" x14ac:dyDescent="0.25">
      <c r="A2336" s="6">
        <v>44207</v>
      </c>
      <c r="B2336" s="59" t="s">
        <v>2874</v>
      </c>
      <c r="D2336" s="63"/>
      <c r="E2336" s="82" t="s">
        <v>66</v>
      </c>
      <c r="F2336" s="72">
        <v>500</v>
      </c>
      <c r="G2336" s="2">
        <f t="shared" si="43"/>
        <v>17</v>
      </c>
    </row>
    <row r="2337" spans="1:7" s="22" customFormat="1" x14ac:dyDescent="0.25">
      <c r="A2337" s="6">
        <v>44207</v>
      </c>
      <c r="B2337" s="59" t="s">
        <v>2858</v>
      </c>
      <c r="D2337" s="63"/>
      <c r="E2337" s="82"/>
      <c r="F2337" s="72">
        <v>7000</v>
      </c>
      <c r="G2337" s="2">
        <f t="shared" si="43"/>
        <v>20</v>
      </c>
    </row>
    <row r="2338" spans="1:7" s="22" customFormat="1" x14ac:dyDescent="0.25">
      <c r="A2338" s="6">
        <v>44207</v>
      </c>
      <c r="B2338" s="59" t="s">
        <v>2071</v>
      </c>
      <c r="D2338" s="63"/>
      <c r="E2338" s="82"/>
      <c r="F2338" s="72">
        <v>3600</v>
      </c>
      <c r="G2338" s="2">
        <f t="shared" si="43"/>
        <v>14.4</v>
      </c>
    </row>
    <row r="2339" spans="1:7" s="22" customFormat="1" x14ac:dyDescent="0.25">
      <c r="A2339" s="6">
        <v>44207</v>
      </c>
      <c r="B2339" s="59" t="s">
        <v>1987</v>
      </c>
      <c r="D2339" s="63"/>
      <c r="E2339" s="82"/>
      <c r="F2339" s="72">
        <v>4200</v>
      </c>
      <c r="G2339" s="2">
        <f t="shared" si="43"/>
        <v>16.8</v>
      </c>
    </row>
    <row r="2340" spans="1:7" s="22" customFormat="1" x14ac:dyDescent="0.25">
      <c r="A2340" s="6">
        <v>44207</v>
      </c>
      <c r="B2340" s="59" t="s">
        <v>1866</v>
      </c>
      <c r="D2340" s="63"/>
      <c r="E2340" s="82"/>
      <c r="F2340" s="72">
        <v>4900</v>
      </c>
      <c r="G2340" s="2">
        <f t="shared" si="43"/>
        <v>19.600000000000001</v>
      </c>
    </row>
    <row r="2341" spans="1:7" s="22" customFormat="1" x14ac:dyDescent="0.25">
      <c r="A2341" s="6">
        <v>44207</v>
      </c>
      <c r="B2341" s="59" t="s">
        <v>2743</v>
      </c>
      <c r="D2341" s="63"/>
      <c r="E2341" s="82"/>
      <c r="F2341" s="72">
        <v>5000</v>
      </c>
      <c r="G2341" s="2">
        <f t="shared" si="43"/>
        <v>20</v>
      </c>
    </row>
    <row r="2342" spans="1:7" s="22" customFormat="1" x14ac:dyDescent="0.25">
      <c r="A2342" s="6">
        <v>44207</v>
      </c>
      <c r="B2342" s="59" t="s">
        <v>2662</v>
      </c>
      <c r="D2342" s="63"/>
      <c r="E2342" s="82"/>
      <c r="F2342" s="72">
        <v>6000</v>
      </c>
      <c r="G2342" s="2">
        <f t="shared" si="43"/>
        <v>20</v>
      </c>
    </row>
    <row r="2343" spans="1:7" s="22" customFormat="1" x14ac:dyDescent="0.25">
      <c r="A2343" s="6">
        <v>44207</v>
      </c>
      <c r="B2343" s="59" t="s">
        <v>2862</v>
      </c>
      <c r="D2343" s="63"/>
      <c r="E2343" s="82"/>
      <c r="F2343" s="72">
        <v>2000</v>
      </c>
      <c r="G2343" s="2">
        <f t="shared" si="43"/>
        <v>8</v>
      </c>
    </row>
    <row r="2344" spans="1:7" s="22" customFormat="1" x14ac:dyDescent="0.25">
      <c r="A2344" s="6">
        <v>44207</v>
      </c>
      <c r="B2344" s="59" t="s">
        <v>2651</v>
      </c>
      <c r="D2344" s="63"/>
      <c r="E2344" s="82"/>
      <c r="F2344" s="72">
        <v>1000</v>
      </c>
      <c r="G2344" s="2">
        <f t="shared" si="43"/>
        <v>4</v>
      </c>
    </row>
    <row r="2345" spans="1:7" s="22" customFormat="1" x14ac:dyDescent="0.25">
      <c r="A2345" s="6">
        <v>44207</v>
      </c>
      <c r="B2345" s="59" t="s">
        <v>2883</v>
      </c>
      <c r="D2345" s="63"/>
      <c r="E2345" s="82" t="s">
        <v>66</v>
      </c>
      <c r="F2345" s="72">
        <v>500</v>
      </c>
      <c r="G2345" s="2">
        <f>-2+IF(E2345="Y",IF(F2345&lt;=100,10,IF(F2345&lt;=500,15,IF(F2345&lt;=750,20,25))),0)+IF(OR(E2345="RD",E2345="I"),10,0)+IF(F2345&gt;5000,20,F2345*0.4%)+IF(E2345="SB",1,IF(E2345="JJ",30,IF(E2345="A",50,0)))</f>
        <v>15</v>
      </c>
    </row>
    <row r="2346" spans="1:7" s="22" customFormat="1" x14ac:dyDescent="0.25">
      <c r="A2346" s="6">
        <v>44207</v>
      </c>
      <c r="B2346" s="59" t="s">
        <v>2660</v>
      </c>
      <c r="D2346" s="63"/>
      <c r="E2346" s="82"/>
      <c r="F2346" s="72">
        <v>4000</v>
      </c>
      <c r="G2346" s="2">
        <f t="shared" si="43"/>
        <v>16</v>
      </c>
    </row>
    <row r="2347" spans="1:7" s="22" customFormat="1" x14ac:dyDescent="0.25">
      <c r="A2347" s="6">
        <v>44208</v>
      </c>
      <c r="B2347" s="59" t="s">
        <v>2659</v>
      </c>
      <c r="D2347" s="63"/>
      <c r="E2347" s="82"/>
      <c r="F2347" s="72">
        <v>200</v>
      </c>
      <c r="G2347" s="2">
        <f t="shared" si="43"/>
        <v>0.8</v>
      </c>
    </row>
    <row r="2348" spans="1:7" s="22" customFormat="1" x14ac:dyDescent="0.25">
      <c r="A2348" s="6">
        <v>44208</v>
      </c>
      <c r="B2348" s="59" t="s">
        <v>2875</v>
      </c>
      <c r="D2348" s="63"/>
      <c r="E2348" s="82" t="s">
        <v>66</v>
      </c>
      <c r="F2348" s="72">
        <v>100</v>
      </c>
      <c r="G2348" s="2">
        <f t="shared" si="43"/>
        <v>10.4</v>
      </c>
    </row>
    <row r="2349" spans="1:7" s="22" customFormat="1" x14ac:dyDescent="0.25">
      <c r="A2349" s="6">
        <v>44208</v>
      </c>
      <c r="B2349" s="59" t="s">
        <v>2876</v>
      </c>
      <c r="D2349" s="63"/>
      <c r="E2349" s="82"/>
      <c r="F2349" s="72">
        <v>1000</v>
      </c>
      <c r="G2349" s="2">
        <f t="shared" si="43"/>
        <v>4</v>
      </c>
    </row>
    <row r="2350" spans="1:7" s="22" customFormat="1" x14ac:dyDescent="0.25">
      <c r="A2350" s="6">
        <v>44208</v>
      </c>
      <c r="B2350" s="59" t="s">
        <v>2274</v>
      </c>
      <c r="D2350" s="63"/>
      <c r="E2350" s="82"/>
      <c r="F2350" s="72">
        <v>4000</v>
      </c>
      <c r="G2350" s="2">
        <f t="shared" si="43"/>
        <v>16</v>
      </c>
    </row>
    <row r="2351" spans="1:7" s="22" customFormat="1" x14ac:dyDescent="0.25">
      <c r="A2351" s="6">
        <v>44208</v>
      </c>
      <c r="B2351" s="59" t="s">
        <v>2070</v>
      </c>
      <c r="D2351" s="63"/>
      <c r="E2351" s="82"/>
      <c r="F2351" s="72">
        <v>1000</v>
      </c>
      <c r="G2351" s="2">
        <f t="shared" si="43"/>
        <v>4</v>
      </c>
    </row>
    <row r="2352" spans="1:7" s="22" customFormat="1" x14ac:dyDescent="0.25">
      <c r="A2352" s="6">
        <v>44208</v>
      </c>
      <c r="B2352" s="59" t="s">
        <v>2862</v>
      </c>
      <c r="D2352" s="63"/>
      <c r="E2352" s="82"/>
      <c r="F2352" s="72">
        <v>3000</v>
      </c>
      <c r="G2352" s="2">
        <f t="shared" si="43"/>
        <v>12</v>
      </c>
    </row>
    <row r="2353" spans="1:7" s="22" customFormat="1" x14ac:dyDescent="0.25">
      <c r="A2353" s="6">
        <v>44208</v>
      </c>
      <c r="B2353" s="59" t="s">
        <v>2877</v>
      </c>
      <c r="D2353" s="63"/>
      <c r="E2353" s="82" t="s">
        <v>66</v>
      </c>
      <c r="F2353" s="72">
        <v>500</v>
      </c>
      <c r="G2353" s="2">
        <f t="shared" si="43"/>
        <v>17</v>
      </c>
    </row>
    <row r="2354" spans="1:7" s="22" customFormat="1" x14ac:dyDescent="0.25">
      <c r="A2354" s="6">
        <v>44208</v>
      </c>
      <c r="B2354" s="59" t="s">
        <v>2509</v>
      </c>
      <c r="D2354" s="63"/>
      <c r="E2354" s="82"/>
      <c r="F2354" s="72">
        <v>5000</v>
      </c>
      <c r="G2354" s="2">
        <f t="shared" si="43"/>
        <v>20</v>
      </c>
    </row>
    <row r="2355" spans="1:7" s="22" customFormat="1" x14ac:dyDescent="0.25">
      <c r="A2355" s="6">
        <v>44209</v>
      </c>
      <c r="B2355" s="59" t="s">
        <v>2878</v>
      </c>
      <c r="D2355" s="63"/>
      <c r="E2355" s="82"/>
      <c r="F2355" s="72">
        <v>2500</v>
      </c>
      <c r="G2355" s="2">
        <f t="shared" si="43"/>
        <v>10</v>
      </c>
    </row>
    <row r="2356" spans="1:7" s="22" customFormat="1" x14ac:dyDescent="0.25">
      <c r="A2356" s="6">
        <v>44209</v>
      </c>
      <c r="B2356" s="59" t="s">
        <v>2879</v>
      </c>
      <c r="D2356" s="63"/>
      <c r="E2356" s="82"/>
      <c r="F2356" s="72">
        <v>100</v>
      </c>
      <c r="G2356" s="2">
        <f t="shared" si="43"/>
        <v>0.4</v>
      </c>
    </row>
    <row r="2357" spans="1:7" s="22" customFormat="1" x14ac:dyDescent="0.25">
      <c r="A2357" s="6">
        <v>44209</v>
      </c>
      <c r="B2357" s="59" t="s">
        <v>2102</v>
      </c>
      <c r="D2357" s="63"/>
      <c r="E2357" s="82"/>
      <c r="F2357" s="72">
        <v>3000</v>
      </c>
      <c r="G2357" s="2">
        <f t="shared" si="43"/>
        <v>12</v>
      </c>
    </row>
    <row r="2358" spans="1:7" x14ac:dyDescent="0.25">
      <c r="A2358" s="6">
        <v>44209</v>
      </c>
      <c r="B2358" s="59" t="s">
        <v>2734</v>
      </c>
      <c r="E2358" s="82"/>
      <c r="F2358" s="72">
        <v>500</v>
      </c>
      <c r="G2358" s="2">
        <f t="shared" si="43"/>
        <v>2</v>
      </c>
    </row>
    <row r="2359" spans="1:7" x14ac:dyDescent="0.25">
      <c r="A2359" s="6">
        <v>44209</v>
      </c>
      <c r="B2359" s="59" t="s">
        <v>2879</v>
      </c>
      <c r="E2359" s="82" t="s">
        <v>66</v>
      </c>
      <c r="F2359" s="72">
        <v>100</v>
      </c>
      <c r="G2359" s="2">
        <f t="shared" si="43"/>
        <v>10.4</v>
      </c>
    </row>
    <row r="2360" spans="1:7" x14ac:dyDescent="0.25">
      <c r="A2360" s="6">
        <v>44209</v>
      </c>
      <c r="B2360" s="59" t="s">
        <v>2880</v>
      </c>
      <c r="E2360" s="82"/>
      <c r="F2360" s="72">
        <v>5000</v>
      </c>
      <c r="G2360" s="2">
        <f t="shared" si="43"/>
        <v>20</v>
      </c>
    </row>
    <row r="2361" spans="1:7" x14ac:dyDescent="0.25">
      <c r="A2361" s="6">
        <v>44209</v>
      </c>
      <c r="B2361" s="59" t="s">
        <v>2881</v>
      </c>
      <c r="E2361" s="82"/>
      <c r="F2361" s="72">
        <v>100</v>
      </c>
      <c r="G2361" s="2">
        <f t="shared" si="43"/>
        <v>0.4</v>
      </c>
    </row>
    <row r="2362" spans="1:7" s="22" customFormat="1" x14ac:dyDescent="0.25">
      <c r="A2362" s="6"/>
      <c r="B2362" s="59"/>
      <c r="D2362" s="63"/>
      <c r="E2362" s="82"/>
      <c r="F2362" s="72">
        <v>3500</v>
      </c>
      <c r="G2362" s="2">
        <f t="shared" si="43"/>
        <v>14</v>
      </c>
    </row>
    <row r="2363" spans="1:7" s="22" customFormat="1" x14ac:dyDescent="0.25">
      <c r="A2363" s="6"/>
      <c r="B2363" s="59"/>
      <c r="D2363" s="63"/>
      <c r="E2363" s="82"/>
      <c r="F2363" s="72">
        <v>5000</v>
      </c>
      <c r="G2363" s="2">
        <f t="shared" si="43"/>
        <v>20</v>
      </c>
    </row>
    <row r="2364" spans="1:7" s="22" customFormat="1" x14ac:dyDescent="0.25">
      <c r="A2364" s="6"/>
      <c r="B2364" s="59"/>
      <c r="D2364" s="63"/>
      <c r="E2364" s="82"/>
      <c r="F2364" s="72">
        <v>1600</v>
      </c>
      <c r="G2364" s="2">
        <f t="shared" si="43"/>
        <v>6.4</v>
      </c>
    </row>
    <row r="2365" spans="1:7" s="22" customFormat="1" x14ac:dyDescent="0.25">
      <c r="A2365" s="6"/>
      <c r="B2365" s="59"/>
      <c r="D2365" s="63"/>
      <c r="E2365" s="82"/>
      <c r="F2365" s="72">
        <v>500</v>
      </c>
      <c r="G2365" s="2">
        <f t="shared" si="43"/>
        <v>2</v>
      </c>
    </row>
    <row r="2366" spans="1:7" s="22" customFormat="1" x14ac:dyDescent="0.25">
      <c r="A2366" s="6"/>
      <c r="B2366" s="59"/>
      <c r="D2366" s="63"/>
      <c r="E2366" s="82"/>
      <c r="F2366" s="72">
        <v>4000</v>
      </c>
      <c r="G2366" s="2">
        <f t="shared" si="43"/>
        <v>16</v>
      </c>
    </row>
    <row r="2367" spans="1:7" s="22" customFormat="1" x14ac:dyDescent="0.25">
      <c r="A2367" s="6"/>
      <c r="B2367" s="59"/>
      <c r="D2367" s="63"/>
      <c r="E2367" s="82"/>
      <c r="F2367" s="72">
        <v>3000</v>
      </c>
      <c r="G2367" s="2">
        <f t="shared" si="43"/>
        <v>12</v>
      </c>
    </row>
    <row r="2368" spans="1:7" s="22" customFormat="1" x14ac:dyDescent="0.25">
      <c r="A2368" s="6"/>
      <c r="B2368" s="59"/>
      <c r="D2368" s="63"/>
      <c r="E2368" s="82"/>
      <c r="F2368" s="72">
        <v>2000</v>
      </c>
      <c r="G2368" s="2">
        <f t="shared" si="43"/>
        <v>8</v>
      </c>
    </row>
    <row r="2369" spans="1:7" s="22" customFormat="1" x14ac:dyDescent="0.25">
      <c r="A2369" s="6"/>
      <c r="B2369" s="59"/>
      <c r="D2369" s="63"/>
      <c r="E2369" s="82"/>
      <c r="F2369" s="72">
        <v>2500</v>
      </c>
      <c r="G2369" s="2">
        <f t="shared" si="43"/>
        <v>10</v>
      </c>
    </row>
    <row r="2370" spans="1:7" s="22" customFormat="1" x14ac:dyDescent="0.25">
      <c r="A2370" s="6"/>
      <c r="B2370" s="59"/>
      <c r="D2370" s="63"/>
      <c r="E2370" s="82"/>
      <c r="F2370" s="72">
        <v>7500</v>
      </c>
      <c r="G2370" s="2">
        <f t="shared" si="43"/>
        <v>20</v>
      </c>
    </row>
    <row r="2371" spans="1:7" s="22" customFormat="1" x14ac:dyDescent="0.25">
      <c r="A2371" s="6"/>
      <c r="B2371" s="59"/>
      <c r="D2371" s="63"/>
      <c r="E2371" s="82"/>
      <c r="F2371" s="72">
        <v>1100</v>
      </c>
      <c r="G2371" s="2">
        <f t="shared" si="43"/>
        <v>4.4000000000000004</v>
      </c>
    </row>
    <row r="2372" spans="1:7" s="22" customFormat="1" x14ac:dyDescent="0.25">
      <c r="A2372" s="6"/>
      <c r="B2372" s="59"/>
      <c r="D2372" s="63"/>
      <c r="E2372" s="82"/>
      <c r="F2372" s="72">
        <v>4000</v>
      </c>
      <c r="G2372" s="2">
        <f t="shared" si="43"/>
        <v>16</v>
      </c>
    </row>
    <row r="2373" spans="1:7" s="22" customFormat="1" x14ac:dyDescent="0.25">
      <c r="A2373" s="6"/>
      <c r="B2373" s="59"/>
      <c r="D2373" s="63"/>
      <c r="E2373" s="82"/>
      <c r="F2373" s="72">
        <v>2000</v>
      </c>
      <c r="G2373" s="2">
        <f t="shared" si="43"/>
        <v>8</v>
      </c>
    </row>
    <row r="2374" spans="1:7" s="22" customFormat="1" x14ac:dyDescent="0.25">
      <c r="A2374" s="6"/>
      <c r="B2374" s="59"/>
      <c r="D2374" s="63"/>
      <c r="E2374" s="82"/>
      <c r="F2374" s="72">
        <v>5000</v>
      </c>
      <c r="G2374" s="2">
        <f t="shared" si="43"/>
        <v>20</v>
      </c>
    </row>
    <row r="2375" spans="1:7" s="22" customFormat="1" x14ac:dyDescent="0.25">
      <c r="A2375" s="6"/>
      <c r="B2375" s="59"/>
      <c r="D2375" s="63"/>
      <c r="E2375" s="82"/>
      <c r="F2375" s="72">
        <v>500</v>
      </c>
      <c r="G2375" s="2">
        <f t="shared" si="43"/>
        <v>2</v>
      </c>
    </row>
    <row r="2376" spans="1:7" s="22" customFormat="1" x14ac:dyDescent="0.25">
      <c r="A2376" s="6"/>
      <c r="B2376" s="59"/>
      <c r="D2376" s="63"/>
      <c r="E2376" s="82"/>
      <c r="F2376" s="72">
        <v>6000</v>
      </c>
      <c r="G2376" s="2">
        <f t="shared" si="43"/>
        <v>20</v>
      </c>
    </row>
    <row r="2377" spans="1:7" s="22" customFormat="1" x14ac:dyDescent="0.25">
      <c r="A2377" s="6"/>
      <c r="B2377" s="59"/>
      <c r="D2377" s="63"/>
      <c r="E2377" s="82"/>
      <c r="F2377" s="72">
        <v>4100</v>
      </c>
      <c r="G2377" s="2">
        <f t="shared" si="43"/>
        <v>16.399999999999999</v>
      </c>
    </row>
    <row r="2378" spans="1:7" s="22" customFormat="1" x14ac:dyDescent="0.25">
      <c r="A2378" s="6"/>
      <c r="B2378" s="59"/>
      <c r="D2378" s="63"/>
      <c r="E2378" s="82"/>
      <c r="F2378" s="72">
        <v>1000</v>
      </c>
      <c r="G2378" s="2">
        <f t="shared" si="43"/>
        <v>4</v>
      </c>
    </row>
    <row r="2379" spans="1:7" x14ac:dyDescent="0.25">
      <c r="F2379" s="2">
        <v>200</v>
      </c>
      <c r="G2379" s="2">
        <f t="shared" si="43"/>
        <v>0.8</v>
      </c>
    </row>
    <row r="2380" spans="1:7" x14ac:dyDescent="0.25">
      <c r="F2380" s="2">
        <v>10000</v>
      </c>
      <c r="G2380" s="2">
        <f t="shared" si="43"/>
        <v>20</v>
      </c>
    </row>
    <row r="2381" spans="1:7" x14ac:dyDescent="0.25">
      <c r="F2381" s="2">
        <v>10000</v>
      </c>
      <c r="G2381" s="2">
        <f t="shared" si="43"/>
        <v>20</v>
      </c>
    </row>
    <row r="2382" spans="1:7" x14ac:dyDescent="0.25">
      <c r="F2382" s="2">
        <v>2500</v>
      </c>
      <c r="G2382" s="2">
        <f t="shared" si="43"/>
        <v>10</v>
      </c>
    </row>
    <row r="2383" spans="1:7" x14ac:dyDescent="0.25">
      <c r="F2383" s="2">
        <v>100</v>
      </c>
      <c r="G2383" s="2">
        <f t="shared" si="43"/>
        <v>0.4</v>
      </c>
    </row>
    <row r="2384" spans="1:7" x14ac:dyDescent="0.25">
      <c r="F2384" s="2">
        <v>5000</v>
      </c>
      <c r="G2384" s="2">
        <f t="shared" si="43"/>
        <v>20</v>
      </c>
    </row>
    <row r="2385" spans="1:10" x14ac:dyDescent="0.25">
      <c r="F2385" s="2">
        <v>8600</v>
      </c>
      <c r="G2385" s="2">
        <f t="shared" si="43"/>
        <v>20</v>
      </c>
    </row>
    <row r="2386" spans="1:10" x14ac:dyDescent="0.25">
      <c r="F2386" s="2">
        <v>500</v>
      </c>
      <c r="G2386" s="2">
        <f t="shared" si="43"/>
        <v>2</v>
      </c>
    </row>
    <row r="2387" spans="1:10" x14ac:dyDescent="0.25">
      <c r="F2387" s="2">
        <v>8200</v>
      </c>
      <c r="G2387" s="2">
        <f t="shared" si="43"/>
        <v>20</v>
      </c>
    </row>
    <row r="2388" spans="1:10" x14ac:dyDescent="0.25">
      <c r="F2388" s="2">
        <v>5000</v>
      </c>
      <c r="G2388" s="2">
        <f t="shared" ref="G2388:G2389" si="44">IF(E2388="Y",IF(F2388&lt;=100,10,IF(F2388&lt;=500,15,IF(F2388&lt;=750,20,25))),0)+IF(OR(E2388="RD",E2388="I"),10,0)+IF(F2388&gt;5000,20,F2388*0.4%)+IF(E2388="SB",1,IF(E2388="JJ",30,IF(E2388="A",50,0)))</f>
        <v>20</v>
      </c>
    </row>
    <row r="2389" spans="1:10" s="22" customFormat="1" x14ac:dyDescent="0.25">
      <c r="A2389" s="4"/>
      <c r="B2389" s="63"/>
      <c r="D2389" s="63"/>
      <c r="E2389" s="193"/>
      <c r="F2389" s="2">
        <v>1200</v>
      </c>
      <c r="G2389" s="2">
        <f t="shared" si="44"/>
        <v>4.8</v>
      </c>
    </row>
    <row r="2390" spans="1:10" s="22" customFormat="1" x14ac:dyDescent="0.25">
      <c r="A2390" s="4"/>
      <c r="B2390" s="63"/>
      <c r="D2390" s="63"/>
      <c r="E2390" s="193"/>
      <c r="F2390" s="2"/>
      <c r="G2390" s="2"/>
    </row>
    <row r="2391" spans="1:10" s="22" customFormat="1" x14ac:dyDescent="0.25">
      <c r="A2391" s="4"/>
      <c r="B2391" s="63"/>
      <c r="D2391" s="63"/>
      <c r="E2391" s="193"/>
      <c r="F2391" s="2"/>
      <c r="G2391" s="2"/>
    </row>
    <row r="2393" spans="1:10" x14ac:dyDescent="0.25">
      <c r="A2393" s="162">
        <f>COUNT(A2304:A2392)</f>
        <v>58</v>
      </c>
      <c r="B2393" s="162"/>
      <c r="C2393" s="162"/>
      <c r="D2393" s="70"/>
      <c r="E2393" s="164">
        <f>COUNTIF(E2304:E2392,"y")</f>
        <v>9</v>
      </c>
      <c r="F2393" s="162">
        <f>SUM(F2304:F2392)</f>
        <v>239450</v>
      </c>
      <c r="G2393" s="162">
        <f>SUM(G2304:G2392)</f>
        <v>958.5999999999998</v>
      </c>
      <c r="H2393" s="162">
        <f>G2393*0.8</f>
        <v>766.87999999999988</v>
      </c>
      <c r="I2393" s="162"/>
      <c r="J2393" s="162"/>
    </row>
    <row r="2395" spans="1:10" x14ac:dyDescent="0.25">
      <c r="A2395" s="6">
        <v>44228</v>
      </c>
    </row>
    <row r="2404" spans="1:10" x14ac:dyDescent="0.25">
      <c r="A2404" s="162">
        <f>COUNT(A2315:A2403)</f>
        <v>49</v>
      </c>
      <c r="B2404" s="162"/>
      <c r="C2404" s="162"/>
      <c r="D2404" s="70"/>
      <c r="E2404" s="162">
        <f>COUNTIF(E2315:E2403,"y")</f>
        <v>7</v>
      </c>
      <c r="F2404" s="162">
        <f>SUM(F2315:F2403)</f>
        <v>440750</v>
      </c>
      <c r="G2404" s="162">
        <f>SUM(G2315:G2403)</f>
        <v>1773.5999999999995</v>
      </c>
      <c r="H2404" s="162">
        <f>G2404*0.8</f>
        <v>1418.8799999999997</v>
      </c>
      <c r="I2404" s="162"/>
      <c r="J2404" s="162"/>
    </row>
    <row r="2406" spans="1:10" x14ac:dyDescent="0.25">
      <c r="A2406" s="6">
        <v>44256</v>
      </c>
      <c r="B2406" s="63" t="s">
        <v>2943</v>
      </c>
      <c r="C2406" t="s">
        <v>2940</v>
      </c>
      <c r="D2406" s="63" t="s">
        <v>2941</v>
      </c>
      <c r="E2406" s="178" t="s">
        <v>66</v>
      </c>
      <c r="F2406" s="2">
        <v>1000</v>
      </c>
      <c r="G2406" s="2">
        <f t="shared" ref="G2406" si="45">IF(E2406="Y",IF(F2406&lt;=100,10,IF(F2406&lt;=500,15,IF(F2406&lt;=750,20,25))),0)+IF(OR(E2406="RD",E2406="I"),10,0)+IF(F2406&gt;5000,20,F2406*0.4%)+IF(E2406="SB",1,IF(E2406="JJ",30,IF(E2406="A",50,0)))</f>
        <v>29</v>
      </c>
    </row>
    <row r="2415" spans="1:10" x14ac:dyDescent="0.25">
      <c r="A2415" s="164">
        <f>COUNT(A2406:A2414)</f>
        <v>1</v>
      </c>
      <c r="B2415" s="162"/>
      <c r="C2415" s="162"/>
      <c r="D2415" s="70"/>
      <c r="E2415" s="162">
        <f>COUNTIF(E2406:E2414,"y")</f>
        <v>1</v>
      </c>
      <c r="F2415" s="162">
        <f>SUM(F2406:F2414)</f>
        <v>1000</v>
      </c>
      <c r="G2415" s="162">
        <f>SUM(G2406:G2414)</f>
        <v>29</v>
      </c>
      <c r="H2415" s="162">
        <f>G2415*0.8</f>
        <v>23.200000000000003</v>
      </c>
      <c r="I2415" s="162"/>
      <c r="J2415" s="162"/>
    </row>
    <row r="2417" spans="1:1" x14ac:dyDescent="0.25">
      <c r="A2417" s="6"/>
    </row>
  </sheetData>
  <customSheetViews>
    <customSheetView guid="{A0CE3161-5061-442F-A27F-2BA55581F316}">
      <pane ySplit="3" topLeftCell="A2398" activePane="bottomLeft" state="frozen"/>
      <selection pane="bottomLeft" activeCell="J2409" sqref="J2409"/>
      <pageMargins left="0.7" right="0.7" top="0.75" bottom="0.75" header="0.3" footer="0.3"/>
      <pageSetup paperSize="9" orientation="portrait" r:id="rId1"/>
    </customSheetView>
    <customSheetView guid="{2FF9BCA9-095C-4E73-9C86-2243907C0824}">
      <pane ySplit="3" topLeftCell="A2398" activePane="bottomLeft" state="frozen"/>
      <selection pane="bottomLeft" activeCell="J2409" sqref="J2409"/>
      <pageMargins left="0.7" right="0.7" top="0.75" bottom="0.75" header="0.3" footer="0.3"/>
      <pageSetup paperSize="9" orientation="portrait" r:id="rId2"/>
    </customSheetView>
    <customSheetView guid="{EB31AAB7-3CD3-47EA-8FB3-E6304DCC89B3}">
      <pane ySplit="3" topLeftCell="A2398" activePane="bottomLeft" state="frozen"/>
      <selection pane="bottomLeft" activeCell="J2409" sqref="J2409"/>
      <pageMargins left="0.7" right="0.7" top="0.75" bottom="0.75" header="0.3" footer="0.3"/>
      <pageSetup paperSize="9" orientation="portrait" r:id="rId3"/>
    </customSheetView>
    <customSheetView guid="{1459FC0D-58BA-4BEC-951C-298999986759}">
      <pane ySplit="3" topLeftCell="A2398" activePane="bottomLeft" state="frozen"/>
      <selection pane="bottomLeft" activeCell="J2409" sqref="J2409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1"/>
  <sheetViews>
    <sheetView topLeftCell="C122" zoomScaleNormal="100" workbookViewId="0">
      <selection activeCell="C131" sqref="C131"/>
    </sheetView>
  </sheetViews>
  <sheetFormatPr defaultRowHeight="18.75" x14ac:dyDescent="0.3"/>
  <cols>
    <col min="1" max="1" width="8.85546875" style="22"/>
    <col min="2" max="2" width="15.140625" style="27" customWidth="1"/>
    <col min="3" max="3" width="13.140625" customWidth="1"/>
    <col min="4" max="4" width="11.7109375" customWidth="1"/>
    <col min="5" max="5" width="22" customWidth="1"/>
    <col min="6" max="6" width="32.140625" customWidth="1"/>
    <col min="7" max="7" width="12.7109375" style="22" customWidth="1"/>
    <col min="8" max="8" width="10.28515625" style="43" customWidth="1"/>
    <col min="9" max="9" width="9.28515625" style="44" bestFit="1" customWidth="1"/>
    <col min="10" max="10" width="11" style="122" bestFit="1" customWidth="1"/>
    <col min="14" max="14" width="11.28515625" customWidth="1"/>
    <col min="15" max="15" width="10.85546875" customWidth="1"/>
    <col min="16" max="16" width="10.7109375" customWidth="1"/>
  </cols>
  <sheetData>
    <row r="1" spans="1:16" s="22" customFormat="1" x14ac:dyDescent="0.3">
      <c r="B1" s="27"/>
      <c r="C1" s="22" t="s">
        <v>1872</v>
      </c>
      <c r="D1" s="22" t="s">
        <v>1873</v>
      </c>
      <c r="E1" s="22" t="s">
        <v>2558</v>
      </c>
      <c r="H1" s="43"/>
      <c r="I1" s="44"/>
      <c r="J1" s="122"/>
    </row>
    <row r="2" spans="1:16" x14ac:dyDescent="0.3">
      <c r="A2" s="117"/>
      <c r="B2" s="118"/>
      <c r="C2" s="117">
        <v>8709981527</v>
      </c>
      <c r="D2" s="117"/>
      <c r="E2" s="117" t="s">
        <v>1838</v>
      </c>
      <c r="F2" s="119" t="s">
        <v>1839</v>
      </c>
      <c r="G2" s="119"/>
      <c r="H2" s="120">
        <v>41189</v>
      </c>
      <c r="I2" s="121" t="s">
        <v>2442</v>
      </c>
      <c r="J2" s="122" t="s">
        <v>2427</v>
      </c>
    </row>
    <row r="3" spans="1:16" s="77" customFormat="1" x14ac:dyDescent="0.3">
      <c r="A3" s="77" t="s">
        <v>1848</v>
      </c>
      <c r="B3" s="86">
        <v>44035</v>
      </c>
      <c r="C3" s="77">
        <v>9835552756</v>
      </c>
      <c r="E3" s="77" t="s">
        <v>2193</v>
      </c>
      <c r="F3" s="89">
        <v>4</v>
      </c>
      <c r="G3" s="89"/>
      <c r="H3" s="87">
        <v>62132</v>
      </c>
      <c r="I3" s="88">
        <v>830532</v>
      </c>
      <c r="J3" s="122" t="s">
        <v>2428</v>
      </c>
    </row>
    <row r="4" spans="1:16" x14ac:dyDescent="0.3">
      <c r="A4" s="1">
        <v>4</v>
      </c>
      <c r="B4" s="139"/>
      <c r="C4" s="1">
        <v>7050312952</v>
      </c>
      <c r="D4" s="1"/>
      <c r="E4" s="1" t="s">
        <v>1840</v>
      </c>
      <c r="F4" s="1"/>
      <c r="G4" s="1"/>
      <c r="H4" s="150">
        <v>64438</v>
      </c>
      <c r="I4" s="140">
        <v>274382</v>
      </c>
    </row>
    <row r="5" spans="1:16" x14ac:dyDescent="0.3">
      <c r="E5" t="s">
        <v>1842</v>
      </c>
      <c r="H5" s="43">
        <v>31577</v>
      </c>
    </row>
    <row r="6" spans="1:16" x14ac:dyDescent="0.3">
      <c r="E6" t="s">
        <v>1843</v>
      </c>
      <c r="H6" s="43">
        <v>67254</v>
      </c>
    </row>
    <row r="7" spans="1:16" x14ac:dyDescent="0.3">
      <c r="E7" t="s">
        <v>1846</v>
      </c>
      <c r="H7" s="43">
        <v>92882</v>
      </c>
    </row>
    <row r="8" spans="1:16" x14ac:dyDescent="0.3">
      <c r="E8" t="s">
        <v>1847</v>
      </c>
      <c r="H8" s="43">
        <v>48894</v>
      </c>
      <c r="I8" s="44" t="s">
        <v>1955</v>
      </c>
      <c r="N8" s="169">
        <v>41189</v>
      </c>
      <c r="O8" s="169">
        <v>219813</v>
      </c>
      <c r="P8" s="169" t="s">
        <v>2708</v>
      </c>
    </row>
    <row r="9" spans="1:16" x14ac:dyDescent="0.3">
      <c r="E9" t="s">
        <v>255</v>
      </c>
      <c r="H9" s="43">
        <v>74365</v>
      </c>
      <c r="I9" s="44" t="s">
        <v>2031</v>
      </c>
      <c r="N9" s="169">
        <v>62132</v>
      </c>
      <c r="O9" s="169">
        <v>954447</v>
      </c>
      <c r="P9" s="169" t="s">
        <v>2715</v>
      </c>
    </row>
    <row r="10" spans="1:16" x14ac:dyDescent="0.3">
      <c r="E10" t="s">
        <v>1849</v>
      </c>
      <c r="H10" s="43">
        <v>81373</v>
      </c>
      <c r="I10" s="44" t="s">
        <v>2361</v>
      </c>
      <c r="N10" s="169">
        <v>64438</v>
      </c>
      <c r="O10" s="169">
        <v>799655</v>
      </c>
      <c r="P10" s="169" t="s">
        <v>2709</v>
      </c>
    </row>
    <row r="11" spans="1:16" x14ac:dyDescent="0.3">
      <c r="E11" t="s">
        <v>1850</v>
      </c>
      <c r="H11" s="43">
        <v>38639</v>
      </c>
      <c r="I11" s="44" t="s">
        <v>2037</v>
      </c>
      <c r="N11" s="169">
        <v>15291</v>
      </c>
      <c r="O11" s="169">
        <v>38554</v>
      </c>
      <c r="P11" s="169" t="s">
        <v>2710</v>
      </c>
    </row>
    <row r="12" spans="1:16" s="77" customFormat="1" x14ac:dyDescent="0.3">
      <c r="A12" s="106" t="s">
        <v>1834</v>
      </c>
      <c r="B12" s="107">
        <v>44020</v>
      </c>
      <c r="C12" s="106">
        <v>9835552756</v>
      </c>
      <c r="D12" s="106"/>
      <c r="E12" s="106" t="s">
        <v>1994</v>
      </c>
      <c r="F12" s="106"/>
      <c r="G12" s="106"/>
      <c r="H12" s="108">
        <v>15291</v>
      </c>
      <c r="I12" s="109" t="s">
        <v>2055</v>
      </c>
      <c r="J12" s="122" t="s">
        <v>2426</v>
      </c>
      <c r="N12" s="169">
        <v>74744</v>
      </c>
      <c r="O12" s="169">
        <v>184367</v>
      </c>
      <c r="P12" s="169" t="s">
        <v>2711</v>
      </c>
    </row>
    <row r="13" spans="1:16" s="105" customFormat="1" x14ac:dyDescent="0.3">
      <c r="A13" s="110" t="s">
        <v>1848</v>
      </c>
      <c r="B13" s="111">
        <v>44020</v>
      </c>
      <c r="C13" s="110">
        <v>8092766575</v>
      </c>
      <c r="D13" s="110"/>
      <c r="E13" s="110" t="s">
        <v>1851</v>
      </c>
      <c r="F13" s="110"/>
      <c r="G13" s="110"/>
      <c r="H13" s="112">
        <v>74744</v>
      </c>
      <c r="I13" s="113" t="s">
        <v>1852</v>
      </c>
      <c r="J13" s="122" t="s">
        <v>2425</v>
      </c>
      <c r="N13" s="169">
        <v>45963</v>
      </c>
      <c r="O13" s="169">
        <v>919459</v>
      </c>
      <c r="P13" s="169" t="s">
        <v>2712</v>
      </c>
    </row>
    <row r="14" spans="1:16" s="22" customFormat="1" x14ac:dyDescent="0.3">
      <c r="B14" s="27"/>
      <c r="C14" s="127">
        <v>9263870905</v>
      </c>
      <c r="E14" s="22" t="s">
        <v>1860</v>
      </c>
      <c r="H14" s="43">
        <v>25924</v>
      </c>
      <c r="I14" s="44" t="s">
        <v>1861</v>
      </c>
      <c r="J14" s="122"/>
      <c r="N14" s="169">
        <v>77444</v>
      </c>
      <c r="O14" s="169">
        <v>288325</v>
      </c>
      <c r="P14" s="169" t="s">
        <v>2713</v>
      </c>
    </row>
    <row r="15" spans="1:16" s="22" customFormat="1" x14ac:dyDescent="0.3">
      <c r="B15" s="21">
        <v>44030</v>
      </c>
      <c r="E15" s="22" t="s">
        <v>1154</v>
      </c>
      <c r="H15" s="73" t="s">
        <v>2141</v>
      </c>
      <c r="I15" s="44" t="s">
        <v>2146</v>
      </c>
      <c r="J15" s="122"/>
      <c r="N15" s="169">
        <v>222732</v>
      </c>
      <c r="O15" s="169" t="s">
        <v>2390</v>
      </c>
      <c r="P15" s="169" t="s">
        <v>2714</v>
      </c>
    </row>
    <row r="16" spans="1:16" s="22" customFormat="1" x14ac:dyDescent="0.3">
      <c r="B16" s="27"/>
      <c r="E16" t="s">
        <v>2182</v>
      </c>
      <c r="H16" s="43">
        <v>55253</v>
      </c>
      <c r="I16" s="44" t="s">
        <v>2185</v>
      </c>
      <c r="J16" s="122"/>
      <c r="N16" s="169">
        <v>948415</v>
      </c>
      <c r="O16" s="169">
        <v>752612</v>
      </c>
      <c r="P16" s="169"/>
    </row>
    <row r="17" spans="3:16" x14ac:dyDescent="0.3">
      <c r="C17" s="45">
        <v>9142144062</v>
      </c>
      <c r="E17" t="s">
        <v>1870</v>
      </c>
      <c r="F17" s="45" t="s">
        <v>1874</v>
      </c>
      <c r="G17" s="45"/>
      <c r="H17" s="43">
        <v>75798</v>
      </c>
      <c r="I17" s="44" t="s">
        <v>1871</v>
      </c>
      <c r="K17" s="30" t="s">
        <v>1930</v>
      </c>
      <c r="N17" s="169">
        <v>831627</v>
      </c>
      <c r="O17" s="169">
        <v>742963</v>
      </c>
      <c r="P17" s="170"/>
    </row>
    <row r="18" spans="3:16" x14ac:dyDescent="0.3">
      <c r="C18">
        <v>9955500684</v>
      </c>
      <c r="E18" t="s">
        <v>1836</v>
      </c>
      <c r="F18" s="42" t="s">
        <v>1837</v>
      </c>
      <c r="G18" s="42"/>
      <c r="H18" s="43">
        <v>45869</v>
      </c>
      <c r="I18" s="44" t="s">
        <v>1841</v>
      </c>
      <c r="K18" s="47" t="s">
        <v>1931</v>
      </c>
      <c r="N18" s="169" t="s">
        <v>2588</v>
      </c>
      <c r="O18" s="169"/>
      <c r="P18" s="170"/>
    </row>
    <row r="19" spans="3:16" x14ac:dyDescent="0.3">
      <c r="C19">
        <v>8877817017</v>
      </c>
      <c r="D19">
        <v>7004227226</v>
      </c>
      <c r="E19" t="s">
        <v>1844</v>
      </c>
      <c r="F19" s="42" t="s">
        <v>1845</v>
      </c>
      <c r="G19" s="42"/>
      <c r="H19" s="43">
        <v>57569</v>
      </c>
      <c r="N19" s="169">
        <v>919459</v>
      </c>
      <c r="O19" s="169"/>
      <c r="P19" s="170"/>
    </row>
    <row r="20" spans="3:16" x14ac:dyDescent="0.3">
      <c r="C20">
        <v>983555</v>
      </c>
      <c r="D20">
        <v>9031606926</v>
      </c>
      <c r="E20" t="s">
        <v>1862</v>
      </c>
      <c r="F20" t="s">
        <v>1863</v>
      </c>
      <c r="H20" s="43">
        <v>49492</v>
      </c>
      <c r="I20" s="44" t="s">
        <v>1864</v>
      </c>
      <c r="N20" s="169" t="s">
        <v>2593</v>
      </c>
      <c r="O20" s="169"/>
      <c r="P20" s="170"/>
    </row>
    <row r="21" spans="3:16" x14ac:dyDescent="0.3">
      <c r="N21" s="168"/>
      <c r="O21" s="168"/>
    </row>
    <row r="22" spans="3:16" x14ac:dyDescent="0.3">
      <c r="E22" t="s">
        <v>1974</v>
      </c>
      <c r="H22" s="43">
        <v>93179</v>
      </c>
      <c r="I22" s="44" t="s">
        <v>1975</v>
      </c>
    </row>
    <row r="23" spans="3:16" x14ac:dyDescent="0.3">
      <c r="E23" s="74" t="s">
        <v>1868</v>
      </c>
      <c r="H23" s="43">
        <v>53177</v>
      </c>
      <c r="I23" s="44" t="s">
        <v>1869</v>
      </c>
    </row>
    <row r="24" spans="3:16" x14ac:dyDescent="0.3">
      <c r="E24" t="s">
        <v>1878</v>
      </c>
      <c r="H24" s="43">
        <v>21232</v>
      </c>
      <c r="I24" s="44" t="s">
        <v>1879</v>
      </c>
    </row>
    <row r="25" spans="3:16" x14ac:dyDescent="0.3">
      <c r="C25">
        <v>7295023315</v>
      </c>
      <c r="D25">
        <v>9835552756</v>
      </c>
      <c r="E25" t="s">
        <v>1882</v>
      </c>
      <c r="F25" t="s">
        <v>1884</v>
      </c>
      <c r="H25" s="43">
        <v>84914</v>
      </c>
      <c r="I25" s="44" t="s">
        <v>1883</v>
      </c>
    </row>
    <row r="26" spans="3:16" x14ac:dyDescent="0.3">
      <c r="E26" t="s">
        <v>1888</v>
      </c>
      <c r="H26" s="43">
        <v>52318</v>
      </c>
      <c r="I26" s="44" t="s">
        <v>1889</v>
      </c>
    </row>
    <row r="27" spans="3:16" x14ac:dyDescent="0.3">
      <c r="C27" s="30">
        <v>7209950245</v>
      </c>
      <c r="D27">
        <v>7070876456</v>
      </c>
      <c r="E27" s="22" t="s">
        <v>844</v>
      </c>
      <c r="F27" t="s">
        <v>1929</v>
      </c>
      <c r="H27" s="43">
        <v>38554</v>
      </c>
      <c r="I27" s="44" t="s">
        <v>1934</v>
      </c>
    </row>
    <row r="28" spans="3:16" x14ac:dyDescent="0.3">
      <c r="E28" s="22" t="s">
        <v>1932</v>
      </c>
      <c r="H28" s="43">
        <v>69712</v>
      </c>
      <c r="I28" s="44" t="s">
        <v>1933</v>
      </c>
    </row>
    <row r="29" spans="3:16" x14ac:dyDescent="0.3">
      <c r="C29">
        <v>7991135500</v>
      </c>
      <c r="D29">
        <v>8298093438</v>
      </c>
      <c r="E29" s="22" t="s">
        <v>1950</v>
      </c>
      <c r="F29" s="42" t="s">
        <v>1951</v>
      </c>
      <c r="G29" s="42"/>
      <c r="H29" s="43">
        <v>85894</v>
      </c>
      <c r="I29" s="44" t="s">
        <v>1952</v>
      </c>
    </row>
    <row r="30" spans="3:16" x14ac:dyDescent="0.3">
      <c r="E30" s="22" t="s">
        <v>1953</v>
      </c>
      <c r="H30" s="43">
        <v>81837</v>
      </c>
      <c r="I30" s="44" t="s">
        <v>1954</v>
      </c>
    </row>
    <row r="31" spans="3:16" x14ac:dyDescent="0.3">
      <c r="E31" s="22" t="s">
        <v>1959</v>
      </c>
      <c r="H31" s="43">
        <v>17378</v>
      </c>
      <c r="I31" s="44" t="s">
        <v>1971</v>
      </c>
    </row>
    <row r="32" spans="3:16" x14ac:dyDescent="0.3">
      <c r="E32" s="22" t="s">
        <v>1960</v>
      </c>
      <c r="H32" s="43">
        <v>61842</v>
      </c>
    </row>
    <row r="33" spans="3:9" x14ac:dyDescent="0.3">
      <c r="E33" s="22" t="s">
        <v>1961</v>
      </c>
      <c r="H33" s="43">
        <v>84274</v>
      </c>
      <c r="I33" s="44" t="s">
        <v>1962</v>
      </c>
    </row>
    <row r="34" spans="3:9" x14ac:dyDescent="0.3">
      <c r="E34" s="22" t="s">
        <v>1847</v>
      </c>
      <c r="H34" s="43">
        <v>55121</v>
      </c>
      <c r="I34" s="44" t="s">
        <v>1963</v>
      </c>
    </row>
    <row r="35" spans="3:9" x14ac:dyDescent="0.3">
      <c r="E35" t="s">
        <v>1964</v>
      </c>
      <c r="H35" s="43">
        <v>74431</v>
      </c>
      <c r="I35" s="44" t="s">
        <v>1965</v>
      </c>
    </row>
    <row r="36" spans="3:9" x14ac:dyDescent="0.3">
      <c r="E36" t="s">
        <v>1966</v>
      </c>
      <c r="H36" s="43">
        <v>65371</v>
      </c>
      <c r="I36" s="44" t="s">
        <v>1967</v>
      </c>
    </row>
    <row r="37" spans="3:9" x14ac:dyDescent="0.3">
      <c r="E37" t="s">
        <v>1968</v>
      </c>
      <c r="H37" s="43">
        <v>85129</v>
      </c>
      <c r="I37" s="44" t="s">
        <v>1969</v>
      </c>
    </row>
    <row r="38" spans="3:9" x14ac:dyDescent="0.3">
      <c r="E38" t="s">
        <v>1958</v>
      </c>
      <c r="H38" s="43">
        <v>56454</v>
      </c>
      <c r="I38" s="44" t="s">
        <v>1970</v>
      </c>
    </row>
    <row r="39" spans="3:9" x14ac:dyDescent="0.3">
      <c r="E39" t="s">
        <v>1972</v>
      </c>
      <c r="H39" s="43">
        <v>56518</v>
      </c>
      <c r="I39" s="44" t="s">
        <v>1973</v>
      </c>
    </row>
    <row r="40" spans="3:9" x14ac:dyDescent="0.3">
      <c r="E40" t="s">
        <v>2005</v>
      </c>
      <c r="H40" s="43">
        <v>37584</v>
      </c>
      <c r="I40" s="44" t="s">
        <v>2010</v>
      </c>
    </row>
    <row r="41" spans="3:9" x14ac:dyDescent="0.3">
      <c r="E41" t="s">
        <v>2006</v>
      </c>
      <c r="H41" s="43">
        <v>53918</v>
      </c>
      <c r="I41" s="44" t="s">
        <v>2007</v>
      </c>
    </row>
    <row r="42" spans="3:9" x14ac:dyDescent="0.3">
      <c r="E42" t="s">
        <v>2008</v>
      </c>
      <c r="H42" s="43">
        <v>95339</v>
      </c>
      <c r="I42" s="44" t="s">
        <v>2009</v>
      </c>
    </row>
    <row r="43" spans="3:9" x14ac:dyDescent="0.3">
      <c r="E43" t="s">
        <v>2011</v>
      </c>
      <c r="H43" s="43">
        <v>14336</v>
      </c>
      <c r="I43" s="44" t="s">
        <v>2012</v>
      </c>
    </row>
    <row r="44" spans="3:9" x14ac:dyDescent="0.3">
      <c r="E44" t="s">
        <v>2013</v>
      </c>
      <c r="H44" s="43">
        <v>31367</v>
      </c>
      <c r="I44" s="44" t="s">
        <v>2014</v>
      </c>
    </row>
    <row r="45" spans="3:9" x14ac:dyDescent="0.3">
      <c r="E45" t="s">
        <v>2015</v>
      </c>
      <c r="H45" s="43">
        <v>45976</v>
      </c>
      <c r="I45" s="44" t="s">
        <v>2016</v>
      </c>
    </row>
    <row r="46" spans="3:9" x14ac:dyDescent="0.3">
      <c r="E46" t="s">
        <v>2017</v>
      </c>
      <c r="H46" s="43">
        <v>13715</v>
      </c>
      <c r="I46" s="44" t="s">
        <v>2018</v>
      </c>
    </row>
    <row r="47" spans="3:9" x14ac:dyDescent="0.3">
      <c r="C47" s="22">
        <v>9508439057</v>
      </c>
      <c r="E47" t="s">
        <v>564</v>
      </c>
      <c r="H47" s="43">
        <v>17794</v>
      </c>
      <c r="I47" s="44" t="s">
        <v>2019</v>
      </c>
    </row>
    <row r="48" spans="3:9" x14ac:dyDescent="0.3">
      <c r="E48" t="s">
        <v>2020</v>
      </c>
      <c r="H48" s="43">
        <v>82236</v>
      </c>
      <c r="I48" s="44" t="s">
        <v>2021</v>
      </c>
    </row>
    <row r="49" spans="1:11" x14ac:dyDescent="0.3">
      <c r="C49">
        <v>9031382335</v>
      </c>
      <c r="E49" t="s">
        <v>2032</v>
      </c>
      <c r="H49" s="43">
        <v>68166</v>
      </c>
      <c r="I49" s="44" t="s">
        <v>2033</v>
      </c>
    </row>
    <row r="50" spans="1:11" x14ac:dyDescent="0.3">
      <c r="C50">
        <v>9931095010</v>
      </c>
      <c r="E50" t="s">
        <v>2034</v>
      </c>
      <c r="H50" s="43">
        <v>57254</v>
      </c>
      <c r="I50" s="44" t="s">
        <v>2035</v>
      </c>
    </row>
    <row r="51" spans="1:11" x14ac:dyDescent="0.3">
      <c r="E51" t="s">
        <v>246</v>
      </c>
      <c r="H51" s="43">
        <v>59324</v>
      </c>
      <c r="I51" s="44" t="s">
        <v>2036</v>
      </c>
    </row>
    <row r="52" spans="1:11" x14ac:dyDescent="0.3">
      <c r="E52" t="s">
        <v>2038</v>
      </c>
      <c r="G52" s="22" t="s">
        <v>2434</v>
      </c>
      <c r="H52" s="43">
        <v>42351</v>
      </c>
      <c r="I52" s="44" t="s">
        <v>2039</v>
      </c>
    </row>
    <row r="53" spans="1:11" x14ac:dyDescent="0.3">
      <c r="E53" t="s">
        <v>2040</v>
      </c>
      <c r="H53" s="43">
        <v>45724</v>
      </c>
      <c r="I53" s="44" t="s">
        <v>2041</v>
      </c>
    </row>
    <row r="54" spans="1:11" x14ac:dyDescent="0.3">
      <c r="E54" t="s">
        <v>2011</v>
      </c>
      <c r="H54" s="43">
        <v>14336</v>
      </c>
      <c r="I54" s="44" t="s">
        <v>2012</v>
      </c>
    </row>
    <row r="55" spans="1:11" x14ac:dyDescent="0.3">
      <c r="E55" t="s">
        <v>2042</v>
      </c>
      <c r="H55" s="43">
        <v>47971</v>
      </c>
      <c r="I55" s="44" t="s">
        <v>2043</v>
      </c>
    </row>
    <row r="56" spans="1:11" x14ac:dyDescent="0.3">
      <c r="B56" s="21">
        <v>44046</v>
      </c>
      <c r="C56">
        <v>8252679991</v>
      </c>
      <c r="D56" s="45">
        <v>8521835899</v>
      </c>
      <c r="E56" t="s">
        <v>2052</v>
      </c>
      <c r="F56" s="45" t="s">
        <v>2054</v>
      </c>
      <c r="G56" s="45"/>
      <c r="H56" s="43">
        <v>55717</v>
      </c>
      <c r="I56" s="44" t="s">
        <v>2053</v>
      </c>
    </row>
    <row r="57" spans="1:11" s="110" customFormat="1" x14ac:dyDescent="0.3">
      <c r="A57" s="110" t="s">
        <v>1834</v>
      </c>
      <c r="B57" s="111">
        <v>44047</v>
      </c>
      <c r="C57" s="110">
        <v>8603203058</v>
      </c>
      <c r="D57" s="114">
        <v>44077</v>
      </c>
      <c r="E57" s="110" t="s">
        <v>2057</v>
      </c>
      <c r="F57" s="110" t="s">
        <v>2278</v>
      </c>
      <c r="G57" s="116" t="s">
        <v>2436</v>
      </c>
      <c r="H57" s="112">
        <v>45963</v>
      </c>
      <c r="I57" s="113" t="s">
        <v>2056</v>
      </c>
      <c r="J57" s="122" t="s">
        <v>2454</v>
      </c>
    </row>
    <row r="58" spans="1:11" s="23" customFormat="1" x14ac:dyDescent="0.3">
      <c r="B58" s="95">
        <v>44053</v>
      </c>
      <c r="C58" s="23">
        <v>7061417806</v>
      </c>
      <c r="E58" s="96" t="s">
        <v>2099</v>
      </c>
      <c r="H58" s="97">
        <v>31786</v>
      </c>
      <c r="I58" s="98">
        <v>387632</v>
      </c>
      <c r="J58" s="122"/>
    </row>
    <row r="59" spans="1:11" s="77" customFormat="1" x14ac:dyDescent="0.3">
      <c r="A59" s="106" t="s">
        <v>1834</v>
      </c>
      <c r="B59" s="107">
        <v>44055</v>
      </c>
      <c r="C59" s="106"/>
      <c r="D59" s="115">
        <f>B59+28</f>
        <v>44083</v>
      </c>
      <c r="E59" s="106" t="s">
        <v>2118</v>
      </c>
      <c r="F59" s="116">
        <v>34</v>
      </c>
      <c r="G59" s="116" t="s">
        <v>2435</v>
      </c>
      <c r="H59" s="108">
        <v>77444</v>
      </c>
      <c r="I59" s="109" t="s">
        <v>2119</v>
      </c>
      <c r="J59" s="122" t="s">
        <v>2432</v>
      </c>
    </row>
    <row r="60" spans="1:11" x14ac:dyDescent="0.3">
      <c r="A60" s="22" t="s">
        <v>1930</v>
      </c>
      <c r="B60" s="21">
        <v>44055</v>
      </c>
      <c r="C60">
        <v>6299998631</v>
      </c>
      <c r="E60" t="s">
        <v>2131</v>
      </c>
      <c r="H60" s="73" t="s">
        <v>2132</v>
      </c>
      <c r="I60" s="44" t="s">
        <v>2133</v>
      </c>
    </row>
    <row r="61" spans="1:11" x14ac:dyDescent="0.3">
      <c r="B61" s="21">
        <v>44055</v>
      </c>
      <c r="E61" t="s">
        <v>2135</v>
      </c>
      <c r="H61" s="43">
        <v>83696</v>
      </c>
      <c r="I61" s="44" t="s">
        <v>2136</v>
      </c>
    </row>
    <row r="62" spans="1:11" x14ac:dyDescent="0.3">
      <c r="B62" s="21">
        <v>44056</v>
      </c>
      <c r="C62" s="47">
        <v>9431380759</v>
      </c>
      <c r="E62" t="s">
        <v>1860</v>
      </c>
      <c r="H62" s="43">
        <v>39542</v>
      </c>
      <c r="I62" s="44" t="s">
        <v>2137</v>
      </c>
      <c r="K62">
        <f>317*6</f>
        <v>1902</v>
      </c>
    </row>
    <row r="63" spans="1:11" x14ac:dyDescent="0.3">
      <c r="B63" s="21">
        <v>44056</v>
      </c>
      <c r="E63" t="s">
        <v>2142</v>
      </c>
      <c r="H63" s="43">
        <v>95747</v>
      </c>
      <c r="I63" s="44" t="s">
        <v>2145</v>
      </c>
      <c r="K63">
        <f>317*4+200</f>
        <v>1468</v>
      </c>
    </row>
    <row r="64" spans="1:11" x14ac:dyDescent="0.3">
      <c r="B64" s="21">
        <v>44056</v>
      </c>
      <c r="C64">
        <v>7725859383</v>
      </c>
      <c r="E64" t="s">
        <v>2143</v>
      </c>
      <c r="H64" s="43">
        <v>98482</v>
      </c>
      <c r="I64" s="44" t="s">
        <v>2144</v>
      </c>
      <c r="K64">
        <f>K62-K63</f>
        <v>434</v>
      </c>
    </row>
    <row r="65" spans="1:10" x14ac:dyDescent="0.3">
      <c r="B65" s="21">
        <v>44057</v>
      </c>
      <c r="C65">
        <v>9308981522</v>
      </c>
      <c r="E65" t="s">
        <v>2151</v>
      </c>
      <c r="F65" t="s">
        <v>1929</v>
      </c>
      <c r="H65" s="43">
        <v>27594</v>
      </c>
      <c r="I65" s="44" t="s">
        <v>2152</v>
      </c>
    </row>
    <row r="66" spans="1:10" x14ac:dyDescent="0.3">
      <c r="B66" s="21">
        <v>44057</v>
      </c>
      <c r="C66">
        <v>9142585352</v>
      </c>
      <c r="E66" t="s">
        <v>2153</v>
      </c>
      <c r="F66" t="s">
        <v>1929</v>
      </c>
      <c r="H66" s="43">
        <v>39161</v>
      </c>
      <c r="I66" s="44" t="s">
        <v>2154</v>
      </c>
    </row>
    <row r="67" spans="1:10" x14ac:dyDescent="0.3">
      <c r="B67" s="21">
        <v>44057</v>
      </c>
      <c r="C67">
        <v>7974556196</v>
      </c>
      <c r="E67" t="s">
        <v>2155</v>
      </c>
      <c r="H67" s="43">
        <v>35384</v>
      </c>
      <c r="I67" s="44" t="s">
        <v>2156</v>
      </c>
    </row>
    <row r="68" spans="1:10" s="99" customFormat="1" x14ac:dyDescent="0.3">
      <c r="A68" s="99" t="s">
        <v>1848</v>
      </c>
      <c r="B68" s="100">
        <v>44058</v>
      </c>
      <c r="C68" s="99">
        <v>8092766575</v>
      </c>
      <c r="D68" s="101">
        <v>44065</v>
      </c>
      <c r="E68" s="99" t="s">
        <v>2192</v>
      </c>
      <c r="F68" s="102">
        <f>400-199-199</f>
        <v>2</v>
      </c>
      <c r="G68" s="102"/>
      <c r="H68" s="103">
        <v>91482</v>
      </c>
      <c r="I68" s="104" t="s">
        <v>2159</v>
      </c>
      <c r="J68" s="122" t="s">
        <v>2424</v>
      </c>
    </row>
    <row r="69" spans="1:10" x14ac:dyDescent="0.3">
      <c r="B69" s="21">
        <v>44058</v>
      </c>
      <c r="C69">
        <v>9031358599</v>
      </c>
      <c r="E69" t="s">
        <v>2160</v>
      </c>
      <c r="H69" s="43">
        <v>295827</v>
      </c>
      <c r="I69" s="44" t="s">
        <v>2161</v>
      </c>
    </row>
    <row r="70" spans="1:10" x14ac:dyDescent="0.3">
      <c r="E70" t="s">
        <v>2162</v>
      </c>
      <c r="H70" s="43">
        <v>75742</v>
      </c>
      <c r="I70" s="44" t="s">
        <v>2163</v>
      </c>
    </row>
    <row r="71" spans="1:10" x14ac:dyDescent="0.3">
      <c r="C71">
        <v>7488568208</v>
      </c>
      <c r="E71" t="s">
        <v>2167</v>
      </c>
      <c r="F71" s="42" t="s">
        <v>2168</v>
      </c>
      <c r="G71" s="42"/>
      <c r="H71" s="43">
        <v>481214</v>
      </c>
      <c r="I71" s="44" t="s">
        <v>2194</v>
      </c>
    </row>
    <row r="72" spans="1:10" x14ac:dyDescent="0.3">
      <c r="E72" s="22" t="s">
        <v>2184</v>
      </c>
      <c r="H72" s="43">
        <v>422295</v>
      </c>
      <c r="I72" s="44" t="s">
        <v>2195</v>
      </c>
    </row>
    <row r="73" spans="1:10" x14ac:dyDescent="0.3">
      <c r="A73" s="91"/>
      <c r="B73" s="92">
        <v>44066</v>
      </c>
      <c r="C73" s="91">
        <v>8789074647</v>
      </c>
      <c r="D73" s="91"/>
      <c r="E73" s="91" t="s">
        <v>2158</v>
      </c>
      <c r="F73" s="91"/>
      <c r="G73" s="91"/>
      <c r="H73" s="93">
        <v>742963</v>
      </c>
      <c r="I73" s="94" t="s">
        <v>2197</v>
      </c>
    </row>
    <row r="74" spans="1:10" x14ac:dyDescent="0.3">
      <c r="A74" s="91" t="s">
        <v>2199</v>
      </c>
      <c r="B74" s="92">
        <v>44066</v>
      </c>
      <c r="C74" s="91">
        <v>8789078793</v>
      </c>
      <c r="D74" s="91"/>
      <c r="E74" s="91" t="s">
        <v>2196</v>
      </c>
      <c r="F74" s="91"/>
      <c r="G74" s="91"/>
      <c r="H74" s="93">
        <v>162471</v>
      </c>
      <c r="I74" s="94" t="s">
        <v>2198</v>
      </c>
    </row>
    <row r="75" spans="1:10" x14ac:dyDescent="0.3">
      <c r="B75" s="21">
        <v>44066</v>
      </c>
      <c r="C75" s="22">
        <v>8709705340</v>
      </c>
      <c r="E75" t="s">
        <v>2206</v>
      </c>
      <c r="H75" s="43">
        <v>511586</v>
      </c>
      <c r="I75" s="44" t="s">
        <v>2207</v>
      </c>
    </row>
    <row r="76" spans="1:10" x14ac:dyDescent="0.3">
      <c r="A76" s="91"/>
      <c r="B76" s="92">
        <v>44067</v>
      </c>
      <c r="C76" s="91">
        <v>9470355028</v>
      </c>
      <c r="D76" s="91"/>
      <c r="E76" s="91" t="s">
        <v>2201</v>
      </c>
      <c r="F76" s="91"/>
      <c r="G76" s="91"/>
      <c r="H76" s="93">
        <v>684262</v>
      </c>
      <c r="I76" s="94" t="s">
        <v>2203</v>
      </c>
    </row>
    <row r="77" spans="1:10" x14ac:dyDescent="0.3">
      <c r="A77" s="91"/>
      <c r="B77" s="92">
        <v>44067</v>
      </c>
      <c r="C77" s="91">
        <v>6200960230</v>
      </c>
      <c r="D77" s="91"/>
      <c r="E77" s="91" t="s">
        <v>2201</v>
      </c>
      <c r="F77" s="91"/>
      <c r="G77" s="91"/>
      <c r="H77" s="93">
        <v>315249</v>
      </c>
      <c r="I77" s="94" t="s">
        <v>2202</v>
      </c>
    </row>
    <row r="78" spans="1:10" x14ac:dyDescent="0.3">
      <c r="B78" s="21">
        <v>44067</v>
      </c>
      <c r="C78">
        <v>9931429148</v>
      </c>
      <c r="D78">
        <v>1096</v>
      </c>
      <c r="E78" t="s">
        <v>2208</v>
      </c>
      <c r="F78" t="s">
        <v>2760</v>
      </c>
      <c r="H78" s="43">
        <v>317688</v>
      </c>
      <c r="I78" s="44" t="s">
        <v>2209</v>
      </c>
    </row>
    <row r="79" spans="1:10" x14ac:dyDescent="0.3">
      <c r="B79" s="21">
        <v>44067</v>
      </c>
      <c r="C79">
        <v>9693613180</v>
      </c>
      <c r="E79" s="22" t="s">
        <v>2151</v>
      </c>
      <c r="H79" s="43">
        <v>974777</v>
      </c>
      <c r="I79" s="44" t="s">
        <v>2210</v>
      </c>
    </row>
    <row r="80" spans="1:10" s="22" customFormat="1" x14ac:dyDescent="0.3">
      <c r="B80" s="21">
        <v>44068</v>
      </c>
      <c r="C80" s="22">
        <v>8871639226</v>
      </c>
      <c r="E80" s="22" t="s">
        <v>2219</v>
      </c>
      <c r="H80" s="43">
        <v>243622</v>
      </c>
      <c r="I80" s="44" t="s">
        <v>2220</v>
      </c>
      <c r="J80" s="122"/>
    </row>
    <row r="81" spans="1:10" s="77" customFormat="1" x14ac:dyDescent="0.3">
      <c r="A81" s="77" t="s">
        <v>1848</v>
      </c>
      <c r="B81" s="86">
        <v>44068</v>
      </c>
      <c r="C81" s="77">
        <v>9835552756</v>
      </c>
      <c r="E81" s="77" t="s">
        <v>2118</v>
      </c>
      <c r="F81" s="90">
        <f>400-49-49</f>
        <v>302</v>
      </c>
      <c r="G81" s="90"/>
      <c r="H81" s="87">
        <v>222732</v>
      </c>
      <c r="I81" s="88" t="s">
        <v>2213</v>
      </c>
      <c r="J81" s="122" t="s">
        <v>2474</v>
      </c>
    </row>
    <row r="82" spans="1:10" x14ac:dyDescent="0.3">
      <c r="B82" s="21">
        <v>44069</v>
      </c>
      <c r="C82">
        <v>8340407091</v>
      </c>
      <c r="E82" t="s">
        <v>2214</v>
      </c>
      <c r="H82" s="43">
        <v>256864</v>
      </c>
      <c r="I82" s="44" t="s">
        <v>2215</v>
      </c>
    </row>
    <row r="83" spans="1:10" x14ac:dyDescent="0.3">
      <c r="B83" s="92">
        <v>44070</v>
      </c>
      <c r="C83" s="91">
        <v>8603865392</v>
      </c>
      <c r="D83" s="91"/>
      <c r="E83" s="91" t="s">
        <v>2223</v>
      </c>
      <c r="F83" s="91"/>
      <c r="G83" s="91"/>
      <c r="H83" s="93">
        <v>553394</v>
      </c>
      <c r="I83" s="94" t="s">
        <v>2222</v>
      </c>
    </row>
    <row r="84" spans="1:10" x14ac:dyDescent="0.3">
      <c r="B84" s="92">
        <v>44070</v>
      </c>
      <c r="C84" s="91">
        <v>9113767398</v>
      </c>
      <c r="D84" s="91"/>
      <c r="E84" s="91" t="s">
        <v>2225</v>
      </c>
      <c r="F84" s="91"/>
      <c r="G84" s="91"/>
      <c r="H84" s="93">
        <v>683774</v>
      </c>
      <c r="I84" s="94" t="s">
        <v>2224</v>
      </c>
    </row>
    <row r="85" spans="1:10" x14ac:dyDescent="0.3">
      <c r="B85" s="21">
        <v>44071</v>
      </c>
      <c r="C85">
        <v>7974017084</v>
      </c>
      <c r="E85" t="s">
        <v>2227</v>
      </c>
      <c r="H85" s="43">
        <v>725881</v>
      </c>
      <c r="I85" s="44" t="s">
        <v>2228</v>
      </c>
    </row>
    <row r="86" spans="1:10" x14ac:dyDescent="0.3">
      <c r="B86" s="21">
        <v>44072</v>
      </c>
      <c r="C86">
        <v>9304740210</v>
      </c>
      <c r="E86" t="s">
        <v>2233</v>
      </c>
      <c r="H86" s="43">
        <v>944423</v>
      </c>
      <c r="I86" s="44" t="s">
        <v>2234</v>
      </c>
    </row>
    <row r="87" spans="1:10" x14ac:dyDescent="0.3">
      <c r="B87" s="21">
        <v>44073</v>
      </c>
      <c r="E87" t="s">
        <v>2257</v>
      </c>
      <c r="H87" s="43">
        <v>239385</v>
      </c>
      <c r="I87" s="44" t="s">
        <v>2258</v>
      </c>
    </row>
    <row r="88" spans="1:10" x14ac:dyDescent="0.3">
      <c r="B88" s="21">
        <v>44074</v>
      </c>
      <c r="C88">
        <v>7004952868</v>
      </c>
      <c r="E88" t="s">
        <v>2243</v>
      </c>
      <c r="H88" s="43">
        <v>334825</v>
      </c>
      <c r="I88" s="44" t="s">
        <v>2244</v>
      </c>
    </row>
    <row r="89" spans="1:10" x14ac:dyDescent="0.3">
      <c r="B89" s="21">
        <v>44074</v>
      </c>
      <c r="C89">
        <v>8797286866</v>
      </c>
      <c r="E89" t="s">
        <v>2248</v>
      </c>
      <c r="H89" s="79" t="s">
        <v>2246</v>
      </c>
      <c r="I89" s="44" t="s">
        <v>2247</v>
      </c>
    </row>
    <row r="90" spans="1:10" x14ac:dyDescent="0.3">
      <c r="B90" s="21">
        <v>44074</v>
      </c>
      <c r="C90" s="127">
        <v>7261029254</v>
      </c>
      <c r="E90" t="s">
        <v>2259</v>
      </c>
      <c r="H90" s="43">
        <v>139624</v>
      </c>
      <c r="I90" s="44" t="s">
        <v>2260</v>
      </c>
    </row>
    <row r="91" spans="1:10" x14ac:dyDescent="0.3">
      <c r="B91" s="21">
        <v>44074</v>
      </c>
      <c r="C91">
        <v>9399379268</v>
      </c>
      <c r="E91" t="s">
        <v>2238</v>
      </c>
      <c r="H91" s="43">
        <v>948415</v>
      </c>
      <c r="I91" s="44" t="s">
        <v>2261</v>
      </c>
    </row>
    <row r="92" spans="1:10" x14ac:dyDescent="0.3">
      <c r="B92" s="21">
        <v>44074</v>
      </c>
      <c r="C92">
        <v>7987994452</v>
      </c>
      <c r="E92" t="s">
        <v>2262</v>
      </c>
      <c r="H92" s="43">
        <v>595663</v>
      </c>
      <c r="I92" s="44" t="s">
        <v>2263</v>
      </c>
    </row>
    <row r="93" spans="1:10" x14ac:dyDescent="0.3">
      <c r="B93" s="21">
        <v>44074</v>
      </c>
      <c r="E93" t="s">
        <v>2255</v>
      </c>
      <c r="G93" s="43" t="s">
        <v>2487</v>
      </c>
      <c r="H93" s="43">
        <v>281625</v>
      </c>
      <c r="I93" s="44" t="s">
        <v>2264</v>
      </c>
    </row>
    <row r="94" spans="1:10" x14ac:dyDescent="0.3">
      <c r="A94" s="22" t="s">
        <v>1930</v>
      </c>
      <c r="B94" s="21">
        <v>44074</v>
      </c>
      <c r="C94" s="127">
        <v>9680932095</v>
      </c>
      <c r="E94" t="s">
        <v>2265</v>
      </c>
      <c r="H94" s="43">
        <v>751546</v>
      </c>
      <c r="I94" s="44" t="s">
        <v>2266</v>
      </c>
    </row>
    <row r="95" spans="1:10" x14ac:dyDescent="0.3">
      <c r="B95" s="21">
        <v>44074</v>
      </c>
      <c r="E95" t="s">
        <v>2267</v>
      </c>
      <c r="H95" s="43">
        <v>752612</v>
      </c>
      <c r="I95" s="44" t="s">
        <v>2268</v>
      </c>
    </row>
    <row r="96" spans="1:10" x14ac:dyDescent="0.3">
      <c r="B96" s="21">
        <v>44046</v>
      </c>
      <c r="E96" t="s">
        <v>1498</v>
      </c>
      <c r="H96" s="43">
        <v>878327</v>
      </c>
      <c r="I96" s="44" t="s">
        <v>2269</v>
      </c>
    </row>
    <row r="97" spans="1:13" x14ac:dyDescent="0.3">
      <c r="B97" s="21">
        <v>44046</v>
      </c>
      <c r="E97" t="s">
        <v>2256</v>
      </c>
      <c r="H97" s="43">
        <v>234841</v>
      </c>
      <c r="I97" s="44" t="s">
        <v>2270</v>
      </c>
    </row>
    <row r="98" spans="1:13" s="77" customFormat="1" x14ac:dyDescent="0.3">
      <c r="A98" s="77" t="s">
        <v>1834</v>
      </c>
      <c r="B98" s="86">
        <v>44047</v>
      </c>
      <c r="C98" s="77">
        <v>8340268188</v>
      </c>
      <c r="E98" s="77" t="s">
        <v>2276</v>
      </c>
      <c r="G98" s="112" t="s">
        <v>2453</v>
      </c>
      <c r="H98" s="87">
        <v>831627</v>
      </c>
      <c r="I98" s="88" t="s">
        <v>2277</v>
      </c>
      <c r="J98" s="122" t="s">
        <v>2623</v>
      </c>
      <c r="K98" s="77" t="s">
        <v>2433</v>
      </c>
    </row>
    <row r="99" spans="1:13" x14ac:dyDescent="0.3">
      <c r="E99" t="s">
        <v>2281</v>
      </c>
    </row>
    <row r="100" spans="1:13" x14ac:dyDescent="0.3">
      <c r="A100" s="22" t="s">
        <v>1930</v>
      </c>
      <c r="B100" s="21">
        <v>44048</v>
      </c>
      <c r="C100" s="22">
        <v>7992351077</v>
      </c>
      <c r="E100" t="s">
        <v>2280</v>
      </c>
      <c r="H100" s="43">
        <v>228321</v>
      </c>
      <c r="I100" s="44" t="s">
        <v>2279</v>
      </c>
    </row>
    <row r="101" spans="1:13" x14ac:dyDescent="0.3">
      <c r="A101" s="22" t="s">
        <v>1930</v>
      </c>
      <c r="B101" s="21">
        <v>44080</v>
      </c>
      <c r="C101">
        <v>7000239172</v>
      </c>
      <c r="E101" t="s">
        <v>2155</v>
      </c>
      <c r="H101" s="43" t="s">
        <v>2293</v>
      </c>
      <c r="I101" s="79">
        <v>781614</v>
      </c>
      <c r="L101" s="43" t="s">
        <v>2293</v>
      </c>
      <c r="M101" s="79">
        <v>781614</v>
      </c>
    </row>
    <row r="102" spans="1:13" x14ac:dyDescent="0.3">
      <c r="A102" s="22" t="s">
        <v>1930</v>
      </c>
      <c r="B102" s="21">
        <v>44062</v>
      </c>
      <c r="E102" t="s">
        <v>2296</v>
      </c>
      <c r="H102" s="43" t="s">
        <v>2297</v>
      </c>
      <c r="I102" s="22">
        <v>944222</v>
      </c>
    </row>
    <row r="103" spans="1:13" x14ac:dyDescent="0.3">
      <c r="A103" s="22" t="s">
        <v>1930</v>
      </c>
      <c r="B103" s="21">
        <v>44081</v>
      </c>
      <c r="C103">
        <v>9031148335</v>
      </c>
      <c r="E103" t="s">
        <v>953</v>
      </c>
      <c r="H103" s="43">
        <v>987674</v>
      </c>
      <c r="I103" s="44" t="s">
        <v>2298</v>
      </c>
    </row>
    <row r="104" spans="1:13" x14ac:dyDescent="0.3">
      <c r="A104" s="22" t="s">
        <v>1930</v>
      </c>
      <c r="B104" s="21">
        <v>44082</v>
      </c>
      <c r="C104" s="27">
        <v>8789563045</v>
      </c>
      <c r="E104" t="s">
        <v>2310</v>
      </c>
      <c r="H104" s="43">
        <v>272972</v>
      </c>
      <c r="I104" s="44" t="s">
        <v>2311</v>
      </c>
    </row>
    <row r="105" spans="1:13" s="1" customFormat="1" x14ac:dyDescent="0.3">
      <c r="B105" s="138"/>
      <c r="C105" s="139" t="s">
        <v>2621</v>
      </c>
      <c r="E105" s="1" t="s">
        <v>34</v>
      </c>
      <c r="H105" s="73" t="s">
        <v>2588</v>
      </c>
      <c r="I105" s="140" t="s">
        <v>2594</v>
      </c>
      <c r="J105" s="141" t="s">
        <v>2623</v>
      </c>
    </row>
    <row r="106" spans="1:13" x14ac:dyDescent="0.3">
      <c r="A106" s="22" t="s">
        <v>2088</v>
      </c>
      <c r="B106" s="21">
        <v>44083</v>
      </c>
      <c r="C106">
        <v>8092231804</v>
      </c>
      <c r="E106" t="s">
        <v>2356</v>
      </c>
      <c r="H106" s="43">
        <v>881321</v>
      </c>
      <c r="I106" s="44" t="s">
        <v>2357</v>
      </c>
    </row>
    <row r="107" spans="1:13" x14ac:dyDescent="0.3">
      <c r="A107" s="22" t="s">
        <v>1930</v>
      </c>
      <c r="B107" s="21">
        <v>44083</v>
      </c>
      <c r="C107">
        <v>7004659232</v>
      </c>
      <c r="E107" t="s">
        <v>2358</v>
      </c>
      <c r="H107" s="43">
        <v>613223</v>
      </c>
      <c r="I107" s="44" t="s">
        <v>2359</v>
      </c>
    </row>
    <row r="108" spans="1:13" x14ac:dyDescent="0.3">
      <c r="B108" s="21">
        <v>44082</v>
      </c>
      <c r="C108" s="22">
        <v>9279014813</v>
      </c>
      <c r="E108" s="22" t="s">
        <v>2360</v>
      </c>
      <c r="H108" s="43">
        <v>145356</v>
      </c>
      <c r="I108" s="22">
        <v>751912</v>
      </c>
    </row>
    <row r="109" spans="1:13" x14ac:dyDescent="0.3">
      <c r="A109" s="22" t="s">
        <v>2088</v>
      </c>
      <c r="B109" s="21">
        <v>44087</v>
      </c>
      <c r="C109">
        <v>7762017864</v>
      </c>
      <c r="E109" t="s">
        <v>2371</v>
      </c>
      <c r="H109" s="43" t="s">
        <v>2369</v>
      </c>
      <c r="I109" s="44" t="s">
        <v>2370</v>
      </c>
      <c r="M109" s="44"/>
    </row>
    <row r="110" spans="1:13" x14ac:dyDescent="0.3">
      <c r="C110">
        <v>620</v>
      </c>
      <c r="E110" t="s">
        <v>2372</v>
      </c>
      <c r="H110" s="43">
        <v>288325</v>
      </c>
      <c r="I110" s="44" t="s">
        <v>2373</v>
      </c>
    </row>
    <row r="111" spans="1:13" x14ac:dyDescent="0.3">
      <c r="A111" s="22" t="s">
        <v>1930</v>
      </c>
      <c r="B111" s="21">
        <v>44088</v>
      </c>
      <c r="C111">
        <v>8789527366</v>
      </c>
      <c r="E111" t="s">
        <v>2374</v>
      </c>
      <c r="H111" s="43">
        <v>632633</v>
      </c>
      <c r="I111" s="44" t="s">
        <v>2375</v>
      </c>
    </row>
    <row r="112" spans="1:13" x14ac:dyDescent="0.3">
      <c r="A112" s="182" t="s">
        <v>2088</v>
      </c>
      <c r="B112" s="183">
        <v>44088</v>
      </c>
      <c r="C112" s="186">
        <v>7000239171</v>
      </c>
      <c r="D112" s="182"/>
      <c r="E112" s="182" t="s">
        <v>2382</v>
      </c>
      <c r="F112" s="182"/>
      <c r="G112" s="182"/>
      <c r="H112" s="184">
        <v>954447</v>
      </c>
      <c r="I112" s="185" t="s">
        <v>2383</v>
      </c>
    </row>
    <row r="113" spans="1:10" x14ac:dyDescent="0.3">
      <c r="A113" s="22" t="s">
        <v>1930</v>
      </c>
      <c r="B113" s="21">
        <v>44089</v>
      </c>
      <c r="C113">
        <v>9955844105</v>
      </c>
      <c r="E113" t="s">
        <v>2384</v>
      </c>
      <c r="H113" s="43">
        <v>184367</v>
      </c>
      <c r="I113" s="44" t="s">
        <v>2385</v>
      </c>
    </row>
    <row r="114" spans="1:10" x14ac:dyDescent="0.3">
      <c r="A114" s="22" t="s">
        <v>1930</v>
      </c>
      <c r="B114" s="21">
        <v>44089</v>
      </c>
      <c r="C114">
        <v>9334264115</v>
      </c>
      <c r="E114" t="s">
        <v>2388</v>
      </c>
      <c r="H114" s="43" t="s">
        <v>2386</v>
      </c>
      <c r="I114" s="44" t="s">
        <v>2387</v>
      </c>
    </row>
    <row r="115" spans="1:10" x14ac:dyDescent="0.3">
      <c r="A115" s="22" t="s">
        <v>2389</v>
      </c>
      <c r="B115" s="21">
        <v>44089</v>
      </c>
      <c r="C115">
        <v>7079576311</v>
      </c>
      <c r="E115" s="22" t="s">
        <v>2384</v>
      </c>
      <c r="H115" s="43" t="s">
        <v>2390</v>
      </c>
      <c r="I115" s="44" t="s">
        <v>2391</v>
      </c>
    </row>
    <row r="116" spans="1:10" s="75" customFormat="1" x14ac:dyDescent="0.3">
      <c r="A116" s="91" t="s">
        <v>1930</v>
      </c>
      <c r="B116" s="92">
        <v>44091</v>
      </c>
      <c r="C116" s="91">
        <v>8789440483</v>
      </c>
      <c r="D116" s="91">
        <v>199</v>
      </c>
      <c r="E116" s="91" t="s">
        <v>2399</v>
      </c>
      <c r="F116" s="91"/>
      <c r="G116" s="91"/>
      <c r="H116" s="93">
        <v>686917</v>
      </c>
      <c r="I116" s="94" t="s">
        <v>2400</v>
      </c>
      <c r="J116" s="122"/>
    </row>
    <row r="117" spans="1:10" s="75" customFormat="1" x14ac:dyDescent="0.3">
      <c r="A117" s="91" t="s">
        <v>1930</v>
      </c>
      <c r="B117" s="92">
        <v>44091</v>
      </c>
      <c r="C117" s="91">
        <v>7061935185</v>
      </c>
      <c r="D117" s="91">
        <v>199</v>
      </c>
      <c r="E117" s="91" t="s">
        <v>2399</v>
      </c>
      <c r="F117" s="91"/>
      <c r="G117" s="91"/>
      <c r="H117" s="93" t="s">
        <v>2401</v>
      </c>
      <c r="I117" s="94" t="s">
        <v>2402</v>
      </c>
      <c r="J117" s="122"/>
    </row>
    <row r="118" spans="1:10" s="75" customFormat="1" x14ac:dyDescent="0.3">
      <c r="A118" s="91" t="s">
        <v>2405</v>
      </c>
      <c r="B118" s="92">
        <v>44091</v>
      </c>
      <c r="C118" s="91"/>
      <c r="D118" s="91" t="s">
        <v>2406</v>
      </c>
      <c r="E118" s="91" t="s">
        <v>2399</v>
      </c>
      <c r="F118" s="91"/>
      <c r="G118" s="91"/>
      <c r="H118" s="180" t="s">
        <v>2404</v>
      </c>
      <c r="I118" s="91">
        <v>192672</v>
      </c>
      <c r="J118" s="122"/>
    </row>
    <row r="119" spans="1:10" s="91" customFormat="1" x14ac:dyDescent="0.3">
      <c r="A119" s="91" t="s">
        <v>1834</v>
      </c>
      <c r="B119" s="92">
        <v>44091</v>
      </c>
      <c r="C119" s="91">
        <v>7209978935</v>
      </c>
      <c r="D119" s="91">
        <v>249</v>
      </c>
      <c r="E119" s="91" t="s">
        <v>2408</v>
      </c>
      <c r="H119" s="93">
        <v>919459</v>
      </c>
      <c r="I119" s="94" t="s">
        <v>2409</v>
      </c>
      <c r="J119" s="122" t="s">
        <v>2623</v>
      </c>
    </row>
    <row r="120" spans="1:10" x14ac:dyDescent="0.3">
      <c r="A120" s="22" t="s">
        <v>2421</v>
      </c>
      <c r="B120" s="21">
        <v>44092</v>
      </c>
      <c r="C120">
        <v>9204702568</v>
      </c>
      <c r="D120">
        <v>799</v>
      </c>
      <c r="E120" t="s">
        <v>2420</v>
      </c>
      <c r="H120" s="79" t="s">
        <v>2419</v>
      </c>
      <c r="I120" s="79">
        <v>761628</v>
      </c>
    </row>
    <row r="121" spans="1:10" x14ac:dyDescent="0.3">
      <c r="A121" s="22" t="s">
        <v>2421</v>
      </c>
      <c r="B121" s="21">
        <v>44093</v>
      </c>
      <c r="C121">
        <v>7903634461</v>
      </c>
      <c r="D121">
        <v>799</v>
      </c>
      <c r="E121" t="s">
        <v>2422</v>
      </c>
      <c r="H121" s="43">
        <v>896631</v>
      </c>
      <c r="I121" s="44" t="s">
        <v>2423</v>
      </c>
    </row>
    <row r="122" spans="1:10" x14ac:dyDescent="0.3">
      <c r="A122" s="22" t="s">
        <v>2389</v>
      </c>
      <c r="B122" s="21">
        <v>44093</v>
      </c>
      <c r="C122" s="22">
        <v>8092156768</v>
      </c>
      <c r="D122" s="22">
        <v>799</v>
      </c>
      <c r="E122" s="22" t="s">
        <v>2356</v>
      </c>
      <c r="H122" s="43" t="s">
        <v>2429</v>
      </c>
      <c r="I122" s="44" t="s">
        <v>2430</v>
      </c>
    </row>
    <row r="123" spans="1:10" x14ac:dyDescent="0.3">
      <c r="A123" s="91" t="s">
        <v>1930</v>
      </c>
      <c r="B123" s="92">
        <v>44093</v>
      </c>
      <c r="C123" s="91">
        <v>6299852058</v>
      </c>
      <c r="D123" s="91">
        <v>799</v>
      </c>
      <c r="E123" s="91" t="s">
        <v>557</v>
      </c>
      <c r="F123" s="91"/>
      <c r="G123" s="91"/>
      <c r="H123" s="181" t="s">
        <v>2431</v>
      </c>
      <c r="I123" s="181">
        <v>724586</v>
      </c>
    </row>
    <row r="124" spans="1:10" x14ac:dyDescent="0.3">
      <c r="A124" s="22" t="s">
        <v>1930</v>
      </c>
      <c r="B124" s="21">
        <v>44093</v>
      </c>
      <c r="C124">
        <v>7903336778</v>
      </c>
      <c r="D124">
        <v>799</v>
      </c>
      <c r="E124" t="s">
        <v>2437</v>
      </c>
      <c r="G124" s="79" t="s">
        <v>2419</v>
      </c>
      <c r="H124" s="43">
        <v>774139</v>
      </c>
      <c r="I124" s="44" t="s">
        <v>2438</v>
      </c>
    </row>
    <row r="125" spans="1:10" x14ac:dyDescent="0.3">
      <c r="A125" s="22" t="s">
        <v>1930</v>
      </c>
      <c r="B125" s="21">
        <v>44094</v>
      </c>
      <c r="C125">
        <v>9031059999</v>
      </c>
      <c r="D125" s="22">
        <v>799</v>
      </c>
      <c r="E125" t="s">
        <v>2443</v>
      </c>
      <c r="H125" s="43">
        <v>555139</v>
      </c>
      <c r="I125" s="44" t="s">
        <v>2446</v>
      </c>
    </row>
    <row r="126" spans="1:10" x14ac:dyDescent="0.3">
      <c r="A126" s="22" t="s">
        <v>1930</v>
      </c>
      <c r="B126" s="21">
        <v>44094</v>
      </c>
      <c r="C126">
        <v>8340180863</v>
      </c>
      <c r="D126" s="22">
        <v>799</v>
      </c>
      <c r="E126" t="s">
        <v>2444</v>
      </c>
      <c r="H126" s="43">
        <v>884475</v>
      </c>
      <c r="I126" s="44" t="s">
        <v>2445</v>
      </c>
    </row>
    <row r="127" spans="1:10" x14ac:dyDescent="0.3">
      <c r="A127" s="22" t="s">
        <v>2389</v>
      </c>
      <c r="B127" s="21">
        <v>44094</v>
      </c>
      <c r="C127" s="22">
        <v>9955687380</v>
      </c>
      <c r="D127" s="22">
        <v>799</v>
      </c>
      <c r="E127" s="22" t="s">
        <v>2447</v>
      </c>
      <c r="F127" s="27"/>
      <c r="H127" s="43">
        <v>935615</v>
      </c>
      <c r="I127" s="44" t="s">
        <v>2448</v>
      </c>
    </row>
    <row r="128" spans="1:10" x14ac:dyDescent="0.3">
      <c r="A128" s="22" t="s">
        <v>2421</v>
      </c>
      <c r="B128" s="21">
        <v>44098</v>
      </c>
      <c r="C128">
        <v>9142467030</v>
      </c>
      <c r="D128">
        <v>799</v>
      </c>
      <c r="E128" t="s">
        <v>2457</v>
      </c>
      <c r="H128" s="43" t="s">
        <v>2455</v>
      </c>
      <c r="I128" s="44" t="s">
        <v>2456</v>
      </c>
    </row>
    <row r="129" spans="1:12" x14ac:dyDescent="0.3">
      <c r="A129" s="22" t="s">
        <v>2389</v>
      </c>
      <c r="B129" s="21">
        <v>44099</v>
      </c>
      <c r="C129">
        <v>9934848752</v>
      </c>
      <c r="D129">
        <v>799</v>
      </c>
      <c r="E129" t="s">
        <v>2459</v>
      </c>
      <c r="H129" s="43">
        <v>973693</v>
      </c>
      <c r="I129" s="44" t="s">
        <v>2460</v>
      </c>
    </row>
    <row r="130" spans="1:12" x14ac:dyDescent="0.3">
      <c r="A130" s="91" t="s">
        <v>2421</v>
      </c>
      <c r="B130" s="92">
        <v>44101</v>
      </c>
      <c r="C130" s="91">
        <v>8798239574</v>
      </c>
      <c r="D130" s="91">
        <v>1096</v>
      </c>
      <c r="E130" s="91" t="s">
        <v>2463</v>
      </c>
      <c r="F130" s="91"/>
      <c r="G130" s="91"/>
      <c r="H130" s="93">
        <v>729756</v>
      </c>
      <c r="I130" s="94" t="s">
        <v>2464</v>
      </c>
    </row>
    <row r="131" spans="1:12" x14ac:dyDescent="0.3">
      <c r="A131" s="22" t="s">
        <v>2485</v>
      </c>
      <c r="B131" s="27" t="s">
        <v>2486</v>
      </c>
      <c r="C131">
        <v>7319799147</v>
      </c>
      <c r="D131">
        <v>799</v>
      </c>
      <c r="E131" t="s">
        <v>880</v>
      </c>
      <c r="H131" s="43">
        <v>564347</v>
      </c>
      <c r="I131" s="44" t="s">
        <v>2484</v>
      </c>
    </row>
    <row r="132" spans="1:12" x14ac:dyDescent="0.3">
      <c r="A132" s="22" t="s">
        <v>2088</v>
      </c>
      <c r="B132" s="21">
        <v>44104</v>
      </c>
      <c r="C132" s="127">
        <v>9031000171</v>
      </c>
      <c r="D132">
        <v>1096</v>
      </c>
      <c r="E132" t="s">
        <v>2482</v>
      </c>
      <c r="H132" s="43">
        <v>362866</v>
      </c>
      <c r="I132" s="44" t="s">
        <v>2483</v>
      </c>
    </row>
    <row r="133" spans="1:12" s="22" customFormat="1" x14ac:dyDescent="0.3">
      <c r="A133" s="22" t="s">
        <v>2088</v>
      </c>
      <c r="B133" s="21">
        <v>44104</v>
      </c>
      <c r="C133" s="22">
        <v>9693750275</v>
      </c>
      <c r="E133" s="22" t="s">
        <v>2548</v>
      </c>
      <c r="H133" s="43">
        <v>433933</v>
      </c>
      <c r="I133" s="44" t="s">
        <v>2549</v>
      </c>
      <c r="J133" s="122"/>
    </row>
    <row r="134" spans="1:12" x14ac:dyDescent="0.3">
      <c r="A134" s="22" t="s">
        <v>2421</v>
      </c>
      <c r="B134" s="21">
        <v>44107</v>
      </c>
      <c r="C134">
        <v>6206792470</v>
      </c>
      <c r="D134">
        <v>899</v>
      </c>
      <c r="E134" t="s">
        <v>2478</v>
      </c>
      <c r="H134" s="43">
        <v>812611</v>
      </c>
      <c r="I134" s="44" t="s">
        <v>2479</v>
      </c>
    </row>
    <row r="135" spans="1:12" x14ac:dyDescent="0.3">
      <c r="A135" s="91" t="s">
        <v>2421</v>
      </c>
      <c r="B135" s="92">
        <v>44107</v>
      </c>
      <c r="C135" s="91">
        <v>9123261501</v>
      </c>
      <c r="D135" s="91">
        <v>899</v>
      </c>
      <c r="E135" s="91" t="s">
        <v>2480</v>
      </c>
      <c r="F135" s="91"/>
      <c r="G135" s="91"/>
      <c r="H135" s="93">
        <v>385174</v>
      </c>
      <c r="I135" s="94" t="s">
        <v>2481</v>
      </c>
      <c r="L135">
        <f>(18000/1.18)*2.5/100</f>
        <v>381.35593220338984</v>
      </c>
    </row>
    <row r="136" spans="1:12" x14ac:dyDescent="0.3">
      <c r="A136" s="22" t="s">
        <v>2421</v>
      </c>
      <c r="B136" s="21">
        <v>44107</v>
      </c>
      <c r="C136">
        <v>7667497635</v>
      </c>
      <c r="D136">
        <v>899</v>
      </c>
      <c r="E136" t="s">
        <v>2488</v>
      </c>
      <c r="H136" s="43">
        <v>829916</v>
      </c>
      <c r="I136" s="44" t="s">
        <v>2489</v>
      </c>
    </row>
    <row r="137" spans="1:12" x14ac:dyDescent="0.3">
      <c r="C137">
        <v>8797946237</v>
      </c>
      <c r="D137">
        <v>799</v>
      </c>
      <c r="E137" t="s">
        <v>2510</v>
      </c>
      <c r="H137" s="43" t="s">
        <v>2511</v>
      </c>
      <c r="I137" s="44" t="s">
        <v>2512</v>
      </c>
    </row>
    <row r="138" spans="1:12" x14ac:dyDescent="0.3">
      <c r="A138" s="22" t="s">
        <v>1930</v>
      </c>
      <c r="C138">
        <v>9142510639</v>
      </c>
      <c r="D138">
        <v>899</v>
      </c>
      <c r="E138" s="132" t="s">
        <v>2510</v>
      </c>
      <c r="H138" s="43" t="s">
        <v>2513</v>
      </c>
      <c r="I138" s="44" t="s">
        <v>2514</v>
      </c>
    </row>
    <row r="139" spans="1:12" x14ac:dyDescent="0.3">
      <c r="A139" s="22" t="s">
        <v>2114</v>
      </c>
      <c r="B139" s="21">
        <v>44114</v>
      </c>
      <c r="C139">
        <v>9641015512</v>
      </c>
      <c r="D139">
        <v>899</v>
      </c>
      <c r="E139" t="s">
        <v>2522</v>
      </c>
      <c r="H139" s="43">
        <v>254738</v>
      </c>
      <c r="I139" s="44" t="s">
        <v>2523</v>
      </c>
    </row>
    <row r="140" spans="1:12" x14ac:dyDescent="0.3">
      <c r="B140" s="21">
        <v>44068</v>
      </c>
      <c r="E140" t="s">
        <v>2219</v>
      </c>
      <c r="H140" s="43">
        <v>776524</v>
      </c>
    </row>
    <row r="141" spans="1:12" x14ac:dyDescent="0.3">
      <c r="A141" s="22" t="s">
        <v>2114</v>
      </c>
      <c r="B141" s="21">
        <v>44116</v>
      </c>
      <c r="C141" s="127">
        <v>9062463078</v>
      </c>
      <c r="E141" t="s">
        <v>1164</v>
      </c>
      <c r="H141" s="43">
        <v>219813</v>
      </c>
      <c r="I141" s="44" t="s">
        <v>2525</v>
      </c>
    </row>
    <row r="142" spans="1:12" x14ac:dyDescent="0.3">
      <c r="A142" s="22" t="s">
        <v>1930</v>
      </c>
      <c r="B142" s="21">
        <v>44116</v>
      </c>
      <c r="C142" s="22">
        <v>6203130343</v>
      </c>
      <c r="E142" t="s">
        <v>2536</v>
      </c>
      <c r="H142" s="43">
        <v>799655</v>
      </c>
      <c r="I142" s="44" t="s">
        <v>2537</v>
      </c>
    </row>
    <row r="143" spans="1:12" x14ac:dyDescent="0.3">
      <c r="A143" s="22" t="s">
        <v>1930</v>
      </c>
      <c r="C143">
        <v>9304470189</v>
      </c>
      <c r="E143" t="s">
        <v>2602</v>
      </c>
      <c r="H143" s="43" t="s">
        <v>2591</v>
      </c>
      <c r="I143" s="44" t="s">
        <v>2592</v>
      </c>
    </row>
    <row r="144" spans="1:12" x14ac:dyDescent="0.3">
      <c r="C144" t="s">
        <v>2595</v>
      </c>
      <c r="E144" t="s">
        <v>2723</v>
      </c>
      <c r="H144" s="43" t="s">
        <v>2593</v>
      </c>
      <c r="I144" s="44" t="s">
        <v>2594</v>
      </c>
    </row>
    <row r="145" spans="5:9" x14ac:dyDescent="0.3">
      <c r="E145" t="s">
        <v>2457</v>
      </c>
      <c r="H145" s="43" t="s">
        <v>2455</v>
      </c>
      <c r="I145" s="44" t="s">
        <v>2456</v>
      </c>
    </row>
    <row r="151" spans="5:9" x14ac:dyDescent="0.3">
      <c r="F151">
        <v>1400</v>
      </c>
    </row>
  </sheetData>
  <customSheetViews>
    <customSheetView guid="{A0CE3161-5061-442F-A27F-2BA55581F316}" topLeftCell="C122">
      <selection activeCell="C131" sqref="C131"/>
      <pageMargins left="0.7" right="0.7" top="0.75" bottom="0.75" header="0.3" footer="0.3"/>
      <pageSetup paperSize="9" orientation="portrait" r:id="rId1"/>
    </customSheetView>
    <customSheetView guid="{2FF9BCA9-095C-4E73-9C86-2243907C0824}" topLeftCell="C122">
      <selection activeCell="C131" sqref="C131"/>
      <pageMargins left="0.7" right="0.7" top="0.75" bottom="0.75" header="0.3" footer="0.3"/>
      <pageSetup paperSize="9" orientation="portrait" r:id="rId2"/>
    </customSheetView>
    <customSheetView guid="{EB31AAB7-3CD3-47EA-8FB3-E6304DCC89B3}" topLeftCell="C122">
      <selection activeCell="C131" sqref="C131"/>
      <pageMargins left="0.7" right="0.7" top="0.75" bottom="0.75" header="0.3" footer="0.3"/>
      <pageSetup paperSize="9" orientation="portrait" r:id="rId3"/>
    </customSheetView>
    <customSheetView guid="{1459FC0D-58BA-4BEC-951C-298999986759}" topLeftCell="C122">
      <selection activeCell="C131" sqref="C131"/>
      <pageMargins left="0.7" right="0.7" top="0.75" bottom="0.75" header="0.3" footer="0.3"/>
      <pageSetup paperSize="9" orientation="portrait" r:id="rId4"/>
    </customSheetView>
  </customSheetViews>
  <hyperlinks>
    <hyperlink ref="F18" r:id="rId5" xr:uid="{00000000-0004-0000-0300-000000000000}"/>
    <hyperlink ref="F2" r:id="rId6" xr:uid="{00000000-0004-0000-0300-000001000000}"/>
    <hyperlink ref="F19" r:id="rId7" xr:uid="{00000000-0004-0000-0300-000002000000}"/>
    <hyperlink ref="F29" r:id="rId8" xr:uid="{00000000-0004-0000-0300-000003000000}"/>
    <hyperlink ref="F71" r:id="rId9" xr:uid="{00000000-0004-0000-0300-000004000000}"/>
  </hyperlinks>
  <pageMargins left="0.7" right="0.7" top="0.75" bottom="0.75" header="0.3" footer="0.3"/>
  <pageSetup paperSize="9"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1"/>
  <sheetViews>
    <sheetView zoomScaleNormal="100" workbookViewId="0">
      <pane ySplit="1" topLeftCell="A21" activePane="bottomLeft" state="frozen"/>
      <selection pane="bottomLeft" activeCell="G1" sqref="G1"/>
    </sheetView>
  </sheetViews>
  <sheetFormatPr defaultRowHeight="15" x14ac:dyDescent="0.25"/>
  <cols>
    <col min="1" max="1" width="8.85546875" style="27"/>
    <col min="2" max="2" width="8.85546875" style="22"/>
    <col min="3" max="3" width="12.85546875" customWidth="1"/>
    <col min="4" max="4" width="12.28515625" style="27" customWidth="1"/>
    <col min="5" max="5" width="11.7109375" style="27" customWidth="1"/>
    <col min="6" max="6" width="17.140625" style="27" customWidth="1"/>
    <col min="7" max="7" width="25.28515625" customWidth="1"/>
    <col min="8" max="8" width="12.42578125" style="2" customWidth="1"/>
    <col min="9" max="9" width="11.7109375" customWidth="1"/>
    <col min="10" max="13" width="11.7109375" style="43" customWidth="1"/>
    <col min="14" max="14" width="7" style="4" customWidth="1"/>
    <col min="15" max="15" width="13.28515625" customWidth="1"/>
    <col min="16" max="16" width="9.140625" style="4"/>
    <col min="18" max="18" width="12.5703125" customWidth="1"/>
    <col min="19" max="19" width="10.7109375" customWidth="1"/>
  </cols>
  <sheetData>
    <row r="1" spans="1:18" s="75" customFormat="1" x14ac:dyDescent="0.25">
      <c r="A1" s="81" t="s">
        <v>2292</v>
      </c>
      <c r="B1" s="75" t="s">
        <v>2089</v>
      </c>
      <c r="C1" s="75" t="s">
        <v>2090</v>
      </c>
      <c r="D1" s="81" t="s">
        <v>2092</v>
      </c>
      <c r="E1" s="81" t="s">
        <v>2093</v>
      </c>
      <c r="F1" s="81" t="s">
        <v>2403</v>
      </c>
      <c r="G1" s="75" t="s">
        <v>2091</v>
      </c>
      <c r="H1" s="123" t="s">
        <v>233</v>
      </c>
      <c r="J1" s="43"/>
      <c r="K1" s="43"/>
      <c r="L1" s="43"/>
      <c r="M1" s="43"/>
      <c r="N1" s="135"/>
      <c r="P1" s="135"/>
    </row>
    <row r="2" spans="1:18" x14ac:dyDescent="0.25">
      <c r="A2" s="27">
        <v>1</v>
      </c>
      <c r="B2" s="22" t="s">
        <v>2410</v>
      </c>
      <c r="C2" s="22">
        <v>3019627798</v>
      </c>
      <c r="D2" s="21">
        <v>44092</v>
      </c>
      <c r="E2" s="21">
        <f>D2+29</f>
        <v>44121</v>
      </c>
      <c r="F2" s="27" t="s">
        <v>2655</v>
      </c>
      <c r="G2" s="22" t="s">
        <v>2399</v>
      </c>
      <c r="H2" s="2" t="s">
        <v>2404</v>
      </c>
      <c r="I2" s="22">
        <v>192672</v>
      </c>
      <c r="J2" s="43" t="s">
        <v>2656</v>
      </c>
      <c r="O2" s="22"/>
    </row>
    <row r="3" spans="1:18" x14ac:dyDescent="0.25">
      <c r="A3" s="27">
        <v>4</v>
      </c>
      <c r="B3" s="22" t="s">
        <v>1930</v>
      </c>
      <c r="C3" s="22">
        <v>8709981527</v>
      </c>
      <c r="D3" s="21">
        <v>44101</v>
      </c>
      <c r="E3" s="21">
        <f t="shared" ref="E3:E24" si="0">D3+28</f>
        <v>44129</v>
      </c>
      <c r="F3" s="21"/>
      <c r="G3" s="22" t="s">
        <v>2236</v>
      </c>
      <c r="H3" s="2" t="s">
        <v>2657</v>
      </c>
      <c r="I3" s="22">
        <v>51920</v>
      </c>
      <c r="J3" s="43" t="s">
        <v>2656</v>
      </c>
      <c r="O3" s="22"/>
    </row>
    <row r="4" spans="1:18" x14ac:dyDescent="0.25">
      <c r="A4" s="139">
        <v>4</v>
      </c>
      <c r="B4" s="1" t="s">
        <v>2088</v>
      </c>
      <c r="C4" s="1">
        <v>9263870905</v>
      </c>
      <c r="D4" s="138">
        <v>44106</v>
      </c>
      <c r="E4" s="138">
        <f t="shared" si="0"/>
        <v>44134</v>
      </c>
      <c r="F4" s="138"/>
      <c r="G4" s="1" t="s">
        <v>1860</v>
      </c>
      <c r="H4" s="149">
        <v>25924</v>
      </c>
      <c r="I4" s="140" t="s">
        <v>1861</v>
      </c>
      <c r="J4" s="43" t="s">
        <v>2656</v>
      </c>
      <c r="O4" s="22"/>
    </row>
    <row r="5" spans="1:18" x14ac:dyDescent="0.25">
      <c r="A5" s="27">
        <v>4</v>
      </c>
      <c r="B5" s="22" t="s">
        <v>2114</v>
      </c>
      <c r="C5" s="22">
        <v>9031606926</v>
      </c>
      <c r="D5" s="21">
        <v>44109</v>
      </c>
      <c r="E5" s="21">
        <f t="shared" si="0"/>
        <v>44137</v>
      </c>
      <c r="F5" s="21"/>
      <c r="G5" s="22" t="s">
        <v>1862</v>
      </c>
      <c r="H5" s="2" t="s">
        <v>2113</v>
      </c>
      <c r="I5" s="44" t="s">
        <v>1864</v>
      </c>
      <c r="J5" s="43" t="s">
        <v>2656</v>
      </c>
      <c r="O5" s="144">
        <v>31786</v>
      </c>
      <c r="P5" s="98">
        <v>387632</v>
      </c>
    </row>
    <row r="6" spans="1:18" x14ac:dyDescent="0.25">
      <c r="A6" s="27">
        <v>4</v>
      </c>
      <c r="B6" s="22" t="s">
        <v>1930</v>
      </c>
      <c r="C6" s="22">
        <v>9955500684</v>
      </c>
      <c r="D6" s="21">
        <v>44110</v>
      </c>
      <c r="E6" s="21">
        <f t="shared" si="0"/>
        <v>44138</v>
      </c>
      <c r="F6" s="27">
        <v>199</v>
      </c>
      <c r="G6" s="22" t="s">
        <v>1836</v>
      </c>
      <c r="H6" s="43">
        <v>45869</v>
      </c>
      <c r="I6" s="44" t="s">
        <v>1841</v>
      </c>
      <c r="J6" s="43" t="s">
        <v>2656</v>
      </c>
      <c r="O6" s="22"/>
    </row>
    <row r="7" spans="1:18" x14ac:dyDescent="0.25">
      <c r="A7" s="27">
        <v>4</v>
      </c>
      <c r="B7" s="22" t="s">
        <v>2088</v>
      </c>
      <c r="C7" s="22">
        <v>9031382335</v>
      </c>
      <c r="D7" s="21">
        <v>44112</v>
      </c>
      <c r="E7" s="21">
        <f t="shared" si="0"/>
        <v>44140</v>
      </c>
      <c r="F7" s="21"/>
      <c r="G7" s="22" t="s">
        <v>2140</v>
      </c>
      <c r="H7" s="43">
        <v>68166</v>
      </c>
      <c r="I7" s="44" t="s">
        <v>2033</v>
      </c>
      <c r="J7" s="43" t="s">
        <v>2656</v>
      </c>
      <c r="N7" s="136"/>
      <c r="O7" s="22"/>
    </row>
    <row r="8" spans="1:18" x14ac:dyDescent="0.25">
      <c r="A8" s="139">
        <v>4</v>
      </c>
      <c r="B8" s="1" t="s">
        <v>2088</v>
      </c>
      <c r="C8" s="1">
        <v>7295023315</v>
      </c>
      <c r="D8" s="138">
        <v>44112</v>
      </c>
      <c r="E8" s="138">
        <f t="shared" si="0"/>
        <v>44140</v>
      </c>
      <c r="F8" s="138"/>
      <c r="G8" s="1" t="s">
        <v>1882</v>
      </c>
      <c r="H8" s="149">
        <v>84914</v>
      </c>
      <c r="I8" s="140" t="s">
        <v>1883</v>
      </c>
      <c r="J8" s="43" t="s">
        <v>2656</v>
      </c>
      <c r="L8" s="167">
        <v>2800</v>
      </c>
      <c r="N8" s="137"/>
      <c r="O8" s="73">
        <v>68166</v>
      </c>
      <c r="P8" s="44" t="s">
        <v>2033</v>
      </c>
      <c r="R8">
        <f>1193*1.18</f>
        <v>1407.74</v>
      </c>
    </row>
    <row r="9" spans="1:18" x14ac:dyDescent="0.25">
      <c r="A9" s="139">
        <v>3</v>
      </c>
      <c r="B9" s="1" t="s">
        <v>1931</v>
      </c>
      <c r="C9" s="161">
        <v>9431380759</v>
      </c>
      <c r="D9" s="138">
        <v>44112</v>
      </c>
      <c r="E9" s="138">
        <f t="shared" si="0"/>
        <v>44140</v>
      </c>
      <c r="F9" s="139"/>
      <c r="G9" s="1" t="s">
        <v>1860</v>
      </c>
      <c r="H9" s="150">
        <v>39542</v>
      </c>
      <c r="I9" s="140" t="s">
        <v>2137</v>
      </c>
      <c r="J9" s="43" t="s">
        <v>2656</v>
      </c>
      <c r="L9" s="167">
        <f>400+400+150+150+200</f>
        <v>1300</v>
      </c>
      <c r="O9" s="73"/>
      <c r="P9" s="44"/>
      <c r="R9">
        <f>1193*2.5/100</f>
        <v>29.824999999999999</v>
      </c>
    </row>
    <row r="10" spans="1:18" x14ac:dyDescent="0.25">
      <c r="A10" s="27">
        <v>3</v>
      </c>
      <c r="B10" s="22" t="s">
        <v>2114</v>
      </c>
      <c r="C10" s="22">
        <v>7003637761</v>
      </c>
      <c r="D10" s="21">
        <v>44114</v>
      </c>
      <c r="E10" s="21">
        <f t="shared" si="0"/>
        <v>44142</v>
      </c>
      <c r="G10" s="22" t="s">
        <v>2149</v>
      </c>
      <c r="H10" s="73">
        <v>48482</v>
      </c>
      <c r="I10" s="44" t="s">
        <v>2150</v>
      </c>
      <c r="L10" s="167"/>
      <c r="O10" s="22"/>
    </row>
    <row r="11" spans="1:18" x14ac:dyDescent="0.25">
      <c r="A11" s="27">
        <v>2</v>
      </c>
      <c r="B11" s="22" t="s">
        <v>2088</v>
      </c>
      <c r="C11" s="22">
        <v>7762017864</v>
      </c>
      <c r="D11" s="41">
        <v>44115</v>
      </c>
      <c r="E11" s="21">
        <f t="shared" si="0"/>
        <v>44143</v>
      </c>
      <c r="G11" s="22" t="s">
        <v>2371</v>
      </c>
      <c r="H11" s="73" t="s">
        <v>2369</v>
      </c>
      <c r="I11" s="44" t="s">
        <v>2370</v>
      </c>
      <c r="J11" s="43" t="s">
        <v>2656</v>
      </c>
      <c r="L11" s="167"/>
      <c r="O11" s="22"/>
    </row>
    <row r="12" spans="1:18" x14ac:dyDescent="0.25">
      <c r="A12" s="139">
        <v>4</v>
      </c>
      <c r="B12" s="1" t="s">
        <v>2088</v>
      </c>
      <c r="C12" s="1">
        <v>7779899446</v>
      </c>
      <c r="D12" s="138">
        <v>44116</v>
      </c>
      <c r="E12" s="138">
        <f t="shared" si="0"/>
        <v>44144</v>
      </c>
      <c r="F12" s="139">
        <v>219</v>
      </c>
      <c r="G12" s="1" t="s">
        <v>1154</v>
      </c>
      <c r="H12" s="149" t="s">
        <v>2141</v>
      </c>
      <c r="I12" s="140" t="s">
        <v>2146</v>
      </c>
      <c r="J12" s="43" t="s">
        <v>2656</v>
      </c>
      <c r="O12" s="6"/>
    </row>
    <row r="13" spans="1:18" x14ac:dyDescent="0.25">
      <c r="A13" s="27">
        <v>4</v>
      </c>
      <c r="B13" s="22" t="s">
        <v>2088</v>
      </c>
      <c r="C13" s="22">
        <v>8210369387</v>
      </c>
      <c r="D13" s="21">
        <v>44116</v>
      </c>
      <c r="E13" s="21">
        <f t="shared" si="0"/>
        <v>44144</v>
      </c>
      <c r="F13" s="27">
        <v>219</v>
      </c>
      <c r="G13" s="22" t="s">
        <v>2524</v>
      </c>
      <c r="H13" s="73">
        <v>75742</v>
      </c>
      <c r="I13" s="44" t="s">
        <v>2163</v>
      </c>
      <c r="N13" s="6" t="s">
        <v>2552</v>
      </c>
      <c r="O13" s="6">
        <v>44116</v>
      </c>
      <c r="P13" s="4">
        <v>219</v>
      </c>
    </row>
    <row r="14" spans="1:18" x14ac:dyDescent="0.25">
      <c r="A14" s="27">
        <v>4</v>
      </c>
      <c r="B14" s="22" t="s">
        <v>1930</v>
      </c>
      <c r="C14" s="22">
        <v>9955844105</v>
      </c>
      <c r="D14" s="21">
        <v>44116</v>
      </c>
      <c r="E14" s="21">
        <f t="shared" si="0"/>
        <v>44144</v>
      </c>
      <c r="G14" s="22" t="s">
        <v>2384</v>
      </c>
      <c r="H14" s="73">
        <v>184367</v>
      </c>
      <c r="I14" s="44" t="s">
        <v>2385</v>
      </c>
      <c r="J14" s="43" t="s">
        <v>2656</v>
      </c>
      <c r="N14" s="4" t="s">
        <v>2552</v>
      </c>
      <c r="O14" s="6">
        <v>44116</v>
      </c>
      <c r="P14" s="4">
        <v>219</v>
      </c>
    </row>
    <row r="15" spans="1:18" x14ac:dyDescent="0.25">
      <c r="A15" s="27">
        <v>2</v>
      </c>
      <c r="B15" s="22" t="s">
        <v>1930</v>
      </c>
      <c r="C15" s="127">
        <v>7000239171</v>
      </c>
      <c r="D15" s="21">
        <v>44116</v>
      </c>
      <c r="E15" s="21">
        <f t="shared" si="0"/>
        <v>44144</v>
      </c>
      <c r="G15" s="22" t="s">
        <v>2382</v>
      </c>
      <c r="H15" s="73">
        <v>954447</v>
      </c>
      <c r="I15" s="44" t="s">
        <v>2383</v>
      </c>
      <c r="J15" s="43" t="s">
        <v>2656</v>
      </c>
      <c r="O15" s="6"/>
    </row>
    <row r="16" spans="1:18" x14ac:dyDescent="0.25">
      <c r="A16" s="139">
        <v>2</v>
      </c>
      <c r="B16" s="1" t="s">
        <v>2114</v>
      </c>
      <c r="C16" s="153">
        <v>9062463078</v>
      </c>
      <c r="D16" s="138">
        <v>44116</v>
      </c>
      <c r="E16" s="138">
        <f t="shared" si="0"/>
        <v>44144</v>
      </c>
      <c r="F16" s="139"/>
      <c r="G16" s="1" t="s">
        <v>1164</v>
      </c>
      <c r="H16" s="149">
        <v>219813</v>
      </c>
      <c r="I16" s="140" t="s">
        <v>2525</v>
      </c>
      <c r="J16" s="43" t="s">
        <v>2656</v>
      </c>
      <c r="O16" s="6"/>
    </row>
    <row r="17" spans="1:18" x14ac:dyDescent="0.25">
      <c r="A17" s="27">
        <v>1</v>
      </c>
      <c r="B17" s="22" t="s">
        <v>2114</v>
      </c>
      <c r="C17" s="22">
        <v>6203130343</v>
      </c>
      <c r="D17" s="21">
        <v>44116</v>
      </c>
      <c r="E17" s="21">
        <f t="shared" si="0"/>
        <v>44144</v>
      </c>
      <c r="G17" s="22" t="s">
        <v>2536</v>
      </c>
      <c r="H17" s="43">
        <v>799655</v>
      </c>
      <c r="I17" s="44" t="s">
        <v>2537</v>
      </c>
      <c r="J17" s="43" t="s">
        <v>2656</v>
      </c>
      <c r="O17" s="6"/>
    </row>
    <row r="18" spans="1:18" x14ac:dyDescent="0.25">
      <c r="A18" s="27">
        <v>1</v>
      </c>
      <c r="B18" s="22" t="s">
        <v>1930</v>
      </c>
      <c r="C18" s="22">
        <v>7004846833</v>
      </c>
      <c r="D18" s="21">
        <v>44117</v>
      </c>
      <c r="E18" s="21">
        <f t="shared" si="0"/>
        <v>44145</v>
      </c>
      <c r="G18" s="22" t="s">
        <v>2295</v>
      </c>
      <c r="H18" s="73" t="s">
        <v>2297</v>
      </c>
      <c r="I18" s="22">
        <v>944222</v>
      </c>
      <c r="J18" s="43" t="s">
        <v>2656</v>
      </c>
      <c r="O18" s="6"/>
    </row>
    <row r="19" spans="1:18" x14ac:dyDescent="0.25">
      <c r="A19" s="139">
        <v>2</v>
      </c>
      <c r="B19" s="1" t="s">
        <v>1930</v>
      </c>
      <c r="C19" s="1">
        <v>9334264115</v>
      </c>
      <c r="D19" s="138">
        <v>44117</v>
      </c>
      <c r="E19" s="138">
        <f t="shared" si="0"/>
        <v>44145</v>
      </c>
      <c r="F19" s="139"/>
      <c r="G19" s="1" t="s">
        <v>2388</v>
      </c>
      <c r="H19" s="149" t="s">
        <v>2386</v>
      </c>
      <c r="I19" s="140" t="s">
        <v>2387</v>
      </c>
      <c r="J19" s="150" t="s">
        <v>2656</v>
      </c>
      <c r="K19" s="43" t="s">
        <v>2705</v>
      </c>
      <c r="N19" s="137" t="s">
        <v>2560</v>
      </c>
      <c r="O19" s="6">
        <v>44117</v>
      </c>
    </row>
    <row r="20" spans="1:18" x14ac:dyDescent="0.25">
      <c r="A20" s="27">
        <v>2</v>
      </c>
      <c r="B20" s="22" t="s">
        <v>2088</v>
      </c>
      <c r="C20" s="22">
        <v>7079576311</v>
      </c>
      <c r="D20" s="21">
        <v>44117</v>
      </c>
      <c r="E20" s="21">
        <f t="shared" si="0"/>
        <v>44145</v>
      </c>
      <c r="G20" s="22" t="s">
        <v>2384</v>
      </c>
      <c r="H20" s="73" t="s">
        <v>2390</v>
      </c>
      <c r="I20" s="44" t="s">
        <v>2391</v>
      </c>
      <c r="J20" s="43" t="s">
        <v>2656</v>
      </c>
      <c r="O20" s="6"/>
    </row>
    <row r="21" spans="1:18" x14ac:dyDescent="0.25">
      <c r="A21" s="27">
        <v>2</v>
      </c>
      <c r="B21" s="22" t="s">
        <v>2088</v>
      </c>
      <c r="C21" s="22">
        <v>7070911538</v>
      </c>
      <c r="D21" s="21">
        <v>44117</v>
      </c>
      <c r="E21" s="21">
        <f t="shared" si="0"/>
        <v>44145</v>
      </c>
      <c r="F21" s="27">
        <v>219</v>
      </c>
      <c r="G21" s="22" t="s">
        <v>2559</v>
      </c>
      <c r="H21" s="73">
        <v>81373</v>
      </c>
      <c r="I21" s="44" t="s">
        <v>2361</v>
      </c>
      <c r="O21" s="6"/>
    </row>
    <row r="22" spans="1:18" x14ac:dyDescent="0.25">
      <c r="B22" s="22" t="s">
        <v>2088</v>
      </c>
      <c r="C22" s="22">
        <v>9333379156</v>
      </c>
      <c r="D22" s="21">
        <v>44118</v>
      </c>
      <c r="E22" s="21">
        <f t="shared" si="0"/>
        <v>44146</v>
      </c>
      <c r="F22" s="27">
        <v>49</v>
      </c>
      <c r="G22" s="22" t="s">
        <v>2058</v>
      </c>
      <c r="H22" s="73">
        <v>222732</v>
      </c>
      <c r="I22" s="44" t="s">
        <v>2213</v>
      </c>
      <c r="N22" s="4" t="s">
        <v>2552</v>
      </c>
      <c r="O22" s="6">
        <v>44117</v>
      </c>
      <c r="P22" s="4">
        <v>219</v>
      </c>
      <c r="R22">
        <f>1750*1.18</f>
        <v>2065</v>
      </c>
    </row>
    <row r="23" spans="1:18" s="77" customFormat="1" x14ac:dyDescent="0.25">
      <c r="A23" s="154">
        <v>4</v>
      </c>
      <c r="B23" s="77" t="s">
        <v>2114</v>
      </c>
      <c r="C23" s="77">
        <v>7209950245</v>
      </c>
      <c r="D23" s="86">
        <v>44118</v>
      </c>
      <c r="E23" s="86">
        <f t="shared" si="0"/>
        <v>44146</v>
      </c>
      <c r="F23" s="154">
        <v>199</v>
      </c>
      <c r="G23" s="77" t="s">
        <v>844</v>
      </c>
      <c r="H23" s="155">
        <v>38554</v>
      </c>
      <c r="I23" s="88" t="s">
        <v>1934</v>
      </c>
      <c r="J23" s="43" t="s">
        <v>2656</v>
      </c>
      <c r="K23" s="43"/>
      <c r="L23" s="43"/>
      <c r="M23" s="43"/>
      <c r="N23" s="90" t="s">
        <v>2552</v>
      </c>
      <c r="O23" s="156">
        <v>44118</v>
      </c>
      <c r="P23" s="90">
        <v>49</v>
      </c>
    </row>
    <row r="24" spans="1:18" x14ac:dyDescent="0.25">
      <c r="A24" s="27">
        <v>4</v>
      </c>
      <c r="B24" s="22" t="s">
        <v>1930</v>
      </c>
      <c r="C24" s="22">
        <v>6299998631</v>
      </c>
      <c r="D24" s="21">
        <v>44118</v>
      </c>
      <c r="E24" s="21">
        <f t="shared" si="0"/>
        <v>44146</v>
      </c>
      <c r="F24" s="27">
        <v>249</v>
      </c>
      <c r="G24" s="22" t="s">
        <v>2131</v>
      </c>
      <c r="H24" s="73" t="s">
        <v>2132</v>
      </c>
      <c r="I24" s="22">
        <v>647273</v>
      </c>
      <c r="J24" s="43" t="s">
        <v>2656</v>
      </c>
      <c r="N24" s="4" t="s">
        <v>2552</v>
      </c>
      <c r="O24" s="6">
        <v>44118</v>
      </c>
      <c r="P24" s="4">
        <v>199</v>
      </c>
    </row>
    <row r="25" spans="1:18" x14ac:dyDescent="0.25">
      <c r="A25" s="27">
        <v>3</v>
      </c>
      <c r="B25" s="22" t="s">
        <v>2392</v>
      </c>
      <c r="C25" s="22">
        <v>620</v>
      </c>
      <c r="D25" s="21">
        <v>44117</v>
      </c>
      <c r="E25" s="21">
        <f>D25+29</f>
        <v>44146</v>
      </c>
      <c r="F25" s="21"/>
      <c r="G25" s="22" t="s">
        <v>2372</v>
      </c>
      <c r="H25" s="73">
        <v>288325</v>
      </c>
      <c r="I25" s="44" t="s">
        <v>2373</v>
      </c>
      <c r="J25" s="43" t="s">
        <v>2656</v>
      </c>
      <c r="N25" s="4" t="s">
        <v>2552</v>
      </c>
      <c r="O25" s="6">
        <v>44118</v>
      </c>
      <c r="P25" s="4">
        <v>249</v>
      </c>
    </row>
    <row r="26" spans="1:18" x14ac:dyDescent="0.25">
      <c r="A26" s="27">
        <v>2</v>
      </c>
      <c r="B26" s="22" t="s">
        <v>1930</v>
      </c>
      <c r="C26" s="22">
        <v>7209978935</v>
      </c>
      <c r="D26" s="21">
        <v>44119</v>
      </c>
      <c r="E26" s="21">
        <f>D26+28</f>
        <v>44147</v>
      </c>
      <c r="F26" s="27" t="s">
        <v>2654</v>
      </c>
      <c r="G26" s="22" t="s">
        <v>2408</v>
      </c>
      <c r="H26" s="73">
        <v>919459</v>
      </c>
      <c r="I26" s="44" t="s">
        <v>2409</v>
      </c>
      <c r="J26" s="43" t="s">
        <v>2656</v>
      </c>
      <c r="K26" s="167">
        <f>1090-249*2</f>
        <v>592</v>
      </c>
      <c r="O26" s="6"/>
      <c r="Q26">
        <v>1000</v>
      </c>
    </row>
    <row r="27" spans="1:18" x14ac:dyDescent="0.25">
      <c r="A27" s="27">
        <v>2</v>
      </c>
      <c r="B27" s="22" t="s">
        <v>2088</v>
      </c>
      <c r="C27" s="22">
        <v>9693750275</v>
      </c>
      <c r="D27" s="41">
        <v>44118</v>
      </c>
      <c r="E27" s="21">
        <f>D27+29</f>
        <v>44147</v>
      </c>
      <c r="F27" s="22"/>
      <c r="G27" s="22" t="s">
        <v>2548</v>
      </c>
      <c r="H27" s="73">
        <v>433933</v>
      </c>
      <c r="I27" s="44" t="s">
        <v>2549</v>
      </c>
      <c r="J27" s="43" t="s">
        <v>2656</v>
      </c>
      <c r="O27" s="6"/>
    </row>
    <row r="28" spans="1:18" x14ac:dyDescent="0.25">
      <c r="A28" s="139">
        <v>1</v>
      </c>
      <c r="B28" s="1" t="s">
        <v>2114</v>
      </c>
      <c r="C28" s="1">
        <v>7974556196</v>
      </c>
      <c r="D28" s="138">
        <v>44120</v>
      </c>
      <c r="E28" s="138">
        <f t="shared" ref="E28:E59" si="1">D28+28</f>
        <v>44148</v>
      </c>
      <c r="F28" s="139">
        <v>199</v>
      </c>
      <c r="G28" s="1" t="s">
        <v>2155</v>
      </c>
      <c r="H28" s="149">
        <v>35384</v>
      </c>
      <c r="I28" s="140" t="s">
        <v>2156</v>
      </c>
      <c r="J28" s="43" t="s">
        <v>2656</v>
      </c>
      <c r="O28" s="6"/>
    </row>
    <row r="29" spans="1:18" x14ac:dyDescent="0.25">
      <c r="A29" s="27">
        <v>3</v>
      </c>
      <c r="B29" s="22" t="s">
        <v>1930</v>
      </c>
      <c r="C29" s="22">
        <v>7991135500</v>
      </c>
      <c r="D29" s="21">
        <v>44120</v>
      </c>
      <c r="E29" s="21">
        <f t="shared" si="1"/>
        <v>44148</v>
      </c>
      <c r="F29" s="27">
        <v>199</v>
      </c>
      <c r="G29" s="22" t="s">
        <v>1950</v>
      </c>
      <c r="H29" s="73">
        <v>85894</v>
      </c>
      <c r="I29" s="44" t="s">
        <v>1952</v>
      </c>
      <c r="N29" s="4" t="s">
        <v>2560</v>
      </c>
      <c r="O29" s="22"/>
      <c r="P29" s="136"/>
    </row>
    <row r="30" spans="1:18" ht="15.75" x14ac:dyDescent="0.25">
      <c r="A30" s="174">
        <v>3</v>
      </c>
      <c r="B30" s="174" t="s">
        <v>2115</v>
      </c>
      <c r="C30" s="174">
        <v>8405807909</v>
      </c>
      <c r="D30" s="174">
        <v>44120</v>
      </c>
      <c r="E30" s="174">
        <f t="shared" si="1"/>
        <v>44148</v>
      </c>
      <c r="F30" s="174">
        <v>49</v>
      </c>
      <c r="G30" s="174" t="s">
        <v>2399</v>
      </c>
      <c r="H30" s="174">
        <v>62132</v>
      </c>
      <c r="I30" s="174">
        <v>830532</v>
      </c>
      <c r="J30" s="43" t="s">
        <v>2656</v>
      </c>
      <c r="N30" s="4" t="s">
        <v>2552</v>
      </c>
      <c r="O30" s="6">
        <v>44120</v>
      </c>
      <c r="P30" s="4">
        <v>199</v>
      </c>
    </row>
    <row r="31" spans="1:18" x14ac:dyDescent="0.25">
      <c r="A31" s="27">
        <v>2</v>
      </c>
      <c r="B31" s="22" t="s">
        <v>2421</v>
      </c>
      <c r="C31" s="22">
        <v>9204702568</v>
      </c>
      <c r="D31" s="21">
        <v>44120</v>
      </c>
      <c r="E31" s="21">
        <f t="shared" si="1"/>
        <v>44148</v>
      </c>
      <c r="F31" s="27">
        <v>199</v>
      </c>
      <c r="G31" s="22" t="s">
        <v>2420</v>
      </c>
      <c r="H31" s="157" t="s">
        <v>2419</v>
      </c>
      <c r="I31" s="158">
        <v>761628</v>
      </c>
      <c r="N31" s="4" t="s">
        <v>2552</v>
      </c>
      <c r="O31" s="6">
        <v>44120</v>
      </c>
      <c r="P31" s="4">
        <v>49</v>
      </c>
    </row>
    <row r="32" spans="1:18" s="1" customFormat="1" ht="15.75" x14ac:dyDescent="0.25">
      <c r="A32" s="174">
        <v>2</v>
      </c>
      <c r="B32" s="174" t="s">
        <v>1930</v>
      </c>
      <c r="C32" s="174">
        <v>8789440483</v>
      </c>
      <c r="D32" s="174">
        <v>44120</v>
      </c>
      <c r="E32" s="174">
        <f>D32+28</f>
        <v>44148</v>
      </c>
      <c r="F32" s="174">
        <v>199</v>
      </c>
      <c r="G32" s="174" t="s">
        <v>2399</v>
      </c>
      <c r="H32" s="174">
        <v>686917</v>
      </c>
      <c r="I32" s="174" t="s">
        <v>2400</v>
      </c>
      <c r="J32" s="174"/>
      <c r="K32" s="43"/>
      <c r="L32" s="43"/>
      <c r="M32" s="43"/>
      <c r="N32" s="15"/>
      <c r="O32" s="26"/>
      <c r="P32" s="15"/>
      <c r="Q32" s="1">
        <f>(O32+P32)*1.18</f>
        <v>0</v>
      </c>
    </row>
    <row r="33" spans="1:18" s="1" customFormat="1" ht="15.75" x14ac:dyDescent="0.25">
      <c r="A33" s="174">
        <v>1</v>
      </c>
      <c r="B33" s="174" t="s">
        <v>1930</v>
      </c>
      <c r="C33" s="174">
        <v>7061935185</v>
      </c>
      <c r="D33" s="174">
        <v>44120</v>
      </c>
      <c r="E33" s="174">
        <f t="shared" si="1"/>
        <v>44148</v>
      </c>
      <c r="F33" s="174">
        <v>199</v>
      </c>
      <c r="G33" s="174" t="s">
        <v>2399</v>
      </c>
      <c r="H33" s="174" t="s">
        <v>2401</v>
      </c>
      <c r="I33" s="174" t="s">
        <v>2402</v>
      </c>
      <c r="J33" s="174"/>
      <c r="K33" s="43"/>
      <c r="L33" s="43"/>
      <c r="M33" s="43"/>
      <c r="N33" s="15" t="s">
        <v>2552</v>
      </c>
      <c r="O33" s="26">
        <v>44120</v>
      </c>
      <c r="P33" s="15">
        <v>199</v>
      </c>
    </row>
    <row r="34" spans="1:18" s="1" customFormat="1" ht="15.75" x14ac:dyDescent="0.25">
      <c r="A34" s="174">
        <v>1</v>
      </c>
      <c r="B34" s="174" t="s">
        <v>2398</v>
      </c>
      <c r="C34" s="174">
        <v>8340474816</v>
      </c>
      <c r="D34" s="174">
        <v>44120</v>
      </c>
      <c r="E34" s="174">
        <f t="shared" si="1"/>
        <v>44148</v>
      </c>
      <c r="F34" s="174">
        <v>75</v>
      </c>
      <c r="G34" s="174" t="s">
        <v>2399</v>
      </c>
      <c r="H34" s="174" t="s">
        <v>2404</v>
      </c>
      <c r="I34" s="174">
        <v>192672</v>
      </c>
      <c r="J34" s="174" t="s">
        <v>2656</v>
      </c>
      <c r="K34" s="43"/>
      <c r="L34" s="43"/>
      <c r="M34" s="43"/>
      <c r="N34" s="15" t="s">
        <v>2552</v>
      </c>
      <c r="O34" s="26">
        <v>44120</v>
      </c>
      <c r="P34" s="15">
        <v>199</v>
      </c>
    </row>
    <row r="35" spans="1:18" s="1" customFormat="1" ht="15.75" x14ac:dyDescent="0.25">
      <c r="A35" s="174">
        <v>2</v>
      </c>
      <c r="B35" s="174" t="s">
        <v>2398</v>
      </c>
      <c r="C35" s="174">
        <v>6205765812</v>
      </c>
      <c r="D35" s="174">
        <v>44120</v>
      </c>
      <c r="E35" s="174">
        <f t="shared" si="1"/>
        <v>44148</v>
      </c>
      <c r="F35" s="174">
        <v>75</v>
      </c>
      <c r="G35" s="174" t="s">
        <v>2399</v>
      </c>
      <c r="H35" s="174"/>
      <c r="I35" s="174"/>
      <c r="J35" s="174"/>
      <c r="K35" s="43"/>
      <c r="L35" s="43"/>
      <c r="M35" s="43"/>
      <c r="N35" s="15"/>
      <c r="O35" s="1">
        <v>8340474816</v>
      </c>
      <c r="P35" s="15"/>
    </row>
    <row r="36" spans="1:18" s="22" customFormat="1" x14ac:dyDescent="0.25">
      <c r="A36" s="27">
        <v>2</v>
      </c>
      <c r="B36" s="22" t="s">
        <v>2421</v>
      </c>
      <c r="C36" s="22">
        <v>7903634461</v>
      </c>
      <c r="D36" s="21">
        <v>44121</v>
      </c>
      <c r="E36" s="21">
        <f t="shared" si="1"/>
        <v>44149</v>
      </c>
      <c r="F36" s="27">
        <v>199</v>
      </c>
      <c r="G36" s="22" t="s">
        <v>2422</v>
      </c>
      <c r="H36" s="73">
        <v>896631</v>
      </c>
      <c r="I36" s="44" t="s">
        <v>2423</v>
      </c>
      <c r="J36" s="43" t="s">
        <v>2656</v>
      </c>
      <c r="K36" s="43"/>
      <c r="L36" s="43"/>
      <c r="M36" s="43"/>
      <c r="N36" s="4"/>
      <c r="P36" s="4"/>
    </row>
    <row r="37" spans="1:18" s="22" customFormat="1" x14ac:dyDescent="0.25">
      <c r="A37" s="27">
        <v>2</v>
      </c>
      <c r="B37" s="22" t="s">
        <v>2389</v>
      </c>
      <c r="C37" s="22">
        <v>8092156768</v>
      </c>
      <c r="D37" s="21">
        <v>44121</v>
      </c>
      <c r="E37" s="21">
        <f t="shared" si="1"/>
        <v>44149</v>
      </c>
      <c r="F37" s="27">
        <v>199</v>
      </c>
      <c r="G37" s="22" t="s">
        <v>2356</v>
      </c>
      <c r="H37" s="73" t="s">
        <v>2429</v>
      </c>
      <c r="I37" s="44" t="s">
        <v>2430</v>
      </c>
      <c r="J37" s="43" t="s">
        <v>2656</v>
      </c>
      <c r="K37" s="43"/>
      <c r="L37" s="43"/>
      <c r="M37" s="43"/>
      <c r="N37" s="4"/>
      <c r="P37" s="4"/>
    </row>
    <row r="38" spans="1:18" s="22" customFormat="1" ht="15.75" x14ac:dyDescent="0.25">
      <c r="A38" s="174">
        <v>3</v>
      </c>
      <c r="B38" s="174" t="s">
        <v>1930</v>
      </c>
      <c r="C38" s="174">
        <v>7488568208</v>
      </c>
      <c r="D38" s="174">
        <v>44121</v>
      </c>
      <c r="E38" s="174">
        <f t="shared" si="1"/>
        <v>44149</v>
      </c>
      <c r="F38" s="174">
        <v>199</v>
      </c>
      <c r="G38" s="174" t="s">
        <v>2167</v>
      </c>
      <c r="H38" s="174">
        <v>481214</v>
      </c>
      <c r="I38" s="174" t="s">
        <v>2194</v>
      </c>
      <c r="J38" s="43" t="s">
        <v>2656</v>
      </c>
      <c r="K38" s="43"/>
      <c r="L38" s="43"/>
      <c r="M38" s="43"/>
      <c r="N38" s="4"/>
      <c r="P38" s="4"/>
    </row>
    <row r="39" spans="1:18" s="22" customFormat="1" x14ac:dyDescent="0.25">
      <c r="A39" s="27">
        <v>2</v>
      </c>
      <c r="B39" s="22" t="s">
        <v>1930</v>
      </c>
      <c r="C39" s="22">
        <v>6299852058</v>
      </c>
      <c r="D39" s="21">
        <v>44121</v>
      </c>
      <c r="E39" s="21">
        <f t="shared" si="1"/>
        <v>44149</v>
      </c>
      <c r="F39" s="27">
        <v>199</v>
      </c>
      <c r="G39" s="22" t="s">
        <v>557</v>
      </c>
      <c r="H39" s="124" t="s">
        <v>2431</v>
      </c>
      <c r="I39" s="79">
        <v>724586</v>
      </c>
      <c r="J39" s="43" t="s">
        <v>2656</v>
      </c>
      <c r="K39" s="43"/>
      <c r="L39" s="43"/>
      <c r="M39" s="43"/>
      <c r="N39" s="4"/>
      <c r="P39" s="4"/>
      <c r="R39" s="22">
        <f>1096-249*2</f>
        <v>598</v>
      </c>
    </row>
    <row r="40" spans="1:18" s="22" customFormat="1" x14ac:dyDescent="0.25">
      <c r="A40" s="27">
        <v>2</v>
      </c>
      <c r="B40" s="22" t="s">
        <v>1930</v>
      </c>
      <c r="C40" s="22">
        <v>7903336778</v>
      </c>
      <c r="D40" s="21">
        <v>44121</v>
      </c>
      <c r="E40" s="21">
        <f t="shared" si="1"/>
        <v>44149</v>
      </c>
      <c r="F40" s="27">
        <v>199</v>
      </c>
      <c r="G40" s="22" t="s">
        <v>2437</v>
      </c>
      <c r="H40" s="73">
        <v>774139</v>
      </c>
      <c r="I40" s="44" t="s">
        <v>2438</v>
      </c>
      <c r="J40" s="43" t="s">
        <v>2656</v>
      </c>
      <c r="K40" s="43"/>
      <c r="L40" s="43"/>
      <c r="M40" s="43"/>
      <c r="N40" s="4"/>
      <c r="P40" s="4"/>
      <c r="R40" s="22">
        <f>249*4+100</f>
        <v>1096</v>
      </c>
    </row>
    <row r="41" spans="1:18" x14ac:dyDescent="0.25">
      <c r="A41" s="139">
        <v>4</v>
      </c>
      <c r="B41" s="1" t="s">
        <v>1930</v>
      </c>
      <c r="C41" s="1">
        <v>8709705340</v>
      </c>
      <c r="D41" s="138">
        <v>44122</v>
      </c>
      <c r="E41" s="138">
        <f t="shared" si="1"/>
        <v>44150</v>
      </c>
      <c r="F41" s="138">
        <v>199</v>
      </c>
      <c r="G41" s="1" t="s">
        <v>2153</v>
      </c>
      <c r="H41" s="150">
        <v>39161</v>
      </c>
      <c r="I41" s="140" t="s">
        <v>2154</v>
      </c>
      <c r="O41" s="22"/>
    </row>
    <row r="42" spans="1:18" x14ac:dyDescent="0.25">
      <c r="A42" s="139">
        <v>2</v>
      </c>
      <c r="B42" s="1" t="s">
        <v>1930</v>
      </c>
      <c r="C42" s="1">
        <v>8789074647</v>
      </c>
      <c r="D42" s="138">
        <v>44122</v>
      </c>
      <c r="E42" s="138">
        <f t="shared" si="1"/>
        <v>44150</v>
      </c>
      <c r="F42" s="138"/>
      <c r="G42" s="1" t="s">
        <v>2158</v>
      </c>
      <c r="H42" s="149">
        <v>742963</v>
      </c>
      <c r="I42" s="140" t="s">
        <v>2197</v>
      </c>
      <c r="J42" s="150" t="s">
        <v>2656</v>
      </c>
      <c r="K42" s="43" t="s">
        <v>2703</v>
      </c>
      <c r="O42" s="73"/>
      <c r="P42" s="44"/>
    </row>
    <row r="43" spans="1:18" x14ac:dyDescent="0.25">
      <c r="A43" s="27">
        <v>2</v>
      </c>
      <c r="B43" s="22" t="s">
        <v>1930</v>
      </c>
      <c r="C43" s="22">
        <v>8789078793</v>
      </c>
      <c r="D43" s="21">
        <v>44122</v>
      </c>
      <c r="E43" s="21">
        <f t="shared" si="1"/>
        <v>44150</v>
      </c>
      <c r="F43" s="21"/>
      <c r="G43" s="22" t="s">
        <v>2196</v>
      </c>
      <c r="H43" s="73">
        <v>162471</v>
      </c>
      <c r="I43" s="44" t="s">
        <v>2198</v>
      </c>
      <c r="J43" s="43" t="s">
        <v>2656</v>
      </c>
      <c r="O43" s="22"/>
      <c r="Q43">
        <f>799-219</f>
        <v>580</v>
      </c>
    </row>
    <row r="44" spans="1:18" x14ac:dyDescent="0.25">
      <c r="A44" s="27">
        <v>2</v>
      </c>
      <c r="B44" s="22" t="s">
        <v>1930</v>
      </c>
      <c r="C44" s="22">
        <v>9031059999</v>
      </c>
      <c r="D44" s="41">
        <v>44122</v>
      </c>
      <c r="E44" s="21">
        <f t="shared" si="1"/>
        <v>44150</v>
      </c>
      <c r="F44" s="27">
        <v>199</v>
      </c>
      <c r="G44" s="22" t="s">
        <v>2443</v>
      </c>
      <c r="H44" s="202">
        <v>555139</v>
      </c>
      <c r="I44" s="44" t="s">
        <v>2446</v>
      </c>
      <c r="J44" s="43" t="s">
        <v>2656</v>
      </c>
      <c r="O44" s="22"/>
    </row>
    <row r="45" spans="1:18" ht="15.75" x14ac:dyDescent="0.25">
      <c r="A45" s="173">
        <v>2</v>
      </c>
      <c r="B45" s="174" t="s">
        <v>1930</v>
      </c>
      <c r="C45" s="174">
        <v>8340180863</v>
      </c>
      <c r="D45" s="41">
        <v>44122</v>
      </c>
      <c r="E45" s="21">
        <f t="shared" si="1"/>
        <v>44150</v>
      </c>
      <c r="F45" s="174">
        <v>199</v>
      </c>
      <c r="G45" s="174" t="s">
        <v>2444</v>
      </c>
      <c r="H45" s="202">
        <v>884475</v>
      </c>
      <c r="I45" s="202" t="s">
        <v>2445</v>
      </c>
      <c r="J45" s="174" t="s">
        <v>2656</v>
      </c>
      <c r="O45" s="22"/>
    </row>
    <row r="46" spans="1:18" x14ac:dyDescent="0.25">
      <c r="A46" s="27">
        <v>2</v>
      </c>
      <c r="B46" s="22" t="s">
        <v>2088</v>
      </c>
      <c r="C46" s="22">
        <v>9955687380</v>
      </c>
      <c r="D46" s="41">
        <v>44122</v>
      </c>
      <c r="E46" s="21">
        <f t="shared" si="1"/>
        <v>44150</v>
      </c>
      <c r="F46" s="27">
        <v>199</v>
      </c>
      <c r="G46" s="22" t="s">
        <v>2447</v>
      </c>
      <c r="H46" s="73">
        <v>935615</v>
      </c>
      <c r="I46" s="44" t="s">
        <v>2448</v>
      </c>
      <c r="J46" s="43" t="s">
        <v>2656</v>
      </c>
      <c r="O46" s="22"/>
    </row>
    <row r="47" spans="1:18" x14ac:dyDescent="0.25">
      <c r="A47" s="27">
        <v>2</v>
      </c>
      <c r="B47" s="22" t="s">
        <v>1930</v>
      </c>
      <c r="C47" s="127">
        <v>9204038708</v>
      </c>
      <c r="D47" s="21">
        <v>44122</v>
      </c>
      <c r="E47" s="21">
        <f t="shared" si="1"/>
        <v>44150</v>
      </c>
      <c r="F47" s="27">
        <v>199</v>
      </c>
      <c r="G47" s="22" t="s">
        <v>2257</v>
      </c>
      <c r="H47" s="73">
        <v>239385</v>
      </c>
      <c r="I47" s="44" t="s">
        <v>2258</v>
      </c>
      <c r="J47" s="43" t="s">
        <v>2656</v>
      </c>
      <c r="O47" s="22"/>
    </row>
    <row r="48" spans="1:18" x14ac:dyDescent="0.25">
      <c r="A48" s="27">
        <v>3</v>
      </c>
      <c r="B48" s="22" t="s">
        <v>2115</v>
      </c>
      <c r="C48" s="22">
        <v>8298093438</v>
      </c>
      <c r="D48" s="21">
        <v>44123</v>
      </c>
      <c r="E48" s="21">
        <f t="shared" si="1"/>
        <v>44151</v>
      </c>
      <c r="F48" s="21"/>
      <c r="G48" s="22" t="s">
        <v>1974</v>
      </c>
      <c r="H48" s="73">
        <v>93179</v>
      </c>
      <c r="I48" s="44" t="s">
        <v>1975</v>
      </c>
      <c r="O48" s="22"/>
    </row>
    <row r="49" spans="1:16" ht="15.75" x14ac:dyDescent="0.25">
      <c r="A49" s="174">
        <v>3</v>
      </c>
      <c r="B49" s="174" t="s">
        <v>2088</v>
      </c>
      <c r="C49" s="174">
        <v>9470355028</v>
      </c>
      <c r="D49" s="174">
        <v>44123</v>
      </c>
      <c r="E49" s="174">
        <f t="shared" si="1"/>
        <v>44151</v>
      </c>
      <c r="F49" s="174"/>
      <c r="G49" s="174" t="s">
        <v>2201</v>
      </c>
      <c r="H49" s="174">
        <v>684262</v>
      </c>
      <c r="I49" s="174" t="s">
        <v>2203</v>
      </c>
      <c r="J49" s="43" t="s">
        <v>2656</v>
      </c>
      <c r="O49" s="22"/>
    </row>
    <row r="50" spans="1:16" ht="15.75" x14ac:dyDescent="0.25">
      <c r="A50" s="174">
        <v>3</v>
      </c>
      <c r="B50" s="174" t="s">
        <v>1930</v>
      </c>
      <c r="C50" s="174">
        <v>6200960230</v>
      </c>
      <c r="D50" s="174">
        <v>44123</v>
      </c>
      <c r="E50" s="174">
        <f t="shared" si="1"/>
        <v>44151</v>
      </c>
      <c r="F50" s="174"/>
      <c r="G50" s="174" t="s">
        <v>2201</v>
      </c>
      <c r="H50" s="174">
        <v>315249</v>
      </c>
      <c r="I50" s="174" t="s">
        <v>2202</v>
      </c>
      <c r="O50" s="22"/>
    </row>
    <row r="51" spans="1:16" ht="15.75" x14ac:dyDescent="0.25">
      <c r="A51" s="174">
        <v>4</v>
      </c>
      <c r="B51" s="174" t="s">
        <v>1930</v>
      </c>
      <c r="C51" s="174">
        <v>9508439057</v>
      </c>
      <c r="D51" s="174">
        <v>44123</v>
      </c>
      <c r="E51" s="174">
        <f t="shared" si="1"/>
        <v>44151</v>
      </c>
      <c r="F51" s="174"/>
      <c r="G51" s="174" t="s">
        <v>152</v>
      </c>
      <c r="H51" s="174">
        <v>17794</v>
      </c>
      <c r="I51" s="174" t="s">
        <v>2019</v>
      </c>
      <c r="O51" s="22"/>
    </row>
    <row r="52" spans="1:16" x14ac:dyDescent="0.25">
      <c r="A52" s="27">
        <v>2</v>
      </c>
      <c r="B52" s="22" t="s">
        <v>1930</v>
      </c>
      <c r="C52" s="22">
        <v>8789527366</v>
      </c>
      <c r="D52" s="41">
        <v>44124</v>
      </c>
      <c r="E52" s="21">
        <f t="shared" si="1"/>
        <v>44152</v>
      </c>
      <c r="F52" s="27">
        <v>199</v>
      </c>
      <c r="G52" s="22" t="s">
        <v>2374</v>
      </c>
      <c r="H52" s="73">
        <v>632633</v>
      </c>
      <c r="I52" s="44" t="s">
        <v>2375</v>
      </c>
      <c r="O52" s="43"/>
      <c r="P52" s="44"/>
    </row>
    <row r="53" spans="1:16" ht="15.75" x14ac:dyDescent="0.25">
      <c r="A53" s="174">
        <v>3</v>
      </c>
      <c r="B53" s="174" t="s">
        <v>1930</v>
      </c>
      <c r="C53" s="174">
        <v>9113767398</v>
      </c>
      <c r="D53" s="174">
        <v>44125</v>
      </c>
      <c r="E53" s="174">
        <f t="shared" si="1"/>
        <v>44153</v>
      </c>
      <c r="F53" s="174"/>
      <c r="G53" s="174" t="s">
        <v>2225</v>
      </c>
      <c r="H53" s="174">
        <v>683774</v>
      </c>
      <c r="I53" s="174" t="s">
        <v>2224</v>
      </c>
      <c r="O53" s="73"/>
    </row>
    <row r="54" spans="1:16" ht="15.75" x14ac:dyDescent="0.25">
      <c r="A54" s="174">
        <v>2</v>
      </c>
      <c r="B54" s="174" t="s">
        <v>1930</v>
      </c>
      <c r="C54" s="174">
        <v>8210747668</v>
      </c>
      <c r="D54" s="174">
        <v>44125</v>
      </c>
      <c r="E54" s="174">
        <f t="shared" si="1"/>
        <v>44153</v>
      </c>
      <c r="F54" s="174">
        <v>199</v>
      </c>
      <c r="G54" s="174" t="s">
        <v>2450</v>
      </c>
      <c r="H54" s="174" t="s">
        <v>2451</v>
      </c>
      <c r="I54" s="174" t="s">
        <v>2452</v>
      </c>
      <c r="O54" s="22"/>
    </row>
    <row r="55" spans="1:16" ht="15.75" x14ac:dyDescent="0.25">
      <c r="A55" s="174">
        <v>2</v>
      </c>
      <c r="B55" s="174"/>
      <c r="C55" s="174">
        <v>9931095010</v>
      </c>
      <c r="D55" s="174">
        <v>44126</v>
      </c>
      <c r="E55" s="174">
        <f t="shared" si="1"/>
        <v>44154</v>
      </c>
      <c r="F55" s="174"/>
      <c r="G55" s="174" t="s">
        <v>2226</v>
      </c>
      <c r="H55" s="174">
        <v>243622</v>
      </c>
      <c r="I55" s="174" t="s">
        <v>2220</v>
      </c>
      <c r="O55" s="22"/>
    </row>
    <row r="56" spans="1:16" x14ac:dyDescent="0.25">
      <c r="A56" s="188">
        <v>4</v>
      </c>
      <c r="B56" s="91" t="s">
        <v>1930</v>
      </c>
      <c r="C56" s="91">
        <v>9123118061</v>
      </c>
      <c r="D56" s="92">
        <v>44126</v>
      </c>
      <c r="E56" s="92">
        <f t="shared" si="1"/>
        <v>44154</v>
      </c>
      <c r="F56" s="92"/>
      <c r="G56" s="91" t="s">
        <v>2006</v>
      </c>
      <c r="H56" s="189">
        <v>53918</v>
      </c>
      <c r="I56" s="94" t="s">
        <v>2007</v>
      </c>
      <c r="O56" s="22"/>
    </row>
    <row r="57" spans="1:16" ht="15.75" x14ac:dyDescent="0.25">
      <c r="A57" s="174">
        <v>3</v>
      </c>
      <c r="B57" s="174" t="s">
        <v>1930</v>
      </c>
      <c r="C57" s="174">
        <v>8340407091</v>
      </c>
      <c r="D57" s="174">
        <v>44126</v>
      </c>
      <c r="E57" s="174">
        <f t="shared" si="1"/>
        <v>44154</v>
      </c>
      <c r="F57" s="174"/>
      <c r="G57" s="174" t="s">
        <v>2214</v>
      </c>
      <c r="H57" s="174">
        <v>256864</v>
      </c>
      <c r="I57" s="174" t="s">
        <v>2215</v>
      </c>
      <c r="O57" s="22"/>
    </row>
    <row r="58" spans="1:16" x14ac:dyDescent="0.25">
      <c r="A58" s="27">
        <v>3</v>
      </c>
      <c r="B58" s="22" t="s">
        <v>2088</v>
      </c>
      <c r="C58" s="22">
        <v>8871639226</v>
      </c>
      <c r="D58" s="21">
        <v>44126</v>
      </c>
      <c r="E58" s="21">
        <f t="shared" si="1"/>
        <v>44154</v>
      </c>
      <c r="F58" s="21"/>
      <c r="G58" s="22" t="s">
        <v>2219</v>
      </c>
      <c r="H58" s="73">
        <v>243622</v>
      </c>
      <c r="I58" s="44" t="s">
        <v>2220</v>
      </c>
      <c r="O58" s="22"/>
    </row>
    <row r="59" spans="1:16" x14ac:dyDescent="0.25">
      <c r="A59" s="27">
        <v>3</v>
      </c>
      <c r="B59" s="22" t="s">
        <v>1930</v>
      </c>
      <c r="C59" s="22">
        <v>8603865392</v>
      </c>
      <c r="D59" s="21">
        <v>44126</v>
      </c>
      <c r="E59" s="21">
        <f t="shared" si="1"/>
        <v>44154</v>
      </c>
      <c r="F59" s="21"/>
      <c r="G59" s="22" t="s">
        <v>2223</v>
      </c>
      <c r="H59" s="73">
        <v>553394</v>
      </c>
      <c r="I59" s="44" t="s">
        <v>2222</v>
      </c>
      <c r="O59" s="22"/>
    </row>
    <row r="60" spans="1:16" x14ac:dyDescent="0.25">
      <c r="A60" s="27">
        <v>3</v>
      </c>
      <c r="B60" s="22" t="s">
        <v>1930</v>
      </c>
      <c r="C60" s="22">
        <v>9304740210</v>
      </c>
      <c r="D60" s="21">
        <v>44127</v>
      </c>
      <c r="E60" s="21">
        <f t="shared" ref="E60:E93" si="2">D60+28</f>
        <v>44155</v>
      </c>
      <c r="F60" s="21"/>
      <c r="G60" s="22" t="s">
        <v>2233</v>
      </c>
      <c r="H60" s="73">
        <v>944423</v>
      </c>
      <c r="I60" s="44" t="s">
        <v>2234</v>
      </c>
      <c r="N60" s="73"/>
      <c r="O60" s="44"/>
    </row>
    <row r="61" spans="1:16" x14ac:dyDescent="0.25">
      <c r="A61" s="27">
        <v>2</v>
      </c>
      <c r="B61" s="22" t="s">
        <v>2229</v>
      </c>
      <c r="C61" s="22">
        <v>7974017084</v>
      </c>
      <c r="D61" s="21">
        <v>44127</v>
      </c>
      <c r="E61" s="21">
        <f t="shared" si="2"/>
        <v>44155</v>
      </c>
      <c r="F61" s="21"/>
      <c r="G61" s="22" t="s">
        <v>2227</v>
      </c>
      <c r="H61" s="73">
        <v>725881</v>
      </c>
      <c r="I61" s="44" t="s">
        <v>2228</v>
      </c>
      <c r="O61" s="22"/>
    </row>
    <row r="62" spans="1:16" x14ac:dyDescent="0.25">
      <c r="A62" s="27">
        <v>3</v>
      </c>
      <c r="B62" s="22" t="s">
        <v>1930</v>
      </c>
      <c r="C62" s="22">
        <v>6200497214</v>
      </c>
      <c r="D62" s="21">
        <v>44130</v>
      </c>
      <c r="E62" s="21">
        <f t="shared" si="2"/>
        <v>44158</v>
      </c>
      <c r="F62" s="27">
        <v>75</v>
      </c>
      <c r="G62" s="22" t="s">
        <v>2058</v>
      </c>
      <c r="I62" s="22"/>
      <c r="O62" s="22"/>
    </row>
    <row r="63" spans="1:16" x14ac:dyDescent="0.25">
      <c r="A63" s="188">
        <v>3</v>
      </c>
      <c r="B63" s="91" t="s">
        <v>2088</v>
      </c>
      <c r="C63" s="91">
        <v>8521835899</v>
      </c>
      <c r="D63" s="92">
        <v>44130</v>
      </c>
      <c r="E63" s="92">
        <f t="shared" si="2"/>
        <v>44158</v>
      </c>
      <c r="F63" s="92"/>
      <c r="G63" s="91" t="s">
        <v>2237</v>
      </c>
      <c r="H63" s="189">
        <v>55717</v>
      </c>
      <c r="I63" s="94" t="s">
        <v>2053</v>
      </c>
      <c r="O63" s="22"/>
    </row>
    <row r="64" spans="1:16" ht="15.75" x14ac:dyDescent="0.25">
      <c r="A64" s="173">
        <v>3</v>
      </c>
      <c r="B64" s="174" t="s">
        <v>1930</v>
      </c>
      <c r="C64" s="174">
        <v>7004952868</v>
      </c>
      <c r="D64" s="175">
        <v>44130</v>
      </c>
      <c r="E64" s="175">
        <f t="shared" si="2"/>
        <v>44158</v>
      </c>
      <c r="F64" s="175"/>
      <c r="G64" s="176" t="s">
        <v>2243</v>
      </c>
      <c r="H64" s="172">
        <v>334825</v>
      </c>
      <c r="I64" s="177" t="s">
        <v>2244</v>
      </c>
      <c r="J64" s="43" t="s">
        <v>2702</v>
      </c>
      <c r="O64" s="22"/>
    </row>
    <row r="65" spans="1:18" ht="15.75" x14ac:dyDescent="0.25">
      <c r="A65" s="173">
        <v>3</v>
      </c>
      <c r="B65" s="174" t="s">
        <v>1930</v>
      </c>
      <c r="C65" s="174">
        <v>8797286866</v>
      </c>
      <c r="D65" s="175">
        <v>44130</v>
      </c>
      <c r="E65" s="175">
        <f t="shared" si="2"/>
        <v>44158</v>
      </c>
      <c r="F65" s="175"/>
      <c r="G65" s="176" t="s">
        <v>2248</v>
      </c>
      <c r="H65" s="172" t="s">
        <v>2246</v>
      </c>
      <c r="I65" s="177" t="s">
        <v>2247</v>
      </c>
      <c r="O65" s="22"/>
    </row>
    <row r="66" spans="1:18" x14ac:dyDescent="0.25">
      <c r="A66" s="27">
        <v>3</v>
      </c>
      <c r="B66" s="22" t="s">
        <v>2088</v>
      </c>
      <c r="C66" s="22">
        <v>7261029254</v>
      </c>
      <c r="D66" s="21">
        <v>44130</v>
      </c>
      <c r="E66" s="21">
        <f t="shared" si="2"/>
        <v>44158</v>
      </c>
      <c r="F66" s="21"/>
      <c r="G66" s="4" t="s">
        <v>2259</v>
      </c>
      <c r="H66" s="73">
        <v>139624</v>
      </c>
      <c r="I66" s="44" t="s">
        <v>2260</v>
      </c>
      <c r="O66" s="22"/>
    </row>
    <row r="67" spans="1:18" ht="15.75" x14ac:dyDescent="0.25">
      <c r="A67" s="173">
        <v>2</v>
      </c>
      <c r="B67" s="174" t="s">
        <v>1930</v>
      </c>
      <c r="C67" s="174">
        <v>9798239574</v>
      </c>
      <c r="D67" s="175">
        <v>44130</v>
      </c>
      <c r="E67" s="175">
        <f t="shared" si="2"/>
        <v>44158</v>
      </c>
      <c r="F67" s="175"/>
      <c r="G67" s="176" t="s">
        <v>2463</v>
      </c>
      <c r="H67" s="172">
        <v>729756</v>
      </c>
      <c r="I67" s="177" t="s">
        <v>2464</v>
      </c>
      <c r="O67" s="22"/>
    </row>
    <row r="68" spans="1:18" x14ac:dyDescent="0.25">
      <c r="A68" s="188">
        <v>2</v>
      </c>
      <c r="B68" s="91" t="s">
        <v>1930</v>
      </c>
      <c r="C68" s="91">
        <v>9304470189</v>
      </c>
      <c r="D68" s="92">
        <v>44131</v>
      </c>
      <c r="E68" s="92">
        <f t="shared" si="2"/>
        <v>44159</v>
      </c>
      <c r="F68" s="188">
        <v>199</v>
      </c>
      <c r="G68" s="190" t="s">
        <v>2602</v>
      </c>
      <c r="H68" s="189" t="s">
        <v>2591</v>
      </c>
      <c r="I68" s="94" t="s">
        <v>2592</v>
      </c>
      <c r="M68" s="171">
        <f>202+142</f>
        <v>344</v>
      </c>
      <c r="O68" s="22"/>
    </row>
    <row r="69" spans="1:18" x14ac:dyDescent="0.25">
      <c r="A69" s="27">
        <v>3</v>
      </c>
      <c r="B69" s="22" t="s">
        <v>1930</v>
      </c>
      <c r="C69" s="22">
        <v>9399379268</v>
      </c>
      <c r="D69" s="21">
        <v>44132</v>
      </c>
      <c r="E69" s="21">
        <f t="shared" si="2"/>
        <v>44160</v>
      </c>
      <c r="F69" s="21"/>
      <c r="G69" s="4" t="s">
        <v>2238</v>
      </c>
      <c r="H69" s="43">
        <v>948415</v>
      </c>
      <c r="I69" s="44" t="s">
        <v>2261</v>
      </c>
      <c r="M69" s="171"/>
      <c r="O69" s="22"/>
    </row>
    <row r="70" spans="1:18" x14ac:dyDescent="0.25">
      <c r="A70" s="139">
        <v>3</v>
      </c>
      <c r="B70" s="1" t="s">
        <v>1930</v>
      </c>
      <c r="C70" s="166" t="s">
        <v>2691</v>
      </c>
      <c r="D70" s="138">
        <v>44132</v>
      </c>
      <c r="E70" s="138">
        <f t="shared" si="2"/>
        <v>44160</v>
      </c>
      <c r="F70" s="138"/>
      <c r="G70" s="1" t="s">
        <v>2255</v>
      </c>
      <c r="H70" s="150">
        <v>281625</v>
      </c>
      <c r="I70" s="140" t="s">
        <v>2264</v>
      </c>
      <c r="O70" s="22"/>
    </row>
    <row r="71" spans="1:18" x14ac:dyDescent="0.25">
      <c r="A71" s="188">
        <v>3</v>
      </c>
      <c r="B71" s="91" t="s">
        <v>2088</v>
      </c>
      <c r="C71" s="191">
        <v>7805015160</v>
      </c>
      <c r="D71" s="92">
        <v>44132</v>
      </c>
      <c r="E71" s="92">
        <f t="shared" si="2"/>
        <v>44160</v>
      </c>
      <c r="F71" s="188">
        <v>219</v>
      </c>
      <c r="G71" s="192" t="s">
        <v>1850</v>
      </c>
      <c r="H71" s="189">
        <v>38639</v>
      </c>
      <c r="I71" s="94" t="s">
        <v>2037</v>
      </c>
      <c r="O71" s="22"/>
    </row>
    <row r="72" spans="1:18" s="22" customFormat="1" x14ac:dyDescent="0.25">
      <c r="A72" s="27">
        <v>2</v>
      </c>
      <c r="B72" s="22" t="s">
        <v>2115</v>
      </c>
      <c r="C72" s="22">
        <v>8335883633</v>
      </c>
      <c r="D72" s="21">
        <v>44132</v>
      </c>
      <c r="E72" s="21">
        <f t="shared" si="2"/>
        <v>44160</v>
      </c>
      <c r="F72" s="27">
        <v>219</v>
      </c>
      <c r="G72" s="147" t="s">
        <v>2603</v>
      </c>
      <c r="H72" s="2" t="s">
        <v>2604</v>
      </c>
      <c r="I72" s="22">
        <v>885916</v>
      </c>
      <c r="J72" s="43"/>
      <c r="K72" s="43"/>
      <c r="L72" s="43"/>
      <c r="M72" s="43"/>
      <c r="N72" s="4"/>
      <c r="P72" s="4"/>
    </row>
    <row r="73" spans="1:18" s="22" customFormat="1" x14ac:dyDescent="0.25">
      <c r="A73" s="27">
        <v>3</v>
      </c>
      <c r="B73" s="22" t="s">
        <v>2114</v>
      </c>
      <c r="C73" s="127">
        <v>8340796124</v>
      </c>
      <c r="D73" s="21">
        <v>44133</v>
      </c>
      <c r="E73" s="21">
        <f t="shared" si="2"/>
        <v>44161</v>
      </c>
      <c r="F73" s="21"/>
      <c r="G73" s="22" t="s">
        <v>2256</v>
      </c>
      <c r="H73" s="43">
        <v>234841</v>
      </c>
      <c r="I73" s="44" t="s">
        <v>2270</v>
      </c>
      <c r="J73" s="43"/>
      <c r="K73" s="43"/>
      <c r="L73" s="43"/>
      <c r="M73" s="43"/>
      <c r="N73" s="73"/>
      <c r="O73" s="44"/>
      <c r="P73" s="4"/>
    </row>
    <row r="74" spans="1:18" s="22" customFormat="1" x14ac:dyDescent="0.25">
      <c r="A74" s="139">
        <v>3</v>
      </c>
      <c r="B74" s="1" t="s">
        <v>2088</v>
      </c>
      <c r="C74" s="1">
        <v>9113461308</v>
      </c>
      <c r="D74" s="138">
        <v>44133</v>
      </c>
      <c r="E74" s="138">
        <f t="shared" si="2"/>
        <v>44161</v>
      </c>
      <c r="F74" s="139"/>
      <c r="G74" s="1" t="s">
        <v>2267</v>
      </c>
      <c r="H74" s="150">
        <v>752612</v>
      </c>
      <c r="I74" s="140" t="s">
        <v>2268</v>
      </c>
      <c r="J74" s="43"/>
      <c r="K74" s="43"/>
      <c r="L74" s="43"/>
      <c r="M74" s="43"/>
      <c r="N74" s="4"/>
      <c r="P74" s="4"/>
    </row>
    <row r="75" spans="1:18" s="22" customFormat="1" ht="15.75" x14ac:dyDescent="0.25">
      <c r="A75" s="174">
        <v>3</v>
      </c>
      <c r="B75" s="174" t="s">
        <v>2088</v>
      </c>
      <c r="C75" s="174">
        <v>8603203058</v>
      </c>
      <c r="D75" s="174">
        <v>44134</v>
      </c>
      <c r="E75" s="174">
        <f t="shared" si="2"/>
        <v>44162</v>
      </c>
      <c r="F75" s="174">
        <v>249</v>
      </c>
      <c r="G75" s="174" t="s">
        <v>2272</v>
      </c>
      <c r="H75" s="174">
        <v>45963</v>
      </c>
      <c r="I75" s="174" t="s">
        <v>2056</v>
      </c>
      <c r="J75" s="43"/>
      <c r="K75" s="43"/>
      <c r="L75" s="43"/>
      <c r="M75" s="43"/>
      <c r="N75" s="4"/>
      <c r="O75" s="21" t="s">
        <v>2614</v>
      </c>
      <c r="P75" s="4"/>
    </row>
    <row r="76" spans="1:18" s="22" customFormat="1" ht="15.75" x14ac:dyDescent="0.25">
      <c r="A76" s="173">
        <v>4</v>
      </c>
      <c r="B76" s="174" t="s">
        <v>2114</v>
      </c>
      <c r="C76" s="174">
        <v>7488560811</v>
      </c>
      <c r="D76" s="175">
        <v>44134</v>
      </c>
      <c r="E76" s="175">
        <f t="shared" si="2"/>
        <v>44162</v>
      </c>
      <c r="F76" s="175"/>
      <c r="G76" s="176" t="s">
        <v>2066</v>
      </c>
      <c r="H76" s="172">
        <v>43548</v>
      </c>
      <c r="I76" s="177" t="s">
        <v>2067</v>
      </c>
      <c r="J76" s="43"/>
      <c r="K76" s="43"/>
      <c r="L76" s="43"/>
      <c r="M76" s="43"/>
      <c r="N76" s="4"/>
      <c r="O76" s="73"/>
      <c r="P76" s="44"/>
    </row>
    <row r="77" spans="1:18" s="22" customFormat="1" x14ac:dyDescent="0.25">
      <c r="A77" s="188">
        <v>3</v>
      </c>
      <c r="B77" s="91" t="s">
        <v>1930</v>
      </c>
      <c r="C77" s="91">
        <v>8340268188</v>
      </c>
      <c r="D77" s="92">
        <v>44135</v>
      </c>
      <c r="E77" s="92">
        <f t="shared" si="2"/>
        <v>44163</v>
      </c>
      <c r="F77" s="92" t="s">
        <v>2615</v>
      </c>
      <c r="G77" s="91" t="s">
        <v>2276</v>
      </c>
      <c r="H77" s="189">
        <v>831627</v>
      </c>
      <c r="I77" s="94" t="s">
        <v>2277</v>
      </c>
      <c r="J77" s="43"/>
      <c r="K77" s="43"/>
      <c r="L77" s="43"/>
      <c r="M77" s="43"/>
      <c r="N77" s="4" t="s">
        <v>2552</v>
      </c>
      <c r="O77" s="41">
        <v>44135</v>
      </c>
      <c r="P77" s="4">
        <v>199</v>
      </c>
    </row>
    <row r="78" spans="1:18" s="22" customFormat="1" ht="15.75" x14ac:dyDescent="0.25">
      <c r="A78" s="174">
        <v>2</v>
      </c>
      <c r="B78" s="174" t="s">
        <v>2421</v>
      </c>
      <c r="C78" s="174">
        <v>9123261501</v>
      </c>
      <c r="D78" s="174">
        <v>44135</v>
      </c>
      <c r="E78" s="174">
        <f t="shared" si="2"/>
        <v>44163</v>
      </c>
      <c r="F78" s="174">
        <v>899</v>
      </c>
      <c r="G78" s="174" t="s">
        <v>2480</v>
      </c>
      <c r="H78" s="174">
        <v>385174</v>
      </c>
      <c r="I78" s="174" t="s">
        <v>2481</v>
      </c>
      <c r="J78" s="43"/>
      <c r="K78" s="43"/>
      <c r="L78" s="43"/>
      <c r="M78" s="43"/>
      <c r="N78" s="4"/>
      <c r="P78" s="4"/>
    </row>
    <row r="79" spans="1:18" x14ac:dyDescent="0.25">
      <c r="A79" s="139">
        <v>2</v>
      </c>
      <c r="B79" s="1" t="s">
        <v>2421</v>
      </c>
      <c r="C79" s="1">
        <v>7667497635</v>
      </c>
      <c r="D79" s="138">
        <v>44135</v>
      </c>
      <c r="E79" s="138">
        <f t="shared" si="2"/>
        <v>44163</v>
      </c>
      <c r="F79" s="1">
        <v>899</v>
      </c>
      <c r="G79" s="165" t="s">
        <v>2488</v>
      </c>
      <c r="H79" s="43">
        <v>829916</v>
      </c>
      <c r="I79" s="44" t="s">
        <v>2489</v>
      </c>
      <c r="O79" s="73"/>
      <c r="P79" s="44"/>
      <c r="R79" s="2"/>
    </row>
    <row r="80" spans="1:18" ht="15.75" x14ac:dyDescent="0.25">
      <c r="A80" s="174">
        <v>3</v>
      </c>
      <c r="B80" s="174" t="s">
        <v>1930</v>
      </c>
      <c r="C80" s="174">
        <v>7992351077</v>
      </c>
      <c r="D80" s="174">
        <v>44136</v>
      </c>
      <c r="E80" s="174">
        <f t="shared" si="2"/>
        <v>44164</v>
      </c>
      <c r="F80" s="174"/>
      <c r="G80" s="174" t="s">
        <v>2280</v>
      </c>
      <c r="H80" s="174">
        <v>228321</v>
      </c>
      <c r="I80" s="174" t="s">
        <v>2279</v>
      </c>
      <c r="O80" s="22"/>
    </row>
    <row r="81" spans="1:18" x14ac:dyDescent="0.25">
      <c r="A81" s="27">
        <v>4</v>
      </c>
      <c r="B81" s="22" t="s">
        <v>2088</v>
      </c>
      <c r="C81" s="22">
        <v>7061417806</v>
      </c>
      <c r="D81" s="21">
        <v>44136</v>
      </c>
      <c r="E81" s="21">
        <f t="shared" si="2"/>
        <v>44164</v>
      </c>
      <c r="F81" s="21"/>
      <c r="G81" s="71" t="s">
        <v>2099</v>
      </c>
      <c r="H81" s="97">
        <v>31786</v>
      </c>
      <c r="I81" s="98">
        <v>387632</v>
      </c>
      <c r="O81" s="73"/>
      <c r="P81" s="44"/>
    </row>
    <row r="82" spans="1:18" x14ac:dyDescent="0.25">
      <c r="A82" s="27">
        <v>3</v>
      </c>
      <c r="B82" s="22" t="s">
        <v>1930</v>
      </c>
      <c r="C82" s="22">
        <v>9031148335</v>
      </c>
      <c r="D82" s="21">
        <v>44137</v>
      </c>
      <c r="E82" s="21">
        <f t="shared" si="2"/>
        <v>44165</v>
      </c>
      <c r="F82" s="21"/>
      <c r="G82" s="22" t="s">
        <v>953</v>
      </c>
      <c r="H82" s="43">
        <v>987674</v>
      </c>
      <c r="I82" s="44" t="s">
        <v>2298</v>
      </c>
      <c r="O82" s="22"/>
    </row>
    <row r="83" spans="1:18" x14ac:dyDescent="0.25">
      <c r="A83" s="27">
        <v>3</v>
      </c>
      <c r="B83" s="22" t="s">
        <v>1930</v>
      </c>
      <c r="C83" s="22">
        <v>7004659232</v>
      </c>
      <c r="D83" s="41">
        <v>44137</v>
      </c>
      <c r="E83" s="21">
        <f t="shared" si="2"/>
        <v>44165</v>
      </c>
      <c r="F83" s="21" t="s">
        <v>2622</v>
      </c>
      <c r="G83" s="22" t="s">
        <v>2358</v>
      </c>
      <c r="H83" s="73">
        <v>613223</v>
      </c>
      <c r="I83" s="44" t="s">
        <v>2359</v>
      </c>
      <c r="O83" s="22"/>
    </row>
    <row r="84" spans="1:18" x14ac:dyDescent="0.25">
      <c r="A84" s="27">
        <v>3</v>
      </c>
      <c r="B84" s="22" t="s">
        <v>2088</v>
      </c>
      <c r="C84" s="22">
        <v>9279014813</v>
      </c>
      <c r="D84" s="21">
        <v>44137</v>
      </c>
      <c r="E84" s="21">
        <f t="shared" si="2"/>
        <v>44165</v>
      </c>
      <c r="F84" s="21" t="s">
        <v>2622</v>
      </c>
      <c r="G84" s="22" t="s">
        <v>2360</v>
      </c>
      <c r="H84" s="43">
        <v>145356</v>
      </c>
      <c r="I84" s="22">
        <v>751912</v>
      </c>
      <c r="J84" s="43" t="s">
        <v>2656</v>
      </c>
      <c r="O84" s="22"/>
    </row>
    <row r="85" spans="1:18" x14ac:dyDescent="0.25">
      <c r="A85" s="27">
        <v>3</v>
      </c>
      <c r="B85" s="22" t="s">
        <v>2114</v>
      </c>
      <c r="C85" s="22">
        <v>7000239172</v>
      </c>
      <c r="D85" s="41">
        <v>44137</v>
      </c>
      <c r="E85" s="21">
        <f t="shared" si="2"/>
        <v>44165</v>
      </c>
      <c r="F85" s="22"/>
      <c r="G85" s="22" t="s">
        <v>2155</v>
      </c>
      <c r="H85" s="73" t="s">
        <v>2293</v>
      </c>
      <c r="I85" s="98">
        <v>781614</v>
      </c>
      <c r="O85" s="73">
        <v>987674</v>
      </c>
      <c r="P85" s="44" t="s">
        <v>2298</v>
      </c>
    </row>
    <row r="86" spans="1:18" x14ac:dyDescent="0.25">
      <c r="A86" s="27">
        <v>2</v>
      </c>
      <c r="B86" s="22" t="s">
        <v>2088</v>
      </c>
      <c r="C86" s="22">
        <v>9934848752</v>
      </c>
      <c r="D86" s="41">
        <v>44137</v>
      </c>
      <c r="E86" s="21">
        <f t="shared" si="2"/>
        <v>44165</v>
      </c>
      <c r="F86" s="22">
        <v>219</v>
      </c>
      <c r="G86" s="22" t="s">
        <v>2459</v>
      </c>
      <c r="H86" s="43">
        <v>973693</v>
      </c>
      <c r="I86" s="44" t="s">
        <v>2460</v>
      </c>
      <c r="O86" s="22"/>
      <c r="R86" s="22"/>
    </row>
    <row r="87" spans="1:18" ht="15.75" x14ac:dyDescent="0.25">
      <c r="A87" s="174">
        <v>2</v>
      </c>
      <c r="B87" s="174" t="s">
        <v>1930</v>
      </c>
      <c r="C87" s="174">
        <v>6206792470</v>
      </c>
      <c r="D87" s="174">
        <v>44137</v>
      </c>
      <c r="E87" s="174">
        <f t="shared" si="2"/>
        <v>44165</v>
      </c>
      <c r="F87" s="174">
        <v>199</v>
      </c>
      <c r="G87" s="174" t="s">
        <v>2478</v>
      </c>
      <c r="H87" s="174">
        <v>812611</v>
      </c>
      <c r="I87" s="174" t="s">
        <v>2479</v>
      </c>
      <c r="O87" s="22"/>
    </row>
    <row r="88" spans="1:18" x14ac:dyDescent="0.25">
      <c r="A88" s="27">
        <v>3</v>
      </c>
      <c r="B88" s="22" t="s">
        <v>1930</v>
      </c>
      <c r="C88" s="2">
        <v>8789563045</v>
      </c>
      <c r="D88" s="21">
        <v>44138</v>
      </c>
      <c r="E88" s="21">
        <f t="shared" si="2"/>
        <v>44166</v>
      </c>
      <c r="F88" s="27">
        <v>199</v>
      </c>
      <c r="G88" s="22" t="s">
        <v>2310</v>
      </c>
      <c r="H88" s="43">
        <v>272972</v>
      </c>
      <c r="I88" s="44" t="s">
        <v>2311</v>
      </c>
      <c r="O88" s="22"/>
    </row>
    <row r="89" spans="1:18" x14ac:dyDescent="0.25">
      <c r="A89" s="139">
        <v>4</v>
      </c>
      <c r="B89" s="1" t="s">
        <v>2114</v>
      </c>
      <c r="C89" s="1">
        <v>8210670600</v>
      </c>
      <c r="D89" s="138">
        <v>44140</v>
      </c>
      <c r="E89" s="138">
        <f t="shared" si="2"/>
        <v>44168</v>
      </c>
      <c r="F89" s="139"/>
      <c r="G89" s="1" t="s">
        <v>2142</v>
      </c>
      <c r="H89" s="149">
        <v>95747</v>
      </c>
      <c r="I89" s="140" t="s">
        <v>2145</v>
      </c>
      <c r="N89" s="137"/>
      <c r="O89" s="22"/>
    </row>
    <row r="90" spans="1:18" x14ac:dyDescent="0.25">
      <c r="A90" s="27">
        <v>3</v>
      </c>
      <c r="B90" s="22" t="s">
        <v>2088</v>
      </c>
      <c r="C90" s="22">
        <v>8092231804</v>
      </c>
      <c r="D90" s="21">
        <v>44140</v>
      </c>
      <c r="E90" s="21">
        <f t="shared" si="2"/>
        <v>44168</v>
      </c>
      <c r="G90" s="22" t="s">
        <v>2356</v>
      </c>
      <c r="H90" s="73">
        <v>881321</v>
      </c>
      <c r="I90" s="44" t="s">
        <v>2357</v>
      </c>
    </row>
    <row r="91" spans="1:18" ht="15.75" x14ac:dyDescent="0.25">
      <c r="A91" s="174">
        <v>4</v>
      </c>
      <c r="B91" s="174" t="s">
        <v>2114</v>
      </c>
      <c r="C91" s="174">
        <v>9142585352</v>
      </c>
      <c r="D91" s="174">
        <v>44140</v>
      </c>
      <c r="E91" s="174">
        <f t="shared" si="2"/>
        <v>44168</v>
      </c>
      <c r="F91" s="174"/>
      <c r="G91" s="174" t="s">
        <v>2153</v>
      </c>
      <c r="H91" s="174">
        <v>39161</v>
      </c>
      <c r="I91" s="174" t="s">
        <v>2154</v>
      </c>
    </row>
    <row r="92" spans="1:18" x14ac:dyDescent="0.25">
      <c r="A92" s="27">
        <v>2</v>
      </c>
      <c r="B92" s="1" t="s">
        <v>2114</v>
      </c>
      <c r="C92" s="127">
        <v>9680932095</v>
      </c>
      <c r="D92" s="21">
        <v>44142</v>
      </c>
      <c r="E92" s="138">
        <f t="shared" si="2"/>
        <v>44170</v>
      </c>
      <c r="F92" s="27">
        <v>199</v>
      </c>
      <c r="G92" s="22" t="s">
        <v>2265</v>
      </c>
      <c r="H92" s="43">
        <v>751546</v>
      </c>
      <c r="I92" s="44" t="s">
        <v>2266</v>
      </c>
    </row>
    <row r="93" spans="1:18" x14ac:dyDescent="0.25">
      <c r="A93" s="27">
        <v>1</v>
      </c>
      <c r="B93" s="1" t="s">
        <v>2088</v>
      </c>
      <c r="C93" s="127">
        <v>9031000171</v>
      </c>
      <c r="D93" s="21">
        <v>44125</v>
      </c>
      <c r="E93" s="138">
        <f t="shared" si="2"/>
        <v>44153</v>
      </c>
      <c r="G93" s="22" t="s">
        <v>2759</v>
      </c>
      <c r="H93" s="43">
        <v>362866</v>
      </c>
      <c r="I93" s="44" t="s">
        <v>2483</v>
      </c>
      <c r="J93" s="22"/>
      <c r="K93" s="22"/>
    </row>
    <row r="121" spans="9:9" x14ac:dyDescent="0.25">
      <c r="I121">
        <f>2250*15/1000</f>
        <v>33.75</v>
      </c>
    </row>
  </sheetData>
  <autoFilter ref="B1:I93" xr:uid="{00000000-0009-0000-0000-000004000000}">
    <sortState xmlns:xlrd2="http://schemas.microsoft.com/office/spreadsheetml/2017/richdata2" ref="B2:H46">
      <sortCondition ref="E2:E46"/>
    </sortState>
  </autoFilter>
  <sortState xmlns:xlrd2="http://schemas.microsoft.com/office/spreadsheetml/2017/richdata2" ref="A2:R91">
    <sortCondition ref="E2:E91"/>
  </sortState>
  <customSheetViews>
    <customSheetView guid="{A0CE3161-5061-442F-A27F-2BA55581F316}" showAutoFilter="1">
      <pane ySplit="1" topLeftCell="A21" activePane="bottomLeft" state="frozen"/>
      <selection pane="bottomLeft" activeCell="G1" sqref="G1"/>
      <pageMargins left="0.7" right="0.7" top="0.75" bottom="0.75" header="0.3" footer="0.3"/>
      <pageSetup paperSize="9" orientation="portrait" r:id="rId1"/>
      <autoFilter ref="B1:I93" xr:uid="{F36E7CB5-A540-446F-9B34-F9F2AA33B829}">
        <sortState xmlns:xlrd2="http://schemas.microsoft.com/office/spreadsheetml/2017/richdata2" ref="B2:H46">
          <sortCondition ref="E2:E46"/>
        </sortState>
      </autoFilter>
    </customSheetView>
    <customSheetView guid="{2FF9BCA9-095C-4E73-9C86-2243907C0824}" showAutoFilter="1">
      <pane ySplit="1" topLeftCell="A21" activePane="bottomLeft" state="frozen"/>
      <selection pane="bottomLeft" activeCell="G1" sqref="G1"/>
      <pageMargins left="0.7" right="0.7" top="0.75" bottom="0.75" header="0.3" footer="0.3"/>
      <pageSetup paperSize="9" orientation="portrait" r:id="rId2"/>
      <autoFilter ref="B1:I93" xr:uid="{DA112ACA-46B7-43DA-BDC2-3F713D6CA75C}">
        <sortState xmlns:xlrd2="http://schemas.microsoft.com/office/spreadsheetml/2017/richdata2" ref="B2:H46">
          <sortCondition ref="E2:E46"/>
        </sortState>
      </autoFilter>
    </customSheetView>
    <customSheetView guid="{EB31AAB7-3CD3-47EA-8FB3-E6304DCC89B3}" showAutoFilter="1">
      <pane ySplit="1" topLeftCell="A21" activePane="bottomLeft" state="frozen"/>
      <selection pane="bottomLeft" activeCell="G1" sqref="G1"/>
      <pageMargins left="0.7" right="0.7" top="0.75" bottom="0.75" header="0.3" footer="0.3"/>
      <pageSetup paperSize="9" orientation="portrait" r:id="rId3"/>
      <autoFilter ref="B1:I93" xr:uid="{40A6A1F5-571C-4AC0-8EC9-62AB0869F782}">
        <sortState xmlns:xlrd2="http://schemas.microsoft.com/office/spreadsheetml/2017/richdata2" ref="B2:H46">
          <sortCondition ref="E2:E46"/>
        </sortState>
      </autoFilter>
    </customSheetView>
    <customSheetView guid="{1459FC0D-58BA-4BEC-951C-298999986759}" showAutoFilter="1">
      <pane ySplit="1" topLeftCell="A21" activePane="bottomLeft" state="frozen"/>
      <selection pane="bottomLeft" activeCell="G1" sqref="G1"/>
      <pageMargins left="0.7" right="0.7" top="0.75" bottom="0.75" header="0.3" footer="0.3"/>
      <pageSetup paperSize="9" orientation="portrait" r:id="rId4"/>
      <autoFilter ref="B1:I93" xr:uid="{ABA76162-10E5-4EFC-98CB-CF16F8C80E2C}">
        <sortState xmlns:xlrd2="http://schemas.microsoft.com/office/spreadsheetml/2017/richdata2" ref="B2:H46">
          <sortCondition ref="E2:E46"/>
        </sortState>
      </autoFilter>
    </customSheetView>
  </customSheetView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5809-C101-478C-A645-A3622EADB0C8}">
  <dimension ref="A1:K52"/>
  <sheetViews>
    <sheetView topLeftCell="A39" workbookViewId="0">
      <selection activeCell="J54" sqref="J54"/>
    </sheetView>
  </sheetViews>
  <sheetFormatPr defaultColWidth="9.140625" defaultRowHeight="15" x14ac:dyDescent="0.25"/>
  <cols>
    <col min="1" max="1" width="11.140625" style="4" customWidth="1"/>
    <col min="2" max="2" width="22.140625" style="22" customWidth="1"/>
    <col min="3" max="3" width="10.7109375" style="22" customWidth="1"/>
    <col min="4" max="4" width="8.140625" style="22" customWidth="1"/>
    <col min="5" max="5" width="13.7109375" style="22" customWidth="1"/>
    <col min="6" max="6" width="8.85546875" style="22" customWidth="1"/>
    <col min="7" max="7" width="6" style="22" customWidth="1"/>
    <col min="8" max="9" width="9.140625" style="22"/>
    <col min="10" max="10" width="9.42578125" style="22" bestFit="1" customWidth="1"/>
    <col min="11" max="16384" width="9.140625" style="22"/>
  </cols>
  <sheetData>
    <row r="1" spans="1:8" x14ac:dyDescent="0.25">
      <c r="F1" s="22" t="s">
        <v>2719</v>
      </c>
      <c r="G1" s="22" t="s">
        <v>2692</v>
      </c>
      <c r="H1" s="22">
        <f>SUM(H13:H45)</f>
        <v>12861</v>
      </c>
    </row>
    <row r="10" spans="1:8" x14ac:dyDescent="0.25">
      <c r="A10" s="4" t="s">
        <v>1</v>
      </c>
      <c r="B10" s="143">
        <v>831627</v>
      </c>
      <c r="C10" s="143"/>
      <c r="D10" s="143"/>
      <c r="E10" s="130" t="s">
        <v>2277</v>
      </c>
      <c r="F10" s="130"/>
      <c r="G10" s="22">
        <v>3</v>
      </c>
    </row>
    <row r="11" spans="1:8" x14ac:dyDescent="0.25">
      <c r="B11" s="143"/>
      <c r="C11" s="143"/>
      <c r="D11" s="143"/>
      <c r="E11" s="130"/>
      <c r="F11" s="130"/>
    </row>
    <row r="12" spans="1:8" x14ac:dyDescent="0.25">
      <c r="B12" s="143"/>
      <c r="C12" s="143"/>
      <c r="D12" s="143"/>
      <c r="E12" s="130"/>
      <c r="F12" s="130"/>
    </row>
    <row r="13" spans="1:8" x14ac:dyDescent="0.25">
      <c r="B13" s="143" t="s">
        <v>2716</v>
      </c>
      <c r="C13" s="143" t="s">
        <v>2720</v>
      </c>
      <c r="D13" s="143"/>
      <c r="E13" s="130" t="s">
        <v>2717</v>
      </c>
      <c r="F13" s="130"/>
    </row>
    <row r="14" spans="1:8" x14ac:dyDescent="0.25">
      <c r="B14" s="143" t="s">
        <v>2699</v>
      </c>
      <c r="C14" s="143"/>
      <c r="D14" s="143"/>
      <c r="E14" s="130"/>
      <c r="F14" s="130"/>
      <c r="H14" s="22">
        <v>350</v>
      </c>
    </row>
    <row r="15" spans="1:8" x14ac:dyDescent="0.25">
      <c r="B15" s="22" t="s">
        <v>2701</v>
      </c>
      <c r="H15" s="22">
        <v>200</v>
      </c>
    </row>
    <row r="16" spans="1:8" x14ac:dyDescent="0.25">
      <c r="B16" s="22" t="s">
        <v>2698</v>
      </c>
      <c r="H16" s="22">
        <v>1300</v>
      </c>
    </row>
    <row r="17" spans="1:9" x14ac:dyDescent="0.25">
      <c r="B17" s="22" t="s">
        <v>2699</v>
      </c>
      <c r="H17" s="22">
        <v>350</v>
      </c>
    </row>
    <row r="18" spans="1:9" x14ac:dyDescent="0.25">
      <c r="A18" s="6">
        <v>44171</v>
      </c>
      <c r="B18" s="22" t="s">
        <v>2700</v>
      </c>
      <c r="H18" s="22">
        <v>596</v>
      </c>
    </row>
    <row r="19" spans="1:9" x14ac:dyDescent="0.25">
      <c r="B19" s="22" t="s">
        <v>2704</v>
      </c>
      <c r="H19" s="22">
        <v>401</v>
      </c>
    </row>
    <row r="20" spans="1:9" x14ac:dyDescent="0.25">
      <c r="A20" s="6">
        <v>44175</v>
      </c>
      <c r="B20" s="22" t="s">
        <v>2718</v>
      </c>
      <c r="C20" s="93">
        <v>919459</v>
      </c>
      <c r="D20" s="93"/>
      <c r="E20" s="22">
        <v>7209978935</v>
      </c>
      <c r="F20" s="22">
        <v>1090</v>
      </c>
      <c r="G20" s="22">
        <v>2</v>
      </c>
      <c r="H20" s="22">
        <f>F20-G20*249</f>
        <v>592</v>
      </c>
    </row>
    <row r="21" spans="1:9" x14ac:dyDescent="0.25">
      <c r="A21" s="6">
        <v>44176</v>
      </c>
      <c r="B21" s="22" t="s">
        <v>2721</v>
      </c>
      <c r="C21" s="22">
        <v>684262</v>
      </c>
      <c r="E21" s="22">
        <v>9470355028</v>
      </c>
      <c r="F21" s="22">
        <v>799</v>
      </c>
      <c r="G21" s="22">
        <v>3</v>
      </c>
      <c r="H21" s="22">
        <v>142</v>
      </c>
    </row>
    <row r="22" spans="1:9" x14ac:dyDescent="0.25">
      <c r="A22" s="6">
        <v>44176</v>
      </c>
      <c r="B22" s="22" t="s">
        <v>2721</v>
      </c>
      <c r="C22" s="22">
        <v>315249</v>
      </c>
      <c r="E22" s="22">
        <v>6200960230</v>
      </c>
      <c r="F22" s="22">
        <v>799</v>
      </c>
      <c r="G22" s="22">
        <v>3</v>
      </c>
      <c r="H22" s="22">
        <v>202</v>
      </c>
    </row>
    <row r="23" spans="1:9" x14ac:dyDescent="0.25">
      <c r="A23" s="6">
        <v>44184</v>
      </c>
      <c r="B23" s="22" t="s">
        <v>2745</v>
      </c>
      <c r="H23" s="22">
        <v>200</v>
      </c>
    </row>
    <row r="24" spans="1:9" x14ac:dyDescent="0.25">
      <c r="A24" s="6">
        <v>44184</v>
      </c>
      <c r="B24" s="22" t="s">
        <v>2746</v>
      </c>
      <c r="H24" s="22">
        <v>400</v>
      </c>
    </row>
    <row r="25" spans="1:9" x14ac:dyDescent="0.25">
      <c r="A25" s="6">
        <v>44190</v>
      </c>
      <c r="B25" s="22" t="s">
        <v>2450</v>
      </c>
      <c r="C25" s="22" t="s">
        <v>2753</v>
      </c>
      <c r="E25" s="22">
        <v>8210747668</v>
      </c>
      <c r="F25" s="22">
        <v>799</v>
      </c>
      <c r="G25" s="22">
        <v>2</v>
      </c>
      <c r="H25" s="22">
        <v>400</v>
      </c>
    </row>
    <row r="26" spans="1:9" x14ac:dyDescent="0.25">
      <c r="A26" s="6">
        <v>44190</v>
      </c>
      <c r="B26" s="22" t="s">
        <v>2214</v>
      </c>
      <c r="C26" s="22" t="s">
        <v>2754</v>
      </c>
      <c r="E26" s="22">
        <v>6207720308</v>
      </c>
      <c r="F26" s="22">
        <v>799</v>
      </c>
      <c r="G26" s="22">
        <v>1</v>
      </c>
      <c r="H26" s="22">
        <v>199</v>
      </c>
      <c r="I26" s="22" t="s">
        <v>2755</v>
      </c>
    </row>
    <row r="27" spans="1:9" x14ac:dyDescent="0.25">
      <c r="A27" s="6">
        <v>44190</v>
      </c>
      <c r="B27" s="22" t="s">
        <v>2478</v>
      </c>
      <c r="C27" s="41" t="s">
        <v>2756</v>
      </c>
      <c r="D27" s="41"/>
      <c r="E27" s="22">
        <v>6206792470</v>
      </c>
      <c r="F27" s="22">
        <v>999</v>
      </c>
      <c r="G27" s="146"/>
      <c r="H27" s="22">
        <v>500</v>
      </c>
      <c r="I27" s="44"/>
    </row>
    <row r="28" spans="1:9" x14ac:dyDescent="0.25">
      <c r="A28" s="6">
        <v>44193</v>
      </c>
      <c r="B28" s="22" t="s">
        <v>2757</v>
      </c>
      <c r="C28" s="22" t="s">
        <v>2758</v>
      </c>
      <c r="F28" s="147">
        <v>799</v>
      </c>
      <c r="G28" s="22">
        <v>2</v>
      </c>
      <c r="H28" s="147">
        <v>400</v>
      </c>
    </row>
    <row r="29" spans="1:9" x14ac:dyDescent="0.25">
      <c r="B29" s="22" t="s">
        <v>557</v>
      </c>
      <c r="F29" s="147">
        <v>799</v>
      </c>
      <c r="G29" s="147">
        <v>2</v>
      </c>
      <c r="H29" s="147">
        <v>400</v>
      </c>
    </row>
    <row r="30" spans="1:9" x14ac:dyDescent="0.25">
      <c r="B30" s="22" t="s">
        <v>2854</v>
      </c>
      <c r="C30" s="22" t="s">
        <v>2591</v>
      </c>
      <c r="F30" s="147">
        <v>799</v>
      </c>
      <c r="G30" s="147">
        <v>2</v>
      </c>
      <c r="H30" s="147">
        <v>400</v>
      </c>
    </row>
    <row r="31" spans="1:9" x14ac:dyDescent="0.25">
      <c r="A31" s="6">
        <v>44201</v>
      </c>
      <c r="B31" s="23" t="s">
        <v>2382</v>
      </c>
      <c r="C31" s="97">
        <v>954447</v>
      </c>
      <c r="D31" s="97"/>
      <c r="E31" s="187">
        <v>7000239171</v>
      </c>
      <c r="F31" s="147">
        <v>799</v>
      </c>
      <c r="G31" s="147">
        <v>2</v>
      </c>
      <c r="H31" s="147">
        <v>400</v>
      </c>
    </row>
    <row r="32" spans="1:9" x14ac:dyDescent="0.25">
      <c r="A32" s="6">
        <v>44200</v>
      </c>
      <c r="B32" s="22" t="s">
        <v>2158</v>
      </c>
      <c r="E32" s="22">
        <v>8789074647</v>
      </c>
      <c r="G32" s="147">
        <v>2</v>
      </c>
      <c r="H32" s="147">
        <v>400</v>
      </c>
    </row>
    <row r="33" spans="1:11" x14ac:dyDescent="0.25">
      <c r="A33" s="6">
        <v>44200</v>
      </c>
      <c r="B33" s="22" t="s">
        <v>2855</v>
      </c>
      <c r="G33" s="147">
        <v>2</v>
      </c>
      <c r="H33" s="147">
        <v>400</v>
      </c>
    </row>
    <row r="34" spans="1:11" x14ac:dyDescent="0.25">
      <c r="A34" s="6">
        <v>44201</v>
      </c>
      <c r="B34" s="22" t="s">
        <v>2510</v>
      </c>
      <c r="C34" s="43" t="s">
        <v>2511</v>
      </c>
      <c r="D34" s="43"/>
      <c r="E34" s="22">
        <v>9142510639</v>
      </c>
      <c r="G34" s="147">
        <v>3</v>
      </c>
      <c r="H34" s="147">
        <v>200</v>
      </c>
    </row>
    <row r="35" spans="1:11" x14ac:dyDescent="0.25">
      <c r="A35" s="6">
        <v>44201</v>
      </c>
      <c r="B35" s="22" t="s">
        <v>2510</v>
      </c>
      <c r="C35" s="43" t="s">
        <v>2513</v>
      </c>
      <c r="D35" s="43"/>
      <c r="E35" s="22">
        <v>9204038708</v>
      </c>
      <c r="G35" s="147">
        <v>2</v>
      </c>
      <c r="H35" s="147">
        <v>400</v>
      </c>
    </row>
    <row r="36" spans="1:11" x14ac:dyDescent="0.25">
      <c r="A36" s="6">
        <v>44203</v>
      </c>
      <c r="B36" s="22" t="s">
        <v>2548</v>
      </c>
      <c r="C36" s="43">
        <v>433933</v>
      </c>
      <c r="D36" s="44" t="s">
        <v>2549</v>
      </c>
      <c r="E36" s="22">
        <v>9693750275</v>
      </c>
      <c r="F36" s="22">
        <v>799</v>
      </c>
      <c r="G36" s="147">
        <v>0</v>
      </c>
      <c r="H36" s="147">
        <v>600</v>
      </c>
    </row>
    <row r="37" spans="1:11" x14ac:dyDescent="0.25">
      <c r="A37" s="6">
        <v>44210</v>
      </c>
      <c r="B37" s="22" t="s">
        <v>2208</v>
      </c>
      <c r="C37" s="43">
        <v>317688</v>
      </c>
      <c r="D37" s="44"/>
      <c r="E37" s="22">
        <v>9931429148</v>
      </c>
      <c r="G37" s="147"/>
      <c r="H37" s="147">
        <v>598</v>
      </c>
    </row>
    <row r="38" spans="1:11" x14ac:dyDescent="0.25">
      <c r="A38" s="6">
        <v>44212</v>
      </c>
      <c r="B38" s="22" t="s">
        <v>2143</v>
      </c>
      <c r="C38" s="43">
        <v>98482</v>
      </c>
      <c r="D38" s="44"/>
      <c r="E38" s="22">
        <v>7725859383</v>
      </c>
      <c r="G38" s="147"/>
      <c r="H38" s="147">
        <v>200</v>
      </c>
    </row>
    <row r="39" spans="1:11" x14ac:dyDescent="0.25">
      <c r="A39" s="6">
        <v>44228</v>
      </c>
      <c r="B39" s="22" t="s">
        <v>2457</v>
      </c>
      <c r="C39" s="43">
        <v>538199</v>
      </c>
      <c r="D39" s="44" t="s">
        <v>2456</v>
      </c>
      <c r="E39" s="22">
        <v>9142467030</v>
      </c>
      <c r="F39" s="22">
        <f>199*2</f>
        <v>398</v>
      </c>
      <c r="G39" s="147">
        <v>2</v>
      </c>
      <c r="H39" s="147">
        <v>400</v>
      </c>
    </row>
    <row r="40" spans="1:11" x14ac:dyDescent="0.25">
      <c r="A40" s="6">
        <v>44233</v>
      </c>
      <c r="B40" s="22" t="s">
        <v>2443</v>
      </c>
      <c r="C40" s="73">
        <v>555139</v>
      </c>
      <c r="D40" s="44"/>
      <c r="E40" s="22">
        <v>9031059999</v>
      </c>
      <c r="F40" s="22">
        <f>199*2</f>
        <v>398</v>
      </c>
      <c r="G40" s="147">
        <v>2</v>
      </c>
      <c r="H40" s="147">
        <v>400</v>
      </c>
    </row>
    <row r="41" spans="1:11" x14ac:dyDescent="0.25">
      <c r="A41" s="6"/>
      <c r="B41" s="22" t="s">
        <v>2257</v>
      </c>
      <c r="C41" s="43">
        <v>239385</v>
      </c>
      <c r="D41" s="44"/>
      <c r="E41" s="22">
        <v>9204038708</v>
      </c>
      <c r="G41" s="147">
        <v>2</v>
      </c>
      <c r="H41" s="147">
        <v>400</v>
      </c>
    </row>
    <row r="42" spans="1:11" x14ac:dyDescent="0.25">
      <c r="A42" s="6">
        <v>44247</v>
      </c>
      <c r="B42" s="203" t="s">
        <v>1164</v>
      </c>
      <c r="C42" s="73">
        <v>219813</v>
      </c>
      <c r="D42" s="44"/>
      <c r="E42" s="22">
        <v>9062463078</v>
      </c>
      <c r="G42" s="147">
        <v>2</v>
      </c>
      <c r="H42" s="147">
        <v>300</v>
      </c>
    </row>
    <row r="43" spans="1:11" x14ac:dyDescent="0.25">
      <c r="A43" s="6">
        <v>44268</v>
      </c>
      <c r="B43" s="203" t="s">
        <v>2444</v>
      </c>
      <c r="C43" s="202">
        <v>884475</v>
      </c>
      <c r="D43" s="203"/>
      <c r="E43" s="203">
        <v>8340180863</v>
      </c>
      <c r="F43" s="203"/>
      <c r="G43" s="203">
        <v>2</v>
      </c>
      <c r="H43" s="147">
        <v>400</v>
      </c>
    </row>
    <row r="44" spans="1:11" x14ac:dyDescent="0.25">
      <c r="A44" s="6">
        <v>43904</v>
      </c>
      <c r="B44" s="22" t="s">
        <v>2420</v>
      </c>
      <c r="C44" s="73" t="s">
        <v>2419</v>
      </c>
      <c r="D44" s="44">
        <v>761628</v>
      </c>
      <c r="E44" s="22">
        <v>9204702568</v>
      </c>
      <c r="G44" s="147">
        <v>2</v>
      </c>
      <c r="H44" s="147">
        <v>400</v>
      </c>
    </row>
    <row r="45" spans="1:11" x14ac:dyDescent="0.25">
      <c r="A45" s="6">
        <v>44271</v>
      </c>
      <c r="B45" s="22" t="s">
        <v>880</v>
      </c>
      <c r="C45" s="43">
        <v>564347</v>
      </c>
      <c r="D45" s="44" t="s">
        <v>2484</v>
      </c>
      <c r="E45" s="22">
        <v>7319799147</v>
      </c>
      <c r="F45" s="23"/>
      <c r="G45" s="147">
        <v>3</v>
      </c>
      <c r="H45" s="205">
        <v>331</v>
      </c>
      <c r="I45" s="23">
        <f>799-219-249</f>
        <v>331</v>
      </c>
      <c r="K45" s="98"/>
    </row>
    <row r="46" spans="1:11" x14ac:dyDescent="0.25">
      <c r="A46" s="6"/>
      <c r="C46" s="43"/>
      <c r="D46" s="44"/>
      <c r="F46" s="23"/>
      <c r="G46" s="147"/>
      <c r="H46" s="205"/>
      <c r="I46" s="23"/>
      <c r="K46" s="98"/>
    </row>
    <row r="47" spans="1:11" x14ac:dyDescent="0.25">
      <c r="A47" s="6"/>
      <c r="C47" s="43"/>
      <c r="D47" s="44"/>
      <c r="F47" s="23"/>
      <c r="G47" s="147"/>
      <c r="H47" s="205"/>
      <c r="I47" s="23"/>
      <c r="K47" s="98"/>
    </row>
    <row r="48" spans="1:11" x14ac:dyDescent="0.25">
      <c r="A48" s="6"/>
      <c r="C48" s="43"/>
      <c r="D48" s="44"/>
      <c r="F48" s="23"/>
      <c r="G48" s="147"/>
      <c r="H48" s="205"/>
      <c r="I48" s="23"/>
      <c r="K48" s="98"/>
    </row>
    <row r="49" spans="3:8" ht="15.75" x14ac:dyDescent="0.25">
      <c r="C49" s="41"/>
      <c r="E49" s="174"/>
    </row>
    <row r="50" spans="3:8" x14ac:dyDescent="0.25">
      <c r="H50" s="179">
        <f>SUM(H14:H49)</f>
        <v>12861</v>
      </c>
    </row>
    <row r="52" spans="3:8" x14ac:dyDescent="0.25">
      <c r="C52" s="21">
        <v>44120</v>
      </c>
      <c r="D52" s="21">
        <f t="shared" ref="D52" si="0">C52+28</f>
        <v>44148</v>
      </c>
      <c r="E52" s="204">
        <v>199</v>
      </c>
    </row>
  </sheetData>
  <customSheetViews>
    <customSheetView guid="{A0CE3161-5061-442F-A27F-2BA55581F316}" topLeftCell="A39">
      <selection activeCell="J54" sqref="J54"/>
      <pageMargins left="0.7" right="0.7" top="0.75" bottom="0.75" header="0.3" footer="0.3"/>
    </customSheetView>
    <customSheetView guid="{2FF9BCA9-095C-4E73-9C86-2243907C0824}" topLeftCell="A39">
      <selection activeCell="J54" sqref="J54"/>
      <pageMargins left="0.7" right="0.7" top="0.75" bottom="0.75" header="0.3" footer="0.3"/>
    </customSheetView>
    <customSheetView guid="{EB31AAB7-3CD3-47EA-8FB3-E6304DCC89B3}" topLeftCell="A39">
      <selection activeCell="J54" sqref="J54"/>
      <pageMargins left="0.7" right="0.7" top="0.75" bottom="0.75" header="0.3" footer="0.3"/>
    </customSheetView>
    <customSheetView guid="{1459FC0D-58BA-4BEC-951C-298999986759}" topLeftCell="A39">
      <selection activeCell="J54" sqref="J5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6C78-ACE1-44D8-953D-753DC7AF3666}">
  <dimension ref="A1:L92"/>
  <sheetViews>
    <sheetView topLeftCell="A19" zoomScaleNormal="100" workbookViewId="0">
      <selection activeCell="I36" sqref="I36"/>
    </sheetView>
  </sheetViews>
  <sheetFormatPr defaultRowHeight="15" x14ac:dyDescent="0.25"/>
  <cols>
    <col min="3" max="3" width="14.7109375" customWidth="1"/>
    <col min="4" max="4" width="11" customWidth="1"/>
    <col min="5" max="5" width="11.7109375" customWidth="1"/>
    <col min="7" max="7" width="21.42578125" customWidth="1"/>
    <col min="8" max="8" width="12.140625" customWidth="1"/>
  </cols>
  <sheetData>
    <row r="1" spans="1:12" x14ac:dyDescent="0.25">
      <c r="A1" s="81" t="s">
        <v>2292</v>
      </c>
      <c r="B1" s="75" t="s">
        <v>2089</v>
      </c>
      <c r="C1" s="75" t="s">
        <v>2090</v>
      </c>
      <c r="D1" s="81" t="s">
        <v>2092</v>
      </c>
      <c r="E1" s="81" t="s">
        <v>2093</v>
      </c>
      <c r="F1" s="81" t="s">
        <v>2403</v>
      </c>
      <c r="G1" s="75" t="s">
        <v>2091</v>
      </c>
      <c r="H1" s="123" t="s">
        <v>233</v>
      </c>
      <c r="I1" s="75"/>
      <c r="J1" s="43"/>
      <c r="K1" t="s">
        <v>2610</v>
      </c>
      <c r="L1" t="s">
        <v>233</v>
      </c>
    </row>
    <row r="2" spans="1:12" x14ac:dyDescent="0.25">
      <c r="A2" s="27">
        <v>1</v>
      </c>
      <c r="B2" s="22" t="s">
        <v>2410</v>
      </c>
      <c r="C2" s="22">
        <v>3019627798</v>
      </c>
      <c r="D2" s="21">
        <v>44092</v>
      </c>
      <c r="E2" s="21">
        <f>D2+29</f>
        <v>44121</v>
      </c>
      <c r="F2" s="27" t="s">
        <v>2655</v>
      </c>
      <c r="G2" s="22" t="s">
        <v>2399</v>
      </c>
      <c r="H2" s="2" t="s">
        <v>2404</v>
      </c>
      <c r="I2" s="22">
        <v>192672</v>
      </c>
      <c r="J2" s="43" t="s">
        <v>2656</v>
      </c>
    </row>
    <row r="3" spans="1:12" x14ac:dyDescent="0.25">
      <c r="A3" s="27">
        <v>4</v>
      </c>
      <c r="B3" s="22" t="s">
        <v>1930</v>
      </c>
      <c r="C3" s="22">
        <v>8709981527</v>
      </c>
      <c r="D3" s="21">
        <v>44101</v>
      </c>
      <c r="E3" s="21">
        <f t="shared" ref="E3:E24" si="0">D3+28</f>
        <v>44129</v>
      </c>
      <c r="F3" s="21"/>
      <c r="G3" s="22" t="s">
        <v>2236</v>
      </c>
      <c r="H3" s="2" t="s">
        <v>2657</v>
      </c>
      <c r="I3" s="22">
        <v>51920</v>
      </c>
      <c r="J3" s="43" t="s">
        <v>2656</v>
      </c>
    </row>
    <row r="4" spans="1:12" x14ac:dyDescent="0.25">
      <c r="A4" s="139">
        <v>4</v>
      </c>
      <c r="B4" s="1" t="s">
        <v>2088</v>
      </c>
      <c r="C4" s="1">
        <v>9263870905</v>
      </c>
      <c r="D4" s="138">
        <v>44106</v>
      </c>
      <c r="E4" s="138">
        <f t="shared" si="0"/>
        <v>44134</v>
      </c>
      <c r="F4" s="138"/>
      <c r="G4" s="1" t="s">
        <v>1860</v>
      </c>
      <c r="H4" s="149">
        <v>25924</v>
      </c>
      <c r="I4" s="140" t="s">
        <v>1861</v>
      </c>
      <c r="J4" s="43" t="s">
        <v>2656</v>
      </c>
    </row>
    <row r="5" spans="1:12" x14ac:dyDescent="0.25">
      <c r="A5" s="27">
        <v>4</v>
      </c>
      <c r="B5" s="22" t="s">
        <v>2114</v>
      </c>
      <c r="C5" s="22">
        <v>9031606926</v>
      </c>
      <c r="D5" s="21">
        <v>44109</v>
      </c>
      <c r="E5" s="21">
        <f t="shared" si="0"/>
        <v>44137</v>
      </c>
      <c r="F5" s="21"/>
      <c r="G5" s="22" t="s">
        <v>1862</v>
      </c>
      <c r="H5" s="2" t="s">
        <v>2113</v>
      </c>
      <c r="I5" s="44" t="s">
        <v>1864</v>
      </c>
      <c r="J5" s="43" t="s">
        <v>2656</v>
      </c>
    </row>
    <row r="6" spans="1:12" x14ac:dyDescent="0.25">
      <c r="A6" s="139">
        <v>4</v>
      </c>
      <c r="B6" s="1" t="s">
        <v>1930</v>
      </c>
      <c r="C6" s="1">
        <v>9955500684</v>
      </c>
      <c r="D6" s="138">
        <v>44110</v>
      </c>
      <c r="E6" s="138">
        <f t="shared" si="0"/>
        <v>44138</v>
      </c>
      <c r="F6" s="139">
        <v>199</v>
      </c>
      <c r="G6" s="1" t="s">
        <v>1836</v>
      </c>
      <c r="H6" s="150">
        <v>45869</v>
      </c>
      <c r="I6" s="140" t="s">
        <v>1841</v>
      </c>
      <c r="J6" s="150" t="s">
        <v>2656</v>
      </c>
    </row>
    <row r="7" spans="1:12" x14ac:dyDescent="0.25">
      <c r="A7" s="27">
        <v>4</v>
      </c>
      <c r="B7" s="22" t="s">
        <v>2088</v>
      </c>
      <c r="C7" s="22">
        <v>9031382335</v>
      </c>
      <c r="D7" s="21">
        <v>44112</v>
      </c>
      <c r="E7" s="21">
        <f t="shared" si="0"/>
        <v>44140</v>
      </c>
      <c r="F7" s="21"/>
      <c r="G7" s="22" t="s">
        <v>2140</v>
      </c>
      <c r="H7" s="43">
        <v>68166</v>
      </c>
      <c r="I7" s="44" t="s">
        <v>2033</v>
      </c>
      <c r="J7" s="43" t="s">
        <v>2656</v>
      </c>
    </row>
    <row r="8" spans="1:12" x14ac:dyDescent="0.25">
      <c r="A8" s="139">
        <v>4</v>
      </c>
      <c r="B8" s="1" t="s">
        <v>2088</v>
      </c>
      <c r="C8" s="1">
        <v>7295023315</v>
      </c>
      <c r="D8" s="138">
        <v>44112</v>
      </c>
      <c r="E8" s="138">
        <f t="shared" si="0"/>
        <v>44140</v>
      </c>
      <c r="F8" s="138"/>
      <c r="G8" s="1" t="s">
        <v>1882</v>
      </c>
      <c r="H8" s="149">
        <v>84914</v>
      </c>
      <c r="I8" s="140" t="s">
        <v>1883</v>
      </c>
      <c r="J8" s="43" t="s">
        <v>2656</v>
      </c>
    </row>
    <row r="9" spans="1:12" x14ac:dyDescent="0.25">
      <c r="A9" s="139">
        <v>3</v>
      </c>
      <c r="B9" s="1" t="s">
        <v>1931</v>
      </c>
      <c r="C9" s="161">
        <v>9431380759</v>
      </c>
      <c r="D9" s="138">
        <v>44112</v>
      </c>
      <c r="E9" s="138">
        <f t="shared" si="0"/>
        <v>44140</v>
      </c>
      <c r="F9" s="139"/>
      <c r="G9" s="1" t="s">
        <v>1860</v>
      </c>
      <c r="H9" s="150">
        <v>39542</v>
      </c>
      <c r="I9" s="140" t="s">
        <v>2137</v>
      </c>
      <c r="J9" s="43" t="s">
        <v>2656</v>
      </c>
    </row>
    <row r="10" spans="1:12" x14ac:dyDescent="0.25">
      <c r="A10" s="27">
        <v>3</v>
      </c>
      <c r="B10" s="22" t="s">
        <v>2114</v>
      </c>
      <c r="C10" s="22">
        <v>7003637761</v>
      </c>
      <c r="D10" s="21">
        <v>44114</v>
      </c>
      <c r="E10" s="21">
        <f t="shared" si="0"/>
        <v>44142</v>
      </c>
      <c r="F10" s="27"/>
      <c r="G10" s="22" t="s">
        <v>2149</v>
      </c>
      <c r="H10" s="73">
        <v>48482</v>
      </c>
      <c r="I10" s="44" t="s">
        <v>2150</v>
      </c>
      <c r="J10" s="43" t="s">
        <v>2658</v>
      </c>
    </row>
    <row r="11" spans="1:12" x14ac:dyDescent="0.25">
      <c r="A11" s="27">
        <v>2</v>
      </c>
      <c r="B11" s="22" t="s">
        <v>2088</v>
      </c>
      <c r="C11" s="22">
        <v>7762017864</v>
      </c>
      <c r="D11" s="41">
        <v>44115</v>
      </c>
      <c r="E11" s="21">
        <f t="shared" si="0"/>
        <v>44143</v>
      </c>
      <c r="F11" s="27"/>
      <c r="G11" s="22" t="s">
        <v>2371</v>
      </c>
      <c r="H11" s="73" t="s">
        <v>2369</v>
      </c>
      <c r="I11" s="44" t="s">
        <v>2370</v>
      </c>
      <c r="J11" s="43" t="s">
        <v>2656</v>
      </c>
    </row>
    <row r="12" spans="1:12" x14ac:dyDescent="0.25">
      <c r="A12" s="139">
        <v>4</v>
      </c>
      <c r="B12" s="1" t="s">
        <v>2088</v>
      </c>
      <c r="C12" s="1">
        <v>7779899446</v>
      </c>
      <c r="D12" s="138">
        <v>44116</v>
      </c>
      <c r="E12" s="138">
        <f t="shared" si="0"/>
        <v>44144</v>
      </c>
      <c r="F12" s="139">
        <v>219</v>
      </c>
      <c r="G12" s="1" t="s">
        <v>1154</v>
      </c>
      <c r="H12" s="149" t="s">
        <v>2141</v>
      </c>
      <c r="I12" s="140" t="s">
        <v>2146</v>
      </c>
      <c r="J12" s="43" t="s">
        <v>2656</v>
      </c>
    </row>
    <row r="13" spans="1:12" x14ac:dyDescent="0.25">
      <c r="A13" s="27">
        <v>4</v>
      </c>
      <c r="B13" s="22" t="s">
        <v>2088</v>
      </c>
      <c r="C13" s="22">
        <v>8210369387</v>
      </c>
      <c r="D13" s="21">
        <v>44116</v>
      </c>
      <c r="E13" s="21">
        <f t="shared" si="0"/>
        <v>44144</v>
      </c>
      <c r="F13" s="27">
        <v>219</v>
      </c>
      <c r="G13" s="22" t="s">
        <v>2524</v>
      </c>
      <c r="H13" s="73">
        <v>75742</v>
      </c>
      <c r="I13" s="44" t="s">
        <v>2163</v>
      </c>
      <c r="J13" s="43" t="s">
        <v>2658</v>
      </c>
    </row>
    <row r="14" spans="1:12" x14ac:dyDescent="0.25">
      <c r="A14" s="27">
        <v>4</v>
      </c>
      <c r="B14" s="22" t="s">
        <v>1930</v>
      </c>
      <c r="C14" s="22">
        <v>9955844105</v>
      </c>
      <c r="D14" s="21">
        <v>44116</v>
      </c>
      <c r="E14" s="21">
        <f t="shared" si="0"/>
        <v>44144</v>
      </c>
      <c r="F14" s="27"/>
      <c r="G14" s="22" t="s">
        <v>2384</v>
      </c>
      <c r="H14" s="73">
        <v>184367</v>
      </c>
      <c r="I14" s="44" t="s">
        <v>2385</v>
      </c>
      <c r="J14" s="43" t="s">
        <v>2656</v>
      </c>
    </row>
    <row r="15" spans="1:12" x14ac:dyDescent="0.25">
      <c r="A15" s="27">
        <v>2</v>
      </c>
      <c r="B15" s="22" t="s">
        <v>1930</v>
      </c>
      <c r="C15" s="127">
        <v>7000239171</v>
      </c>
      <c r="D15" s="21">
        <v>44116</v>
      </c>
      <c r="E15" s="21">
        <f t="shared" si="0"/>
        <v>44144</v>
      </c>
      <c r="F15" s="27"/>
      <c r="G15" s="22" t="s">
        <v>2382</v>
      </c>
      <c r="H15" s="73">
        <v>954447</v>
      </c>
      <c r="I15" s="44" t="s">
        <v>2383</v>
      </c>
      <c r="J15" s="43" t="s">
        <v>2656</v>
      </c>
    </row>
    <row r="16" spans="1:12" x14ac:dyDescent="0.25">
      <c r="A16" s="139">
        <v>2</v>
      </c>
      <c r="B16" s="1" t="s">
        <v>2114</v>
      </c>
      <c r="C16" s="153">
        <v>9062463078</v>
      </c>
      <c r="D16" s="138">
        <v>44116</v>
      </c>
      <c r="E16" s="138">
        <f t="shared" si="0"/>
        <v>44144</v>
      </c>
      <c r="F16" s="139"/>
      <c r="G16" s="1" t="s">
        <v>1164</v>
      </c>
      <c r="H16" s="149">
        <v>219813</v>
      </c>
      <c r="I16" s="140" t="s">
        <v>2525</v>
      </c>
      <c r="J16" s="43" t="s">
        <v>2656</v>
      </c>
    </row>
    <row r="17" spans="1:11" x14ac:dyDescent="0.25">
      <c r="A17" s="27">
        <v>1</v>
      </c>
      <c r="B17" s="22" t="s">
        <v>2114</v>
      </c>
      <c r="C17" s="22">
        <v>6203130343</v>
      </c>
      <c r="D17" s="21">
        <v>44116</v>
      </c>
      <c r="E17" s="21">
        <f t="shared" si="0"/>
        <v>44144</v>
      </c>
      <c r="F17" s="27"/>
      <c r="G17" s="22" t="s">
        <v>2536</v>
      </c>
      <c r="H17" s="43">
        <v>799655</v>
      </c>
      <c r="I17" s="44" t="s">
        <v>2537</v>
      </c>
      <c r="J17" s="43" t="s">
        <v>2656</v>
      </c>
    </row>
    <row r="18" spans="1:11" x14ac:dyDescent="0.25">
      <c r="A18" s="27">
        <v>1</v>
      </c>
      <c r="B18" s="22" t="s">
        <v>1930</v>
      </c>
      <c r="C18" s="22">
        <v>7004846833</v>
      </c>
      <c r="D18" s="21">
        <v>44117</v>
      </c>
      <c r="E18" s="21">
        <f t="shared" si="0"/>
        <v>44145</v>
      </c>
      <c r="F18" s="27"/>
      <c r="G18" s="22" t="s">
        <v>2295</v>
      </c>
      <c r="H18" s="73" t="s">
        <v>2297</v>
      </c>
      <c r="I18" s="22">
        <v>944222</v>
      </c>
      <c r="J18" s="43" t="s">
        <v>2656</v>
      </c>
    </row>
    <row r="19" spans="1:11" x14ac:dyDescent="0.25">
      <c r="A19" s="27">
        <v>3</v>
      </c>
      <c r="B19" s="22" t="s">
        <v>1930</v>
      </c>
      <c r="C19" s="22">
        <v>9334264115</v>
      </c>
      <c r="D19" s="21">
        <v>44117</v>
      </c>
      <c r="E19" s="21">
        <f t="shared" si="0"/>
        <v>44145</v>
      </c>
      <c r="F19" s="27"/>
      <c r="G19" s="22" t="s">
        <v>2388</v>
      </c>
      <c r="H19" s="73" t="s">
        <v>2386</v>
      </c>
      <c r="I19" s="44" t="s">
        <v>2387</v>
      </c>
      <c r="J19" s="43" t="s">
        <v>2656</v>
      </c>
    </row>
    <row r="20" spans="1:11" x14ac:dyDescent="0.25">
      <c r="A20" s="27">
        <v>2</v>
      </c>
      <c r="B20" s="22" t="s">
        <v>2088</v>
      </c>
      <c r="C20" s="22">
        <v>7079576311</v>
      </c>
      <c r="D20" s="21">
        <v>44117</v>
      </c>
      <c r="E20" s="21">
        <f t="shared" si="0"/>
        <v>44145</v>
      </c>
      <c r="F20" s="27"/>
      <c r="G20" s="22" t="s">
        <v>2384</v>
      </c>
      <c r="H20" s="73" t="s">
        <v>2390</v>
      </c>
      <c r="I20" s="44" t="s">
        <v>2391</v>
      </c>
      <c r="J20" s="43" t="s">
        <v>2656</v>
      </c>
    </row>
    <row r="21" spans="1:11" x14ac:dyDescent="0.25">
      <c r="A21" s="27">
        <v>2</v>
      </c>
      <c r="B21" s="22" t="s">
        <v>2088</v>
      </c>
      <c r="C21" s="22">
        <v>7070911538</v>
      </c>
      <c r="D21" s="21">
        <v>44117</v>
      </c>
      <c r="E21" s="21">
        <f t="shared" si="0"/>
        <v>44145</v>
      </c>
      <c r="F21" s="27">
        <v>219</v>
      </c>
      <c r="G21" s="22" t="s">
        <v>2559</v>
      </c>
      <c r="H21" s="73">
        <v>81373</v>
      </c>
      <c r="I21" s="44" t="s">
        <v>2361</v>
      </c>
      <c r="J21" s="43"/>
    </row>
    <row r="22" spans="1:11" x14ac:dyDescent="0.25">
      <c r="A22" s="27"/>
      <c r="B22" s="22" t="s">
        <v>2088</v>
      </c>
      <c r="C22" s="22">
        <v>9333379156</v>
      </c>
      <c r="D22" s="21">
        <v>44118</v>
      </c>
      <c r="E22" s="21">
        <f t="shared" si="0"/>
        <v>44146</v>
      </c>
      <c r="F22" s="27">
        <v>49</v>
      </c>
      <c r="G22" s="22" t="s">
        <v>2058</v>
      </c>
      <c r="H22" s="73">
        <v>222732</v>
      </c>
      <c r="I22" s="44" t="s">
        <v>2213</v>
      </c>
      <c r="J22" s="43"/>
    </row>
    <row r="23" spans="1:11" x14ac:dyDescent="0.25">
      <c r="A23" s="154">
        <v>4</v>
      </c>
      <c r="B23" s="77" t="s">
        <v>2114</v>
      </c>
      <c r="C23" s="77">
        <v>7209950245</v>
      </c>
      <c r="D23" s="86">
        <v>44118</v>
      </c>
      <c r="E23" s="86">
        <f t="shared" si="0"/>
        <v>44146</v>
      </c>
      <c r="F23" s="154">
        <v>199</v>
      </c>
      <c r="G23" s="77" t="s">
        <v>844</v>
      </c>
      <c r="H23" s="155">
        <v>38554</v>
      </c>
      <c r="I23" s="88" t="s">
        <v>1934</v>
      </c>
      <c r="J23" s="43" t="s">
        <v>2656</v>
      </c>
    </row>
    <row r="24" spans="1:11" x14ac:dyDescent="0.25">
      <c r="A24" s="27">
        <v>4</v>
      </c>
      <c r="B24" s="22" t="s">
        <v>1930</v>
      </c>
      <c r="C24" s="22">
        <v>6299998631</v>
      </c>
      <c r="D24" s="21">
        <v>44118</v>
      </c>
      <c r="E24" s="21">
        <f t="shared" si="0"/>
        <v>44146</v>
      </c>
      <c r="F24" s="27">
        <v>249</v>
      </c>
      <c r="G24" s="22" t="s">
        <v>2131</v>
      </c>
      <c r="H24" s="73" t="s">
        <v>2132</v>
      </c>
      <c r="I24" s="22">
        <v>647273</v>
      </c>
      <c r="J24" s="43" t="s">
        <v>2656</v>
      </c>
    </row>
    <row r="25" spans="1:11" x14ac:dyDescent="0.25">
      <c r="A25" s="27">
        <v>3</v>
      </c>
      <c r="B25" s="22" t="s">
        <v>2392</v>
      </c>
      <c r="C25" s="22">
        <v>620</v>
      </c>
      <c r="D25" s="21">
        <v>44117</v>
      </c>
      <c r="E25" s="21">
        <f>D25+29</f>
        <v>44146</v>
      </c>
      <c r="F25" s="21"/>
      <c r="G25" s="22" t="s">
        <v>2372</v>
      </c>
      <c r="H25" s="73">
        <v>288325</v>
      </c>
      <c r="I25" s="44" t="s">
        <v>2373</v>
      </c>
      <c r="J25" s="43" t="s">
        <v>2656</v>
      </c>
    </row>
    <row r="26" spans="1:11" x14ac:dyDescent="0.25">
      <c r="A26" s="27">
        <v>2</v>
      </c>
      <c r="B26" s="22" t="s">
        <v>1930</v>
      </c>
      <c r="C26" s="22">
        <v>7209978935</v>
      </c>
      <c r="D26" s="21">
        <v>44119</v>
      </c>
      <c r="E26" s="21">
        <f>D26+28</f>
        <v>44147</v>
      </c>
      <c r="F26" s="27" t="s">
        <v>2654</v>
      </c>
      <c r="G26" s="22" t="s">
        <v>2408</v>
      </c>
      <c r="H26" s="73">
        <v>919459</v>
      </c>
      <c r="I26" s="44" t="s">
        <v>2409</v>
      </c>
      <c r="J26" s="43" t="s">
        <v>2656</v>
      </c>
    </row>
    <row r="27" spans="1:11" x14ac:dyDescent="0.25">
      <c r="A27" s="27">
        <v>2</v>
      </c>
      <c r="B27" s="22" t="s">
        <v>2088</v>
      </c>
      <c r="C27" s="22">
        <v>9693750275</v>
      </c>
      <c r="D27" s="41">
        <v>44118</v>
      </c>
      <c r="E27" s="21">
        <f>D27+29</f>
        <v>44147</v>
      </c>
      <c r="F27" s="22"/>
      <c r="G27" s="22" t="s">
        <v>2548</v>
      </c>
      <c r="H27" s="73">
        <v>433933</v>
      </c>
      <c r="I27" s="44" t="s">
        <v>2549</v>
      </c>
      <c r="J27" s="43" t="s">
        <v>2656</v>
      </c>
    </row>
    <row r="28" spans="1:11" x14ac:dyDescent="0.25">
      <c r="A28" s="139">
        <v>1</v>
      </c>
      <c r="B28" s="1" t="s">
        <v>2114</v>
      </c>
      <c r="C28" s="1">
        <v>7974556196</v>
      </c>
      <c r="D28" s="138">
        <v>44120</v>
      </c>
      <c r="E28" s="138">
        <f t="shared" ref="E28:E91" si="1">D28+28</f>
        <v>44148</v>
      </c>
      <c r="F28" s="139">
        <v>199</v>
      </c>
      <c r="G28" s="1" t="s">
        <v>2155</v>
      </c>
      <c r="H28" s="149">
        <v>35384</v>
      </c>
      <c r="I28" s="140" t="s">
        <v>2156</v>
      </c>
      <c r="J28" s="43" t="s">
        <v>2656</v>
      </c>
    </row>
    <row r="29" spans="1:11" x14ac:dyDescent="0.25">
      <c r="A29" s="27">
        <v>3</v>
      </c>
      <c r="B29" s="22" t="s">
        <v>1930</v>
      </c>
      <c r="C29" s="22">
        <v>7991135500</v>
      </c>
      <c r="D29" s="21">
        <v>44120</v>
      </c>
      <c r="E29" s="21">
        <f t="shared" si="1"/>
        <v>44148</v>
      </c>
      <c r="F29" s="27">
        <v>199</v>
      </c>
      <c r="G29" s="22" t="s">
        <v>1950</v>
      </c>
      <c r="H29" s="73">
        <v>85894</v>
      </c>
      <c r="I29" s="44" t="s">
        <v>1952</v>
      </c>
      <c r="J29" s="43"/>
    </row>
    <row r="30" spans="1:11" x14ac:dyDescent="0.25">
      <c r="A30" s="27">
        <v>3</v>
      </c>
      <c r="B30" s="22" t="s">
        <v>2115</v>
      </c>
      <c r="C30" s="22">
        <v>8405807909</v>
      </c>
      <c r="D30" s="21">
        <v>44120</v>
      </c>
      <c r="E30" s="21">
        <f t="shared" si="1"/>
        <v>44148</v>
      </c>
      <c r="F30" s="27">
        <v>49</v>
      </c>
      <c r="G30" s="22" t="s">
        <v>2399</v>
      </c>
      <c r="H30" s="73">
        <v>62132</v>
      </c>
      <c r="I30" s="44">
        <v>830532</v>
      </c>
      <c r="J30" s="43" t="s">
        <v>2656</v>
      </c>
    </row>
    <row r="31" spans="1:11" x14ac:dyDescent="0.25">
      <c r="A31" s="27">
        <v>2</v>
      </c>
      <c r="B31" s="22" t="s">
        <v>2421</v>
      </c>
      <c r="C31" s="22">
        <v>9204702568</v>
      </c>
      <c r="D31" s="21">
        <v>44120</v>
      </c>
      <c r="E31" s="21">
        <f t="shared" si="1"/>
        <v>44148</v>
      </c>
      <c r="F31" s="27">
        <v>199</v>
      </c>
      <c r="G31" s="22" t="s">
        <v>2420</v>
      </c>
      <c r="H31" s="157" t="s">
        <v>2419</v>
      </c>
      <c r="I31" s="158">
        <v>761628</v>
      </c>
      <c r="J31" s="43"/>
      <c r="K31" t="s">
        <v>2442</v>
      </c>
    </row>
    <row r="32" spans="1:11" x14ac:dyDescent="0.25">
      <c r="A32" s="139">
        <v>2</v>
      </c>
      <c r="B32" s="1" t="s">
        <v>1930</v>
      </c>
      <c r="C32" s="1">
        <v>8789440483</v>
      </c>
      <c r="D32" s="138">
        <v>44120</v>
      </c>
      <c r="E32" s="138">
        <f>D32+28</f>
        <v>44148</v>
      </c>
      <c r="F32" s="139">
        <v>199</v>
      </c>
      <c r="G32" s="1" t="s">
        <v>2399</v>
      </c>
      <c r="H32" s="149">
        <v>686917</v>
      </c>
      <c r="I32" s="140" t="s">
        <v>2400</v>
      </c>
      <c r="J32" s="43"/>
    </row>
    <row r="33" spans="1:10" x14ac:dyDescent="0.25">
      <c r="A33" s="139">
        <v>1</v>
      </c>
      <c r="B33" s="1" t="s">
        <v>1930</v>
      </c>
      <c r="C33" s="1">
        <v>7061935185</v>
      </c>
      <c r="D33" s="138">
        <v>44120</v>
      </c>
      <c r="E33" s="138">
        <f t="shared" si="1"/>
        <v>44148</v>
      </c>
      <c r="F33" s="139">
        <v>199</v>
      </c>
      <c r="G33" s="1" t="s">
        <v>2399</v>
      </c>
      <c r="H33" s="149" t="s">
        <v>2401</v>
      </c>
      <c r="I33" s="140" t="s">
        <v>2402</v>
      </c>
      <c r="J33" s="43"/>
    </row>
    <row r="34" spans="1:10" x14ac:dyDescent="0.25">
      <c r="A34" s="139">
        <v>1</v>
      </c>
      <c r="B34" s="1" t="s">
        <v>2398</v>
      </c>
      <c r="C34" s="1">
        <v>8340474816</v>
      </c>
      <c r="D34" s="138">
        <v>44120</v>
      </c>
      <c r="E34" s="138">
        <f t="shared" si="1"/>
        <v>44148</v>
      </c>
      <c r="F34" s="139">
        <v>75</v>
      </c>
      <c r="G34" s="1" t="s">
        <v>2399</v>
      </c>
      <c r="H34" s="159" t="s">
        <v>2404</v>
      </c>
      <c r="I34" s="1">
        <v>192672</v>
      </c>
      <c r="J34" s="43" t="s">
        <v>2656</v>
      </c>
    </row>
    <row r="35" spans="1:10" x14ac:dyDescent="0.25">
      <c r="A35" s="139">
        <v>2</v>
      </c>
      <c r="B35" s="1" t="s">
        <v>2398</v>
      </c>
      <c r="C35" s="1">
        <v>6205765812</v>
      </c>
      <c r="D35" s="138">
        <v>44120</v>
      </c>
      <c r="E35" s="138">
        <f t="shared" si="1"/>
        <v>44148</v>
      </c>
      <c r="F35" s="139">
        <v>75</v>
      </c>
      <c r="G35" s="1" t="s">
        <v>2399</v>
      </c>
      <c r="H35" s="1"/>
      <c r="I35" s="1"/>
      <c r="J35" s="43"/>
    </row>
    <row r="36" spans="1:10" x14ac:dyDescent="0.25">
      <c r="A36" s="27">
        <v>2</v>
      </c>
      <c r="B36" s="22" t="s">
        <v>2421</v>
      </c>
      <c r="C36" s="22">
        <v>7903634461</v>
      </c>
      <c r="D36" s="21">
        <v>44121</v>
      </c>
      <c r="E36" s="21">
        <f t="shared" si="1"/>
        <v>44149</v>
      </c>
      <c r="F36" s="27">
        <v>199</v>
      </c>
      <c r="G36" s="22" t="s">
        <v>2422</v>
      </c>
      <c r="H36" s="73">
        <v>896631</v>
      </c>
      <c r="I36" s="44" t="s">
        <v>2423</v>
      </c>
      <c r="J36" s="43" t="s">
        <v>2656</v>
      </c>
    </row>
    <row r="37" spans="1:10" x14ac:dyDescent="0.25">
      <c r="A37" s="27">
        <v>2</v>
      </c>
      <c r="B37" s="22" t="s">
        <v>2389</v>
      </c>
      <c r="C37" s="22">
        <v>8092156768</v>
      </c>
      <c r="D37" s="21">
        <v>44121</v>
      </c>
      <c r="E37" s="21">
        <f t="shared" si="1"/>
        <v>44149</v>
      </c>
      <c r="F37" s="27">
        <v>199</v>
      </c>
      <c r="G37" s="22" t="s">
        <v>2356</v>
      </c>
      <c r="H37" s="73" t="s">
        <v>2429</v>
      </c>
      <c r="I37" s="44" t="s">
        <v>2430</v>
      </c>
      <c r="J37" s="43" t="s">
        <v>2656</v>
      </c>
    </row>
    <row r="38" spans="1:10" x14ac:dyDescent="0.25">
      <c r="A38" s="27">
        <v>3</v>
      </c>
      <c r="B38" s="22" t="s">
        <v>1930</v>
      </c>
      <c r="C38" s="22">
        <v>7488568208</v>
      </c>
      <c r="D38" s="21">
        <v>44121</v>
      </c>
      <c r="E38" s="21">
        <f t="shared" si="1"/>
        <v>44149</v>
      </c>
      <c r="F38" s="27">
        <v>199</v>
      </c>
      <c r="G38" s="22" t="s">
        <v>2167</v>
      </c>
      <c r="H38" s="73">
        <v>481214</v>
      </c>
      <c r="I38" s="44" t="s">
        <v>2194</v>
      </c>
      <c r="J38" s="43" t="s">
        <v>2656</v>
      </c>
    </row>
    <row r="39" spans="1:10" x14ac:dyDescent="0.25">
      <c r="A39" s="27">
        <v>2</v>
      </c>
      <c r="B39" s="22" t="s">
        <v>1930</v>
      </c>
      <c r="C39" s="22">
        <v>6299852058</v>
      </c>
      <c r="D39" s="21">
        <v>44121</v>
      </c>
      <c r="E39" s="21">
        <f t="shared" si="1"/>
        <v>44149</v>
      </c>
      <c r="F39" s="27">
        <v>199</v>
      </c>
      <c r="G39" s="22" t="s">
        <v>557</v>
      </c>
      <c r="H39" s="124" t="s">
        <v>2431</v>
      </c>
      <c r="I39" s="79">
        <v>724586</v>
      </c>
      <c r="J39" s="43" t="s">
        <v>2656</v>
      </c>
    </row>
    <row r="40" spans="1:10" x14ac:dyDescent="0.25">
      <c r="A40" s="27">
        <v>2</v>
      </c>
      <c r="B40" s="22" t="s">
        <v>1930</v>
      </c>
      <c r="C40" s="22">
        <v>7903336778</v>
      </c>
      <c r="D40" s="21">
        <v>44121</v>
      </c>
      <c r="E40" s="21">
        <f t="shared" si="1"/>
        <v>44149</v>
      </c>
      <c r="F40" s="27">
        <v>199</v>
      </c>
      <c r="G40" s="22" t="s">
        <v>2437</v>
      </c>
      <c r="H40" s="73">
        <v>774139</v>
      </c>
      <c r="I40" s="44" t="s">
        <v>2438</v>
      </c>
      <c r="J40" s="43" t="s">
        <v>2656</v>
      </c>
    </row>
    <row r="41" spans="1:10" x14ac:dyDescent="0.25">
      <c r="A41" s="139">
        <v>4</v>
      </c>
      <c r="B41" s="1" t="s">
        <v>1930</v>
      </c>
      <c r="C41" s="1">
        <v>8709705340</v>
      </c>
      <c r="D41" s="138">
        <v>44122</v>
      </c>
      <c r="E41" s="138">
        <f t="shared" si="1"/>
        <v>44150</v>
      </c>
      <c r="F41" s="138">
        <v>199</v>
      </c>
      <c r="G41" s="1" t="s">
        <v>2153</v>
      </c>
      <c r="H41" s="150">
        <v>39161</v>
      </c>
      <c r="I41" s="140" t="s">
        <v>2154</v>
      </c>
      <c r="J41" s="43"/>
    </row>
    <row r="42" spans="1:10" x14ac:dyDescent="0.25">
      <c r="A42" s="27">
        <v>2</v>
      </c>
      <c r="B42" s="22" t="s">
        <v>1930</v>
      </c>
      <c r="C42" s="22">
        <v>8789074647</v>
      </c>
      <c r="D42" s="21">
        <v>44122</v>
      </c>
      <c r="E42" s="21">
        <f t="shared" si="1"/>
        <v>44150</v>
      </c>
      <c r="F42" s="21"/>
      <c r="G42" s="22" t="s">
        <v>2158</v>
      </c>
      <c r="H42" s="73">
        <v>742963</v>
      </c>
      <c r="I42" s="44" t="s">
        <v>2197</v>
      </c>
      <c r="J42" s="43" t="s">
        <v>2656</v>
      </c>
    </row>
    <row r="43" spans="1:10" x14ac:dyDescent="0.25">
      <c r="A43" s="27">
        <v>2</v>
      </c>
      <c r="B43" s="22" t="s">
        <v>1930</v>
      </c>
      <c r="C43" s="22">
        <v>8789078793</v>
      </c>
      <c r="D43" s="21">
        <v>44122</v>
      </c>
      <c r="E43" s="21">
        <f t="shared" si="1"/>
        <v>44150</v>
      </c>
      <c r="F43" s="21"/>
      <c r="G43" s="22" t="s">
        <v>2196</v>
      </c>
      <c r="H43" s="73">
        <v>162471</v>
      </c>
      <c r="I43" s="44" t="s">
        <v>2198</v>
      </c>
      <c r="J43" s="43" t="s">
        <v>2656</v>
      </c>
    </row>
    <row r="44" spans="1:10" x14ac:dyDescent="0.25">
      <c r="A44" s="27">
        <v>2</v>
      </c>
      <c r="B44" s="22" t="s">
        <v>1930</v>
      </c>
      <c r="C44" s="22">
        <v>9031059999</v>
      </c>
      <c r="D44" s="41">
        <v>44122</v>
      </c>
      <c r="E44" s="21">
        <f t="shared" si="1"/>
        <v>44150</v>
      </c>
      <c r="F44" s="27">
        <v>199</v>
      </c>
      <c r="G44" s="22" t="s">
        <v>2443</v>
      </c>
      <c r="H44" s="73">
        <v>555139</v>
      </c>
      <c r="I44" s="44" t="s">
        <v>2446</v>
      </c>
      <c r="J44" s="43" t="s">
        <v>2656</v>
      </c>
    </row>
    <row r="45" spans="1:10" x14ac:dyDescent="0.25">
      <c r="A45" s="27">
        <v>2</v>
      </c>
      <c r="B45" s="22" t="s">
        <v>1930</v>
      </c>
      <c r="C45" s="22">
        <v>8340180863</v>
      </c>
      <c r="D45" s="41">
        <v>44122</v>
      </c>
      <c r="E45" s="21">
        <f t="shared" si="1"/>
        <v>44150</v>
      </c>
      <c r="F45" s="27">
        <v>199</v>
      </c>
      <c r="G45" s="22" t="s">
        <v>2444</v>
      </c>
      <c r="H45" s="73">
        <v>884475</v>
      </c>
      <c r="I45" s="44" t="s">
        <v>2445</v>
      </c>
      <c r="J45" s="43" t="s">
        <v>2656</v>
      </c>
    </row>
    <row r="46" spans="1:10" x14ac:dyDescent="0.25">
      <c r="A46" s="27">
        <v>2</v>
      </c>
      <c r="B46" s="22" t="s">
        <v>2088</v>
      </c>
      <c r="C46" s="22">
        <v>9955687380</v>
      </c>
      <c r="D46" s="41">
        <v>44122</v>
      </c>
      <c r="E46" s="21">
        <f t="shared" si="1"/>
        <v>44150</v>
      </c>
      <c r="F46" s="27">
        <v>199</v>
      </c>
      <c r="G46" s="22" t="s">
        <v>2447</v>
      </c>
      <c r="H46" s="73">
        <v>935615</v>
      </c>
      <c r="I46" s="44" t="s">
        <v>2448</v>
      </c>
      <c r="J46" s="43" t="s">
        <v>2656</v>
      </c>
    </row>
    <row r="47" spans="1:10" x14ac:dyDescent="0.25">
      <c r="A47" s="27">
        <v>2</v>
      </c>
      <c r="B47" s="22" t="s">
        <v>1930</v>
      </c>
      <c r="C47" s="127">
        <v>9204038708</v>
      </c>
      <c r="D47" s="21">
        <v>44122</v>
      </c>
      <c r="E47" s="21">
        <f t="shared" si="1"/>
        <v>44150</v>
      </c>
      <c r="F47" s="27">
        <v>199</v>
      </c>
      <c r="G47" s="22" t="s">
        <v>2257</v>
      </c>
      <c r="H47" s="73">
        <v>239385</v>
      </c>
      <c r="I47" s="44" t="s">
        <v>2258</v>
      </c>
      <c r="J47" s="43" t="s">
        <v>2656</v>
      </c>
    </row>
    <row r="48" spans="1:10" x14ac:dyDescent="0.25">
      <c r="A48" s="27">
        <v>3</v>
      </c>
      <c r="B48" s="22" t="s">
        <v>2115</v>
      </c>
      <c r="C48" s="22">
        <v>8298093438</v>
      </c>
      <c r="D48" s="21">
        <v>44123</v>
      </c>
      <c r="E48" s="21">
        <f t="shared" si="1"/>
        <v>44151</v>
      </c>
      <c r="F48" s="21"/>
      <c r="G48" s="22" t="s">
        <v>1974</v>
      </c>
      <c r="H48" s="73">
        <v>93179</v>
      </c>
      <c r="I48" s="44" t="s">
        <v>1975</v>
      </c>
      <c r="J48" s="43"/>
    </row>
    <row r="49" spans="1:10" x14ac:dyDescent="0.25">
      <c r="A49" s="27">
        <v>3</v>
      </c>
      <c r="B49" s="22" t="s">
        <v>2088</v>
      </c>
      <c r="C49" s="22">
        <v>9470355028</v>
      </c>
      <c r="D49" s="21">
        <v>44123</v>
      </c>
      <c r="E49" s="21">
        <f t="shared" si="1"/>
        <v>44151</v>
      </c>
      <c r="F49" s="21"/>
      <c r="G49" s="22" t="s">
        <v>2201</v>
      </c>
      <c r="H49" s="73">
        <v>684262</v>
      </c>
      <c r="I49" s="44" t="s">
        <v>2203</v>
      </c>
      <c r="J49" s="43" t="s">
        <v>2656</v>
      </c>
    </row>
    <row r="50" spans="1:10" x14ac:dyDescent="0.25">
      <c r="A50" s="27">
        <v>3</v>
      </c>
      <c r="B50" s="22" t="s">
        <v>1930</v>
      </c>
      <c r="C50" s="22">
        <v>6200960230</v>
      </c>
      <c r="D50" s="21">
        <v>44123</v>
      </c>
      <c r="E50" s="21">
        <f t="shared" si="1"/>
        <v>44151</v>
      </c>
      <c r="F50" s="21"/>
      <c r="G50" s="22" t="s">
        <v>2201</v>
      </c>
      <c r="H50" s="73">
        <v>315249</v>
      </c>
      <c r="I50" s="44" t="s">
        <v>2202</v>
      </c>
      <c r="J50" s="43"/>
    </row>
    <row r="51" spans="1:10" x14ac:dyDescent="0.25">
      <c r="A51" s="27">
        <v>4</v>
      </c>
      <c r="B51" s="22" t="s">
        <v>1930</v>
      </c>
      <c r="C51" s="22">
        <v>9508439057</v>
      </c>
      <c r="D51" s="21">
        <v>44123</v>
      </c>
      <c r="E51" s="21">
        <f t="shared" si="1"/>
        <v>44151</v>
      </c>
      <c r="F51" s="21"/>
      <c r="G51" s="22" t="s">
        <v>152</v>
      </c>
      <c r="H51" s="73">
        <v>17794</v>
      </c>
      <c r="I51" s="44" t="s">
        <v>2019</v>
      </c>
      <c r="J51" s="43"/>
    </row>
    <row r="52" spans="1:10" x14ac:dyDescent="0.25">
      <c r="A52" s="27">
        <v>2</v>
      </c>
      <c r="B52" s="22" t="s">
        <v>1930</v>
      </c>
      <c r="C52" s="22">
        <v>8789527366</v>
      </c>
      <c r="D52" s="41">
        <v>44124</v>
      </c>
      <c r="E52" s="21">
        <f t="shared" si="1"/>
        <v>44152</v>
      </c>
      <c r="F52" s="27">
        <v>199</v>
      </c>
      <c r="G52" s="22" t="s">
        <v>2374</v>
      </c>
      <c r="H52" s="73">
        <v>632633</v>
      </c>
      <c r="I52" s="44" t="s">
        <v>2375</v>
      </c>
      <c r="J52" s="43"/>
    </row>
    <row r="53" spans="1:10" x14ac:dyDescent="0.25">
      <c r="A53" s="27">
        <v>3</v>
      </c>
      <c r="B53" s="22" t="s">
        <v>1930</v>
      </c>
      <c r="C53" s="22">
        <v>9113767398</v>
      </c>
      <c r="D53" s="21">
        <v>44125</v>
      </c>
      <c r="E53" s="21">
        <f t="shared" si="1"/>
        <v>44153</v>
      </c>
      <c r="F53" s="21"/>
      <c r="G53" s="22" t="s">
        <v>2225</v>
      </c>
      <c r="H53" s="73">
        <v>683774</v>
      </c>
      <c r="I53" s="44" t="s">
        <v>2224</v>
      </c>
      <c r="J53" s="43"/>
    </row>
    <row r="54" spans="1:10" x14ac:dyDescent="0.25">
      <c r="A54" s="27">
        <v>2</v>
      </c>
      <c r="B54" s="22" t="s">
        <v>1930</v>
      </c>
      <c r="C54" s="22">
        <v>8210747668</v>
      </c>
      <c r="D54" s="21">
        <v>44125</v>
      </c>
      <c r="E54" s="21">
        <f t="shared" si="1"/>
        <v>44153</v>
      </c>
      <c r="F54" s="27">
        <v>199</v>
      </c>
      <c r="G54" s="22" t="s">
        <v>2450</v>
      </c>
      <c r="H54" s="73" t="s">
        <v>2451</v>
      </c>
      <c r="I54" s="44" t="s">
        <v>2452</v>
      </c>
      <c r="J54" s="43"/>
    </row>
    <row r="55" spans="1:10" x14ac:dyDescent="0.25">
      <c r="A55" s="27">
        <v>2</v>
      </c>
      <c r="B55" s="22"/>
      <c r="C55" s="22">
        <v>9931095010</v>
      </c>
      <c r="D55" s="21">
        <v>44126</v>
      </c>
      <c r="E55" s="21">
        <f t="shared" si="1"/>
        <v>44154</v>
      </c>
      <c r="F55" s="21"/>
      <c r="G55" s="22" t="s">
        <v>2226</v>
      </c>
      <c r="H55" s="73">
        <v>243622</v>
      </c>
      <c r="I55" s="44" t="s">
        <v>2220</v>
      </c>
      <c r="J55" s="43"/>
    </row>
    <row r="56" spans="1:10" x14ac:dyDescent="0.25">
      <c r="A56" s="27">
        <v>4</v>
      </c>
      <c r="B56" s="22" t="s">
        <v>1930</v>
      </c>
      <c r="C56" s="22">
        <v>9123118061</v>
      </c>
      <c r="D56" s="21">
        <v>44126</v>
      </c>
      <c r="E56" s="21">
        <f t="shared" si="1"/>
        <v>44154</v>
      </c>
      <c r="F56" s="21"/>
      <c r="G56" s="22" t="s">
        <v>2006</v>
      </c>
      <c r="H56" s="73">
        <v>53918</v>
      </c>
      <c r="I56" s="44" t="s">
        <v>2007</v>
      </c>
      <c r="J56" s="43"/>
    </row>
    <row r="57" spans="1:10" x14ac:dyDescent="0.25">
      <c r="A57" s="27">
        <v>3</v>
      </c>
      <c r="B57" s="22" t="s">
        <v>1930</v>
      </c>
      <c r="C57" s="22">
        <v>8340407091</v>
      </c>
      <c r="D57" s="21">
        <v>44126</v>
      </c>
      <c r="E57" s="21">
        <f t="shared" si="1"/>
        <v>44154</v>
      </c>
      <c r="F57" s="21"/>
      <c r="G57" s="22" t="s">
        <v>2214</v>
      </c>
      <c r="H57" s="73">
        <v>256864</v>
      </c>
      <c r="I57" s="44" t="s">
        <v>2215</v>
      </c>
      <c r="J57" s="43"/>
    </row>
    <row r="58" spans="1:10" x14ac:dyDescent="0.25">
      <c r="A58" s="27">
        <v>3</v>
      </c>
      <c r="B58" s="22" t="s">
        <v>2088</v>
      </c>
      <c r="C58" s="22">
        <v>8871639226</v>
      </c>
      <c r="D58" s="21">
        <v>44126</v>
      </c>
      <c r="E58" s="21">
        <f t="shared" si="1"/>
        <v>44154</v>
      </c>
      <c r="F58" s="21"/>
      <c r="G58" s="22" t="s">
        <v>2219</v>
      </c>
      <c r="H58" s="73">
        <v>243622</v>
      </c>
      <c r="I58" s="44" t="s">
        <v>2220</v>
      </c>
      <c r="J58" s="43"/>
    </row>
    <row r="59" spans="1:10" x14ac:dyDescent="0.25">
      <c r="A59" s="27">
        <v>3</v>
      </c>
      <c r="B59" s="22" t="s">
        <v>1930</v>
      </c>
      <c r="C59" s="22">
        <v>8603865392</v>
      </c>
      <c r="D59" s="21">
        <v>44126</v>
      </c>
      <c r="E59" s="21">
        <f t="shared" si="1"/>
        <v>44154</v>
      </c>
      <c r="F59" s="21"/>
      <c r="G59" s="22" t="s">
        <v>2223</v>
      </c>
      <c r="H59" s="73">
        <v>553394</v>
      </c>
      <c r="I59" s="44" t="s">
        <v>2222</v>
      </c>
      <c r="J59" s="43"/>
    </row>
    <row r="60" spans="1:10" x14ac:dyDescent="0.25">
      <c r="A60" s="27">
        <v>3</v>
      </c>
      <c r="B60" s="22" t="s">
        <v>1930</v>
      </c>
      <c r="C60" s="22">
        <v>9304740210</v>
      </c>
      <c r="D60" s="21">
        <v>44127</v>
      </c>
      <c r="E60" s="21">
        <f t="shared" si="1"/>
        <v>44155</v>
      </c>
      <c r="F60" s="21"/>
      <c r="G60" s="22" t="s">
        <v>2233</v>
      </c>
      <c r="H60" s="73">
        <v>944423</v>
      </c>
      <c r="I60" s="44" t="s">
        <v>2234</v>
      </c>
      <c r="J60" s="43"/>
    </row>
    <row r="61" spans="1:10" x14ac:dyDescent="0.25">
      <c r="A61" s="27">
        <v>2</v>
      </c>
      <c r="B61" s="22" t="s">
        <v>2229</v>
      </c>
      <c r="C61" s="22">
        <v>7974017084</v>
      </c>
      <c r="D61" s="21">
        <v>44127</v>
      </c>
      <c r="E61" s="21">
        <f t="shared" si="1"/>
        <v>44155</v>
      </c>
      <c r="F61" s="21"/>
      <c r="G61" s="22" t="s">
        <v>2227</v>
      </c>
      <c r="H61" s="73">
        <v>725881</v>
      </c>
      <c r="I61" s="44" t="s">
        <v>2228</v>
      </c>
      <c r="J61" s="43"/>
    </row>
    <row r="62" spans="1:10" x14ac:dyDescent="0.25">
      <c r="A62" s="27">
        <v>3</v>
      </c>
      <c r="B62" s="22" t="s">
        <v>1930</v>
      </c>
      <c r="C62" s="22">
        <v>6200497214</v>
      </c>
      <c r="D62" s="21">
        <v>44130</v>
      </c>
      <c r="E62" s="21">
        <f t="shared" si="1"/>
        <v>44158</v>
      </c>
      <c r="F62" s="27">
        <v>75</v>
      </c>
      <c r="G62" s="22" t="s">
        <v>2058</v>
      </c>
      <c r="H62" s="2"/>
      <c r="I62" s="22"/>
      <c r="J62" s="43"/>
    </row>
    <row r="63" spans="1:10" x14ac:dyDescent="0.25">
      <c r="A63" s="154">
        <v>3</v>
      </c>
      <c r="B63" s="77" t="s">
        <v>2088</v>
      </c>
      <c r="C63" s="77">
        <v>8521835899</v>
      </c>
      <c r="D63" s="86">
        <v>44130</v>
      </c>
      <c r="E63" s="86">
        <f t="shared" si="1"/>
        <v>44158</v>
      </c>
      <c r="F63" s="86"/>
      <c r="G63" s="77" t="s">
        <v>2237</v>
      </c>
      <c r="H63" s="155">
        <v>55717</v>
      </c>
      <c r="I63" s="88" t="s">
        <v>2053</v>
      </c>
      <c r="J63" s="43"/>
    </row>
    <row r="64" spans="1:10" x14ac:dyDescent="0.25">
      <c r="A64" s="126">
        <v>3</v>
      </c>
      <c r="B64" s="22" t="s">
        <v>1930</v>
      </c>
      <c r="C64" s="127">
        <v>7004952868</v>
      </c>
      <c r="D64" s="21">
        <v>44130</v>
      </c>
      <c r="E64" s="21">
        <f t="shared" si="1"/>
        <v>44158</v>
      </c>
      <c r="F64" s="21"/>
      <c r="G64" s="4" t="s">
        <v>2243</v>
      </c>
      <c r="H64" s="73">
        <v>334825</v>
      </c>
      <c r="I64" s="44" t="s">
        <v>2244</v>
      </c>
      <c r="J64" s="43"/>
    </row>
    <row r="65" spans="1:10" x14ac:dyDescent="0.25">
      <c r="A65" s="27">
        <v>3</v>
      </c>
      <c r="B65" s="22" t="s">
        <v>1930</v>
      </c>
      <c r="C65" s="22">
        <v>8797286866</v>
      </c>
      <c r="D65" s="21">
        <v>44130</v>
      </c>
      <c r="E65" s="21">
        <f t="shared" si="1"/>
        <v>44158</v>
      </c>
      <c r="F65" s="21"/>
      <c r="G65" s="4" t="s">
        <v>2248</v>
      </c>
      <c r="H65" s="124" t="s">
        <v>2246</v>
      </c>
      <c r="I65" s="44" t="s">
        <v>2247</v>
      </c>
      <c r="J65" s="43"/>
    </row>
    <row r="66" spans="1:10" x14ac:dyDescent="0.25">
      <c r="A66" s="27">
        <v>3</v>
      </c>
      <c r="B66" s="22" t="s">
        <v>2088</v>
      </c>
      <c r="C66" s="22">
        <v>7261029254</v>
      </c>
      <c r="D66" s="21">
        <v>44130</v>
      </c>
      <c r="E66" s="21">
        <f t="shared" si="1"/>
        <v>44158</v>
      </c>
      <c r="F66" s="21"/>
      <c r="G66" s="4" t="s">
        <v>2259</v>
      </c>
      <c r="H66" s="73">
        <v>139624</v>
      </c>
      <c r="I66" s="44" t="s">
        <v>2260</v>
      </c>
      <c r="J66" s="43"/>
    </row>
    <row r="67" spans="1:10" x14ac:dyDescent="0.25">
      <c r="A67" s="27">
        <v>2</v>
      </c>
      <c r="B67" s="22" t="s">
        <v>1930</v>
      </c>
      <c r="C67" s="22">
        <v>9798239574</v>
      </c>
      <c r="D67" s="21">
        <v>44130</v>
      </c>
      <c r="E67" s="21">
        <f t="shared" si="1"/>
        <v>44158</v>
      </c>
      <c r="F67" s="27"/>
      <c r="G67" s="22" t="s">
        <v>2463</v>
      </c>
      <c r="H67" s="73">
        <v>729756</v>
      </c>
      <c r="I67" s="44" t="s">
        <v>2464</v>
      </c>
      <c r="J67" s="43"/>
    </row>
    <row r="68" spans="1:10" x14ac:dyDescent="0.25">
      <c r="A68" s="27">
        <v>2</v>
      </c>
      <c r="B68" s="22" t="s">
        <v>1930</v>
      </c>
      <c r="C68" s="22">
        <v>9304470189</v>
      </c>
      <c r="D68" s="21">
        <v>44131</v>
      </c>
      <c r="E68" s="21">
        <f t="shared" si="1"/>
        <v>44159</v>
      </c>
      <c r="F68" s="27">
        <v>199</v>
      </c>
      <c r="G68" s="145" t="s">
        <v>2602</v>
      </c>
      <c r="H68" s="73" t="s">
        <v>2591</v>
      </c>
      <c r="I68" s="44" t="s">
        <v>2592</v>
      </c>
      <c r="J68" s="43"/>
    </row>
    <row r="69" spans="1:10" x14ac:dyDescent="0.25">
      <c r="A69" s="27">
        <v>3</v>
      </c>
      <c r="B69" s="22" t="s">
        <v>1930</v>
      </c>
      <c r="C69" s="22">
        <v>9399379268</v>
      </c>
      <c r="D69" s="21">
        <v>44132</v>
      </c>
      <c r="E69" s="21">
        <f t="shared" si="1"/>
        <v>44160</v>
      </c>
      <c r="F69" s="21"/>
      <c r="G69" s="4" t="s">
        <v>2238</v>
      </c>
      <c r="H69" s="43">
        <v>948415</v>
      </c>
      <c r="I69" s="44" t="s">
        <v>2261</v>
      </c>
      <c r="J69" s="43"/>
    </row>
    <row r="70" spans="1:10" x14ac:dyDescent="0.25">
      <c r="A70" s="27">
        <v>3</v>
      </c>
      <c r="B70" s="22" t="s">
        <v>1930</v>
      </c>
      <c r="C70" s="128" t="s">
        <v>2475</v>
      </c>
      <c r="D70" s="21">
        <v>44132</v>
      </c>
      <c r="E70" s="21">
        <f t="shared" si="1"/>
        <v>44160</v>
      </c>
      <c r="F70" s="21"/>
      <c r="G70" s="22" t="s">
        <v>2255</v>
      </c>
      <c r="H70" s="43">
        <v>281625</v>
      </c>
      <c r="I70" s="44" t="s">
        <v>2264</v>
      </c>
      <c r="J70" s="43"/>
    </row>
    <row r="71" spans="1:10" x14ac:dyDescent="0.25">
      <c r="A71" s="27">
        <v>3</v>
      </c>
      <c r="B71" s="22" t="s">
        <v>2088</v>
      </c>
      <c r="C71" s="127">
        <v>7805015160</v>
      </c>
      <c r="D71" s="21">
        <v>44132</v>
      </c>
      <c r="E71" s="21">
        <f t="shared" si="1"/>
        <v>44160</v>
      </c>
      <c r="F71" s="27">
        <v>219</v>
      </c>
      <c r="G71" s="148" t="s">
        <v>1850</v>
      </c>
      <c r="H71" s="73">
        <v>38639</v>
      </c>
      <c r="I71" s="44" t="s">
        <v>2037</v>
      </c>
      <c r="J71" s="43"/>
    </row>
    <row r="72" spans="1:10" x14ac:dyDescent="0.25">
      <c r="A72" s="27">
        <v>2</v>
      </c>
      <c r="B72" s="22" t="s">
        <v>2115</v>
      </c>
      <c r="C72" s="22">
        <v>8335883633</v>
      </c>
      <c r="D72" s="21">
        <v>44132</v>
      </c>
      <c r="E72" s="21">
        <f t="shared" si="1"/>
        <v>44160</v>
      </c>
      <c r="F72" s="27">
        <v>219</v>
      </c>
      <c r="G72" s="147" t="s">
        <v>2603</v>
      </c>
      <c r="H72" s="2" t="s">
        <v>2604</v>
      </c>
      <c r="I72" s="22">
        <v>885916</v>
      </c>
      <c r="J72" s="43"/>
    </row>
    <row r="73" spans="1:10" x14ac:dyDescent="0.25">
      <c r="A73" s="27">
        <v>3</v>
      </c>
      <c r="B73" s="22" t="s">
        <v>2114</v>
      </c>
      <c r="C73" s="127">
        <v>8340796124</v>
      </c>
      <c r="D73" s="21">
        <v>44133</v>
      </c>
      <c r="E73" s="21">
        <f t="shared" si="1"/>
        <v>44161</v>
      </c>
      <c r="F73" s="21"/>
      <c r="G73" s="22" t="s">
        <v>2256</v>
      </c>
      <c r="H73" s="43">
        <v>234841</v>
      </c>
      <c r="I73" s="44" t="s">
        <v>2270</v>
      </c>
      <c r="J73" s="43"/>
    </row>
    <row r="74" spans="1:10" x14ac:dyDescent="0.25">
      <c r="A74" s="27">
        <v>3</v>
      </c>
      <c r="B74" s="22" t="s">
        <v>2088</v>
      </c>
      <c r="C74" s="22">
        <v>9113461308</v>
      </c>
      <c r="D74" s="21">
        <v>44133</v>
      </c>
      <c r="E74" s="21">
        <f t="shared" si="1"/>
        <v>44161</v>
      </c>
      <c r="F74" s="27"/>
      <c r="G74" s="22" t="s">
        <v>2267</v>
      </c>
      <c r="H74" s="43">
        <v>752612</v>
      </c>
      <c r="I74" s="44" t="s">
        <v>2268</v>
      </c>
      <c r="J74" s="43"/>
    </row>
    <row r="75" spans="1:10" x14ac:dyDescent="0.25">
      <c r="A75" s="27">
        <v>3</v>
      </c>
      <c r="B75" s="22" t="s">
        <v>2088</v>
      </c>
      <c r="C75" s="22">
        <v>8603203058</v>
      </c>
      <c r="D75" s="21">
        <v>44134</v>
      </c>
      <c r="E75" s="21">
        <f t="shared" si="1"/>
        <v>44162</v>
      </c>
      <c r="F75" s="27">
        <v>249</v>
      </c>
      <c r="G75" s="22" t="s">
        <v>2272</v>
      </c>
      <c r="H75" s="142">
        <v>45963</v>
      </c>
      <c r="I75" s="129" t="s">
        <v>2056</v>
      </c>
      <c r="J75" s="43"/>
    </row>
    <row r="76" spans="1:10" x14ac:dyDescent="0.25">
      <c r="A76" s="27">
        <v>4</v>
      </c>
      <c r="B76" s="22" t="s">
        <v>2114</v>
      </c>
      <c r="C76" s="22">
        <v>7488560811</v>
      </c>
      <c r="D76" s="21">
        <v>44134</v>
      </c>
      <c r="E76" s="21">
        <f t="shared" si="1"/>
        <v>44162</v>
      </c>
      <c r="F76" s="21"/>
      <c r="G76" s="148" t="s">
        <v>2066</v>
      </c>
      <c r="H76" s="43">
        <v>43548</v>
      </c>
      <c r="I76" s="44" t="s">
        <v>2067</v>
      </c>
      <c r="J76" s="43"/>
    </row>
    <row r="77" spans="1:10" x14ac:dyDescent="0.25">
      <c r="A77" s="27">
        <v>3</v>
      </c>
      <c r="B77" s="22" t="s">
        <v>1930</v>
      </c>
      <c r="C77" s="22">
        <v>8340268188</v>
      </c>
      <c r="D77" s="21">
        <v>44135</v>
      </c>
      <c r="E77" s="21">
        <f t="shared" si="1"/>
        <v>44163</v>
      </c>
      <c r="F77" s="21" t="s">
        <v>2615</v>
      </c>
      <c r="G77" s="22" t="s">
        <v>2276</v>
      </c>
      <c r="H77" s="143">
        <v>831627</v>
      </c>
      <c r="I77" s="130" t="s">
        <v>2277</v>
      </c>
      <c r="J77" s="43"/>
    </row>
    <row r="78" spans="1:10" x14ac:dyDescent="0.25">
      <c r="A78" s="27">
        <v>2</v>
      </c>
      <c r="B78" s="22" t="s">
        <v>2421</v>
      </c>
      <c r="C78" s="22">
        <v>9123261501</v>
      </c>
      <c r="D78" s="21">
        <v>44135</v>
      </c>
      <c r="E78" s="21">
        <f t="shared" si="1"/>
        <v>44163</v>
      </c>
      <c r="F78" s="22">
        <v>899</v>
      </c>
      <c r="G78" s="22" t="s">
        <v>2480</v>
      </c>
      <c r="H78" s="73">
        <v>385174</v>
      </c>
      <c r="I78" s="44" t="s">
        <v>2481</v>
      </c>
      <c r="J78" s="43"/>
    </row>
    <row r="79" spans="1:10" x14ac:dyDescent="0.25">
      <c r="A79" s="27">
        <v>2</v>
      </c>
      <c r="B79" s="22" t="s">
        <v>2421</v>
      </c>
      <c r="C79" s="22">
        <v>7667497635</v>
      </c>
      <c r="D79" s="21">
        <v>44135</v>
      </c>
      <c r="E79" s="21">
        <f t="shared" si="1"/>
        <v>44163</v>
      </c>
      <c r="F79" s="22">
        <v>899</v>
      </c>
      <c r="G79" s="148" t="s">
        <v>2488</v>
      </c>
      <c r="H79" s="43">
        <v>829916</v>
      </c>
      <c r="I79" s="44" t="s">
        <v>2489</v>
      </c>
      <c r="J79" s="43"/>
    </row>
    <row r="80" spans="1:10" x14ac:dyDescent="0.25">
      <c r="A80" s="27">
        <v>3</v>
      </c>
      <c r="B80" s="22" t="s">
        <v>1930</v>
      </c>
      <c r="C80" s="22">
        <v>7992351077</v>
      </c>
      <c r="D80" s="21">
        <v>44136</v>
      </c>
      <c r="E80" s="21">
        <f t="shared" si="1"/>
        <v>44164</v>
      </c>
      <c r="F80" s="21"/>
      <c r="G80" s="148" t="s">
        <v>2280</v>
      </c>
      <c r="H80" s="43">
        <v>228321</v>
      </c>
      <c r="I80" s="44" t="s">
        <v>2279</v>
      </c>
      <c r="J80" s="43"/>
    </row>
    <row r="81" spans="1:10" x14ac:dyDescent="0.25">
      <c r="A81" s="27">
        <v>4</v>
      </c>
      <c r="B81" s="22" t="s">
        <v>2088</v>
      </c>
      <c r="C81" s="22">
        <v>7061417806</v>
      </c>
      <c r="D81" s="21">
        <v>44136</v>
      </c>
      <c r="E81" s="21">
        <f t="shared" si="1"/>
        <v>44164</v>
      </c>
      <c r="F81" s="21"/>
      <c r="G81" s="71" t="s">
        <v>2099</v>
      </c>
      <c r="H81" s="97">
        <v>31786</v>
      </c>
      <c r="I81" s="98">
        <v>387632</v>
      </c>
      <c r="J81" s="43"/>
    </row>
    <row r="82" spans="1:10" x14ac:dyDescent="0.25">
      <c r="A82" s="27">
        <v>3</v>
      </c>
      <c r="B82" s="22" t="s">
        <v>1930</v>
      </c>
      <c r="C82" s="22">
        <v>9031148335</v>
      </c>
      <c r="D82" s="21">
        <v>44137</v>
      </c>
      <c r="E82" s="21">
        <f t="shared" si="1"/>
        <v>44165</v>
      </c>
      <c r="F82" s="21"/>
      <c r="G82" s="22" t="s">
        <v>953</v>
      </c>
      <c r="H82" s="43">
        <v>987674</v>
      </c>
      <c r="I82" s="44" t="s">
        <v>2298</v>
      </c>
      <c r="J82" s="43"/>
    </row>
    <row r="83" spans="1:10" x14ac:dyDescent="0.25">
      <c r="A83" s="27">
        <v>3</v>
      </c>
      <c r="B83" s="22" t="s">
        <v>1930</v>
      </c>
      <c r="C83" s="22">
        <v>7004659232</v>
      </c>
      <c r="D83" s="41">
        <v>44137</v>
      </c>
      <c r="E83" s="21">
        <f t="shared" si="1"/>
        <v>44165</v>
      </c>
      <c r="F83" s="21" t="s">
        <v>2622</v>
      </c>
      <c r="G83" s="22" t="s">
        <v>2358</v>
      </c>
      <c r="H83" s="73">
        <v>613223</v>
      </c>
      <c r="I83" s="44" t="s">
        <v>2359</v>
      </c>
      <c r="J83" s="43"/>
    </row>
    <row r="84" spans="1:10" x14ac:dyDescent="0.25">
      <c r="A84" s="27">
        <v>3</v>
      </c>
      <c r="B84" s="22" t="s">
        <v>2088</v>
      </c>
      <c r="C84" s="22">
        <v>9279014813</v>
      </c>
      <c r="D84" s="21">
        <v>44137</v>
      </c>
      <c r="E84" s="21">
        <f t="shared" si="1"/>
        <v>44165</v>
      </c>
      <c r="F84" s="21" t="s">
        <v>2622</v>
      </c>
      <c r="G84" s="22" t="s">
        <v>2360</v>
      </c>
      <c r="H84" s="43">
        <v>145356</v>
      </c>
      <c r="I84" s="22">
        <v>751912</v>
      </c>
      <c r="J84" s="43" t="s">
        <v>2656</v>
      </c>
    </row>
    <row r="85" spans="1:10" x14ac:dyDescent="0.25">
      <c r="A85" s="27">
        <v>3</v>
      </c>
      <c r="B85" s="22" t="s">
        <v>2114</v>
      </c>
      <c r="C85" s="22">
        <v>7000239172</v>
      </c>
      <c r="D85" s="41">
        <v>44137</v>
      </c>
      <c r="E85" s="21">
        <f t="shared" si="1"/>
        <v>44165</v>
      </c>
      <c r="F85" s="22"/>
      <c r="G85" s="22" t="s">
        <v>2155</v>
      </c>
      <c r="H85" s="73" t="s">
        <v>2293</v>
      </c>
      <c r="I85" s="98">
        <v>781614</v>
      </c>
      <c r="J85" s="43"/>
    </row>
    <row r="86" spans="1:10" x14ac:dyDescent="0.25">
      <c r="A86" s="27">
        <v>2</v>
      </c>
      <c r="B86" s="22" t="s">
        <v>2088</v>
      </c>
      <c r="C86" s="22">
        <v>9934848752</v>
      </c>
      <c r="D86" s="41">
        <v>44137</v>
      </c>
      <c r="E86" s="21">
        <f t="shared" si="1"/>
        <v>44165</v>
      </c>
      <c r="F86" s="22">
        <v>219</v>
      </c>
      <c r="G86" s="22" t="s">
        <v>2459</v>
      </c>
      <c r="H86" s="43">
        <v>973693</v>
      </c>
      <c r="I86" s="44" t="s">
        <v>2460</v>
      </c>
      <c r="J86" s="43"/>
    </row>
    <row r="87" spans="1:10" x14ac:dyDescent="0.25">
      <c r="A87" s="27">
        <v>2</v>
      </c>
      <c r="B87" s="22" t="s">
        <v>1930</v>
      </c>
      <c r="C87" s="22">
        <v>6206792470</v>
      </c>
      <c r="D87" s="41">
        <v>44137</v>
      </c>
      <c r="E87" s="21">
        <f t="shared" si="1"/>
        <v>44165</v>
      </c>
      <c r="F87" s="22">
        <v>199</v>
      </c>
      <c r="G87" s="146" t="s">
        <v>2478</v>
      </c>
      <c r="H87" s="43">
        <v>812611</v>
      </c>
      <c r="I87" s="44" t="s">
        <v>2479</v>
      </c>
      <c r="J87" s="43"/>
    </row>
    <row r="88" spans="1:10" x14ac:dyDescent="0.25">
      <c r="A88" s="27">
        <v>3</v>
      </c>
      <c r="B88" s="22" t="s">
        <v>1930</v>
      </c>
      <c r="C88" s="2">
        <v>8789563045</v>
      </c>
      <c r="D88" s="21">
        <v>44138</v>
      </c>
      <c r="E88" s="21">
        <f t="shared" si="1"/>
        <v>44166</v>
      </c>
      <c r="F88" s="27">
        <v>199</v>
      </c>
      <c r="G88" s="22" t="s">
        <v>2310</v>
      </c>
      <c r="H88" s="43">
        <v>272972</v>
      </c>
      <c r="I88" s="44" t="s">
        <v>2311</v>
      </c>
      <c r="J88" s="43"/>
    </row>
    <row r="89" spans="1:10" x14ac:dyDescent="0.25">
      <c r="A89" s="139">
        <v>4</v>
      </c>
      <c r="B89" s="1" t="s">
        <v>2114</v>
      </c>
      <c r="C89" s="1">
        <v>8210670600</v>
      </c>
      <c r="D89" s="138">
        <v>44140</v>
      </c>
      <c r="E89" s="138">
        <f t="shared" si="1"/>
        <v>44168</v>
      </c>
      <c r="F89" s="139"/>
      <c r="G89" s="1" t="s">
        <v>2142</v>
      </c>
      <c r="H89" s="149">
        <v>95747</v>
      </c>
      <c r="I89" s="140" t="s">
        <v>2145</v>
      </c>
      <c r="J89" s="43"/>
    </row>
    <row r="90" spans="1:10" x14ac:dyDescent="0.25">
      <c r="A90" s="27">
        <v>3</v>
      </c>
      <c r="B90" s="22" t="s">
        <v>2088</v>
      </c>
      <c r="C90" s="22">
        <v>8092231804</v>
      </c>
      <c r="D90" s="21">
        <v>44140</v>
      </c>
      <c r="E90" s="21">
        <f t="shared" si="1"/>
        <v>44168</v>
      </c>
      <c r="F90" s="27"/>
      <c r="G90" s="22" t="s">
        <v>2356</v>
      </c>
      <c r="H90" s="73">
        <v>881321</v>
      </c>
      <c r="I90" s="44" t="s">
        <v>2357</v>
      </c>
      <c r="J90" s="43"/>
    </row>
    <row r="91" spans="1:10" x14ac:dyDescent="0.25">
      <c r="A91" s="139">
        <v>4</v>
      </c>
      <c r="B91" s="1" t="s">
        <v>2114</v>
      </c>
      <c r="C91" s="1">
        <v>9142585352</v>
      </c>
      <c r="D91" s="138">
        <v>44140</v>
      </c>
      <c r="E91" s="138">
        <f t="shared" si="1"/>
        <v>44168</v>
      </c>
      <c r="F91" s="139"/>
      <c r="G91" s="1" t="s">
        <v>2153</v>
      </c>
      <c r="H91" s="150">
        <v>39161</v>
      </c>
      <c r="I91" s="140" t="s">
        <v>2154</v>
      </c>
      <c r="J91" s="43"/>
    </row>
    <row r="92" spans="1:10" x14ac:dyDescent="0.25">
      <c r="A92" s="27">
        <v>2</v>
      </c>
      <c r="B92" s="1" t="s">
        <v>2114</v>
      </c>
      <c r="C92" s="127">
        <v>9680932095</v>
      </c>
      <c r="D92" s="21">
        <v>44142</v>
      </c>
      <c r="E92" s="138">
        <f t="shared" ref="E92" si="2">D92+28</f>
        <v>44170</v>
      </c>
      <c r="F92" s="27">
        <v>199</v>
      </c>
      <c r="G92" s="22" t="s">
        <v>2265</v>
      </c>
      <c r="H92" s="43">
        <v>751546</v>
      </c>
      <c r="I92" s="44" t="s">
        <v>2266</v>
      </c>
      <c r="J92" s="43"/>
    </row>
  </sheetData>
  <customSheetViews>
    <customSheetView guid="{A0CE3161-5061-442F-A27F-2BA55581F316}" topLeftCell="A19">
      <selection activeCell="I36" sqref="I36"/>
      <pageMargins left="0.7" right="0.7" top="0.75" bottom="0.75" header="0.3" footer="0.3"/>
    </customSheetView>
    <customSheetView guid="{2FF9BCA9-095C-4E73-9C86-2243907C0824}" topLeftCell="A19">
      <selection activeCell="I36" sqref="I36"/>
      <pageMargins left="0.7" right="0.7" top="0.75" bottom="0.75" header="0.3" footer="0.3"/>
    </customSheetView>
    <customSheetView guid="{EB31AAB7-3CD3-47EA-8FB3-E6304DCC89B3}" topLeftCell="A19">
      <selection activeCell="I36" sqref="I36"/>
      <pageMargins left="0.7" right="0.7" top="0.75" bottom="0.75" header="0.3" footer="0.3"/>
    </customSheetView>
    <customSheetView guid="{1459FC0D-58BA-4BEC-951C-298999986759}" topLeftCell="A19">
      <selection activeCell="I36" sqref="I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8DCC-09B8-45DC-BAB4-885B308D531A}">
  <dimension ref="A1:N31"/>
  <sheetViews>
    <sheetView topLeftCell="B1" zoomScale="115" zoomScaleNormal="115" workbookViewId="0">
      <selection activeCell="E3" sqref="E3"/>
    </sheetView>
  </sheetViews>
  <sheetFormatPr defaultRowHeight="15" x14ac:dyDescent="0.25"/>
  <cols>
    <col min="1" max="3" width="9.140625" style="27"/>
    <col min="4" max="4" width="4.28515625" customWidth="1"/>
    <col min="5" max="5" width="13.85546875" customWidth="1"/>
    <col min="6" max="6" width="11.7109375" style="22" customWidth="1"/>
    <col min="7" max="7" width="11.140625" style="22" customWidth="1"/>
    <col min="8" max="8" width="11.85546875" style="22" customWidth="1"/>
    <col min="9" max="9" width="12.85546875" customWidth="1"/>
    <col min="10" max="10" width="11.28515625" customWidth="1"/>
    <col min="11" max="11" width="11.85546875" customWidth="1"/>
    <col min="12" max="12" width="20" customWidth="1"/>
    <col min="13" max="13" width="11.7109375" customWidth="1"/>
  </cols>
  <sheetData>
    <row r="1" spans="1:14" s="22" customFormat="1" x14ac:dyDescent="0.25">
      <c r="A1" s="27"/>
      <c r="B1" s="27"/>
      <c r="C1" s="27"/>
      <c r="G1" s="22" t="s">
        <v>2682</v>
      </c>
      <c r="H1" s="152" t="s">
        <v>2683</v>
      </c>
      <c r="I1" s="151" t="s">
        <v>2681</v>
      </c>
    </row>
    <row r="2" spans="1:14" s="22" customFormat="1" x14ac:dyDescent="0.25">
      <c r="A2" s="27" t="s">
        <v>2645</v>
      </c>
      <c r="B2" s="27" t="s">
        <v>2646</v>
      </c>
      <c r="C2" s="27"/>
      <c r="F2" s="27">
        <v>1</v>
      </c>
      <c r="G2" s="27">
        <v>2</v>
      </c>
      <c r="H2" s="27">
        <v>3</v>
      </c>
      <c r="I2" s="27">
        <v>4</v>
      </c>
      <c r="J2" s="27">
        <v>5</v>
      </c>
      <c r="K2" s="27">
        <v>6</v>
      </c>
    </row>
    <row r="3" spans="1:14" x14ac:dyDescent="0.25">
      <c r="A3" s="27">
        <v>1</v>
      </c>
      <c r="B3" s="27">
        <v>1</v>
      </c>
      <c r="D3" s="22" t="s">
        <v>2114</v>
      </c>
      <c r="E3" s="22">
        <v>9062463078</v>
      </c>
      <c r="F3" s="21">
        <v>44116</v>
      </c>
      <c r="G3" s="21">
        <v>44145</v>
      </c>
      <c r="H3" s="160">
        <f>G3+28</f>
        <v>44173</v>
      </c>
      <c r="I3" s="151">
        <f t="shared" ref="I3:K3" si="0">H3+28</f>
        <v>44201</v>
      </c>
      <c r="J3" s="151">
        <f t="shared" si="0"/>
        <v>44229</v>
      </c>
      <c r="K3" s="151">
        <f t="shared" si="0"/>
        <v>44257</v>
      </c>
      <c r="L3" s="22" t="s">
        <v>1164</v>
      </c>
      <c r="M3" s="73">
        <v>219813</v>
      </c>
      <c r="N3" s="44" t="s">
        <v>2525</v>
      </c>
    </row>
    <row r="4" spans="1:14" x14ac:dyDescent="0.25">
      <c r="A4" s="27">
        <v>2</v>
      </c>
      <c r="D4" s="22" t="s">
        <v>1930</v>
      </c>
      <c r="E4" s="22">
        <v>7000239171</v>
      </c>
      <c r="F4" s="21">
        <v>44116</v>
      </c>
      <c r="G4" s="21">
        <f t="shared" ref="G4" si="1">F4+28</f>
        <v>44144</v>
      </c>
      <c r="H4" s="151">
        <f>G4+28</f>
        <v>44172</v>
      </c>
      <c r="I4" s="151">
        <f t="shared" ref="I4:K6" si="2">H4+28</f>
        <v>44200</v>
      </c>
      <c r="J4" s="151">
        <f t="shared" si="2"/>
        <v>44228</v>
      </c>
      <c r="K4" s="151">
        <f t="shared" si="2"/>
        <v>44256</v>
      </c>
      <c r="L4" s="22" t="s">
        <v>2382</v>
      </c>
      <c r="M4" s="73">
        <v>954447</v>
      </c>
      <c r="N4" s="44" t="s">
        <v>2383</v>
      </c>
    </row>
    <row r="5" spans="1:14" x14ac:dyDescent="0.25">
      <c r="A5" s="27">
        <v>3</v>
      </c>
      <c r="D5" s="22" t="s">
        <v>2114</v>
      </c>
      <c r="E5" s="22">
        <v>6203130343</v>
      </c>
      <c r="F5" s="21">
        <v>44061</v>
      </c>
      <c r="G5" s="21">
        <v>44089</v>
      </c>
      <c r="H5" s="21">
        <v>44116</v>
      </c>
      <c r="I5" s="151">
        <f t="shared" si="2"/>
        <v>44144</v>
      </c>
      <c r="J5" s="151">
        <f t="shared" si="2"/>
        <v>44172</v>
      </c>
      <c r="K5" s="151">
        <f t="shared" si="2"/>
        <v>44200</v>
      </c>
      <c r="L5" s="22" t="s">
        <v>2536</v>
      </c>
      <c r="M5" s="43">
        <v>799655</v>
      </c>
      <c r="N5" s="44" t="s">
        <v>2537</v>
      </c>
    </row>
    <row r="6" spans="1:14" x14ac:dyDescent="0.25">
      <c r="A6" s="27">
        <v>3</v>
      </c>
      <c r="B6" s="27">
        <v>1</v>
      </c>
      <c r="D6" s="22" t="s">
        <v>2114</v>
      </c>
      <c r="E6" s="22">
        <v>7209950245</v>
      </c>
      <c r="F6" s="21">
        <v>44034</v>
      </c>
      <c r="G6" s="21">
        <v>44062</v>
      </c>
      <c r="H6" s="21">
        <v>44090</v>
      </c>
      <c r="I6" s="21">
        <v>44118</v>
      </c>
      <c r="J6" s="151">
        <f t="shared" si="2"/>
        <v>44146</v>
      </c>
      <c r="K6" s="151">
        <f t="shared" si="2"/>
        <v>44174</v>
      </c>
      <c r="L6" s="22" t="s">
        <v>844</v>
      </c>
      <c r="M6" s="73">
        <v>38554</v>
      </c>
      <c r="N6" s="44" t="s">
        <v>1934</v>
      </c>
    </row>
    <row r="7" spans="1:14" x14ac:dyDescent="0.25">
      <c r="A7" s="27">
        <v>1</v>
      </c>
      <c r="B7" s="27">
        <v>2</v>
      </c>
      <c r="D7" s="22" t="s">
        <v>1930</v>
      </c>
      <c r="E7" s="22">
        <v>9955844105</v>
      </c>
      <c r="F7" s="41">
        <v>44089</v>
      </c>
      <c r="G7" s="152">
        <v>44116</v>
      </c>
      <c r="H7" s="152">
        <v>44145</v>
      </c>
      <c r="L7" s="22" t="s">
        <v>2384</v>
      </c>
      <c r="M7" s="73">
        <v>184367</v>
      </c>
      <c r="N7" s="44" t="s">
        <v>2385</v>
      </c>
    </row>
    <row r="8" spans="1:14" x14ac:dyDescent="0.25">
      <c r="A8" s="27">
        <v>2</v>
      </c>
      <c r="C8" s="27">
        <v>249</v>
      </c>
      <c r="D8" s="22" t="s">
        <v>1930</v>
      </c>
      <c r="E8" s="22">
        <v>7209978935</v>
      </c>
      <c r="F8" s="21">
        <v>44091</v>
      </c>
      <c r="G8" s="21">
        <v>44120</v>
      </c>
      <c r="K8" s="27"/>
      <c r="L8" s="22" t="s">
        <v>2408</v>
      </c>
      <c r="M8" s="73">
        <v>919459</v>
      </c>
      <c r="N8" s="44" t="s">
        <v>2409</v>
      </c>
    </row>
    <row r="9" spans="1:14" x14ac:dyDescent="0.25">
      <c r="A9" s="27">
        <v>2</v>
      </c>
      <c r="B9" s="27">
        <v>1</v>
      </c>
      <c r="C9" s="27">
        <v>218</v>
      </c>
      <c r="D9" t="s">
        <v>2647</v>
      </c>
      <c r="E9" s="22">
        <v>1266434362</v>
      </c>
      <c r="F9" s="41">
        <v>44087</v>
      </c>
      <c r="G9" s="41">
        <v>44117</v>
      </c>
      <c r="H9" s="160">
        <v>44146</v>
      </c>
      <c r="L9" s="22" t="s">
        <v>2372</v>
      </c>
      <c r="M9" s="73">
        <v>288325</v>
      </c>
      <c r="N9" s="44" t="s">
        <v>2373</v>
      </c>
    </row>
    <row r="10" spans="1:14" x14ac:dyDescent="0.25">
      <c r="A10" s="27">
        <v>2</v>
      </c>
      <c r="C10" s="27">
        <v>219</v>
      </c>
      <c r="D10" s="22" t="s">
        <v>2088</v>
      </c>
      <c r="E10" s="22">
        <v>7079576311</v>
      </c>
      <c r="F10" s="41">
        <v>44089</v>
      </c>
      <c r="G10" s="21">
        <v>44117</v>
      </c>
      <c r="H10" s="21">
        <f>G10+28</f>
        <v>44145</v>
      </c>
      <c r="L10" s="22" t="s">
        <v>2384</v>
      </c>
      <c r="M10" s="73" t="s">
        <v>2390</v>
      </c>
      <c r="N10" s="44" t="s">
        <v>2391</v>
      </c>
    </row>
    <row r="11" spans="1:14" x14ac:dyDescent="0.25">
      <c r="A11" s="27">
        <v>3</v>
      </c>
      <c r="C11" s="27">
        <v>219</v>
      </c>
      <c r="D11" s="22" t="s">
        <v>2088</v>
      </c>
      <c r="E11" s="22">
        <v>9113461308</v>
      </c>
      <c r="F11" s="41">
        <v>44075</v>
      </c>
      <c r="G11" s="41">
        <v>44105</v>
      </c>
      <c r="H11" s="41">
        <v>44133</v>
      </c>
      <c r="I11" s="151">
        <f t="shared" ref="I11:I12" si="3">H11+28</f>
        <v>44161</v>
      </c>
      <c r="J11" s="151">
        <f>I11+28</f>
        <v>44189</v>
      </c>
      <c r="K11" s="151">
        <f>J11+28</f>
        <v>44217</v>
      </c>
      <c r="L11" s="22" t="s">
        <v>2267</v>
      </c>
      <c r="M11" s="43">
        <v>752612</v>
      </c>
      <c r="N11" s="44" t="s">
        <v>2268</v>
      </c>
    </row>
    <row r="12" spans="1:14" x14ac:dyDescent="0.25">
      <c r="C12" s="27">
        <v>199</v>
      </c>
      <c r="D12" t="s">
        <v>1930</v>
      </c>
      <c r="E12" s="22">
        <v>8789074647</v>
      </c>
      <c r="F12" s="41">
        <v>44127</v>
      </c>
      <c r="G12" s="41">
        <v>44122</v>
      </c>
      <c r="H12" s="152">
        <v>44172</v>
      </c>
      <c r="I12" s="152">
        <f t="shared" si="3"/>
        <v>44200</v>
      </c>
      <c r="L12" s="22" t="s">
        <v>2158</v>
      </c>
      <c r="M12" s="73">
        <v>742963</v>
      </c>
      <c r="N12" s="44" t="s">
        <v>2197</v>
      </c>
    </row>
    <row r="13" spans="1:14" x14ac:dyDescent="0.25">
      <c r="D13" s="22" t="s">
        <v>1930</v>
      </c>
      <c r="E13" s="22">
        <v>8797946237</v>
      </c>
      <c r="F13" s="41">
        <v>44080</v>
      </c>
      <c r="G13" s="41">
        <v>44109</v>
      </c>
      <c r="H13" s="41">
        <v>44136</v>
      </c>
      <c r="I13" s="41">
        <v>44200</v>
      </c>
      <c r="J13" s="22">
        <v>799</v>
      </c>
      <c r="K13" s="22"/>
      <c r="L13" s="22" t="s">
        <v>2510</v>
      </c>
      <c r="M13" s="43" t="s">
        <v>2511</v>
      </c>
      <c r="N13" s="44" t="s">
        <v>2512</v>
      </c>
    </row>
    <row r="14" spans="1:14" x14ac:dyDescent="0.25">
      <c r="D14" t="s">
        <v>2114</v>
      </c>
      <c r="E14" s="22">
        <v>9142510639</v>
      </c>
      <c r="F14" s="41">
        <v>44173</v>
      </c>
      <c r="G14" s="41">
        <v>44139</v>
      </c>
      <c r="H14" s="160">
        <v>44174</v>
      </c>
      <c r="J14" s="22">
        <v>899</v>
      </c>
      <c r="K14" s="22"/>
      <c r="L14" s="132" t="s">
        <v>2510</v>
      </c>
      <c r="M14" s="43" t="s">
        <v>2513</v>
      </c>
      <c r="N14" s="44" t="s">
        <v>2514</v>
      </c>
    </row>
    <row r="15" spans="1:14" x14ac:dyDescent="0.25">
      <c r="D15" s="22" t="s">
        <v>2114</v>
      </c>
      <c r="E15">
        <v>9204038708</v>
      </c>
      <c r="F15" s="41">
        <v>44094</v>
      </c>
      <c r="G15" s="41">
        <v>44122</v>
      </c>
      <c r="H15" s="160">
        <v>44152</v>
      </c>
      <c r="I15" s="160">
        <v>44184</v>
      </c>
      <c r="J15" s="160">
        <v>44215</v>
      </c>
      <c r="K15" s="160">
        <v>44247</v>
      </c>
      <c r="L15" s="22" t="s">
        <v>2257</v>
      </c>
      <c r="M15" s="43">
        <v>239385</v>
      </c>
      <c r="N15" s="44" t="s">
        <v>2258</v>
      </c>
    </row>
    <row r="17" spans="4:14" x14ac:dyDescent="0.25">
      <c r="G17" s="22">
        <v>9679304797</v>
      </c>
    </row>
    <row r="22" spans="4:14" x14ac:dyDescent="0.25">
      <c r="D22" s="22">
        <v>7725859383</v>
      </c>
      <c r="E22" s="22"/>
      <c r="J22" s="22" t="s">
        <v>2143</v>
      </c>
      <c r="K22" s="22"/>
      <c r="L22" s="22"/>
      <c r="M22" s="43">
        <v>98482</v>
      </c>
      <c r="N22" s="44" t="s">
        <v>2144</v>
      </c>
    </row>
    <row r="31" spans="4:14" x14ac:dyDescent="0.25">
      <c r="K31">
        <f>44*3+20</f>
        <v>152</v>
      </c>
    </row>
  </sheetData>
  <customSheetViews>
    <customSheetView guid="{A0CE3161-5061-442F-A27F-2BA55581F316}" scale="115" topLeftCell="B1">
      <selection activeCell="E3" sqref="E3"/>
      <pageMargins left="0.7" right="0.7" top="0.75" bottom="0.75" header="0.3" footer="0.3"/>
      <pageSetup paperSize="9" orientation="portrait" r:id="rId1"/>
    </customSheetView>
    <customSheetView guid="{2FF9BCA9-095C-4E73-9C86-2243907C0824}" scale="115" topLeftCell="B1">
      <selection activeCell="E3" sqref="E3"/>
      <pageMargins left="0.7" right="0.7" top="0.75" bottom="0.75" header="0.3" footer="0.3"/>
      <pageSetup paperSize="9" orientation="portrait" r:id="rId2"/>
    </customSheetView>
    <customSheetView guid="{EB31AAB7-3CD3-47EA-8FB3-E6304DCC89B3}" scale="115" topLeftCell="B1">
      <selection activeCell="E3" sqref="E3"/>
      <pageMargins left="0.7" right="0.7" top="0.75" bottom="0.75" header="0.3" footer="0.3"/>
      <pageSetup paperSize="9" orientation="portrait" r:id="rId3"/>
    </customSheetView>
    <customSheetView guid="{1459FC0D-58BA-4BEC-951C-298999986759}" scale="115" topLeftCell="B1">
      <selection activeCell="E3" sqref="E3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33"/>
  <sheetViews>
    <sheetView topLeftCell="A4" zoomScale="85" zoomScaleNormal="85" workbookViewId="0">
      <selection activeCell="B31" sqref="B31"/>
    </sheetView>
  </sheetViews>
  <sheetFormatPr defaultRowHeight="15" x14ac:dyDescent="0.25"/>
  <cols>
    <col min="1" max="1" width="11.7109375" customWidth="1"/>
    <col min="2" max="2" width="15.7109375" style="27" customWidth="1"/>
    <col min="3" max="3" width="14.42578125" customWidth="1"/>
    <col min="4" max="4" width="15.28515625" customWidth="1"/>
    <col min="5" max="5" width="11.85546875" customWidth="1"/>
    <col min="6" max="6" width="10.28515625" customWidth="1"/>
    <col min="7" max="7" width="10.5703125" bestFit="1" customWidth="1"/>
  </cols>
  <sheetData>
    <row r="2" spans="1:11" x14ac:dyDescent="0.25">
      <c r="C2" t="s">
        <v>2081</v>
      </c>
      <c r="D2">
        <v>500000</v>
      </c>
      <c r="F2">
        <f>IF(D2&lt;=250000,0,IF(D2&lt;=500000,(D2-250000)*0.05,IF(D2&lt;=1000000,12500+(D2-500000)*0.2,112500+(D2-1000000)*0.3)))</f>
        <v>12500</v>
      </c>
      <c r="J2">
        <v>33260</v>
      </c>
      <c r="K2">
        <f>J2-F2</f>
        <v>20760</v>
      </c>
    </row>
    <row r="3" spans="1:11" x14ac:dyDescent="0.25">
      <c r="C3" t="s">
        <v>2082</v>
      </c>
      <c r="D3">
        <v>1500001</v>
      </c>
      <c r="F3" s="22">
        <f>IF(D3&lt;=500000,0,IF(D3&lt;=750000,(D3-500000)*0.1,IF(D3&lt;=1000000,25000+(D3-750000)*0.15,IF(D3&lt;=1250000,62500+(D3-1000000)*0.2,IF(D3&lt;=1500000,112500+(D3-1250000)*0.25,175000+(D3-1500000)*0.3)))))</f>
        <v>175000.3</v>
      </c>
    </row>
    <row r="4" spans="1:11" x14ac:dyDescent="0.25">
      <c r="F4" s="22"/>
    </row>
    <row r="12" spans="1:11" x14ac:dyDescent="0.25">
      <c r="G12" s="41">
        <v>44114</v>
      </c>
    </row>
    <row r="13" spans="1:11" x14ac:dyDescent="0.25">
      <c r="A13" t="s">
        <v>2250</v>
      </c>
      <c r="B13" s="27" t="s">
        <v>2251</v>
      </c>
      <c r="C13" t="s">
        <v>2252</v>
      </c>
      <c r="G13" t="s">
        <v>2253</v>
      </c>
    </row>
    <row r="14" spans="1:11" x14ac:dyDescent="0.25">
      <c r="A14" s="21">
        <v>44035</v>
      </c>
      <c r="B14" s="21">
        <v>44091</v>
      </c>
      <c r="C14" s="21">
        <f>B14+28</f>
        <v>44119</v>
      </c>
      <c r="D14" s="77" t="s">
        <v>2254</v>
      </c>
      <c r="E14" s="43">
        <v>62132</v>
      </c>
      <c r="F14" s="44">
        <v>830532</v>
      </c>
      <c r="G14">
        <v>180</v>
      </c>
    </row>
    <row r="15" spans="1:11" x14ac:dyDescent="0.25">
      <c r="A15" s="41">
        <v>44055</v>
      </c>
      <c r="B15" s="21">
        <v>44111</v>
      </c>
      <c r="C15" s="21">
        <f>B15+28</f>
        <v>44139</v>
      </c>
      <c r="D15" s="77" t="s">
        <v>626</v>
      </c>
      <c r="E15" s="43">
        <v>77444</v>
      </c>
      <c r="F15" s="44" t="s">
        <v>2119</v>
      </c>
      <c r="G15">
        <v>474</v>
      </c>
    </row>
    <row r="16" spans="1:11" x14ac:dyDescent="0.25">
      <c r="A16" s="41">
        <v>44065</v>
      </c>
      <c r="B16" s="21">
        <v>44093</v>
      </c>
      <c r="C16" s="21">
        <f>B16+28</f>
        <v>44121</v>
      </c>
      <c r="D16" s="77" t="s">
        <v>1838</v>
      </c>
      <c r="E16" s="43">
        <v>91482</v>
      </c>
      <c r="F16" s="44" t="s">
        <v>2159</v>
      </c>
      <c r="G16">
        <f>28</f>
        <v>28</v>
      </c>
      <c r="K16" t="s">
        <v>2458</v>
      </c>
    </row>
    <row r="17" spans="1:11" x14ac:dyDescent="0.25">
      <c r="A17" s="41">
        <v>44071</v>
      </c>
      <c r="B17" s="21">
        <v>44099</v>
      </c>
      <c r="C17" s="21">
        <f>B17+28</f>
        <v>44127</v>
      </c>
      <c r="D17" s="77" t="s">
        <v>626</v>
      </c>
      <c r="E17" s="43">
        <v>222732</v>
      </c>
      <c r="F17" s="44" t="s">
        <v>2213</v>
      </c>
      <c r="G17">
        <f>405</f>
        <v>405</v>
      </c>
      <c r="K17">
        <f>400*3</f>
        <v>1200</v>
      </c>
    </row>
    <row r="18" spans="1:11" x14ac:dyDescent="0.25">
      <c r="A18" s="41">
        <v>44091</v>
      </c>
      <c r="B18" s="21">
        <v>44091</v>
      </c>
      <c r="C18" s="21">
        <f>B18+28</f>
        <v>44119</v>
      </c>
      <c r="D18" s="77" t="s">
        <v>2407</v>
      </c>
      <c r="E18" s="2" t="s">
        <v>2404</v>
      </c>
      <c r="F18" s="22">
        <v>192672</v>
      </c>
      <c r="G18">
        <v>0</v>
      </c>
    </row>
    <row r="20" spans="1:11" x14ac:dyDescent="0.25">
      <c r="B20" s="84">
        <v>3</v>
      </c>
      <c r="C20" s="27">
        <v>2</v>
      </c>
      <c r="D20" s="27">
        <v>1</v>
      </c>
      <c r="E20" s="27">
        <v>1</v>
      </c>
    </row>
    <row r="21" spans="1:11" x14ac:dyDescent="0.25">
      <c r="C21" s="27">
        <v>434</v>
      </c>
      <c r="D21" s="27"/>
      <c r="E21" s="27"/>
    </row>
    <row r="22" spans="1:11" ht="15.75" x14ac:dyDescent="0.25">
      <c r="B22" s="80">
        <v>62132</v>
      </c>
      <c r="C22" s="80">
        <v>77444</v>
      </c>
      <c r="D22" s="80">
        <v>91482</v>
      </c>
      <c r="E22" s="80">
        <v>222732</v>
      </c>
    </row>
    <row r="23" spans="1:11" x14ac:dyDescent="0.25">
      <c r="B23" s="27">
        <v>7677270579</v>
      </c>
      <c r="C23">
        <v>9031602524</v>
      </c>
      <c r="D23">
        <v>6202613383</v>
      </c>
      <c r="E23">
        <v>8404867535</v>
      </c>
      <c r="I23">
        <f>400-SUM(I24:I29)</f>
        <v>1</v>
      </c>
      <c r="J23" s="22">
        <f>400-SUM(J24:J29)</f>
        <v>4</v>
      </c>
    </row>
    <row r="24" spans="1:11" x14ac:dyDescent="0.25">
      <c r="B24" s="27">
        <v>8002105086</v>
      </c>
      <c r="C24">
        <v>8092231804</v>
      </c>
      <c r="D24">
        <v>7282097830</v>
      </c>
      <c r="E24" s="1">
        <v>7209340311</v>
      </c>
      <c r="I24">
        <v>75</v>
      </c>
      <c r="J24">
        <v>49</v>
      </c>
    </row>
    <row r="25" spans="1:11" x14ac:dyDescent="0.25">
      <c r="B25" s="27">
        <v>7294188341</v>
      </c>
      <c r="C25">
        <v>7250555141</v>
      </c>
      <c r="E25">
        <v>8674892784</v>
      </c>
      <c r="I25">
        <v>75</v>
      </c>
      <c r="J25">
        <v>49</v>
      </c>
    </row>
    <row r="26" spans="1:11" x14ac:dyDescent="0.25">
      <c r="B26" s="27">
        <v>8986696649</v>
      </c>
      <c r="C26">
        <v>171732560</v>
      </c>
      <c r="E26">
        <v>9771293956</v>
      </c>
      <c r="I26">
        <v>249</v>
      </c>
      <c r="J26">
        <v>49</v>
      </c>
    </row>
    <row r="27" spans="1:11" x14ac:dyDescent="0.25">
      <c r="B27" s="27">
        <v>9204244471</v>
      </c>
      <c r="E27">
        <v>9333379156</v>
      </c>
      <c r="J27">
        <v>249</v>
      </c>
    </row>
    <row r="28" spans="1:11" x14ac:dyDescent="0.25">
      <c r="B28" s="27">
        <v>9162961369</v>
      </c>
    </row>
    <row r="29" spans="1:11" x14ac:dyDescent="0.25">
      <c r="B29" s="27">
        <v>7634890177</v>
      </c>
    </row>
    <row r="30" spans="1:11" x14ac:dyDescent="0.25">
      <c r="A30" t="s">
        <v>2589</v>
      </c>
      <c r="B30" s="27">
        <v>6201251742</v>
      </c>
    </row>
    <row r="31" spans="1:11" x14ac:dyDescent="0.25">
      <c r="A31" t="s">
        <v>2589</v>
      </c>
      <c r="B31" s="27">
        <v>6200497214</v>
      </c>
    </row>
    <row r="32" spans="1:11" x14ac:dyDescent="0.25">
      <c r="A32" t="s">
        <v>2589</v>
      </c>
      <c r="B32" s="27">
        <v>6200497214</v>
      </c>
    </row>
    <row r="33" spans="1:2" x14ac:dyDescent="0.25">
      <c r="A33" t="s">
        <v>2590</v>
      </c>
      <c r="B33" s="27">
        <v>6200497214</v>
      </c>
    </row>
  </sheetData>
  <customSheetViews>
    <customSheetView guid="{A0CE3161-5061-442F-A27F-2BA55581F316}" scale="85" topLeftCell="A4">
      <selection activeCell="B31" sqref="B31"/>
      <pageMargins left="0.7" right="0.7" top="0.75" bottom="0.75" header="0.3" footer="0.3"/>
      <pageSetup paperSize="9" orientation="portrait" r:id="rId1"/>
    </customSheetView>
    <customSheetView guid="{2FF9BCA9-095C-4E73-9C86-2243907C0824}" scale="85" topLeftCell="A4">
      <selection activeCell="B31" sqref="B31"/>
      <pageMargins left="0.7" right="0.7" top="0.75" bottom="0.75" header="0.3" footer="0.3"/>
      <pageSetup paperSize="9" orientation="portrait" r:id="rId2"/>
    </customSheetView>
    <customSheetView guid="{EB31AAB7-3CD3-47EA-8FB3-E6304DCC89B3}" scale="85" topLeftCell="A4">
      <selection activeCell="B31" sqref="B31"/>
      <pageMargins left="0.7" right="0.7" top="0.75" bottom="0.75" header="0.3" footer="0.3"/>
      <pageSetup paperSize="9" orientation="portrait" r:id="rId3"/>
    </customSheetView>
    <customSheetView guid="{1459FC0D-58BA-4BEC-951C-298999986759}" scale="85" topLeftCell="A4">
      <selection activeCell="B31" sqref="B31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3"/>
  <sheetViews>
    <sheetView workbookViewId="0">
      <selection activeCell="I11" sqref="I11"/>
    </sheetView>
  </sheetViews>
  <sheetFormatPr defaultRowHeight="15" x14ac:dyDescent="0.25"/>
  <cols>
    <col min="1" max="1" width="7.85546875" style="4" customWidth="1"/>
    <col min="2" max="2" width="5.5703125" style="4" customWidth="1"/>
    <col min="3" max="3" width="7.42578125" customWidth="1"/>
  </cols>
  <sheetData>
    <row r="2" spans="1:16" x14ac:dyDescent="0.25">
      <c r="A2" s="209" t="s">
        <v>2945</v>
      </c>
      <c r="B2" s="206"/>
      <c r="C2" s="206"/>
      <c r="D2" s="206"/>
      <c r="E2" s="206"/>
      <c r="F2" s="206"/>
    </row>
    <row r="3" spans="1:16" x14ac:dyDescent="0.25">
      <c r="A3" s="135" t="s">
        <v>2688</v>
      </c>
      <c r="B3" s="135" t="s">
        <v>2706</v>
      </c>
      <c r="C3" s="75" t="s">
        <v>2707</v>
      </c>
      <c r="D3" s="75" t="s">
        <v>2689</v>
      </c>
      <c r="E3" s="75" t="s">
        <v>2690</v>
      </c>
      <c r="F3" s="22"/>
      <c r="G3" s="135" t="s">
        <v>2688</v>
      </c>
      <c r="H3" s="196" t="s">
        <v>2706</v>
      </c>
      <c r="I3" s="196" t="s">
        <v>2707</v>
      </c>
      <c r="J3" s="196" t="s">
        <v>2689</v>
      </c>
      <c r="K3" s="196" t="s">
        <v>2690</v>
      </c>
      <c r="L3" s="22"/>
      <c r="N3" s="22"/>
      <c r="O3" s="43"/>
      <c r="P3" s="44"/>
    </row>
    <row r="4" spans="1:16" x14ac:dyDescent="0.25">
      <c r="A4" s="207">
        <v>70</v>
      </c>
      <c r="B4" s="207">
        <v>6</v>
      </c>
      <c r="C4" s="207">
        <v>136</v>
      </c>
      <c r="D4" s="22">
        <f>6*(C4+B4)</f>
        <v>852</v>
      </c>
      <c r="E4" s="22">
        <f>A4*C4</f>
        <v>9520</v>
      </c>
      <c r="F4" s="22"/>
      <c r="G4" s="210">
        <v>100</v>
      </c>
      <c r="H4" s="210"/>
      <c r="I4" s="210"/>
      <c r="J4" s="210">
        <f>6*(I4+H4)</f>
        <v>0</v>
      </c>
      <c r="K4" s="210">
        <f>G4*I4</f>
        <v>0</v>
      </c>
      <c r="L4" s="22"/>
      <c r="O4" s="43"/>
      <c r="P4" s="44"/>
    </row>
    <row r="5" spans="1:16" x14ac:dyDescent="0.25">
      <c r="A5" s="207">
        <v>100</v>
      </c>
      <c r="B5" s="207"/>
      <c r="C5" s="207">
        <v>1</v>
      </c>
      <c r="D5" s="22">
        <f>6*(C5+B5)</f>
        <v>6</v>
      </c>
      <c r="E5" s="22">
        <f>A5*C5</f>
        <v>100</v>
      </c>
      <c r="F5" s="22"/>
      <c r="G5" s="210">
        <v>80</v>
      </c>
      <c r="H5" s="210">
        <v>1</v>
      </c>
      <c r="I5" s="210">
        <v>22</v>
      </c>
      <c r="J5" s="210">
        <f>6*(I5+H5)</f>
        <v>138</v>
      </c>
      <c r="K5" s="210">
        <f>G5*I5</f>
        <v>1760</v>
      </c>
      <c r="L5" s="22"/>
      <c r="O5" s="43"/>
      <c r="P5" s="44"/>
    </row>
    <row r="6" spans="1:16" x14ac:dyDescent="0.25">
      <c r="A6" s="207">
        <v>80</v>
      </c>
      <c r="B6" s="207">
        <v>1</v>
      </c>
      <c r="C6" s="207">
        <v>13</v>
      </c>
      <c r="D6" s="22">
        <v>46</v>
      </c>
      <c r="E6" s="22">
        <f>A6*C6</f>
        <v>1040</v>
      </c>
      <c r="F6" s="22"/>
      <c r="G6" s="210">
        <v>75</v>
      </c>
      <c r="H6" s="210"/>
      <c r="I6" s="210"/>
      <c r="J6" s="210">
        <f>6*(I6+H6)</f>
        <v>0</v>
      </c>
      <c r="K6" s="210">
        <f>G6*I6</f>
        <v>0</v>
      </c>
      <c r="L6" s="22"/>
    </row>
    <row r="7" spans="1:16" x14ac:dyDescent="0.25">
      <c r="A7" s="207">
        <v>60</v>
      </c>
      <c r="B7" s="207">
        <v>3</v>
      </c>
      <c r="C7" s="207">
        <v>18</v>
      </c>
      <c r="D7" s="198">
        <f>6*(C7+B7)</f>
        <v>126</v>
      </c>
      <c r="E7" s="22">
        <f>A7*C7</f>
        <v>1080</v>
      </c>
      <c r="F7" s="22"/>
      <c r="G7" s="210">
        <v>70</v>
      </c>
      <c r="H7" s="210"/>
      <c r="I7" s="210">
        <v>1</v>
      </c>
      <c r="J7" s="210">
        <f>6*(I7+H7)</f>
        <v>6</v>
      </c>
      <c r="K7" s="210">
        <f>G7*I7</f>
        <v>70</v>
      </c>
      <c r="L7" s="22"/>
    </row>
    <row r="8" spans="1:16" x14ac:dyDescent="0.25">
      <c r="A8" s="207">
        <v>30</v>
      </c>
      <c r="C8" s="207"/>
      <c r="D8" s="22"/>
      <c r="E8" s="22">
        <f>A8*C8</f>
        <v>0</v>
      </c>
      <c r="F8" s="22"/>
      <c r="G8" s="210">
        <v>45</v>
      </c>
      <c r="H8" s="210"/>
      <c r="I8" s="210">
        <v>4</v>
      </c>
      <c r="J8" s="210">
        <f>6*(I8+H8)</f>
        <v>24</v>
      </c>
      <c r="K8" s="210">
        <f>G8*I8</f>
        <v>180</v>
      </c>
      <c r="L8" s="22"/>
    </row>
    <row r="9" spans="1:16" x14ac:dyDescent="0.25">
      <c r="A9" s="208">
        <f>B9+C9</f>
        <v>178</v>
      </c>
      <c r="B9" s="195">
        <f>SUM(B4:B8)</f>
        <v>10</v>
      </c>
      <c r="C9" s="195">
        <f t="shared" ref="C9" si="0">SUM(C4:C8)</f>
        <v>168</v>
      </c>
      <c r="D9" s="195">
        <f>2300+SUM(D4:D8)</f>
        <v>3330</v>
      </c>
      <c r="E9" s="195">
        <f t="shared" ref="E9" si="1">SUM(E4:E8)</f>
        <v>11740</v>
      </c>
      <c r="F9" s="22"/>
      <c r="G9" s="194">
        <f>H9+I9</f>
        <v>28</v>
      </c>
      <c r="H9" s="195">
        <f>SUM(H4:H8)</f>
        <v>1</v>
      </c>
      <c r="I9" s="195">
        <f t="shared" ref="I9" si="2">SUM(I4:I8)</f>
        <v>27</v>
      </c>
      <c r="J9" s="195">
        <f>2300+(SUM(J4:J7))</f>
        <v>2444</v>
      </c>
      <c r="K9" s="195">
        <f t="shared" ref="K9" si="3">SUM(K4:K8)</f>
        <v>2010</v>
      </c>
      <c r="L9" s="50">
        <f>K9-J9</f>
        <v>-434</v>
      </c>
    </row>
    <row r="10" spans="1:16" x14ac:dyDescent="0.25"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6" x14ac:dyDescent="0.25">
      <c r="A11" s="22" t="s">
        <v>2884</v>
      </c>
      <c r="C11" s="197">
        <f>D9/C9</f>
        <v>19.821428571428573</v>
      </c>
      <c r="D11" s="3">
        <f>E9/C9</f>
        <v>69.88095238095238</v>
      </c>
      <c r="E11" s="22"/>
      <c r="F11" s="22"/>
      <c r="G11" s="22" t="s">
        <v>2884</v>
      </c>
      <c r="H11" s="22">
        <f>J9/I9</f>
        <v>90.518518518518519</v>
      </c>
      <c r="I11" s="22">
        <f>K9/I9</f>
        <v>74.444444444444443</v>
      </c>
      <c r="J11" s="22">
        <f>L9/H11</f>
        <v>-4.7945990180032734</v>
      </c>
    </row>
    <row r="13" spans="1:16" x14ac:dyDescent="0.25">
      <c r="K13" s="22"/>
      <c r="L13" s="22"/>
    </row>
  </sheetData>
  <customSheetViews>
    <customSheetView guid="{A0CE3161-5061-442F-A27F-2BA55581F316}">
      <selection activeCell="O18" sqref="O18"/>
      <pageMargins left="0.7" right="0.7" top="0.75" bottom="0.75" header="0.3" footer="0.3"/>
      <pageSetup paperSize="9" orientation="portrait" r:id="rId1"/>
    </customSheetView>
    <customSheetView guid="{2FF9BCA9-095C-4E73-9C86-2243907C0824}">
      <selection activeCell="I11" sqref="I11"/>
      <pageMargins left="0.7" right="0.7" top="0.75" bottom="0.75" header="0.3" footer="0.3"/>
      <pageSetup paperSize="9" orientation="portrait" r:id="rId2"/>
    </customSheetView>
    <customSheetView guid="{EB31AAB7-3CD3-47EA-8FB3-E6304DCC89B3}">
      <selection activeCell="O8" sqref="O8"/>
      <pageMargins left="0.7" right="0.7" top="0.75" bottom="0.75" header="0.3" footer="0.3"/>
      <pageSetup paperSize="9" orientation="portrait" r:id="rId3"/>
    </customSheetView>
    <customSheetView guid="{1459FC0D-58BA-4BEC-951C-298999986759}">
      <selection activeCell="I11" sqref="I11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TRANS</vt:lpstr>
      <vt:lpstr>MASTER</vt:lpstr>
      <vt:lpstr>Sheet6</vt:lpstr>
      <vt:lpstr>BC_comm</vt:lpstr>
      <vt:lpstr>Sheet1</vt:lpstr>
      <vt:lpstr>Sheet2</vt:lpstr>
      <vt:lpstr>refund</vt:lpstr>
      <vt:lpstr>Sheet5</vt:lpstr>
      <vt:lpstr>Sheet3</vt:lpstr>
      <vt:lpstr>Sheet4</vt:lpstr>
      <vt:lpstr>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BIGBOSE</dc:creator>
  <cp:lastModifiedBy>NISE-COMPUTER</cp:lastModifiedBy>
  <cp:lastPrinted>2022-04-05T11:25:36Z</cp:lastPrinted>
  <dcterms:created xsi:type="dcterms:W3CDTF">2016-11-27T12:06:29Z</dcterms:created>
  <dcterms:modified xsi:type="dcterms:W3CDTF">2022-04-06T15:32:17Z</dcterms:modified>
</cp:coreProperties>
</file>