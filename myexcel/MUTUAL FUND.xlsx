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BF91F1AF5A7B6986/MYEXCEL/"/>
    </mc:Choice>
  </mc:AlternateContent>
  <xr:revisionPtr revIDLastSave="657" documentId="8_{477286DC-F5D3-4E83-A8A4-A60C99FE1798}" xr6:coauthVersionLast="47" xr6:coauthVersionMax="47" xr10:uidLastSave="{D819DAF9-4B41-42A9-83DF-BB75C2414BE7}"/>
  <bookViews>
    <workbookView minimized="1" xWindow="6108" yWindow="1392" windowWidth="17280" windowHeight="8964" tabRatio="841" activeTab="1" xr2:uid="{00000000-000D-0000-FFFF-FFFF00000000}"/>
  </bookViews>
  <sheets>
    <sheet name="Enquiry" sheetId="25" r:id="rId1"/>
    <sheet name="Calculator" sheetId="24" r:id="rId2"/>
    <sheet name="MF" sheetId="23" r:id="rId3"/>
  </sheets>
  <definedNames>
    <definedName name="kharangajhar">#REF!</definedName>
    <definedName name="Madarsacolony">#REF!</definedName>
    <definedName name="radhikanagar">#REF!</definedName>
  </definedNames>
  <calcPr calcId="181029"/>
  <customWorkbookViews>
    <customWorkbookView name="NISE-COMPUTER - Personal View" guid="{1459FC0D-58BA-4BEC-951C-298999986759}" mergeInterval="0" personalView="1" maximized="1" xWindow="-9" yWindow="-9" windowWidth="1298" windowHeight="992" tabRatio="841" activeSheetId="2"/>
    <customWorkbookView name="Sanjay Kumar - Personal View" guid="{EB31AAB7-3CD3-47EA-8FB3-E6304DCC89B3}" mergeInterval="0" personalView="1" maximized="1" xWindow="-8" yWindow="-8" windowWidth="1382" windowHeight="744" tabRatio="841" activeSheetId="2"/>
    <customWorkbookView name="NISE-DESKTOP - Personal View" guid="{2FF9BCA9-095C-4E73-9C86-2243907C0824}" mergeInterval="0" personalView="1" maximized="1" xWindow="-8" yWindow="-8" windowWidth="1296" windowHeight="1000" tabRatio="841" activeSheetId="11"/>
    <customWorkbookView name="CSC-KGN - Personal View" guid="{A0CE3161-5061-442F-A27F-2BA55581F316}" autoUpdate="1" mergeInterval="5" personalView="1" maximized="1" xWindow="-8" yWindow="-8" windowWidth="1296" windowHeight="1000" tabRatio="841" activeSheetId="11"/>
  </customWorkbookViews>
</workbook>
</file>

<file path=xl/calcChain.xml><?xml version="1.0" encoding="utf-8"?>
<calcChain xmlns="http://schemas.openxmlformats.org/spreadsheetml/2006/main">
  <c r="C7" i="24" l="1"/>
  <c r="C9" i="24" s="1"/>
  <c r="O2" i="24"/>
  <c r="P17" i="23"/>
  <c r="P43" i="23"/>
  <c r="H64" i="23"/>
  <c r="M64" i="23"/>
  <c r="H8" i="23"/>
  <c r="H23" i="23"/>
  <c r="H49" i="23"/>
  <c r="H18" i="23"/>
  <c r="H19" i="23"/>
  <c r="H7" i="23"/>
  <c r="H34" i="23"/>
  <c r="H57" i="23"/>
  <c r="H35" i="23"/>
  <c r="H20" i="23"/>
  <c r="H21" i="23"/>
  <c r="H22" i="23"/>
  <c r="H50" i="23"/>
  <c r="H53" i="23"/>
  <c r="H47" i="23"/>
  <c r="H15" i="23"/>
  <c r="H16" i="23"/>
  <c r="H17" i="23"/>
  <c r="H54" i="23"/>
  <c r="H55" i="23"/>
  <c r="H56" i="23"/>
  <c r="H48" i="23"/>
  <c r="H5" i="23"/>
  <c r="H39" i="23"/>
  <c r="H32" i="23"/>
  <c r="H33" i="23"/>
  <c r="H6" i="23"/>
  <c r="H61" i="23"/>
  <c r="H29" i="23"/>
  <c r="H14" i="23"/>
  <c r="H51" i="23"/>
  <c r="H36" i="23"/>
  <c r="H52" i="23"/>
  <c r="H62" i="23"/>
  <c r="H30" i="23"/>
  <c r="H31" i="23"/>
  <c r="H37" i="23"/>
  <c r="H4" i="23"/>
  <c r="H46" i="23"/>
  <c r="H38" i="23"/>
  <c r="H42" i="23"/>
  <c r="H58" i="23"/>
  <c r="H9" i="23"/>
  <c r="H59" i="23"/>
  <c r="H24" i="23"/>
  <c r="H25" i="23"/>
  <c r="H13" i="23"/>
  <c r="H3" i="23"/>
  <c r="H60" i="23"/>
  <c r="H43" i="23"/>
  <c r="H10" i="23"/>
  <c r="H11" i="23"/>
  <c r="H44" i="23"/>
  <c r="H26" i="23"/>
  <c r="H27" i="23"/>
  <c r="H63" i="23"/>
  <c r="H28" i="23"/>
  <c r="H45" i="23"/>
  <c r="H12" i="23"/>
  <c r="H41" i="23"/>
  <c r="J76" i="23" l="1"/>
  <c r="K76" i="23"/>
  <c r="L41" i="23"/>
  <c r="L17" i="25"/>
  <c r="C10" i="24"/>
  <c r="P8" i="24"/>
  <c r="P5" i="24"/>
  <c r="N1" i="25"/>
  <c r="L2" i="25"/>
  <c r="L58" i="23"/>
  <c r="L42" i="23"/>
  <c r="T38" i="23"/>
  <c r="M55" i="23"/>
  <c r="M56" i="23"/>
  <c r="M48" i="23"/>
  <c r="M39" i="23"/>
  <c r="M32" i="23"/>
  <c r="M54" i="23"/>
  <c r="M17" i="23"/>
  <c r="M46" i="23"/>
  <c r="M38" i="23"/>
  <c r="M53" i="23"/>
  <c r="M47" i="23"/>
  <c r="M15" i="23"/>
  <c r="M16" i="23"/>
  <c r="M26" i="23"/>
  <c r="N26" i="23" s="1"/>
  <c r="M27" i="23"/>
  <c r="N27" i="23" s="1"/>
  <c r="M63" i="23"/>
  <c r="M28" i="23"/>
  <c r="N28" i="23" s="1"/>
  <c r="M45" i="23"/>
  <c r="N45" i="23" s="1"/>
  <c r="M12" i="23"/>
  <c r="N12" i="23" s="1"/>
  <c r="M61" i="23"/>
  <c r="M29" i="23"/>
  <c r="M14" i="23"/>
  <c r="M51" i="23"/>
  <c r="M36" i="23"/>
  <c r="M52" i="23"/>
  <c r="M62" i="23"/>
  <c r="M30" i="23"/>
  <c r="M31" i="23"/>
  <c r="M37" i="23"/>
  <c r="M25" i="23"/>
  <c r="N25" i="23" s="1"/>
  <c r="M13" i="23"/>
  <c r="N13" i="23" s="1"/>
  <c r="M3" i="23"/>
  <c r="N3" i="23" s="1"/>
  <c r="M60" i="23"/>
  <c r="N60" i="23" s="1"/>
  <c r="M43" i="23"/>
  <c r="N43" i="23" s="1"/>
  <c r="M10" i="23"/>
  <c r="N10" i="23" s="1"/>
  <c r="M11" i="23"/>
  <c r="N11" i="23" s="1"/>
  <c r="M44" i="23"/>
  <c r="N44" i="23" s="1"/>
  <c r="M42" i="23"/>
  <c r="N42" i="23" s="1"/>
  <c r="M58" i="23"/>
  <c r="N58" i="23" s="1"/>
  <c r="M9" i="23"/>
  <c r="N9" i="23" s="1"/>
  <c r="M59" i="23"/>
  <c r="N59" i="23" s="1"/>
  <c r="M24" i="23"/>
  <c r="N24" i="23" s="1"/>
  <c r="M41" i="23"/>
  <c r="N41" i="23" s="1"/>
  <c r="L76" i="23" l="1"/>
  <c r="N2" i="23"/>
</calcChain>
</file>

<file path=xl/sharedStrings.xml><?xml version="1.0" encoding="utf-8"?>
<sst xmlns="http://schemas.openxmlformats.org/spreadsheetml/2006/main" count="266" uniqueCount="205">
  <si>
    <t>Mallika Mahato</t>
  </si>
  <si>
    <t>Dolon Pramanik</t>
  </si>
  <si>
    <t>Tarannum Nigar</t>
  </si>
  <si>
    <t>Jay Prakash singh</t>
  </si>
  <si>
    <t>Sarita Devi</t>
  </si>
  <si>
    <t>boi</t>
  </si>
  <si>
    <t>bob</t>
  </si>
  <si>
    <t>comport</t>
  </si>
  <si>
    <t>Farudin Nisha</t>
  </si>
  <si>
    <t>Rina Devi</t>
  </si>
  <si>
    <t>self</t>
  </si>
  <si>
    <t>Rohit Munda</t>
  </si>
  <si>
    <t>02-0050</t>
  </si>
  <si>
    <t>pnb</t>
  </si>
  <si>
    <t>shubham</t>
  </si>
  <si>
    <t>sangita devi</t>
  </si>
  <si>
    <t>sanjana shree</t>
  </si>
  <si>
    <t>chandrakala</t>
  </si>
  <si>
    <t>swarn singh</t>
  </si>
  <si>
    <t>cash withdrawal</t>
  </si>
  <si>
    <t>idbi</t>
  </si>
  <si>
    <t>Mallika Gorai</t>
  </si>
  <si>
    <t>post</t>
  </si>
  <si>
    <t>Juni Sardar</t>
  </si>
  <si>
    <t>vijay choudhary</t>
  </si>
  <si>
    <t>sumita sahu</t>
  </si>
  <si>
    <t>saraswati das</t>
  </si>
  <si>
    <t>Anju Devi</t>
  </si>
  <si>
    <t>Shabana Perween</t>
  </si>
  <si>
    <t>Priyanka Kumari</t>
  </si>
  <si>
    <t>pooja kumari</t>
  </si>
  <si>
    <t>Jahana Khatoon</t>
  </si>
  <si>
    <t>rajesh kumar singh</t>
  </si>
  <si>
    <t>1798</t>
  </si>
  <si>
    <t>saraswati soren</t>
  </si>
  <si>
    <t>sunita devi</t>
  </si>
  <si>
    <t>Bindu singh</t>
  </si>
  <si>
    <t>Khushboo kumari</t>
  </si>
  <si>
    <t>munni devi</t>
  </si>
  <si>
    <t>Shabnam khatoon</t>
  </si>
  <si>
    <t>puja sarkar</t>
  </si>
  <si>
    <t>start</t>
  </si>
  <si>
    <t>Ghanashyam Gorai</t>
  </si>
  <si>
    <t>Bihar@802165</t>
  </si>
  <si>
    <t>Reshma Kachhap</t>
  </si>
  <si>
    <t>Puja Munda</t>
  </si>
  <si>
    <t>Birsa@831004</t>
  </si>
  <si>
    <t>Shubh@m19</t>
  </si>
  <si>
    <t>Sadhna Singh</t>
  </si>
  <si>
    <t>Nisha@831004</t>
  </si>
  <si>
    <t>Manoj Kumar Sahu</t>
  </si>
  <si>
    <t>Bir@831019</t>
  </si>
  <si>
    <t>Pieu</t>
  </si>
  <si>
    <t>Mr. Nayak</t>
  </si>
  <si>
    <t>sarita pandey</t>
  </si>
  <si>
    <t>Jitendra soni</t>
  </si>
  <si>
    <t>Puja Pramanik_tinchi</t>
  </si>
  <si>
    <t>Mani kant</t>
  </si>
  <si>
    <t>Vijay@831004</t>
  </si>
  <si>
    <t>khushi Chobey</t>
  </si>
  <si>
    <t>Saroj kumar singh</t>
  </si>
  <si>
    <t>Pradeep kumar panda</t>
  </si>
  <si>
    <t>Saroj@831015</t>
  </si>
  <si>
    <t>Smt Radhika Devi</t>
  </si>
  <si>
    <t>Sanjay kumar</t>
  </si>
  <si>
    <t>umesh prasad</t>
  </si>
  <si>
    <t>A</t>
  </si>
  <si>
    <t>jobarni Gobi</t>
  </si>
  <si>
    <t>Rabish kumar</t>
  </si>
  <si>
    <t>archana tewary</t>
  </si>
  <si>
    <t>Sonal@831004</t>
  </si>
  <si>
    <t>Maa@831004</t>
  </si>
  <si>
    <t>Devi@831004</t>
  </si>
  <si>
    <t xml:space="preserve">kumari </t>
  </si>
  <si>
    <t>mgupta</t>
  </si>
  <si>
    <t>Baby Rakshit</t>
  </si>
  <si>
    <t>arjun verma</t>
  </si>
  <si>
    <t>ravi book</t>
  </si>
  <si>
    <t>trail</t>
  </si>
  <si>
    <t>SHABINA KHANAM</t>
  </si>
  <si>
    <t>AUM</t>
  </si>
  <si>
    <t>inastall</t>
  </si>
  <si>
    <t>AA</t>
  </si>
  <si>
    <t>Ravi kumar singh</t>
  </si>
  <si>
    <t>Ravi@004</t>
  </si>
  <si>
    <t>Bhabani Dutta</t>
  </si>
  <si>
    <t>bharti gorai</t>
  </si>
  <si>
    <t>Dutta@19</t>
  </si>
  <si>
    <t>Prahlad Singh</t>
  </si>
  <si>
    <t>Telco@04</t>
  </si>
  <si>
    <t>Deo Krishna Choudhary</t>
  </si>
  <si>
    <t>arup kumar das</t>
  </si>
  <si>
    <t>Kamaljeet Singh Manni</t>
  </si>
  <si>
    <t>Jyotsna Mahato</t>
  </si>
  <si>
    <t>Chandamukhi soni</t>
  </si>
  <si>
    <t>roksana khatun</t>
  </si>
  <si>
    <t>Supriy bano</t>
  </si>
  <si>
    <t>Gurmukh singh</t>
  </si>
  <si>
    <t>Sector@2</t>
  </si>
  <si>
    <t>samresh kumar</t>
  </si>
  <si>
    <t>sanjay Das</t>
  </si>
  <si>
    <t>bhojay soren</t>
  </si>
  <si>
    <t>Shabnam Khatoon</t>
  </si>
  <si>
    <t>ramaydeo dam</t>
  </si>
  <si>
    <t>namita goswami</t>
  </si>
  <si>
    <t>mamni karmakar</t>
  </si>
  <si>
    <t>Tannu das</t>
  </si>
  <si>
    <t>regd</t>
  </si>
  <si>
    <t>NAME</t>
  </si>
  <si>
    <t>SL.NO</t>
  </si>
  <si>
    <t>UCC</t>
  </si>
  <si>
    <t>PIN/PASS</t>
  </si>
  <si>
    <t>Birsa@19</t>
  </si>
  <si>
    <t>Mahendra Mahato</t>
  </si>
  <si>
    <t>Priya Chalak</t>
  </si>
  <si>
    <t>Nath@2025</t>
  </si>
  <si>
    <t>suraj mukhi soni</t>
  </si>
  <si>
    <t>Dhul@0049</t>
  </si>
  <si>
    <t>Radhapada pradhan</t>
  </si>
  <si>
    <t>Asrak Ahamad</t>
  </si>
  <si>
    <t>Papa</t>
  </si>
  <si>
    <t>regd+B43:F74</t>
  </si>
  <si>
    <t>Shahnawaz Khan</t>
  </si>
  <si>
    <t>Booking date</t>
  </si>
  <si>
    <t>LAXMI SAHIS</t>
  </si>
  <si>
    <t>Rohtas@25</t>
  </si>
  <si>
    <t>Rukhshana pravin</t>
  </si>
  <si>
    <t>Ashok Singh</t>
  </si>
  <si>
    <t>Ghora@04</t>
  </si>
  <si>
    <t>Pathak Gudiya Rajkishor</t>
  </si>
  <si>
    <t>percent</t>
  </si>
  <si>
    <t>Pathak@04</t>
  </si>
  <si>
    <t>somnath maity</t>
  </si>
  <si>
    <t>bhuvanendra shimbili</t>
  </si>
  <si>
    <t>Seema Karmakar</t>
  </si>
  <si>
    <t>Telco@2025</t>
  </si>
  <si>
    <t>Ankit Agarwal</t>
  </si>
  <si>
    <t>kaushal kishore</t>
  </si>
  <si>
    <t>Priyanka Murmu</t>
  </si>
  <si>
    <t>Priyanka Karan</t>
  </si>
  <si>
    <t>Murmu@2025</t>
  </si>
  <si>
    <t>Karan@02</t>
  </si>
  <si>
    <t>sept</t>
  </si>
  <si>
    <t>oct</t>
  </si>
  <si>
    <t>nov</t>
  </si>
  <si>
    <t>START</t>
  </si>
  <si>
    <t>Addition</t>
  </si>
  <si>
    <t>Akash Chandra Ruhidas</t>
  </si>
  <si>
    <t>Manish Pandey</t>
  </si>
  <si>
    <t>Anjali Pandey</t>
  </si>
  <si>
    <t>Manish@1234</t>
  </si>
  <si>
    <t>Arjun kumar singh</t>
  </si>
  <si>
    <t>vishal pramanik</t>
  </si>
  <si>
    <t>Pranab Bagchi</t>
  </si>
  <si>
    <t>9204442351(W)</t>
  </si>
  <si>
    <t>Nitu Kumari</t>
  </si>
  <si>
    <t>Priti Sinha</t>
  </si>
  <si>
    <t>Imran khan</t>
  </si>
  <si>
    <t>mantasha perween</t>
  </si>
  <si>
    <t>GOUTAM SHARMA</t>
  </si>
  <si>
    <t>Shabnam Perween</t>
  </si>
  <si>
    <t>Bari@831004/4799</t>
  </si>
  <si>
    <t>Dec</t>
  </si>
  <si>
    <t>Jan</t>
  </si>
  <si>
    <t>Dinesh prajapati</t>
  </si>
  <si>
    <t>MONTHLY SIP</t>
  </si>
  <si>
    <t>TOP UP</t>
  </si>
  <si>
    <t>LUMSUM</t>
  </si>
  <si>
    <t>TENURE</t>
  </si>
  <si>
    <t>CONTRIBUTION</t>
  </si>
  <si>
    <t>RETURN</t>
  </si>
  <si>
    <t>RATE</t>
  </si>
  <si>
    <t>Seema BhUmij</t>
  </si>
  <si>
    <t>nisha kumari</t>
  </si>
  <si>
    <t>Trilochan Mahato</t>
  </si>
  <si>
    <t>Chandeshwari Prasad Singh</t>
  </si>
  <si>
    <t>Kalpana rani kujur</t>
  </si>
  <si>
    <t>Singh@2026</t>
  </si>
  <si>
    <t>Damini Kumari</t>
  </si>
  <si>
    <t>Singh@26</t>
  </si>
  <si>
    <t>PRITI DEV NATH</t>
  </si>
  <si>
    <t>Tar@2026</t>
  </si>
  <si>
    <t>Jagakalia Nath</t>
  </si>
  <si>
    <t>Lumpsun</t>
  </si>
  <si>
    <t>UID</t>
  </si>
  <si>
    <t>785042929130</t>
  </si>
  <si>
    <t>DATE</t>
  </si>
  <si>
    <t>Akhtari Khatoon</t>
  </si>
  <si>
    <t>Khatoon@04</t>
  </si>
  <si>
    <t>8018678116</t>
  </si>
  <si>
    <t>jitendra kumar ray</t>
  </si>
  <si>
    <t>anjali sarkar</t>
  </si>
  <si>
    <t>Buxar@2026</t>
  </si>
  <si>
    <t>Sanaka Mahato</t>
  </si>
  <si>
    <t>Mahato@1990</t>
  </si>
  <si>
    <t>Seema@04</t>
  </si>
  <si>
    <t>Suman Raj</t>
  </si>
  <si>
    <t>Feb</t>
  </si>
  <si>
    <t>Mar</t>
  </si>
  <si>
    <t>Apr</t>
  </si>
  <si>
    <t>May</t>
  </si>
  <si>
    <t>Jun</t>
  </si>
  <si>
    <t>Jul</t>
  </si>
  <si>
    <t>Aug</t>
  </si>
  <si>
    <t>TENURE (month)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</si>
</sst>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b/>
      <sz val="16"/>
      <color theme="1"/>
      <name val="Calibri"/>
      <family val="2"/>
      <scheme val="minor"/>
    </font>
    <font>
      <sz val="11"/>
      <color rgb="FF212529"/>
      <name val="Segoe UI"/>
      <family val="2"/>
    </font>
    <font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49" fontId="0" fillId="0" borderId="0" xfId="0" applyNumberFormat="1" applyAlignment="1">
      <alignment horizontal="center"/>
    </xf>
    <xf numFmtId="0" fontId="0" fillId="3" borderId="0" xfId="0" applyFill="1"/>
    <xf numFmtId="0" fontId="0" fillId="0" borderId="0" xfId="0" applyAlignment="1">
      <alignment horizontal="left"/>
    </xf>
    <xf numFmtId="8" fontId="0" fillId="0" borderId="0" xfId="0" applyNumberFormat="1"/>
    <xf numFmtId="0" fontId="2" fillId="0" borderId="0" xfId="1"/>
    <xf numFmtId="0" fontId="3" fillId="0" borderId="0" xfId="0" applyFont="1"/>
    <xf numFmtId="0" fontId="0" fillId="2" borderId="0" xfId="0" applyFill="1" applyAlignment="1">
      <alignment horizontal="center"/>
    </xf>
    <xf numFmtId="0" fontId="4" fillId="0" borderId="0" xfId="0" applyFont="1"/>
    <xf numFmtId="0" fontId="2" fillId="0" borderId="0" xfId="1" applyAlignment="1">
      <alignment horizontal="center"/>
    </xf>
    <xf numFmtId="0" fontId="5" fillId="0" borderId="1" xfId="0" applyFont="1" applyBorder="1"/>
    <xf numFmtId="0" fontId="5" fillId="0" borderId="0" xfId="0" applyFont="1"/>
    <xf numFmtId="8" fontId="5" fillId="0" borderId="0" xfId="0" applyNumberFormat="1" applyFont="1"/>
    <xf numFmtId="0" fontId="5" fillId="4" borderId="0" xfId="0" applyFont="1" applyFill="1"/>
    <xf numFmtId="0" fontId="5" fillId="5" borderId="0" xfId="0" applyFont="1" applyFill="1"/>
    <xf numFmtId="0" fontId="5" fillId="2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9" borderId="0" xfId="0" applyFont="1" applyFill="1"/>
    <xf numFmtId="0" fontId="6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center"/>
    </xf>
    <xf numFmtId="9" fontId="0" fillId="0" borderId="0" xfId="0" applyNumberFormat="1"/>
    <xf numFmtId="0" fontId="7" fillId="0" borderId="0" xfId="0" applyFont="1" applyAlignment="1">
      <alignment horizontal="center"/>
    </xf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1" applyFont="1" applyAlignment="1">
      <alignment horizontal="center"/>
    </xf>
    <xf numFmtId="0" fontId="10" fillId="0" borderId="0" xfId="0" applyFont="1"/>
    <xf numFmtId="14" fontId="7" fillId="0" borderId="0" xfId="0" applyNumberFormat="1" applyFont="1"/>
    <xf numFmtId="0" fontId="7" fillId="2" borderId="0" xfId="0" applyFont="1" applyFill="1" applyAlignment="1">
      <alignment horizontal="center"/>
    </xf>
    <xf numFmtId="8" fontId="3" fillId="0" borderId="0" xfId="0" applyNumberFormat="1" applyFont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aroj@831015" TargetMode="External"/><Relationship Id="rId13" Type="http://schemas.openxmlformats.org/officeDocument/2006/relationships/hyperlink" Target="mailto:Dutta@19" TargetMode="External"/><Relationship Id="rId18" Type="http://schemas.openxmlformats.org/officeDocument/2006/relationships/hyperlink" Target="mailto:Birsa@19" TargetMode="External"/><Relationship Id="rId26" Type="http://schemas.openxmlformats.org/officeDocument/2006/relationships/hyperlink" Target="mailto:Telco@04" TargetMode="External"/><Relationship Id="rId39" Type="http://schemas.openxmlformats.org/officeDocument/2006/relationships/hyperlink" Target="mailto:Bari@831004/4799" TargetMode="External"/><Relationship Id="rId3" Type="http://schemas.openxmlformats.org/officeDocument/2006/relationships/hyperlink" Target="mailto:Shubh@m19" TargetMode="External"/><Relationship Id="rId21" Type="http://schemas.openxmlformats.org/officeDocument/2006/relationships/hyperlink" Target="mailto:Dhul@0049" TargetMode="External"/><Relationship Id="rId34" Type="http://schemas.openxmlformats.org/officeDocument/2006/relationships/hyperlink" Target="mailto:Telco@04" TargetMode="External"/><Relationship Id="rId42" Type="http://schemas.openxmlformats.org/officeDocument/2006/relationships/hyperlink" Target="mailto:Tar@2026" TargetMode="External"/><Relationship Id="rId47" Type="http://schemas.openxmlformats.org/officeDocument/2006/relationships/printerSettings" Target="../printerSettings/printerSettings2.bin"/><Relationship Id="rId7" Type="http://schemas.openxmlformats.org/officeDocument/2006/relationships/hyperlink" Target="mailto:Vijay@831004" TargetMode="External"/><Relationship Id="rId12" Type="http://schemas.openxmlformats.org/officeDocument/2006/relationships/hyperlink" Target="mailto:Ravi@004" TargetMode="External"/><Relationship Id="rId17" Type="http://schemas.openxmlformats.org/officeDocument/2006/relationships/hyperlink" Target="mailto:Dutta@19" TargetMode="External"/><Relationship Id="rId25" Type="http://schemas.openxmlformats.org/officeDocument/2006/relationships/hyperlink" Target="mailto:Telco@04" TargetMode="External"/><Relationship Id="rId33" Type="http://schemas.openxmlformats.org/officeDocument/2006/relationships/hyperlink" Target="mailto:Telco@2025" TargetMode="External"/><Relationship Id="rId38" Type="http://schemas.openxmlformats.org/officeDocument/2006/relationships/hyperlink" Target="mailto:Manish@1234" TargetMode="External"/><Relationship Id="rId46" Type="http://schemas.openxmlformats.org/officeDocument/2006/relationships/hyperlink" Target="mailto:Seema@04" TargetMode="External"/><Relationship Id="rId2" Type="http://schemas.openxmlformats.org/officeDocument/2006/relationships/hyperlink" Target="mailto:Birsa@831004" TargetMode="External"/><Relationship Id="rId16" Type="http://schemas.openxmlformats.org/officeDocument/2006/relationships/hyperlink" Target="mailto:Telco@04" TargetMode="External"/><Relationship Id="rId20" Type="http://schemas.openxmlformats.org/officeDocument/2006/relationships/hyperlink" Target="mailto:Nath@2025" TargetMode="External"/><Relationship Id="rId29" Type="http://schemas.openxmlformats.org/officeDocument/2006/relationships/hyperlink" Target="mailto:Rohtas@25" TargetMode="External"/><Relationship Id="rId41" Type="http://schemas.openxmlformats.org/officeDocument/2006/relationships/hyperlink" Target="mailto:Singh@26" TargetMode="External"/><Relationship Id="rId1" Type="http://schemas.openxmlformats.org/officeDocument/2006/relationships/hyperlink" Target="mailto:Bihar@802165" TargetMode="External"/><Relationship Id="rId6" Type="http://schemas.openxmlformats.org/officeDocument/2006/relationships/hyperlink" Target="mailto:Bir@831019" TargetMode="External"/><Relationship Id="rId11" Type="http://schemas.openxmlformats.org/officeDocument/2006/relationships/hyperlink" Target="mailto:Devi@831004" TargetMode="External"/><Relationship Id="rId24" Type="http://schemas.openxmlformats.org/officeDocument/2006/relationships/hyperlink" Target="mailto:Telco@04" TargetMode="External"/><Relationship Id="rId32" Type="http://schemas.openxmlformats.org/officeDocument/2006/relationships/hyperlink" Target="mailto:Pathak@04" TargetMode="External"/><Relationship Id="rId37" Type="http://schemas.openxmlformats.org/officeDocument/2006/relationships/hyperlink" Target="mailto:Telco@2025" TargetMode="External"/><Relationship Id="rId40" Type="http://schemas.openxmlformats.org/officeDocument/2006/relationships/hyperlink" Target="mailto:Singh@2026" TargetMode="External"/><Relationship Id="rId45" Type="http://schemas.openxmlformats.org/officeDocument/2006/relationships/hyperlink" Target="mailto:Mahato@1990" TargetMode="External"/><Relationship Id="rId5" Type="http://schemas.openxmlformats.org/officeDocument/2006/relationships/hyperlink" Target="mailto:Bir@831019" TargetMode="External"/><Relationship Id="rId15" Type="http://schemas.openxmlformats.org/officeDocument/2006/relationships/hyperlink" Target="mailto:Telco@04" TargetMode="External"/><Relationship Id="rId23" Type="http://schemas.openxmlformats.org/officeDocument/2006/relationships/hyperlink" Target="mailto:Telco@04" TargetMode="External"/><Relationship Id="rId28" Type="http://schemas.openxmlformats.org/officeDocument/2006/relationships/hyperlink" Target="mailto:Birsa@19" TargetMode="External"/><Relationship Id="rId36" Type="http://schemas.openxmlformats.org/officeDocument/2006/relationships/hyperlink" Target="mailto:Karan@02" TargetMode="External"/><Relationship Id="rId10" Type="http://schemas.openxmlformats.org/officeDocument/2006/relationships/hyperlink" Target="mailto:Maa@831004" TargetMode="External"/><Relationship Id="rId19" Type="http://schemas.openxmlformats.org/officeDocument/2006/relationships/hyperlink" Target="mailto:Birsa@19" TargetMode="External"/><Relationship Id="rId31" Type="http://schemas.openxmlformats.org/officeDocument/2006/relationships/hyperlink" Target="mailto:Ghora@04" TargetMode="External"/><Relationship Id="rId44" Type="http://schemas.openxmlformats.org/officeDocument/2006/relationships/hyperlink" Target="mailto:Buxar@2026" TargetMode="External"/><Relationship Id="rId4" Type="http://schemas.openxmlformats.org/officeDocument/2006/relationships/hyperlink" Target="mailto:Nisha@831004" TargetMode="External"/><Relationship Id="rId9" Type="http://schemas.openxmlformats.org/officeDocument/2006/relationships/hyperlink" Target="mailto:Sonal@831004" TargetMode="External"/><Relationship Id="rId14" Type="http://schemas.openxmlformats.org/officeDocument/2006/relationships/hyperlink" Target="mailto:Telco@04" TargetMode="External"/><Relationship Id="rId22" Type="http://schemas.openxmlformats.org/officeDocument/2006/relationships/hyperlink" Target="mailto:Telco@04" TargetMode="External"/><Relationship Id="rId27" Type="http://schemas.openxmlformats.org/officeDocument/2006/relationships/hyperlink" Target="mailto:Birsa@19" TargetMode="External"/><Relationship Id="rId30" Type="http://schemas.openxmlformats.org/officeDocument/2006/relationships/hyperlink" Target="mailto:Telco@04" TargetMode="External"/><Relationship Id="rId35" Type="http://schemas.openxmlformats.org/officeDocument/2006/relationships/hyperlink" Target="mailto:Murmu@2025" TargetMode="External"/><Relationship Id="rId43" Type="http://schemas.openxmlformats.org/officeDocument/2006/relationships/hyperlink" Target="mailto:Khatoon@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3E7D-475D-4CD2-B3D3-62A309D6A2D0}">
  <dimension ref="A1:O6694"/>
  <sheetViews>
    <sheetView zoomScale="85" zoomScaleNormal="85" workbookViewId="0">
      <pane ySplit="2" topLeftCell="A3" activePane="bottomLeft" state="frozen"/>
      <selection pane="bottomLeft" activeCell="E10" sqref="E10"/>
    </sheetView>
  </sheetViews>
  <sheetFormatPr defaultRowHeight="14.4" x14ac:dyDescent="0.3"/>
  <cols>
    <col min="1" max="1" width="8.88671875" style="2"/>
    <col min="2" max="3" width="15.33203125" style="2" customWidth="1"/>
    <col min="4" max="4" width="13.5546875" style="2" customWidth="1"/>
    <col min="5" max="5" width="23.44140625" customWidth="1"/>
    <col min="6" max="7" width="14.21875" customWidth="1"/>
    <col min="8" max="10" width="10.88671875" customWidth="1"/>
    <col min="11" max="11" width="11.6640625" customWidth="1"/>
    <col min="12" max="12" width="10.88671875" customWidth="1"/>
    <col min="13" max="13" width="12.88671875" bestFit="1" customWidth="1"/>
    <col min="14" max="14" width="12.88671875" style="9" customWidth="1"/>
    <col min="15" max="15" width="7.5546875" customWidth="1"/>
    <col min="16" max="16" width="7" customWidth="1"/>
    <col min="17" max="17" width="10.109375" customWidth="1"/>
    <col min="18" max="18" width="18.5546875" customWidth="1"/>
    <col min="19" max="19" width="13" customWidth="1"/>
    <col min="21" max="21" width="14.6640625" customWidth="1"/>
    <col min="22" max="22" width="10.44140625" bestFit="1" customWidth="1"/>
  </cols>
  <sheetData>
    <row r="1" spans="1:15" x14ac:dyDescent="0.3">
      <c r="H1" t="s">
        <v>41</v>
      </c>
      <c r="K1" t="s">
        <v>81</v>
      </c>
      <c r="L1" t="s">
        <v>80</v>
      </c>
      <c r="M1" t="s">
        <v>78</v>
      </c>
      <c r="N1" s="9" t="e">
        <f>SUM(#REF!)</f>
        <v>#REF!</v>
      </c>
    </row>
    <row r="2" spans="1:15" x14ac:dyDescent="0.3">
      <c r="A2" s="2" t="s">
        <v>109</v>
      </c>
      <c r="B2" s="2" t="s">
        <v>110</v>
      </c>
      <c r="C2" s="2" t="s">
        <v>111</v>
      </c>
      <c r="E2" t="s">
        <v>108</v>
      </c>
      <c r="F2" s="2" t="s">
        <v>123</v>
      </c>
      <c r="I2" t="s">
        <v>145</v>
      </c>
      <c r="J2" t="s">
        <v>146</v>
      </c>
      <c r="L2" t="e">
        <f>SUM(#REF!)</f>
        <v>#REF!</v>
      </c>
      <c r="O2" t="s">
        <v>130</v>
      </c>
    </row>
    <row r="4" spans="1:15" x14ac:dyDescent="0.3">
      <c r="E4" t="s">
        <v>159</v>
      </c>
      <c r="F4">
        <v>9122624054</v>
      </c>
      <c r="G4">
        <v>1</v>
      </c>
    </row>
    <row r="5" spans="1:15" x14ac:dyDescent="0.3">
      <c r="E5" t="s">
        <v>158</v>
      </c>
      <c r="F5">
        <v>7909043389</v>
      </c>
      <c r="G5">
        <v>1</v>
      </c>
    </row>
    <row r="6" spans="1:15" x14ac:dyDescent="0.3">
      <c r="E6" t="s">
        <v>157</v>
      </c>
      <c r="F6">
        <v>9113325421</v>
      </c>
      <c r="G6">
        <v>1</v>
      </c>
    </row>
    <row r="7" spans="1:15" x14ac:dyDescent="0.3">
      <c r="E7" t="s">
        <v>156</v>
      </c>
      <c r="F7">
        <v>8709605789</v>
      </c>
      <c r="G7">
        <v>1</v>
      </c>
    </row>
    <row r="8" spans="1:15" x14ac:dyDescent="0.3">
      <c r="E8" t="s">
        <v>155</v>
      </c>
      <c r="F8">
        <v>8969692016</v>
      </c>
      <c r="G8">
        <v>1</v>
      </c>
    </row>
    <row r="9" spans="1:15" x14ac:dyDescent="0.3">
      <c r="B9" t="s">
        <v>121</v>
      </c>
      <c r="D9" s="2">
        <v>8987685172</v>
      </c>
      <c r="E9" t="s">
        <v>153</v>
      </c>
      <c r="F9" t="s">
        <v>154</v>
      </c>
      <c r="G9">
        <v>7004753360</v>
      </c>
    </row>
    <row r="10" spans="1:15" x14ac:dyDescent="0.3">
      <c r="B10" t="s">
        <v>107</v>
      </c>
      <c r="D10" s="2">
        <v>7209811286</v>
      </c>
      <c r="E10" t="s">
        <v>152</v>
      </c>
      <c r="F10">
        <v>6206554673</v>
      </c>
    </row>
    <row r="11" spans="1:15" x14ac:dyDescent="0.3">
      <c r="E11" t="s">
        <v>151</v>
      </c>
      <c r="F11">
        <v>9065700395</v>
      </c>
    </row>
    <row r="12" spans="1:15" x14ac:dyDescent="0.3">
      <c r="E12" t="s">
        <v>36</v>
      </c>
      <c r="F12">
        <v>6205169050</v>
      </c>
    </row>
    <row r="13" spans="1:15" x14ac:dyDescent="0.3">
      <c r="E13" s="6" t="s">
        <v>126</v>
      </c>
      <c r="F13">
        <v>8092288987</v>
      </c>
    </row>
    <row r="14" spans="1:15" x14ac:dyDescent="0.3">
      <c r="E14" t="s">
        <v>113</v>
      </c>
      <c r="F14" s="6">
        <v>7870805116</v>
      </c>
      <c r="G14">
        <v>1</v>
      </c>
      <c r="M14" s="7"/>
    </row>
    <row r="15" spans="1:15" x14ac:dyDescent="0.3">
      <c r="E15" t="s">
        <v>86</v>
      </c>
      <c r="F15" s="2">
        <v>8210789697</v>
      </c>
      <c r="G15">
        <v>1</v>
      </c>
    </row>
    <row r="16" spans="1:15" x14ac:dyDescent="0.3">
      <c r="E16" t="s">
        <v>61</v>
      </c>
      <c r="F16" s="2"/>
      <c r="G16">
        <v>1</v>
      </c>
    </row>
    <row r="17" spans="4:12" x14ac:dyDescent="0.3">
      <c r="E17" t="s">
        <v>9</v>
      </c>
      <c r="F17" s="2"/>
      <c r="G17">
        <v>1</v>
      </c>
      <c r="L17">
        <f>150000*7/1200</f>
        <v>875</v>
      </c>
    </row>
    <row r="18" spans="4:12" x14ac:dyDescent="0.3">
      <c r="E18" t="s">
        <v>52</v>
      </c>
      <c r="F18" s="2"/>
      <c r="G18">
        <v>1</v>
      </c>
    </row>
    <row r="19" spans="4:12" x14ac:dyDescent="0.3">
      <c r="D19" s="2" t="s">
        <v>66</v>
      </c>
      <c r="E19" t="s">
        <v>53</v>
      </c>
      <c r="F19" s="2"/>
      <c r="G19">
        <v>1</v>
      </c>
    </row>
    <row r="20" spans="4:12" x14ac:dyDescent="0.3">
      <c r="D20" s="2" t="s">
        <v>66</v>
      </c>
      <c r="E20" t="s">
        <v>56</v>
      </c>
      <c r="F20" s="2">
        <v>9263932729</v>
      </c>
    </row>
    <row r="21" spans="4:12" x14ac:dyDescent="0.3">
      <c r="D21" s="2" t="s">
        <v>66</v>
      </c>
      <c r="E21" t="s">
        <v>48</v>
      </c>
      <c r="F21" s="2"/>
    </row>
    <row r="22" spans="4:12" x14ac:dyDescent="0.3">
      <c r="E22" t="s">
        <v>26</v>
      </c>
      <c r="F22" s="2">
        <v>9142476221</v>
      </c>
      <c r="G22">
        <v>1</v>
      </c>
    </row>
    <row r="23" spans="4:12" x14ac:dyDescent="0.3">
      <c r="E23" t="s">
        <v>54</v>
      </c>
      <c r="F23" s="2">
        <v>6287877364</v>
      </c>
      <c r="G23">
        <v>1</v>
      </c>
    </row>
    <row r="24" spans="4:12" x14ac:dyDescent="0.3">
      <c r="E24" t="s">
        <v>57</v>
      </c>
      <c r="F24" s="2"/>
      <c r="G24">
        <v>1</v>
      </c>
    </row>
    <row r="25" spans="4:12" x14ac:dyDescent="0.3">
      <c r="D25" s="4" t="s">
        <v>33</v>
      </c>
      <c r="E25" t="s">
        <v>65</v>
      </c>
      <c r="F25" s="2">
        <v>9955698933</v>
      </c>
      <c r="G25">
        <v>1</v>
      </c>
    </row>
    <row r="26" spans="4:12" x14ac:dyDescent="0.3">
      <c r="E26" t="s">
        <v>64</v>
      </c>
      <c r="F26" s="2">
        <v>8603823870</v>
      </c>
      <c r="G26">
        <v>1</v>
      </c>
    </row>
    <row r="27" spans="4:12" x14ac:dyDescent="0.3">
      <c r="E27" s="6" t="s">
        <v>67</v>
      </c>
      <c r="F27" s="2">
        <v>8797750028</v>
      </c>
    </row>
    <row r="28" spans="4:12" x14ac:dyDescent="0.3">
      <c r="D28" s="2" t="s">
        <v>74</v>
      </c>
      <c r="E28" t="s">
        <v>68</v>
      </c>
      <c r="F28" s="2">
        <v>8298048677</v>
      </c>
    </row>
    <row r="29" spans="4:12" x14ac:dyDescent="0.3">
      <c r="E29" s="6" t="s">
        <v>69</v>
      </c>
      <c r="F29" s="2">
        <v>7488587795</v>
      </c>
      <c r="G29">
        <v>1</v>
      </c>
    </row>
    <row r="30" spans="4:12" x14ac:dyDescent="0.3">
      <c r="E30" s="6" t="s">
        <v>73</v>
      </c>
      <c r="F30" s="2">
        <v>9279299493</v>
      </c>
    </row>
    <row r="31" spans="4:12" x14ac:dyDescent="0.3">
      <c r="D31" s="2" t="s">
        <v>82</v>
      </c>
      <c r="E31" s="6" t="s">
        <v>15</v>
      </c>
      <c r="F31" s="10">
        <v>9065670302</v>
      </c>
      <c r="G31">
        <v>1</v>
      </c>
    </row>
    <row r="32" spans="4:12" x14ac:dyDescent="0.3">
      <c r="E32" s="6" t="s">
        <v>76</v>
      </c>
      <c r="F32" s="2"/>
      <c r="G32">
        <v>1</v>
      </c>
    </row>
    <row r="33" spans="5:14" x14ac:dyDescent="0.3">
      <c r="E33" s="6" t="s">
        <v>77</v>
      </c>
      <c r="G33">
        <v>1</v>
      </c>
    </row>
    <row r="34" spans="5:14" x14ac:dyDescent="0.3">
      <c r="E34" s="11" t="s">
        <v>79</v>
      </c>
      <c r="F34" s="24">
        <v>9140497565</v>
      </c>
      <c r="G34">
        <v>1</v>
      </c>
    </row>
    <row r="35" spans="5:14" x14ac:dyDescent="0.3">
      <c r="E35" s="6" t="s">
        <v>30</v>
      </c>
      <c r="F35">
        <v>7209405431</v>
      </c>
      <c r="G35">
        <v>1</v>
      </c>
    </row>
    <row r="36" spans="5:14" x14ac:dyDescent="0.3">
      <c r="E36" s="6" t="s">
        <v>91</v>
      </c>
      <c r="F36">
        <v>8434672963</v>
      </c>
      <c r="G36">
        <v>1</v>
      </c>
    </row>
    <row r="37" spans="5:14" x14ac:dyDescent="0.3">
      <c r="E37" s="6" t="s">
        <v>118</v>
      </c>
      <c r="F37">
        <v>9123229284</v>
      </c>
      <c r="G37">
        <v>1</v>
      </c>
    </row>
    <row r="38" spans="5:14" x14ac:dyDescent="0.3">
      <c r="E38" s="6" t="s">
        <v>137</v>
      </c>
      <c r="F38">
        <v>9113757043</v>
      </c>
      <c r="G38">
        <v>1</v>
      </c>
    </row>
    <row r="39" spans="5:14" x14ac:dyDescent="0.3">
      <c r="E39" s="6" t="s">
        <v>164</v>
      </c>
      <c r="F39">
        <v>8092441015</v>
      </c>
      <c r="G39">
        <v>1</v>
      </c>
      <c r="N39"/>
    </row>
    <row r="40" spans="5:14" x14ac:dyDescent="0.3">
      <c r="E40" s="6" t="s">
        <v>173</v>
      </c>
      <c r="F40">
        <v>9102294858</v>
      </c>
      <c r="N40"/>
    </row>
    <row r="41" spans="5:14" x14ac:dyDescent="0.3">
      <c r="E41" s="6" t="s">
        <v>174</v>
      </c>
      <c r="F41">
        <v>9234771361</v>
      </c>
      <c r="N41"/>
    </row>
    <row r="42" spans="5:14" ht="16.8" x14ac:dyDescent="0.4">
      <c r="E42" s="6" t="s">
        <v>176</v>
      </c>
      <c r="F42" s="23">
        <v>7631070520</v>
      </c>
      <c r="N42"/>
    </row>
    <row r="43" spans="5:14" x14ac:dyDescent="0.3">
      <c r="E43" s="6" t="s">
        <v>191</v>
      </c>
      <c r="F43">
        <v>9241063670</v>
      </c>
      <c r="N43"/>
    </row>
    <row r="44" spans="5:14" x14ac:dyDescent="0.3">
      <c r="N44"/>
    </row>
    <row r="45" spans="5:14" x14ac:dyDescent="0.3">
      <c r="N45"/>
    </row>
    <row r="46" spans="5:14" x14ac:dyDescent="0.3">
      <c r="N46"/>
    </row>
    <row r="47" spans="5:14" x14ac:dyDescent="0.3">
      <c r="N47"/>
    </row>
    <row r="6671" spans="8:8" x14ac:dyDescent="0.3">
      <c r="H6671">
        <v>40000</v>
      </c>
    </row>
    <row r="6673" spans="4:8" x14ac:dyDescent="0.3">
      <c r="E6673">
        <v>6425</v>
      </c>
      <c r="F6673" t="s">
        <v>32</v>
      </c>
      <c r="H6673">
        <v>0</v>
      </c>
    </row>
    <row r="6674" spans="4:8" x14ac:dyDescent="0.3">
      <c r="E6674" t="s">
        <v>22</v>
      </c>
      <c r="F6674" t="s">
        <v>95</v>
      </c>
      <c r="H6674">
        <v>0</v>
      </c>
    </row>
    <row r="6675" spans="4:8" x14ac:dyDescent="0.3">
      <c r="F6675" t="s">
        <v>19</v>
      </c>
      <c r="H6675">
        <v>0</v>
      </c>
    </row>
    <row r="6676" spans="4:8" x14ac:dyDescent="0.3">
      <c r="E6676">
        <v>5697</v>
      </c>
      <c r="F6676" t="s">
        <v>96</v>
      </c>
    </row>
    <row r="6677" spans="4:8" x14ac:dyDescent="0.3">
      <c r="E6677">
        <v>5456</v>
      </c>
      <c r="F6677" t="s">
        <v>97</v>
      </c>
    </row>
    <row r="6678" spans="4:8" x14ac:dyDescent="0.3">
      <c r="D6678" s="1">
        <v>45949</v>
      </c>
      <c r="E6678">
        <v>110</v>
      </c>
      <c r="F6678" t="s">
        <v>40</v>
      </c>
    </row>
    <row r="6679" spans="4:8" x14ac:dyDescent="0.3">
      <c r="E6679">
        <v>110</v>
      </c>
      <c r="F6679" t="s">
        <v>40</v>
      </c>
    </row>
    <row r="6680" spans="4:8" x14ac:dyDescent="0.3">
      <c r="E6680">
        <v>6425</v>
      </c>
      <c r="F6680" t="s">
        <v>32</v>
      </c>
    </row>
    <row r="6681" spans="4:8" x14ac:dyDescent="0.3">
      <c r="E6681">
        <v>1985</v>
      </c>
      <c r="F6681" t="s">
        <v>35</v>
      </c>
      <c r="H6681">
        <v>0</v>
      </c>
    </row>
    <row r="6682" spans="4:8" x14ac:dyDescent="0.3">
      <c r="E6682">
        <v>4962</v>
      </c>
      <c r="F6682" t="s">
        <v>25</v>
      </c>
    </row>
    <row r="6683" spans="4:8" x14ac:dyDescent="0.3">
      <c r="E6683" t="s">
        <v>13</v>
      </c>
      <c r="F6683" t="s">
        <v>99</v>
      </c>
    </row>
    <row r="6684" spans="4:8" x14ac:dyDescent="0.3">
      <c r="E6684">
        <v>2765</v>
      </c>
      <c r="F6684" t="s">
        <v>2</v>
      </c>
    </row>
    <row r="6685" spans="4:8" x14ac:dyDescent="0.3">
      <c r="E6685">
        <v>1601</v>
      </c>
      <c r="F6685" t="s">
        <v>100</v>
      </c>
    </row>
    <row r="6686" spans="4:8" x14ac:dyDescent="0.3">
      <c r="E6686">
        <v>1601</v>
      </c>
      <c r="F6686" t="s">
        <v>100</v>
      </c>
      <c r="G6686" s="5">
        <v>7209811286</v>
      </c>
    </row>
    <row r="6687" spans="4:8" x14ac:dyDescent="0.3">
      <c r="E6687">
        <v>6128</v>
      </c>
      <c r="F6687" t="s">
        <v>101</v>
      </c>
    </row>
    <row r="6688" spans="4:8" x14ac:dyDescent="0.3">
      <c r="E6688">
        <v>1458</v>
      </c>
      <c r="F6688" t="s">
        <v>102</v>
      </c>
    </row>
    <row r="6689" spans="5:8" x14ac:dyDescent="0.3">
      <c r="E6689" t="s">
        <v>22</v>
      </c>
      <c r="F6689" t="s">
        <v>103</v>
      </c>
    </row>
    <row r="6690" spans="5:8" x14ac:dyDescent="0.3">
      <c r="E6690" t="s">
        <v>5</v>
      </c>
      <c r="F6690" t="s">
        <v>104</v>
      </c>
      <c r="H6690">
        <v>10000</v>
      </c>
    </row>
    <row r="6691" spans="5:8" x14ac:dyDescent="0.3">
      <c r="E6691" t="s">
        <v>20</v>
      </c>
      <c r="F6691" t="s">
        <v>105</v>
      </c>
      <c r="G6691" s="5">
        <v>9608908781</v>
      </c>
    </row>
    <row r="6692" spans="5:8" x14ac:dyDescent="0.3">
      <c r="E6692" t="s">
        <v>6</v>
      </c>
      <c r="F6692" t="s">
        <v>106</v>
      </c>
    </row>
    <row r="6693" spans="5:8" x14ac:dyDescent="0.3">
      <c r="E6693">
        <v>1607</v>
      </c>
      <c r="F6693" t="s">
        <v>34</v>
      </c>
    </row>
    <row r="6694" spans="5:8" x14ac:dyDescent="0.3">
      <c r="E6694" t="s">
        <v>12</v>
      </c>
      <c r="F6694" t="s">
        <v>7</v>
      </c>
    </row>
  </sheetData>
  <pageMargins left="0.7" right="0.7" top="0.75" bottom="0.75" header="0.3" footer="0.3"/>
  <pageSetup paperSize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8772-D6D9-466A-9997-2D4DBE3A8719}">
  <dimension ref="B1:P28"/>
  <sheetViews>
    <sheetView tabSelected="1" zoomScaleNormal="100" workbookViewId="0">
      <selection activeCell="C3" sqref="C3"/>
    </sheetView>
  </sheetViews>
  <sheetFormatPr defaultRowHeight="14.4" x14ac:dyDescent="0.3"/>
  <cols>
    <col min="2" max="2" width="29.5546875" customWidth="1"/>
    <col min="3" max="3" width="25.33203125" customWidth="1"/>
    <col min="5" max="5" width="11.88671875" bestFit="1" customWidth="1"/>
    <col min="6" max="6" width="15.88671875" customWidth="1"/>
  </cols>
  <sheetData>
    <row r="1" spans="2:16" x14ac:dyDescent="0.3">
      <c r="B1" s="9"/>
    </row>
    <row r="2" spans="2:16" x14ac:dyDescent="0.3">
      <c r="B2" s="9"/>
      <c r="N2" t="s">
        <v>78</v>
      </c>
      <c r="O2" s="9">
        <f>SUM(O5:O18)</f>
        <v>2200.0099999999998</v>
      </c>
    </row>
    <row r="3" spans="2:16" ht="21" x14ac:dyDescent="0.4">
      <c r="B3" s="16" t="s">
        <v>165</v>
      </c>
      <c r="C3" s="14">
        <v>5000</v>
      </c>
      <c r="O3" s="9"/>
      <c r="P3" t="s">
        <v>130</v>
      </c>
    </row>
    <row r="4" spans="2:16" ht="21" x14ac:dyDescent="0.4">
      <c r="B4" s="17" t="s">
        <v>166</v>
      </c>
      <c r="C4" s="14"/>
      <c r="O4" s="9"/>
    </row>
    <row r="5" spans="2:16" ht="21" x14ac:dyDescent="0.4">
      <c r="B5" s="18" t="s">
        <v>167</v>
      </c>
      <c r="C5" s="14"/>
      <c r="N5" s="3" t="s">
        <v>142</v>
      </c>
      <c r="O5" s="9">
        <v>31.72</v>
      </c>
      <c r="P5" t="e">
        <f>(O5-O4)*100/O4</f>
        <v>#DIV/0!</v>
      </c>
    </row>
    <row r="6" spans="2:16" ht="21" x14ac:dyDescent="0.4">
      <c r="B6" s="19" t="s">
        <v>204</v>
      </c>
      <c r="C6" s="14">
        <v>60</v>
      </c>
      <c r="N6" s="3"/>
      <c r="O6" s="9"/>
    </row>
    <row r="7" spans="2:16" ht="21" x14ac:dyDescent="0.4">
      <c r="B7" s="19" t="s">
        <v>168</v>
      </c>
      <c r="C7" s="14">
        <f>C6/12</f>
        <v>5</v>
      </c>
      <c r="N7" s="3" t="s">
        <v>143</v>
      </c>
      <c r="O7" s="9">
        <v>167.13</v>
      </c>
    </row>
    <row r="8" spans="2:16" ht="21" x14ac:dyDescent="0.4">
      <c r="B8" s="22" t="s">
        <v>171</v>
      </c>
      <c r="C8" s="14">
        <v>13</v>
      </c>
      <c r="N8" s="3" t="s">
        <v>144</v>
      </c>
      <c r="O8" s="9">
        <v>280.93</v>
      </c>
      <c r="P8" t="e">
        <f>(O8-#REF!)*100/#REF!</f>
        <v>#REF!</v>
      </c>
    </row>
    <row r="9" spans="2:16" ht="21" x14ac:dyDescent="0.4">
      <c r="B9" s="20" t="s">
        <v>169</v>
      </c>
      <c r="C9" s="14">
        <f>C3*C7*12+C5</f>
        <v>300000</v>
      </c>
      <c r="N9" s="3" t="s">
        <v>162</v>
      </c>
      <c r="O9">
        <v>471.83</v>
      </c>
    </row>
    <row r="10" spans="2:16" ht="21" x14ac:dyDescent="0.4">
      <c r="B10" s="21" t="s">
        <v>170</v>
      </c>
      <c r="C10" s="15">
        <f>FV(C8/1200,C7*12,-C3,0,1)+C5*(1+C8/100)^C7</f>
        <v>424016.52966035856</v>
      </c>
      <c r="N10" s="3" t="s">
        <v>163</v>
      </c>
      <c r="O10">
        <v>503.4</v>
      </c>
    </row>
    <row r="11" spans="2:16" x14ac:dyDescent="0.3">
      <c r="N11" s="3" t="s">
        <v>197</v>
      </c>
    </row>
    <row r="12" spans="2:16" x14ac:dyDescent="0.3">
      <c r="N12" s="3" t="s">
        <v>198</v>
      </c>
    </row>
    <row r="13" spans="2:16" x14ac:dyDescent="0.3">
      <c r="N13" s="3" t="s">
        <v>199</v>
      </c>
    </row>
    <row r="14" spans="2:16" x14ac:dyDescent="0.3">
      <c r="C14" s="7"/>
      <c r="N14" s="3" t="s">
        <v>200</v>
      </c>
      <c r="O14">
        <v>745</v>
      </c>
    </row>
    <row r="15" spans="2:16" x14ac:dyDescent="0.3">
      <c r="F15" s="26"/>
      <c r="N15" s="3" t="s">
        <v>201</v>
      </c>
    </row>
    <row r="16" spans="2:16" x14ac:dyDescent="0.3">
      <c r="N16" s="3" t="s">
        <v>202</v>
      </c>
    </row>
    <row r="17" spans="3:14" x14ac:dyDescent="0.3">
      <c r="N17" s="3" t="s">
        <v>203</v>
      </c>
    </row>
    <row r="22" spans="3:14" x14ac:dyDescent="0.3">
      <c r="E22" s="26"/>
    </row>
    <row r="24" spans="3:14" x14ac:dyDescent="0.3">
      <c r="C24" s="7"/>
    </row>
    <row r="28" spans="3:14" x14ac:dyDescent="0.3">
      <c r="F28" s="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E345-3C0B-4E5A-AAF2-69F0AA57738C}">
  <dimension ref="A1:X6718"/>
  <sheetViews>
    <sheetView zoomScale="85" zoomScaleNormal="85" workbookViewId="0">
      <pane ySplit="2" topLeftCell="A3" activePane="bottomLeft" state="frozen"/>
      <selection pane="bottomLeft" activeCell="E22" sqref="E22"/>
    </sheetView>
  </sheetViews>
  <sheetFormatPr defaultRowHeight="14.4" x14ac:dyDescent="0.3"/>
  <cols>
    <col min="1" max="1" width="8.88671875" style="2"/>
    <col min="2" max="2" width="15.33203125" style="2" customWidth="1"/>
    <col min="3" max="3" width="20.33203125" style="2" customWidth="1"/>
    <col min="4" max="4" width="13.5546875" style="2" customWidth="1"/>
    <col min="5" max="5" width="23.44140625" customWidth="1"/>
    <col min="6" max="6" width="14.77734375" style="4" customWidth="1"/>
    <col min="7" max="7" width="14.21875" customWidth="1"/>
    <col min="8" max="8" width="6.6640625" style="2" customWidth="1"/>
    <col min="9" max="9" width="10.88671875" customWidth="1"/>
    <col min="10" max="10" width="12.88671875" customWidth="1"/>
    <col min="11" max="12" width="10.88671875" customWidth="1"/>
    <col min="13" max="13" width="11.6640625" customWidth="1"/>
    <col min="14" max="14" width="10.88671875" customWidth="1"/>
    <col min="15" max="15" width="12.88671875" bestFit="1" customWidth="1"/>
    <col min="16" max="16" width="12.88671875" style="9" customWidth="1"/>
    <col min="17" max="17" width="7.5546875" customWidth="1"/>
    <col min="18" max="18" width="7" customWidth="1"/>
    <col min="19" max="19" width="10.109375" customWidth="1"/>
    <col min="20" max="20" width="18.5546875" customWidth="1"/>
    <col min="21" max="21" width="13" customWidth="1"/>
    <col min="23" max="23" width="14.6640625" customWidth="1"/>
    <col min="24" max="24" width="10.44140625" bestFit="1" customWidth="1"/>
  </cols>
  <sheetData>
    <row r="1" spans="1:24" x14ac:dyDescent="0.3">
      <c r="I1" t="s">
        <v>41</v>
      </c>
      <c r="M1" t="s">
        <v>81</v>
      </c>
      <c r="N1" t="s">
        <v>80</v>
      </c>
    </row>
    <row r="2" spans="1:24" x14ac:dyDescent="0.3">
      <c r="A2" s="2" t="s">
        <v>109</v>
      </c>
      <c r="B2" s="2" t="s">
        <v>110</v>
      </c>
      <c r="C2" s="2" t="s">
        <v>111</v>
      </c>
      <c r="E2" t="s">
        <v>108</v>
      </c>
      <c r="F2" s="4" t="s">
        <v>184</v>
      </c>
      <c r="G2" s="2" t="s">
        <v>123</v>
      </c>
      <c r="H2" s="2" t="s">
        <v>186</v>
      </c>
      <c r="J2" t="s">
        <v>183</v>
      </c>
      <c r="K2" t="s">
        <v>145</v>
      </c>
      <c r="L2" t="s">
        <v>146</v>
      </c>
      <c r="N2">
        <f ca="1">SUM(N3:N23)</f>
        <v>209500</v>
      </c>
    </row>
    <row r="3" spans="1:24" x14ac:dyDescent="0.3">
      <c r="A3" s="2">
        <v>1</v>
      </c>
      <c r="B3" s="2">
        <v>4273203</v>
      </c>
      <c r="C3" s="12" t="s">
        <v>46</v>
      </c>
      <c r="E3" t="s">
        <v>45</v>
      </c>
      <c r="H3" s="2">
        <f t="shared" ref="H3:H39" si="0">VALUE(TEXT(I3,"DD"))</f>
        <v>0</v>
      </c>
      <c r="L3">
        <v>0</v>
      </c>
      <c r="M3">
        <f ca="1">MONTH(TODAY())-MONTH(I3)+1</f>
        <v>9</v>
      </c>
      <c r="N3">
        <f ca="1">K3*M3</f>
        <v>0</v>
      </c>
    </row>
    <row r="4" spans="1:24" x14ac:dyDescent="0.3">
      <c r="A4" s="2">
        <v>2</v>
      </c>
      <c r="B4" s="2">
        <v>4210942</v>
      </c>
      <c r="E4" s="6" t="s">
        <v>10</v>
      </c>
      <c r="H4" s="2">
        <f t="shared" si="0"/>
        <v>0</v>
      </c>
      <c r="L4">
        <v>0</v>
      </c>
      <c r="N4">
        <v>1000</v>
      </c>
    </row>
    <row r="5" spans="1:24" x14ac:dyDescent="0.3">
      <c r="A5" s="2">
        <v>3</v>
      </c>
      <c r="B5" s="2">
        <v>4493896</v>
      </c>
      <c r="C5" s="12" t="s">
        <v>125</v>
      </c>
      <c r="H5" s="2">
        <f t="shared" si="0"/>
        <v>0</v>
      </c>
      <c r="L5">
        <v>0</v>
      </c>
      <c r="M5">
        <v>0</v>
      </c>
      <c r="N5">
        <v>0</v>
      </c>
    </row>
    <row r="6" spans="1:24" x14ac:dyDescent="0.3">
      <c r="A6" s="2">
        <v>4</v>
      </c>
      <c r="B6" s="2">
        <v>4540253</v>
      </c>
      <c r="E6" t="s">
        <v>133</v>
      </c>
      <c r="H6" s="2">
        <f t="shared" si="0"/>
        <v>0</v>
      </c>
      <c r="L6">
        <v>0</v>
      </c>
      <c r="N6">
        <v>500</v>
      </c>
    </row>
    <row r="7" spans="1:24" x14ac:dyDescent="0.3">
      <c r="A7" s="2">
        <v>5</v>
      </c>
      <c r="B7" s="2">
        <v>4609148</v>
      </c>
      <c r="C7" s="12" t="s">
        <v>140</v>
      </c>
      <c r="D7" s="2">
        <v>8102284876</v>
      </c>
      <c r="E7" t="s">
        <v>138</v>
      </c>
      <c r="G7" s="3">
        <v>46020</v>
      </c>
      <c r="H7" s="2">
        <f t="shared" si="0"/>
        <v>0</v>
      </c>
      <c r="K7">
        <v>0</v>
      </c>
      <c r="L7">
        <v>0</v>
      </c>
      <c r="N7">
        <v>500</v>
      </c>
    </row>
    <row r="8" spans="1:24" x14ac:dyDescent="0.3">
      <c r="A8" s="2">
        <v>6</v>
      </c>
      <c r="B8" s="2">
        <v>4772585</v>
      </c>
      <c r="D8" s="4" t="s">
        <v>189</v>
      </c>
      <c r="E8" t="s">
        <v>182</v>
      </c>
      <c r="G8" s="3">
        <v>46080</v>
      </c>
      <c r="H8" s="2">
        <f t="shared" si="0"/>
        <v>0</v>
      </c>
      <c r="N8">
        <v>1000</v>
      </c>
    </row>
    <row r="9" spans="1:24" x14ac:dyDescent="0.3">
      <c r="A9" s="2">
        <v>7</v>
      </c>
      <c r="B9" s="2">
        <v>4228558</v>
      </c>
      <c r="C9" s="2">
        <v>7005</v>
      </c>
      <c r="E9" t="s">
        <v>16</v>
      </c>
      <c r="H9" s="2">
        <f t="shared" si="0"/>
        <v>1</v>
      </c>
      <c r="I9" s="3">
        <v>45901</v>
      </c>
      <c r="J9">
        <v>200000</v>
      </c>
      <c r="K9">
        <v>1000</v>
      </c>
      <c r="L9">
        <v>1000</v>
      </c>
      <c r="M9">
        <f t="shared" ref="M9:M17" ca="1" si="1">MONTH(TODAY())-MONTH(I9)+1</f>
        <v>1</v>
      </c>
      <c r="N9">
        <f ca="1">(1000*M9)+200000</f>
        <v>201000</v>
      </c>
    </row>
    <row r="10" spans="1:24" x14ac:dyDescent="0.3">
      <c r="A10" s="2">
        <v>8</v>
      </c>
      <c r="B10" s="2">
        <v>4295145</v>
      </c>
      <c r="C10" s="12" t="s">
        <v>51</v>
      </c>
      <c r="D10" s="2">
        <v>9934176726</v>
      </c>
      <c r="E10" t="s">
        <v>50</v>
      </c>
      <c r="G10" s="2">
        <v>1</v>
      </c>
      <c r="H10" s="2">
        <f t="shared" si="0"/>
        <v>1</v>
      </c>
      <c r="I10" s="3">
        <v>45931</v>
      </c>
      <c r="K10">
        <v>5000</v>
      </c>
      <c r="L10">
        <v>5000</v>
      </c>
      <c r="M10">
        <f t="shared" ca="1" si="1"/>
        <v>0</v>
      </c>
      <c r="N10">
        <f ca="1">K10*M10</f>
        <v>0</v>
      </c>
    </row>
    <row r="11" spans="1:24" x14ac:dyDescent="0.3">
      <c r="A11" s="2">
        <v>9</v>
      </c>
      <c r="B11" s="2">
        <v>4295292</v>
      </c>
      <c r="C11" s="12" t="s">
        <v>51</v>
      </c>
      <c r="D11" s="2">
        <v>8864079637</v>
      </c>
      <c r="E11" t="s">
        <v>4</v>
      </c>
      <c r="G11" s="2">
        <v>1</v>
      </c>
      <c r="H11" s="2">
        <f t="shared" si="0"/>
        <v>1</v>
      </c>
      <c r="I11" s="3">
        <v>45931</v>
      </c>
      <c r="K11">
        <v>5000</v>
      </c>
      <c r="L11">
        <v>5000</v>
      </c>
      <c r="M11">
        <f t="shared" ca="1" si="1"/>
        <v>0</v>
      </c>
      <c r="N11">
        <f ca="1">K11*M11</f>
        <v>0</v>
      </c>
    </row>
    <row r="12" spans="1:24" x14ac:dyDescent="0.3">
      <c r="A12" s="2">
        <v>10</v>
      </c>
      <c r="B12" s="2">
        <v>4391347</v>
      </c>
      <c r="C12" s="12" t="s">
        <v>84</v>
      </c>
      <c r="D12" s="2">
        <v>9334626918</v>
      </c>
      <c r="E12" t="s">
        <v>83</v>
      </c>
      <c r="G12" s="2">
        <v>1</v>
      </c>
      <c r="H12" s="2">
        <f t="shared" si="0"/>
        <v>1</v>
      </c>
      <c r="I12" s="3">
        <v>45962</v>
      </c>
      <c r="K12">
        <v>1000</v>
      </c>
      <c r="L12">
        <v>1000</v>
      </c>
      <c r="M12">
        <f t="shared" ca="1" si="1"/>
        <v>-1</v>
      </c>
      <c r="N12">
        <f ca="1">K12*M12</f>
        <v>-1000</v>
      </c>
    </row>
    <row r="13" spans="1:24" x14ac:dyDescent="0.3">
      <c r="A13" s="2">
        <v>11</v>
      </c>
      <c r="B13" s="2">
        <v>4273104</v>
      </c>
      <c r="C13" s="2">
        <v>4730</v>
      </c>
      <c r="D13" s="2">
        <v>7903729727</v>
      </c>
      <c r="E13" t="s">
        <v>44</v>
      </c>
      <c r="H13" s="2">
        <f t="shared" si="0"/>
        <v>5</v>
      </c>
      <c r="I13" s="3">
        <v>45905</v>
      </c>
      <c r="K13">
        <v>500</v>
      </c>
      <c r="L13">
        <v>500</v>
      </c>
      <c r="M13">
        <f t="shared" ca="1" si="1"/>
        <v>1</v>
      </c>
      <c r="N13">
        <f ca="1">K13*M13</f>
        <v>500</v>
      </c>
    </row>
    <row r="14" spans="1:24" x14ac:dyDescent="0.3">
      <c r="A14" s="2">
        <v>12</v>
      </c>
      <c r="B14" s="2">
        <v>4406538</v>
      </c>
      <c r="C14" s="12" t="s">
        <v>89</v>
      </c>
      <c r="D14" s="2">
        <v>9031059999</v>
      </c>
      <c r="E14" t="s">
        <v>88</v>
      </c>
      <c r="G14" s="2">
        <v>1</v>
      </c>
      <c r="H14" s="2">
        <f t="shared" si="0"/>
        <v>5</v>
      </c>
      <c r="I14" s="3">
        <v>45966</v>
      </c>
      <c r="K14">
        <v>1000</v>
      </c>
      <c r="L14">
        <v>1000</v>
      </c>
      <c r="M14">
        <f t="shared" ca="1" si="1"/>
        <v>-1</v>
      </c>
      <c r="N14">
        <v>1000</v>
      </c>
      <c r="X14" s="7"/>
    </row>
    <row r="15" spans="1:24" x14ac:dyDescent="0.3">
      <c r="A15" s="2">
        <v>13</v>
      </c>
      <c r="B15" s="2">
        <v>4444834</v>
      </c>
      <c r="C15" s="12" t="s">
        <v>89</v>
      </c>
      <c r="E15" t="s">
        <v>120</v>
      </c>
      <c r="H15" s="2">
        <f t="shared" si="0"/>
        <v>5</v>
      </c>
      <c r="I15" s="3">
        <v>45996</v>
      </c>
      <c r="K15">
        <v>500</v>
      </c>
      <c r="L15">
        <v>500</v>
      </c>
      <c r="M15">
        <f t="shared" ca="1" si="1"/>
        <v>-2</v>
      </c>
      <c r="N15">
        <v>1000</v>
      </c>
    </row>
    <row r="16" spans="1:24" x14ac:dyDescent="0.3">
      <c r="A16" s="2">
        <v>14</v>
      </c>
      <c r="B16" s="2">
        <v>4445117</v>
      </c>
      <c r="C16" s="12" t="s">
        <v>89</v>
      </c>
      <c r="E16" t="s">
        <v>122</v>
      </c>
      <c r="H16" s="2">
        <f t="shared" si="0"/>
        <v>5</v>
      </c>
      <c r="I16" s="3">
        <v>45996</v>
      </c>
      <c r="K16">
        <v>3000</v>
      </c>
      <c r="L16">
        <v>3000</v>
      </c>
      <c r="M16">
        <f t="shared" ca="1" si="1"/>
        <v>-2</v>
      </c>
      <c r="N16">
        <v>1000</v>
      </c>
    </row>
    <row r="17" spans="1:16" x14ac:dyDescent="0.3">
      <c r="A17" s="2">
        <v>15</v>
      </c>
      <c r="B17" s="2">
        <v>4445631</v>
      </c>
      <c r="C17" s="12" t="s">
        <v>89</v>
      </c>
      <c r="E17" s="6" t="s">
        <v>28</v>
      </c>
      <c r="H17" s="2">
        <f t="shared" si="0"/>
        <v>5</v>
      </c>
      <c r="I17" s="3">
        <v>45996</v>
      </c>
      <c r="K17">
        <v>2000</v>
      </c>
      <c r="L17">
        <v>2000</v>
      </c>
      <c r="M17">
        <f t="shared" ca="1" si="1"/>
        <v>-2</v>
      </c>
      <c r="N17">
        <v>1000</v>
      </c>
      <c r="P17" s="35">
        <f>FV(6%/12,9,-1000)</f>
        <v>9182.1158290128042</v>
      </c>
    </row>
    <row r="18" spans="1:16" x14ac:dyDescent="0.3">
      <c r="A18" s="2">
        <v>16</v>
      </c>
      <c r="B18" s="2">
        <v>4575800</v>
      </c>
      <c r="C18" s="12" t="s">
        <v>135</v>
      </c>
      <c r="D18" s="2">
        <v>6299103775</v>
      </c>
      <c r="E18" t="s">
        <v>37</v>
      </c>
      <c r="G18" s="3">
        <v>46008</v>
      </c>
      <c r="H18" s="2">
        <f t="shared" si="0"/>
        <v>5</v>
      </c>
      <c r="I18" s="3">
        <v>46027</v>
      </c>
      <c r="K18">
        <v>500</v>
      </c>
      <c r="L18">
        <v>1000</v>
      </c>
      <c r="M18">
        <v>1</v>
      </c>
      <c r="N18">
        <v>500</v>
      </c>
    </row>
    <row r="19" spans="1:16" x14ac:dyDescent="0.3">
      <c r="A19" s="2">
        <v>17</v>
      </c>
      <c r="B19" s="2">
        <v>4582714</v>
      </c>
      <c r="C19" s="12" t="s">
        <v>89</v>
      </c>
      <c r="D19" s="2">
        <v>8210160188</v>
      </c>
      <c r="E19" t="s">
        <v>136</v>
      </c>
      <c r="G19" s="3">
        <v>46011</v>
      </c>
      <c r="H19" s="2">
        <f t="shared" si="0"/>
        <v>5</v>
      </c>
      <c r="I19" s="3">
        <v>46027</v>
      </c>
      <c r="K19">
        <v>1000</v>
      </c>
      <c r="L19">
        <v>1000</v>
      </c>
      <c r="M19">
        <v>1</v>
      </c>
      <c r="N19">
        <v>500</v>
      </c>
    </row>
    <row r="20" spans="1:16" x14ac:dyDescent="0.3">
      <c r="A20" s="2">
        <v>18</v>
      </c>
      <c r="B20" s="2">
        <v>4721518</v>
      </c>
      <c r="C20" s="12" t="s">
        <v>161</v>
      </c>
      <c r="D20" s="2">
        <v>9102315101</v>
      </c>
      <c r="E20" t="s">
        <v>160</v>
      </c>
      <c r="G20" s="3">
        <v>46058</v>
      </c>
      <c r="H20" s="2">
        <f t="shared" si="0"/>
        <v>5</v>
      </c>
      <c r="I20" s="3">
        <v>46058</v>
      </c>
      <c r="J20">
        <v>15000</v>
      </c>
      <c r="K20">
        <v>0</v>
      </c>
      <c r="L20">
        <v>0</v>
      </c>
      <c r="N20">
        <v>0</v>
      </c>
    </row>
    <row r="21" spans="1:16" x14ac:dyDescent="0.3">
      <c r="A21" s="2">
        <v>19</v>
      </c>
      <c r="B21" s="2">
        <v>4741818</v>
      </c>
      <c r="C21" s="12" t="s">
        <v>177</v>
      </c>
      <c r="D21" s="2">
        <v>9263308478</v>
      </c>
      <c r="E21" t="s">
        <v>175</v>
      </c>
      <c r="F21" s="4" t="s">
        <v>185</v>
      </c>
      <c r="G21" s="3">
        <v>46066</v>
      </c>
      <c r="H21" s="2">
        <f t="shared" si="0"/>
        <v>5</v>
      </c>
      <c r="I21" s="3">
        <v>45782</v>
      </c>
      <c r="J21">
        <v>150000</v>
      </c>
      <c r="K21">
        <v>2000</v>
      </c>
      <c r="L21">
        <v>2000</v>
      </c>
      <c r="N21">
        <v>0</v>
      </c>
    </row>
    <row r="22" spans="1:16" x14ac:dyDescent="0.3">
      <c r="A22" s="2">
        <v>20</v>
      </c>
      <c r="B22" s="2">
        <v>4749125</v>
      </c>
      <c r="C22" s="12" t="s">
        <v>179</v>
      </c>
      <c r="D22" s="2">
        <v>9163548041</v>
      </c>
      <c r="E22" t="s">
        <v>178</v>
      </c>
      <c r="G22" s="3">
        <v>46069</v>
      </c>
      <c r="H22" s="2">
        <f t="shared" si="0"/>
        <v>5</v>
      </c>
      <c r="I22" s="3">
        <v>46086</v>
      </c>
      <c r="K22">
        <v>1000</v>
      </c>
      <c r="L22">
        <v>1000</v>
      </c>
      <c r="N22">
        <v>0</v>
      </c>
    </row>
    <row r="23" spans="1:16" x14ac:dyDescent="0.3">
      <c r="A23" s="2">
        <v>21</v>
      </c>
      <c r="B23" s="2">
        <v>4836580</v>
      </c>
      <c r="C23" s="12" t="s">
        <v>188</v>
      </c>
      <c r="D23" s="2">
        <v>6206802797</v>
      </c>
      <c r="E23" t="s">
        <v>187</v>
      </c>
      <c r="G23" s="3">
        <v>46117</v>
      </c>
      <c r="H23" s="2">
        <f t="shared" si="0"/>
        <v>5</v>
      </c>
      <c r="I23" s="3">
        <v>46117</v>
      </c>
      <c r="K23">
        <v>10000</v>
      </c>
      <c r="L23">
        <v>10000</v>
      </c>
      <c r="N23">
        <v>1000</v>
      </c>
    </row>
    <row r="24" spans="1:16" x14ac:dyDescent="0.3">
      <c r="A24" s="2">
        <v>22</v>
      </c>
      <c r="B24" s="2">
        <v>4268874</v>
      </c>
      <c r="C24" s="2">
        <v>4752</v>
      </c>
      <c r="D24" s="2">
        <v>7859056775</v>
      </c>
      <c r="E24" t="s">
        <v>42</v>
      </c>
      <c r="H24" s="2">
        <f t="shared" si="0"/>
        <v>10</v>
      </c>
      <c r="I24" s="3">
        <v>45910</v>
      </c>
      <c r="K24">
        <v>1000</v>
      </c>
      <c r="L24">
        <v>0</v>
      </c>
      <c r="M24">
        <f t="shared" ref="M24:M32" ca="1" si="2">MONTH(TODAY())-MONTH(I24)+1</f>
        <v>1</v>
      </c>
      <c r="N24">
        <f ca="1">K24*M24</f>
        <v>1000</v>
      </c>
    </row>
    <row r="25" spans="1:16" x14ac:dyDescent="0.3">
      <c r="A25" s="2">
        <v>23</v>
      </c>
      <c r="B25" s="2">
        <v>4270285</v>
      </c>
      <c r="C25" s="12" t="s">
        <v>43</v>
      </c>
      <c r="D25" s="2">
        <v>8809252605</v>
      </c>
      <c r="E25" t="s">
        <v>59</v>
      </c>
      <c r="H25" s="2">
        <f t="shared" si="0"/>
        <v>10</v>
      </c>
      <c r="I25" s="3">
        <v>45910</v>
      </c>
      <c r="K25">
        <v>500</v>
      </c>
      <c r="L25">
        <v>500</v>
      </c>
      <c r="M25">
        <f t="shared" ca="1" si="2"/>
        <v>1</v>
      </c>
      <c r="N25">
        <f ca="1">K25*M25</f>
        <v>500</v>
      </c>
    </row>
    <row r="26" spans="1:16" x14ac:dyDescent="0.3">
      <c r="A26" s="2">
        <v>24</v>
      </c>
      <c r="B26" s="2">
        <v>4299472</v>
      </c>
      <c r="C26" s="12" t="s">
        <v>58</v>
      </c>
      <c r="D26" s="2">
        <v>8002100220</v>
      </c>
      <c r="E26" t="s">
        <v>24</v>
      </c>
      <c r="G26" s="2">
        <v>1</v>
      </c>
      <c r="H26" s="2">
        <f t="shared" si="0"/>
        <v>10</v>
      </c>
      <c r="I26" s="3">
        <v>45940</v>
      </c>
      <c r="K26">
        <v>1000</v>
      </c>
      <c r="L26">
        <v>1000</v>
      </c>
      <c r="M26">
        <f t="shared" ca="1" si="2"/>
        <v>0</v>
      </c>
      <c r="N26">
        <f ca="1">K26*M26</f>
        <v>0</v>
      </c>
    </row>
    <row r="27" spans="1:16" x14ac:dyDescent="0.3">
      <c r="A27" s="2">
        <v>25</v>
      </c>
      <c r="B27" s="2">
        <v>4325649</v>
      </c>
      <c r="C27" s="12" t="s">
        <v>62</v>
      </c>
      <c r="D27" s="2">
        <v>8092577946</v>
      </c>
      <c r="E27" t="s">
        <v>60</v>
      </c>
      <c r="G27" s="2">
        <v>1</v>
      </c>
      <c r="H27" s="2">
        <f t="shared" si="0"/>
        <v>10</v>
      </c>
      <c r="I27" s="3">
        <v>45940</v>
      </c>
      <c r="K27">
        <v>1000</v>
      </c>
      <c r="L27">
        <v>1000</v>
      </c>
      <c r="M27">
        <f t="shared" ca="1" si="2"/>
        <v>0</v>
      </c>
      <c r="N27">
        <f ca="1">K27*M27</f>
        <v>0</v>
      </c>
    </row>
    <row r="28" spans="1:16" x14ac:dyDescent="0.3">
      <c r="A28" s="2">
        <v>26</v>
      </c>
      <c r="B28" s="2">
        <v>4345986</v>
      </c>
      <c r="C28" s="12" t="s">
        <v>72</v>
      </c>
      <c r="D28" s="2">
        <v>8092551852</v>
      </c>
      <c r="E28" t="s">
        <v>38</v>
      </c>
      <c r="H28" s="2">
        <f t="shared" si="0"/>
        <v>10</v>
      </c>
      <c r="I28" s="3">
        <v>45940</v>
      </c>
      <c r="K28">
        <v>1000</v>
      </c>
      <c r="L28">
        <v>1000</v>
      </c>
      <c r="M28">
        <f t="shared" ca="1" si="2"/>
        <v>0</v>
      </c>
      <c r="N28">
        <f ca="1">K28*M28</f>
        <v>0</v>
      </c>
    </row>
    <row r="29" spans="1:16" x14ac:dyDescent="0.3">
      <c r="A29" s="2">
        <v>27</v>
      </c>
      <c r="B29" s="2">
        <v>4404779</v>
      </c>
      <c r="C29" s="2">
        <v>6778</v>
      </c>
      <c r="D29" s="2">
        <v>7209081817</v>
      </c>
      <c r="E29" t="s">
        <v>39</v>
      </c>
      <c r="H29" s="2">
        <f t="shared" si="0"/>
        <v>10</v>
      </c>
      <c r="I29" s="3">
        <v>45971</v>
      </c>
      <c r="K29">
        <v>1000</v>
      </c>
      <c r="L29">
        <v>1000</v>
      </c>
      <c r="M29">
        <f t="shared" ca="1" si="2"/>
        <v>-1</v>
      </c>
      <c r="N29">
        <v>1000</v>
      </c>
    </row>
    <row r="30" spans="1:16" x14ac:dyDescent="0.3">
      <c r="A30" s="2">
        <v>28</v>
      </c>
      <c r="B30" s="2">
        <v>4418097</v>
      </c>
      <c r="C30" s="2" t="s">
        <v>98</v>
      </c>
      <c r="E30" t="s">
        <v>94</v>
      </c>
      <c r="H30" s="2">
        <f t="shared" si="0"/>
        <v>10</v>
      </c>
      <c r="I30" s="3">
        <v>45971</v>
      </c>
      <c r="K30">
        <v>1000</v>
      </c>
      <c r="L30">
        <v>1000</v>
      </c>
      <c r="M30">
        <f t="shared" ca="1" si="2"/>
        <v>-1</v>
      </c>
      <c r="N30">
        <v>1000</v>
      </c>
    </row>
    <row r="31" spans="1:16" x14ac:dyDescent="0.3">
      <c r="A31" s="2">
        <v>29</v>
      </c>
      <c r="B31" s="2">
        <v>4421178</v>
      </c>
      <c r="C31" s="12" t="s">
        <v>195</v>
      </c>
      <c r="D31" s="2">
        <v>9905498895</v>
      </c>
      <c r="E31" t="s">
        <v>172</v>
      </c>
      <c r="H31" s="2">
        <f t="shared" si="0"/>
        <v>10</v>
      </c>
      <c r="I31" s="3">
        <v>45971</v>
      </c>
      <c r="K31">
        <v>1000</v>
      </c>
      <c r="L31">
        <v>1000</v>
      </c>
      <c r="M31">
        <f t="shared" ca="1" si="2"/>
        <v>-1</v>
      </c>
      <c r="N31">
        <v>1000</v>
      </c>
    </row>
    <row r="32" spans="1:16" x14ac:dyDescent="0.3">
      <c r="A32" s="2">
        <v>30</v>
      </c>
      <c r="B32" s="2">
        <v>4528775</v>
      </c>
      <c r="C32" s="12" t="s">
        <v>128</v>
      </c>
      <c r="D32" s="2">
        <v>9279268766</v>
      </c>
      <c r="E32" t="s">
        <v>127</v>
      </c>
      <c r="G32" s="3">
        <v>45992</v>
      </c>
      <c r="H32" s="2">
        <f t="shared" si="0"/>
        <v>10</v>
      </c>
      <c r="I32" s="3">
        <v>46001</v>
      </c>
      <c r="K32">
        <v>1000</v>
      </c>
      <c r="L32">
        <v>1000</v>
      </c>
      <c r="M32">
        <f t="shared" ca="1" si="2"/>
        <v>-2</v>
      </c>
      <c r="N32">
        <v>1000</v>
      </c>
    </row>
    <row r="33" spans="1:20" x14ac:dyDescent="0.3">
      <c r="A33" s="2">
        <v>31</v>
      </c>
      <c r="B33" s="2">
        <v>4534001</v>
      </c>
      <c r="C33" s="12" t="s">
        <v>131</v>
      </c>
      <c r="D33" s="2">
        <v>7479657758</v>
      </c>
      <c r="E33" t="s">
        <v>129</v>
      </c>
      <c r="G33" s="3">
        <v>45994</v>
      </c>
      <c r="H33" s="2">
        <f t="shared" si="0"/>
        <v>10</v>
      </c>
      <c r="I33" s="3">
        <v>46001</v>
      </c>
      <c r="K33">
        <v>500</v>
      </c>
      <c r="L33">
        <v>500</v>
      </c>
      <c r="M33">
        <v>1</v>
      </c>
      <c r="N33">
        <v>500</v>
      </c>
    </row>
    <row r="34" spans="1:20" x14ac:dyDescent="0.3">
      <c r="A34" s="2">
        <v>32</v>
      </c>
      <c r="B34" s="2">
        <v>4609277</v>
      </c>
      <c r="C34" s="12" t="s">
        <v>141</v>
      </c>
      <c r="D34" s="2">
        <v>9883797391</v>
      </c>
      <c r="E34" t="s">
        <v>139</v>
      </c>
      <c r="G34" s="3">
        <v>46020</v>
      </c>
      <c r="H34" s="2">
        <f t="shared" si="0"/>
        <v>10</v>
      </c>
      <c r="I34" s="3">
        <v>46091</v>
      </c>
      <c r="K34">
        <v>1000</v>
      </c>
      <c r="L34">
        <v>1000</v>
      </c>
      <c r="N34">
        <v>1000</v>
      </c>
    </row>
    <row r="35" spans="1:20" x14ac:dyDescent="0.3">
      <c r="A35" s="2">
        <v>33</v>
      </c>
      <c r="B35" s="2">
        <v>4648000</v>
      </c>
      <c r="C35" s="12" t="s">
        <v>150</v>
      </c>
      <c r="D35" s="2">
        <v>9939027264</v>
      </c>
      <c r="E35" t="s">
        <v>148</v>
      </c>
      <c r="G35" s="3">
        <v>45667</v>
      </c>
      <c r="H35" s="2">
        <f t="shared" si="0"/>
        <v>10</v>
      </c>
      <c r="I35" s="3">
        <v>46063</v>
      </c>
      <c r="K35">
        <v>1000</v>
      </c>
      <c r="L35">
        <v>1000</v>
      </c>
      <c r="N35">
        <v>1000</v>
      </c>
    </row>
    <row r="36" spans="1:20" x14ac:dyDescent="0.3">
      <c r="A36" s="2">
        <v>34</v>
      </c>
      <c r="B36" s="2">
        <v>4410995</v>
      </c>
      <c r="C36" s="12" t="s">
        <v>89</v>
      </c>
      <c r="D36" s="2">
        <v>8210078816</v>
      </c>
      <c r="E36" t="s">
        <v>92</v>
      </c>
      <c r="G36" s="2">
        <v>1</v>
      </c>
      <c r="H36" s="2">
        <f t="shared" si="0"/>
        <v>15</v>
      </c>
      <c r="I36" s="3">
        <v>45976</v>
      </c>
      <c r="J36">
        <v>5000</v>
      </c>
      <c r="K36">
        <v>500</v>
      </c>
      <c r="L36">
        <v>500</v>
      </c>
      <c r="M36">
        <f ca="1">MONTH(TODAY())-MONTH(I36)+1</f>
        <v>-1</v>
      </c>
      <c r="N36">
        <v>1000</v>
      </c>
    </row>
    <row r="37" spans="1:20" x14ac:dyDescent="0.3">
      <c r="A37" s="2">
        <v>35</v>
      </c>
      <c r="B37" s="2">
        <v>4422262</v>
      </c>
      <c r="C37" s="12" t="s">
        <v>112</v>
      </c>
      <c r="D37" s="2">
        <v>6203562187</v>
      </c>
      <c r="E37" t="s">
        <v>11</v>
      </c>
      <c r="H37" s="2">
        <f t="shared" si="0"/>
        <v>15</v>
      </c>
      <c r="I37" s="3">
        <v>45976</v>
      </c>
      <c r="K37">
        <v>2000</v>
      </c>
      <c r="L37">
        <v>2000</v>
      </c>
      <c r="M37">
        <f ca="1">MONTH(TODAY())-MONTH(I37)+1</f>
        <v>-1</v>
      </c>
      <c r="N37">
        <v>1000</v>
      </c>
    </row>
    <row r="38" spans="1:20" x14ac:dyDescent="0.3">
      <c r="A38" s="2">
        <v>36</v>
      </c>
      <c r="B38" s="2">
        <v>4431602</v>
      </c>
      <c r="C38" s="12" t="s">
        <v>115</v>
      </c>
      <c r="D38" s="2">
        <v>7209444827</v>
      </c>
      <c r="E38" t="s">
        <v>132</v>
      </c>
      <c r="G38" s="2">
        <v>1</v>
      </c>
      <c r="H38" s="2">
        <f t="shared" si="0"/>
        <v>15</v>
      </c>
      <c r="I38" s="3">
        <v>45976</v>
      </c>
      <c r="J38">
        <v>5000</v>
      </c>
      <c r="K38">
        <v>500</v>
      </c>
      <c r="L38">
        <v>500</v>
      </c>
      <c r="M38">
        <f ca="1">MONTH(TODAY())-MONTH(I38)+1</f>
        <v>-1</v>
      </c>
      <c r="N38">
        <v>1000</v>
      </c>
      <c r="T38">
        <f>4*8*250</f>
        <v>8000</v>
      </c>
    </row>
    <row r="39" spans="1:20" x14ac:dyDescent="0.3">
      <c r="A39" s="2">
        <v>37</v>
      </c>
      <c r="B39" s="2">
        <v>4509881</v>
      </c>
      <c r="C39" s="12" t="s">
        <v>89</v>
      </c>
      <c r="D39" s="2">
        <v>8092425467</v>
      </c>
      <c r="E39" t="s">
        <v>27</v>
      </c>
      <c r="G39" s="3">
        <v>45985</v>
      </c>
      <c r="H39" s="2">
        <f t="shared" si="0"/>
        <v>15</v>
      </c>
      <c r="I39" s="3">
        <v>46006</v>
      </c>
      <c r="K39">
        <v>1000</v>
      </c>
      <c r="L39">
        <v>1000</v>
      </c>
      <c r="M39">
        <f ca="1">MONTH(TODAY())-MONTH(I39)+1</f>
        <v>-2</v>
      </c>
      <c r="N39">
        <v>1000</v>
      </c>
    </row>
    <row r="40" spans="1:20" x14ac:dyDescent="0.3">
      <c r="A40" s="2">
        <v>38</v>
      </c>
      <c r="B40" s="2">
        <v>4865844</v>
      </c>
      <c r="C40" s="12" t="s">
        <v>192</v>
      </c>
      <c r="D40" s="2">
        <v>8825246679</v>
      </c>
      <c r="E40" t="s">
        <v>190</v>
      </c>
      <c r="G40" s="3">
        <v>46181</v>
      </c>
      <c r="H40" s="2">
        <v>15</v>
      </c>
      <c r="I40" s="3">
        <v>46127</v>
      </c>
      <c r="K40">
        <v>500</v>
      </c>
      <c r="L40">
        <v>500</v>
      </c>
      <c r="N40">
        <v>1000</v>
      </c>
    </row>
    <row r="41" spans="1:20" x14ac:dyDescent="0.3">
      <c r="A41" s="2">
        <v>39</v>
      </c>
      <c r="B41" s="2">
        <v>4218829</v>
      </c>
      <c r="C41" s="12" t="s">
        <v>47</v>
      </c>
      <c r="E41" t="s">
        <v>14</v>
      </c>
      <c r="H41" s="2">
        <f t="shared" ref="H41:H64" si="3">VALUE(TEXT(I41,"DD"))</f>
        <v>20</v>
      </c>
      <c r="I41" s="3">
        <v>45889</v>
      </c>
      <c r="K41">
        <v>3000</v>
      </c>
      <c r="L41">
        <f>K41+7000+10000</f>
        <v>20000</v>
      </c>
      <c r="M41">
        <f t="shared" ref="M41:M48" ca="1" si="4">MONTH(TODAY())-MONTH(I41)+1</f>
        <v>2</v>
      </c>
      <c r="N41">
        <f ca="1">K41*M41</f>
        <v>6000</v>
      </c>
    </row>
    <row r="42" spans="1:20" x14ac:dyDescent="0.3">
      <c r="A42" s="2">
        <v>40</v>
      </c>
      <c r="B42" s="2">
        <v>4220726</v>
      </c>
      <c r="E42" t="s">
        <v>17</v>
      </c>
      <c r="H42" s="2">
        <f t="shared" si="3"/>
        <v>20</v>
      </c>
      <c r="I42" s="3">
        <v>45889</v>
      </c>
      <c r="J42">
        <v>0</v>
      </c>
      <c r="K42">
        <v>5000</v>
      </c>
      <c r="L42">
        <f>K42+5000</f>
        <v>10000</v>
      </c>
      <c r="M42">
        <f t="shared" ca="1" si="4"/>
        <v>2</v>
      </c>
      <c r="N42">
        <f ca="1">K42*M42</f>
        <v>10000</v>
      </c>
    </row>
    <row r="43" spans="1:20" x14ac:dyDescent="0.3">
      <c r="A43" s="2">
        <v>41</v>
      </c>
      <c r="B43" s="2">
        <v>4289156</v>
      </c>
      <c r="C43" s="12" t="s">
        <v>70</v>
      </c>
      <c r="D43" s="2">
        <v>9931532570</v>
      </c>
      <c r="E43" t="s">
        <v>3</v>
      </c>
      <c r="G43" s="2">
        <v>1</v>
      </c>
      <c r="H43" s="2">
        <f t="shared" si="3"/>
        <v>20</v>
      </c>
      <c r="I43" s="3">
        <v>45920</v>
      </c>
      <c r="K43">
        <v>1000</v>
      </c>
      <c r="L43">
        <v>1000</v>
      </c>
      <c r="M43">
        <f t="shared" ca="1" si="4"/>
        <v>1</v>
      </c>
      <c r="N43">
        <f ca="1">K43*M43</f>
        <v>1000</v>
      </c>
      <c r="P43" s="9">
        <f>SUM(K41:K62)</f>
        <v>26600</v>
      </c>
    </row>
    <row r="44" spans="1:20" x14ac:dyDescent="0.3">
      <c r="A44" s="2">
        <v>42</v>
      </c>
      <c r="B44" s="2">
        <v>4302847</v>
      </c>
      <c r="C44" s="2">
        <v>6698</v>
      </c>
      <c r="D44" s="2">
        <v>7000239172</v>
      </c>
      <c r="E44" t="s">
        <v>55</v>
      </c>
      <c r="G44" s="2">
        <v>1</v>
      </c>
      <c r="H44" s="2">
        <f t="shared" si="3"/>
        <v>20</v>
      </c>
      <c r="I44" s="3">
        <v>45950</v>
      </c>
      <c r="K44">
        <v>500</v>
      </c>
      <c r="L44">
        <v>500</v>
      </c>
      <c r="M44">
        <f t="shared" ca="1" si="4"/>
        <v>0</v>
      </c>
      <c r="N44">
        <f ca="1">K44*M44</f>
        <v>0</v>
      </c>
    </row>
    <row r="45" spans="1:20" x14ac:dyDescent="0.3">
      <c r="A45" s="2">
        <v>43</v>
      </c>
      <c r="B45" s="2">
        <v>4371085</v>
      </c>
      <c r="C45" s="2">
        <v>7004</v>
      </c>
      <c r="D45" s="2">
        <v>8092602165</v>
      </c>
      <c r="E45" t="s">
        <v>75</v>
      </c>
      <c r="G45" s="2">
        <v>1</v>
      </c>
      <c r="H45" s="2">
        <f t="shared" si="3"/>
        <v>20</v>
      </c>
      <c r="I45" s="3">
        <v>45950</v>
      </c>
      <c r="K45">
        <v>1000</v>
      </c>
      <c r="L45">
        <v>1000</v>
      </c>
      <c r="M45">
        <f t="shared" ca="1" si="4"/>
        <v>0</v>
      </c>
      <c r="N45">
        <f ca="1">K45*M45</f>
        <v>0</v>
      </c>
    </row>
    <row r="46" spans="1:20" x14ac:dyDescent="0.3">
      <c r="A46" s="2">
        <v>44</v>
      </c>
      <c r="B46" s="2">
        <v>4430387</v>
      </c>
      <c r="C46" s="12" t="s">
        <v>112</v>
      </c>
      <c r="D46" s="2">
        <v>8797110215</v>
      </c>
      <c r="E46" s="6" t="s">
        <v>114</v>
      </c>
      <c r="H46" s="2">
        <f t="shared" si="3"/>
        <v>20</v>
      </c>
      <c r="I46" s="3">
        <v>45981</v>
      </c>
      <c r="K46">
        <v>500</v>
      </c>
      <c r="L46">
        <v>500</v>
      </c>
      <c r="M46">
        <f t="shared" ca="1" si="4"/>
        <v>-1</v>
      </c>
      <c r="N46">
        <v>1000</v>
      </c>
    </row>
    <row r="47" spans="1:20" x14ac:dyDescent="0.3">
      <c r="A47" s="2">
        <v>45</v>
      </c>
      <c r="B47" s="2">
        <v>4433581</v>
      </c>
      <c r="C47" s="12" t="s">
        <v>89</v>
      </c>
      <c r="D47" s="2">
        <v>9319808833</v>
      </c>
      <c r="E47" t="s">
        <v>119</v>
      </c>
      <c r="G47" s="2">
        <v>1</v>
      </c>
      <c r="H47" s="2">
        <f t="shared" si="3"/>
        <v>20</v>
      </c>
      <c r="I47" s="3">
        <v>45981</v>
      </c>
      <c r="K47">
        <v>500</v>
      </c>
      <c r="L47">
        <v>1000</v>
      </c>
      <c r="M47">
        <f t="shared" ca="1" si="4"/>
        <v>-1</v>
      </c>
      <c r="N47">
        <v>1000</v>
      </c>
    </row>
    <row r="48" spans="1:20" x14ac:dyDescent="0.3">
      <c r="A48" s="2">
        <v>46</v>
      </c>
      <c r="B48" s="2">
        <v>4456329</v>
      </c>
      <c r="C48" s="2">
        <v>7937</v>
      </c>
      <c r="D48" s="2">
        <v>7368900638</v>
      </c>
      <c r="E48" t="s">
        <v>0</v>
      </c>
      <c r="G48" s="3">
        <v>45964</v>
      </c>
      <c r="H48" s="2">
        <f t="shared" si="3"/>
        <v>20</v>
      </c>
      <c r="I48" s="3">
        <v>45981</v>
      </c>
      <c r="K48">
        <v>500</v>
      </c>
      <c r="L48">
        <v>500</v>
      </c>
      <c r="M48">
        <f t="shared" ca="1" si="4"/>
        <v>-1</v>
      </c>
      <c r="N48">
        <v>1000</v>
      </c>
    </row>
    <row r="49" spans="1:14" x14ac:dyDescent="0.3">
      <c r="A49" s="2">
        <v>47</v>
      </c>
      <c r="B49" s="2">
        <v>4562332</v>
      </c>
      <c r="C49" s="2">
        <v>6484</v>
      </c>
      <c r="E49" t="s">
        <v>29</v>
      </c>
      <c r="G49" s="3">
        <v>46005</v>
      </c>
      <c r="H49" s="2">
        <f t="shared" si="3"/>
        <v>20</v>
      </c>
      <c r="I49" s="3">
        <v>46011</v>
      </c>
      <c r="K49">
        <v>1000</v>
      </c>
      <c r="L49">
        <v>1000</v>
      </c>
      <c r="M49">
        <v>1</v>
      </c>
      <c r="N49">
        <v>500</v>
      </c>
    </row>
    <row r="50" spans="1:14" x14ac:dyDescent="0.3">
      <c r="A50" s="2">
        <v>48</v>
      </c>
      <c r="B50" s="2">
        <v>4755840</v>
      </c>
      <c r="C50" s="12" t="s">
        <v>181</v>
      </c>
      <c r="D50" s="2">
        <v>9608087215</v>
      </c>
      <c r="E50" t="s">
        <v>180</v>
      </c>
      <c r="G50" s="3">
        <v>46071</v>
      </c>
      <c r="H50" s="2">
        <f t="shared" si="3"/>
        <v>20</v>
      </c>
      <c r="I50" s="3">
        <v>46101</v>
      </c>
      <c r="K50">
        <v>500</v>
      </c>
      <c r="L50">
        <v>500</v>
      </c>
    </row>
    <row r="51" spans="1:14" x14ac:dyDescent="0.3">
      <c r="A51" s="2">
        <v>49</v>
      </c>
      <c r="B51" s="2">
        <v>4406681</v>
      </c>
      <c r="C51" s="12" t="s">
        <v>89</v>
      </c>
      <c r="D51" s="2">
        <v>9931321832</v>
      </c>
      <c r="E51" t="s">
        <v>90</v>
      </c>
      <c r="G51" s="2">
        <v>1</v>
      </c>
      <c r="H51" s="2">
        <f t="shared" si="3"/>
        <v>25</v>
      </c>
      <c r="I51" s="3">
        <v>45955</v>
      </c>
      <c r="K51">
        <v>500</v>
      </c>
      <c r="L51">
        <v>500</v>
      </c>
      <c r="M51">
        <f t="shared" ref="M51:M56" ca="1" si="5">MONTH(TODAY())-MONTH(I51)+1</f>
        <v>0</v>
      </c>
      <c r="N51">
        <v>1000</v>
      </c>
    </row>
    <row r="52" spans="1:14" x14ac:dyDescent="0.3">
      <c r="A52" s="2">
        <v>50</v>
      </c>
      <c r="B52" s="2">
        <v>4406766</v>
      </c>
      <c r="C52" s="2">
        <v>5063</v>
      </c>
      <c r="D52" s="2">
        <v>8809979451</v>
      </c>
      <c r="E52" t="s">
        <v>1</v>
      </c>
      <c r="H52" s="2">
        <f t="shared" si="3"/>
        <v>25</v>
      </c>
      <c r="I52" s="3">
        <v>45986</v>
      </c>
      <c r="K52">
        <v>2100</v>
      </c>
      <c r="L52">
        <v>2100</v>
      </c>
      <c r="M52">
        <f t="shared" ca="1" si="5"/>
        <v>-1</v>
      </c>
      <c r="N52">
        <v>1000</v>
      </c>
    </row>
    <row r="53" spans="1:14" x14ac:dyDescent="0.3">
      <c r="A53" s="2">
        <v>51</v>
      </c>
      <c r="B53" s="2">
        <v>4429449</v>
      </c>
      <c r="C53" s="12" t="s">
        <v>117</v>
      </c>
      <c r="E53" t="s">
        <v>116</v>
      </c>
      <c r="H53" s="2">
        <f t="shared" si="3"/>
        <v>25</v>
      </c>
      <c r="I53" s="3">
        <v>45986</v>
      </c>
      <c r="K53">
        <v>1000</v>
      </c>
      <c r="L53">
        <v>2000</v>
      </c>
      <c r="M53">
        <f t="shared" ca="1" si="5"/>
        <v>-1</v>
      </c>
      <c r="N53">
        <v>1000</v>
      </c>
    </row>
    <row r="54" spans="1:14" x14ac:dyDescent="0.3">
      <c r="A54" s="2">
        <v>52</v>
      </c>
      <c r="B54" s="2">
        <v>4450933</v>
      </c>
      <c r="C54" s="12" t="s">
        <v>89</v>
      </c>
      <c r="D54" s="2">
        <v>6203185767</v>
      </c>
      <c r="E54" s="6" t="s">
        <v>31</v>
      </c>
      <c r="G54" s="3">
        <v>45962</v>
      </c>
      <c r="H54" s="2">
        <f t="shared" si="3"/>
        <v>25</v>
      </c>
      <c r="I54" s="3">
        <v>45986</v>
      </c>
      <c r="K54">
        <v>500</v>
      </c>
      <c r="L54">
        <v>500</v>
      </c>
      <c r="M54">
        <f t="shared" ca="1" si="5"/>
        <v>-1</v>
      </c>
      <c r="N54">
        <v>1000</v>
      </c>
    </row>
    <row r="55" spans="1:14" x14ac:dyDescent="0.3">
      <c r="A55" s="2">
        <v>53</v>
      </c>
      <c r="B55" s="2">
        <v>4452391</v>
      </c>
      <c r="C55" s="12" t="s">
        <v>112</v>
      </c>
      <c r="D55" s="2">
        <v>7209371904</v>
      </c>
      <c r="E55" t="s">
        <v>124</v>
      </c>
      <c r="G55" s="3">
        <v>45962</v>
      </c>
      <c r="H55" s="2">
        <f t="shared" si="3"/>
        <v>25</v>
      </c>
      <c r="I55" s="3">
        <v>45986</v>
      </c>
      <c r="K55">
        <v>1000</v>
      </c>
      <c r="L55">
        <v>1000</v>
      </c>
      <c r="M55">
        <f t="shared" ca="1" si="5"/>
        <v>-1</v>
      </c>
      <c r="N55">
        <v>1000</v>
      </c>
    </row>
    <row r="56" spans="1:14" x14ac:dyDescent="0.3">
      <c r="A56" s="2">
        <v>54</v>
      </c>
      <c r="B56" s="2">
        <v>4452602</v>
      </c>
      <c r="C56" s="12" t="s">
        <v>112</v>
      </c>
      <c r="D56" s="2">
        <v>8538973840</v>
      </c>
      <c r="E56" t="s">
        <v>23</v>
      </c>
      <c r="G56" s="3">
        <v>45962</v>
      </c>
      <c r="H56" s="2">
        <f t="shared" si="3"/>
        <v>25</v>
      </c>
      <c r="I56" s="3">
        <v>45986</v>
      </c>
      <c r="K56">
        <v>1000</v>
      </c>
      <c r="L56">
        <v>1000</v>
      </c>
      <c r="M56">
        <f t="shared" ca="1" si="5"/>
        <v>-1</v>
      </c>
      <c r="N56">
        <v>1000</v>
      </c>
    </row>
    <row r="57" spans="1:14" x14ac:dyDescent="0.3">
      <c r="A57" s="2">
        <v>55</v>
      </c>
      <c r="B57" s="2">
        <v>4616308</v>
      </c>
      <c r="C57" s="12" t="s">
        <v>135</v>
      </c>
      <c r="D57" s="2">
        <v>9296383521</v>
      </c>
      <c r="E57" t="s">
        <v>147</v>
      </c>
      <c r="G57" s="3">
        <v>46031</v>
      </c>
      <c r="H57" s="2">
        <f t="shared" si="3"/>
        <v>25</v>
      </c>
      <c r="I57" s="3">
        <v>46078</v>
      </c>
      <c r="K57">
        <v>2500</v>
      </c>
      <c r="L57">
        <v>0</v>
      </c>
      <c r="N57">
        <v>500</v>
      </c>
    </row>
    <row r="58" spans="1:14" x14ac:dyDescent="0.3">
      <c r="A58" s="2">
        <v>56</v>
      </c>
      <c r="B58" s="2">
        <v>4252739</v>
      </c>
      <c r="C58" s="2">
        <v>7856</v>
      </c>
      <c r="D58" s="2">
        <v>7033179949</v>
      </c>
      <c r="E58" t="s">
        <v>18</v>
      </c>
      <c r="G58" s="2">
        <v>1</v>
      </c>
      <c r="H58" s="2">
        <f t="shared" si="3"/>
        <v>28</v>
      </c>
      <c r="I58" s="36">
        <v>45897</v>
      </c>
      <c r="K58">
        <v>1000</v>
      </c>
      <c r="L58">
        <f>K58</f>
        <v>1000</v>
      </c>
      <c r="M58">
        <f t="shared" ref="M58:M64" ca="1" si="6">MONTH(TODAY())-MONTH(I58)+1</f>
        <v>2</v>
      </c>
      <c r="N58">
        <f ca="1">K58*M58</f>
        <v>2000</v>
      </c>
    </row>
    <row r="59" spans="1:14" x14ac:dyDescent="0.3">
      <c r="A59" s="2">
        <v>57</v>
      </c>
      <c r="B59" s="2">
        <v>4261512</v>
      </c>
      <c r="D59" s="2">
        <v>7295023154</v>
      </c>
      <c r="E59" t="s">
        <v>21</v>
      </c>
      <c r="G59" s="2">
        <v>1</v>
      </c>
      <c r="H59" s="2">
        <f t="shared" si="3"/>
        <v>28</v>
      </c>
      <c r="I59" s="3">
        <v>45928</v>
      </c>
      <c r="K59">
        <v>500</v>
      </c>
      <c r="L59">
        <v>500</v>
      </c>
      <c r="M59">
        <f t="shared" ca="1" si="6"/>
        <v>1</v>
      </c>
      <c r="N59">
        <f ca="1">K59*M59</f>
        <v>500</v>
      </c>
    </row>
    <row r="60" spans="1:14" x14ac:dyDescent="0.3">
      <c r="A60" s="2">
        <v>58</v>
      </c>
      <c r="B60" s="27">
        <v>4287646</v>
      </c>
      <c r="C60" s="31" t="s">
        <v>49</v>
      </c>
      <c r="D60" s="34">
        <v>6207513323</v>
      </c>
      <c r="E60" s="28" t="s">
        <v>8</v>
      </c>
      <c r="F60" s="29"/>
      <c r="G60" s="28"/>
      <c r="H60" s="27">
        <f t="shared" si="3"/>
        <v>28</v>
      </c>
      <c r="I60" s="33">
        <v>45928</v>
      </c>
      <c r="J60" s="28"/>
      <c r="K60" s="28">
        <v>1000</v>
      </c>
      <c r="L60" s="28">
        <v>0</v>
      </c>
      <c r="M60">
        <f t="shared" ca="1" si="6"/>
        <v>1</v>
      </c>
      <c r="N60">
        <f ca="1">K60*M60</f>
        <v>1000</v>
      </c>
    </row>
    <row r="61" spans="1:14" x14ac:dyDescent="0.3">
      <c r="A61" s="2">
        <v>59</v>
      </c>
      <c r="B61" s="2">
        <v>4391739</v>
      </c>
      <c r="C61" s="12" t="s">
        <v>87</v>
      </c>
      <c r="D61" s="2">
        <v>7856804023</v>
      </c>
      <c r="E61" t="s">
        <v>85</v>
      </c>
      <c r="H61" s="2">
        <f t="shared" si="3"/>
        <v>28</v>
      </c>
      <c r="I61" s="3">
        <v>45593</v>
      </c>
      <c r="K61" s="8">
        <v>1000</v>
      </c>
      <c r="L61" s="8">
        <v>500</v>
      </c>
      <c r="M61">
        <f t="shared" ca="1" si="6"/>
        <v>0</v>
      </c>
      <c r="N61">
        <v>1000</v>
      </c>
    </row>
    <row r="62" spans="1:14" x14ac:dyDescent="0.3">
      <c r="A62" s="2">
        <v>60</v>
      </c>
      <c r="B62" s="2">
        <v>4416513</v>
      </c>
      <c r="C62" s="2">
        <v>5799</v>
      </c>
      <c r="D62" s="2">
        <v>6201006180</v>
      </c>
      <c r="E62" t="s">
        <v>93</v>
      </c>
      <c r="G62" s="2">
        <v>1</v>
      </c>
      <c r="H62" s="2">
        <f t="shared" si="3"/>
        <v>28</v>
      </c>
      <c r="I62" s="3">
        <v>45958</v>
      </c>
      <c r="K62">
        <v>1000</v>
      </c>
      <c r="L62">
        <v>1000</v>
      </c>
      <c r="M62">
        <f t="shared" ca="1" si="6"/>
        <v>0</v>
      </c>
      <c r="N62">
        <v>1000</v>
      </c>
    </row>
    <row r="63" spans="1:14" x14ac:dyDescent="0.3">
      <c r="A63" s="2">
        <v>61</v>
      </c>
      <c r="B63" s="30">
        <v>4338154</v>
      </c>
      <c r="C63" s="31" t="s">
        <v>71</v>
      </c>
      <c r="D63" s="27"/>
      <c r="E63" s="32" t="s">
        <v>63</v>
      </c>
      <c r="F63" s="29"/>
      <c r="G63" s="28"/>
      <c r="H63" s="27">
        <f t="shared" si="3"/>
        <v>30</v>
      </c>
      <c r="I63" s="33">
        <v>45930</v>
      </c>
      <c r="J63" s="28"/>
      <c r="K63" s="28">
        <v>0</v>
      </c>
      <c r="L63">
        <v>0</v>
      </c>
      <c r="M63">
        <f t="shared" ca="1" si="6"/>
        <v>1</v>
      </c>
      <c r="N63">
        <v>1000</v>
      </c>
    </row>
    <row r="64" spans="1:14" x14ac:dyDescent="0.3">
      <c r="A64" s="2">
        <v>62</v>
      </c>
      <c r="B64" s="2">
        <v>4883423</v>
      </c>
      <c r="C64" s="12" t="s">
        <v>194</v>
      </c>
      <c r="D64" s="2">
        <v>8987933358</v>
      </c>
      <c r="E64" t="s">
        <v>193</v>
      </c>
      <c r="H64" s="2">
        <f t="shared" si="3"/>
        <v>5</v>
      </c>
      <c r="I64" s="3">
        <v>46147</v>
      </c>
      <c r="J64">
        <v>4000</v>
      </c>
      <c r="K64">
        <v>1000</v>
      </c>
      <c r="L64">
        <v>1000</v>
      </c>
      <c r="M64">
        <f t="shared" ca="1" si="6"/>
        <v>5</v>
      </c>
      <c r="N64">
        <v>1000</v>
      </c>
    </row>
    <row r="65" spans="1:12" x14ac:dyDescent="0.3">
      <c r="A65" s="2">
        <v>63</v>
      </c>
      <c r="B65" s="2">
        <v>4958440</v>
      </c>
      <c r="C65" s="12"/>
      <c r="D65" s="2">
        <v>9102411744</v>
      </c>
      <c r="E65" t="s">
        <v>196</v>
      </c>
      <c r="I65" s="3"/>
    </row>
    <row r="66" spans="1:12" x14ac:dyDescent="0.3">
      <c r="C66" s="12"/>
      <c r="I66" s="3"/>
    </row>
    <row r="67" spans="1:12" x14ac:dyDescent="0.3">
      <c r="C67" s="12"/>
      <c r="I67" s="3"/>
    </row>
    <row r="68" spans="1:12" x14ac:dyDescent="0.3">
      <c r="C68" s="12"/>
      <c r="I68" s="3"/>
    </row>
    <row r="69" spans="1:12" x14ac:dyDescent="0.3">
      <c r="C69" s="12"/>
      <c r="I69" s="3"/>
    </row>
    <row r="70" spans="1:12" x14ac:dyDescent="0.3">
      <c r="C70" s="12"/>
      <c r="I70" s="3"/>
    </row>
    <row r="72" spans="1:12" x14ac:dyDescent="0.3">
      <c r="D72" s="2">
        <v>7070955899</v>
      </c>
      <c r="E72" t="s">
        <v>149</v>
      </c>
    </row>
    <row r="73" spans="1:12" x14ac:dyDescent="0.3">
      <c r="D73" s="2">
        <v>9905930850</v>
      </c>
      <c r="E73" t="s">
        <v>134</v>
      </c>
    </row>
    <row r="76" spans="1:12" ht="21" x14ac:dyDescent="0.4">
      <c r="J76" s="13">
        <f>SUM(J3:J75)</f>
        <v>379000</v>
      </c>
      <c r="K76" s="13">
        <f>SUM(K3:K75)</f>
        <v>76600</v>
      </c>
      <c r="L76" s="13">
        <f>SUM(L3:L75)</f>
        <v>95600</v>
      </c>
    </row>
    <row r="6695" spans="4:9" x14ac:dyDescent="0.3">
      <c r="I6695">
        <v>40000</v>
      </c>
    </row>
    <row r="6697" spans="4:9" x14ac:dyDescent="0.3">
      <c r="E6697">
        <v>6425</v>
      </c>
      <c r="G6697" t="s">
        <v>32</v>
      </c>
      <c r="I6697">
        <v>0</v>
      </c>
    </row>
    <row r="6698" spans="4:9" x14ac:dyDescent="0.3">
      <c r="E6698" t="s">
        <v>22</v>
      </c>
      <c r="G6698" t="s">
        <v>95</v>
      </c>
      <c r="I6698">
        <v>0</v>
      </c>
    </row>
    <row r="6699" spans="4:9" x14ac:dyDescent="0.3">
      <c r="G6699" t="s">
        <v>19</v>
      </c>
      <c r="I6699">
        <v>0</v>
      </c>
    </row>
    <row r="6700" spans="4:9" x14ac:dyDescent="0.3">
      <c r="E6700">
        <v>5697</v>
      </c>
      <c r="G6700" t="s">
        <v>96</v>
      </c>
    </row>
    <row r="6701" spans="4:9" x14ac:dyDescent="0.3">
      <c r="E6701">
        <v>5456</v>
      </c>
      <c r="G6701" t="s">
        <v>97</v>
      </c>
    </row>
    <row r="6702" spans="4:9" x14ac:dyDescent="0.3">
      <c r="D6702" s="1">
        <v>45949</v>
      </c>
      <c r="E6702">
        <v>110</v>
      </c>
      <c r="G6702" t="s">
        <v>40</v>
      </c>
    </row>
    <row r="6703" spans="4:9" x14ac:dyDescent="0.3">
      <c r="E6703">
        <v>110</v>
      </c>
      <c r="G6703" t="s">
        <v>40</v>
      </c>
    </row>
    <row r="6704" spans="4:9" x14ac:dyDescent="0.3">
      <c r="E6704">
        <v>6425</v>
      </c>
      <c r="G6704" t="s">
        <v>32</v>
      </c>
    </row>
    <row r="6705" spans="5:9" x14ac:dyDescent="0.3">
      <c r="E6705">
        <v>1985</v>
      </c>
      <c r="G6705" t="s">
        <v>35</v>
      </c>
      <c r="I6705">
        <v>0</v>
      </c>
    </row>
    <row r="6706" spans="5:9" x14ac:dyDescent="0.3">
      <c r="E6706">
        <v>4962</v>
      </c>
      <c r="G6706" t="s">
        <v>25</v>
      </c>
    </row>
    <row r="6707" spans="5:9" x14ac:dyDescent="0.3">
      <c r="E6707" t="s">
        <v>13</v>
      </c>
      <c r="G6707" t="s">
        <v>99</v>
      </c>
    </row>
    <row r="6708" spans="5:9" x14ac:dyDescent="0.3">
      <c r="E6708">
        <v>2765</v>
      </c>
      <c r="G6708" t="s">
        <v>2</v>
      </c>
    </row>
    <row r="6709" spans="5:9" x14ac:dyDescent="0.3">
      <c r="E6709">
        <v>1601</v>
      </c>
      <c r="G6709" t="s">
        <v>100</v>
      </c>
    </row>
    <row r="6710" spans="5:9" x14ac:dyDescent="0.3">
      <c r="E6710">
        <v>1601</v>
      </c>
      <c r="G6710" t="s">
        <v>100</v>
      </c>
      <c r="H6710" s="25">
        <v>7209811286</v>
      </c>
    </row>
    <row r="6711" spans="5:9" x14ac:dyDescent="0.3">
      <c r="E6711">
        <v>6128</v>
      </c>
      <c r="G6711" t="s">
        <v>101</v>
      </c>
    </row>
    <row r="6712" spans="5:9" x14ac:dyDescent="0.3">
      <c r="E6712">
        <v>1458</v>
      </c>
      <c r="G6712" t="s">
        <v>102</v>
      </c>
    </row>
    <row r="6713" spans="5:9" x14ac:dyDescent="0.3">
      <c r="E6713" t="s">
        <v>22</v>
      </c>
      <c r="G6713" t="s">
        <v>103</v>
      </c>
    </row>
    <row r="6714" spans="5:9" x14ac:dyDescent="0.3">
      <c r="E6714" t="s">
        <v>5</v>
      </c>
      <c r="G6714" t="s">
        <v>104</v>
      </c>
      <c r="I6714">
        <v>10000</v>
      </c>
    </row>
    <row r="6715" spans="5:9" x14ac:dyDescent="0.3">
      <c r="E6715" t="s">
        <v>20</v>
      </c>
      <c r="G6715" t="s">
        <v>105</v>
      </c>
      <c r="H6715" s="25">
        <v>9608908781</v>
      </c>
    </row>
    <row r="6716" spans="5:9" x14ac:dyDescent="0.3">
      <c r="E6716" t="s">
        <v>6</v>
      </c>
      <c r="G6716" t="s">
        <v>106</v>
      </c>
    </row>
    <row r="6717" spans="5:9" x14ac:dyDescent="0.3">
      <c r="E6717">
        <v>1607</v>
      </c>
      <c r="G6717" t="s">
        <v>34</v>
      </c>
    </row>
    <row r="6718" spans="5:9" x14ac:dyDescent="0.3">
      <c r="E6718" t="s">
        <v>12</v>
      </c>
      <c r="G6718" t="s">
        <v>7</v>
      </c>
    </row>
  </sheetData>
  <sortState xmlns:xlrd2="http://schemas.microsoft.com/office/spreadsheetml/2017/richdata2" ref="B3:N63">
    <sortCondition ref="H3:H63"/>
  </sortState>
  <phoneticPr fontId="1" type="noConversion"/>
  <hyperlinks>
    <hyperlink ref="C25" r:id="rId1" xr:uid="{62277897-8F7B-44FB-989B-758D1FDF5390}"/>
    <hyperlink ref="C3" r:id="rId2" xr:uid="{CDF8505A-A579-46E8-AC67-F42B65F2FFDE}"/>
    <hyperlink ref="C41" r:id="rId3" xr:uid="{D8CC2A36-3042-4D33-A50B-CA0F3ECED49E}"/>
    <hyperlink ref="C60" r:id="rId4" xr:uid="{F66872D3-8FB1-424A-8070-6DE035FF4E2E}"/>
    <hyperlink ref="C10" r:id="rId5" xr:uid="{304E6BF3-5A2C-4A23-8FA8-E76A5302361D}"/>
    <hyperlink ref="C11" r:id="rId6" xr:uid="{D79930AF-98BC-4A74-96C9-87949EBB6223}"/>
    <hyperlink ref="C26" r:id="rId7" xr:uid="{2F5E2525-FEB7-4559-AF35-4B32C069500B}"/>
    <hyperlink ref="C27" r:id="rId8" xr:uid="{9497B2BB-951A-4759-BEA8-4D9D7A0BBD2B}"/>
    <hyperlink ref="C43" r:id="rId9" xr:uid="{D7BBF0A8-3505-4B2A-98AB-1F647044F61D}"/>
    <hyperlink ref="C63" r:id="rId10" xr:uid="{6B979268-5784-466D-9511-53C67E828D7C}"/>
    <hyperlink ref="C28" r:id="rId11" xr:uid="{61C2E8CE-9FFF-4570-90C8-CA9B1D102DC8}"/>
    <hyperlink ref="C12" r:id="rId12" xr:uid="{5A342817-3767-42BB-9618-39A21F6195F7}"/>
    <hyperlink ref="C61" r:id="rId13" xr:uid="{DEED46D5-4014-4C9D-A84E-478624B91D63}"/>
    <hyperlink ref="C14" r:id="rId14" xr:uid="{207D4C5C-B556-4D63-9671-0F0F6CF4C294}"/>
    <hyperlink ref="C51" r:id="rId15" xr:uid="{BFC09EB0-C298-49C8-8DFC-8E7E5D5AAD0D}"/>
    <hyperlink ref="C36" r:id="rId16" xr:uid="{F8525A7B-AC4B-4A3D-B1E6-A7C970E0D4F5}"/>
    <hyperlink ref="K61" r:id="rId17" display="Dutta@19" xr:uid="{B4316DD5-5E15-41F5-A0F0-268ECCDF2376}"/>
    <hyperlink ref="C37" r:id="rId18" xr:uid="{AB415F8B-A8A9-4F11-9BC1-A82484B272E8}"/>
    <hyperlink ref="C46" r:id="rId19" xr:uid="{AAB411D4-910E-4AC3-87EC-F5E671CE2B7A}"/>
    <hyperlink ref="C38" r:id="rId20" xr:uid="{C1F953D0-FCB9-4C1F-89C6-0ACFAEB6AAFF}"/>
    <hyperlink ref="C53" r:id="rId21" xr:uid="{F453A91C-F68A-4AC2-B9EA-2D6866A6A25C}"/>
    <hyperlink ref="C47" r:id="rId22" xr:uid="{1F36D90A-EFC4-4550-801F-53846A369857}"/>
    <hyperlink ref="C15" r:id="rId23" xr:uid="{CD271D97-73F8-4360-83DF-D094736B07BC}"/>
    <hyperlink ref="C16" r:id="rId24" xr:uid="{B8B1EB98-0CDF-4AC6-A56D-9E217C4D2663}"/>
    <hyperlink ref="C17" r:id="rId25" xr:uid="{2BB31AF6-72B2-4E1A-B935-AD2672131557}"/>
    <hyperlink ref="C54" r:id="rId26" xr:uid="{8027651E-0D0A-4DE1-BA86-139001C6C7CB}"/>
    <hyperlink ref="C55" r:id="rId27" xr:uid="{E76BA743-9B9D-4705-A751-FA79F7D89B79}"/>
    <hyperlink ref="C56" r:id="rId28" xr:uid="{D7797148-46D7-4880-A8FA-4A41B44EF3FC}"/>
    <hyperlink ref="C5" r:id="rId29" xr:uid="{FDD3B09B-7B23-4DD1-818A-0DE83CE82F7D}"/>
    <hyperlink ref="C39" r:id="rId30" xr:uid="{01CA86EE-3E25-45FC-A15B-9B2C7FC2D834}"/>
    <hyperlink ref="C32" r:id="rId31" xr:uid="{74D78050-8E50-4B74-8654-B3A3A1622410}"/>
    <hyperlink ref="C33" r:id="rId32" xr:uid="{938E26E9-DD4E-431D-B6DC-DAD36DD2C45A}"/>
    <hyperlink ref="C18" r:id="rId33" xr:uid="{9E8D3A5F-8E01-4AE9-B8AC-41DFCB397817}"/>
    <hyperlink ref="C19" r:id="rId34" xr:uid="{877BA6E0-0837-4A7B-BA7A-82B086AB66B6}"/>
    <hyperlink ref="C7" r:id="rId35" xr:uid="{24382823-EEC5-43BD-804A-BBB45EE037B0}"/>
    <hyperlink ref="C34" r:id="rId36" xr:uid="{43A9AB9B-3DF2-4441-AC1A-D9A6B7B97F6D}"/>
    <hyperlink ref="C57" r:id="rId37" xr:uid="{4F776C93-1E11-48E7-A963-918D6D45180E}"/>
    <hyperlink ref="C35" r:id="rId38" xr:uid="{5E58660F-010B-4550-86FC-8E93BDA26A5F}"/>
    <hyperlink ref="C20" r:id="rId39" xr:uid="{2D60E813-C80C-49D0-80F8-D0D89CAA424E}"/>
    <hyperlink ref="C21" r:id="rId40" xr:uid="{284D80DB-7778-4FA4-B007-25F630B73E14}"/>
    <hyperlink ref="C22" r:id="rId41" xr:uid="{8E2D3932-3905-4849-8B21-8620FD858408}"/>
    <hyperlink ref="C50" r:id="rId42" xr:uid="{3A0AF1BB-EB6E-43EB-BBEA-E16C9029504B}"/>
    <hyperlink ref="C23" r:id="rId43" xr:uid="{BC7FD38F-D559-4353-8256-8E95119E6E27}"/>
    <hyperlink ref="C40" r:id="rId44" xr:uid="{C4884FAE-62A3-4051-89AC-527E67EA629A}"/>
    <hyperlink ref="C64" r:id="rId45" xr:uid="{E8A3612D-3355-491B-B587-96F900368017}"/>
    <hyperlink ref="C31" r:id="rId46" xr:uid="{F0B0FD07-E93C-4623-97EC-F720D60B0FC6}"/>
  </hyperlinks>
  <pageMargins left="0.7" right="0.7" top="0.75" bottom="0.75" header="0.3" footer="0.3"/>
  <pageSetup paperSize="0" orientation="portrait" horizontalDpi="300" verticalDpi="300"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Enquiry</vt:lpstr>
      <vt:lpstr>Calculator</vt:lpstr>
      <vt:lpstr>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BIGBOSE</dc:creator>
  <cp:lastModifiedBy>Sanjay Kumar</cp:lastModifiedBy>
  <cp:lastPrinted>2024-11-27T12:41:38Z</cp:lastPrinted>
  <dcterms:created xsi:type="dcterms:W3CDTF">2016-11-27T12:06:29Z</dcterms:created>
  <dcterms:modified xsi:type="dcterms:W3CDTF">2026-09-28T15:38:28Z</dcterms:modified>
</cp:coreProperties>
</file>