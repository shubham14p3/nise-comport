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MYEXCEL\"/>
    </mc:Choice>
  </mc:AlternateContent>
  <xr:revisionPtr revIDLastSave="0" documentId="13_ncr:1_{0B846D81-5F27-43E1-A637-56DE8B3EF657}" xr6:coauthVersionLast="47" xr6:coauthVersionMax="47" xr10:uidLastSave="{00000000-0000-0000-0000-000000000000}"/>
  <bookViews>
    <workbookView minimized="1" xWindow="5325" yWindow="3150" windowWidth="9975" windowHeight="13140" activeTab="2" xr2:uid="{00000000-000D-0000-FFFF-FFFF00000000}"/>
  </bookViews>
  <sheets>
    <sheet name="rates" sheetId="2" r:id="rId1"/>
    <sheet name="PAN DETAIL" sheetId="3" r:id="rId2"/>
    <sheet name="Passport" sheetId="7" r:id="rId3"/>
    <sheet name="ITR" sheetId="10" r:id="rId4"/>
    <sheet name="DL" sheetId="11" r:id="rId5"/>
  </sheets>
  <definedNames>
    <definedName name="_xlnm._FilterDatabase" localSheetId="1" hidden="1">'PAN DETAIL'!$A$1:$L$2447</definedName>
    <definedName name="Z_040E2B87_7533_4707_9322_D403F4F7577B_.wvu.FilterData" localSheetId="1" hidden="1">'PAN DETAIL'!$A$4:$R$805</definedName>
    <definedName name="Z_17BB0635_933F_4031_AA1B_02B47946C686_.wvu.Cols" localSheetId="0">rates!$N:$N</definedName>
    <definedName name="Z_17BB0635_933F_4031_AA1B_02B47946C686_.wvu.Rows" localSheetId="0">rates!$10:$10</definedName>
    <definedName name="Z_1DB3B8BB_FF13_43E4_91E2_4D5FE1537F47_.wvu.Cols" localSheetId="0">rates!$N:$N</definedName>
    <definedName name="Z_1DB3B8BB_FF13_43E4_91E2_4D5FE1537F47_.wvu.Rows" localSheetId="0">rates!$10:$10</definedName>
    <definedName name="Z_2725018A_75FC_4F1C_84B0_F6408FBACE16_.wvu.FilterData" localSheetId="1" hidden="1">'PAN DETAIL'!$A$4:$R$806</definedName>
    <definedName name="Z_3AED7B35_86CA_4B6C_A2EC_CD4DE422B896_.wvu.Cols" localSheetId="1">'PAN DETAIL'!$J:$J</definedName>
    <definedName name="Z_3AED7B35_86CA_4B6C_A2EC_CD4DE422B896_.wvu.Rows" localSheetId="0">rates!$10:$10</definedName>
    <definedName name="Z_5436A929_FCD6_4CC8_AC5F_737E2C2C3552_.wvu.Rows" localSheetId="0">rates!$10:$10</definedName>
    <definedName name="Z_5B977F16_71B0_46A5_85B0_37803B6F8619_.wvu.FilterData" localSheetId="1" hidden="1">'PAN DETAIL'!$A$4:$R$868</definedName>
    <definedName name="Z_62279284_2A04_4898_9B19_D0B29F26DFD3_.wvu.FilterData" localSheetId="1" hidden="1">'PAN DETAIL'!$A$1:$L$2447</definedName>
    <definedName name="Z_6DBA1DF2_B961_4824_A638_68D2235E258C_.wvu.FilterData" localSheetId="1" hidden="1">'PAN DETAIL'!$A$1:$L$2447</definedName>
    <definedName name="Z_76DB48ED_F9D5_46EE_8B68_22302006932B_.wvu.Cols" localSheetId="0">rates!$N:$N</definedName>
    <definedName name="Z_76DB48ED_F9D5_46EE_8B68_22302006932B_.wvu.Rows" localSheetId="0">rates!$10:$10</definedName>
    <definedName name="Z_7D776790_6EE6_4890_AEAD_CC685CF5AC69_.wvu.FilterData" localSheetId="1" hidden="1">'PAN DETAIL'!$A$1:$L$1958</definedName>
    <definedName name="Z_9FBD6FCD_ABF0_44CA_B044_9B9EEA555F2A_.wvu.Cols" localSheetId="0">rates!$N:$N</definedName>
    <definedName name="Z_9FBD6FCD_ABF0_44CA_B044_9B9EEA555F2A_.wvu.Rows" localSheetId="0">rates!$10:$10</definedName>
    <definedName name="Z_A2126CFA_336F_4251_8FBA_F8792C4B397B_.wvu.FilterData" localSheetId="1" hidden="1">'PAN DETAIL'!$A$4:$R$805</definedName>
    <definedName name="Z_B48AB9B1_ABCB_4969_9A44_080A32004BB6_.wvu.FilterData" localSheetId="1" hidden="1">'PAN DETAIL'!$A$1:$L$2447</definedName>
    <definedName name="Z_CFF18104_9957_4B22_A0BF_E0E9089CC41B_.wvu.Rows" localSheetId="0">rates!$10:$10</definedName>
    <definedName name="Z_E64C861B_828F_4357_A2C1_687220A83D03_.wvu.Rows" localSheetId="0">rates!$10:$10</definedName>
  </definedNames>
  <calcPr calcId="181029"/>
  <customWorkbookViews>
    <customWorkbookView name="NWEB - Personal View" guid="{A2126CFA-336F-4251-8FBA-F8792C4B397B}" maximized="1" windowWidth="0" windowHeight="0" activeSheetId="0"/>
    <customWorkbookView name="NISE-COMPUTER - Personal View" guid="{B48AB9B1-ABCB-4969-9A44-080A32004BB6}" maximized="1" windowWidth="0" windowHeight="0" activeSheetId="0"/>
    <customWorkbookView name="NISE-DESKTOP - Personal View" guid="{6DBA1DF2-B961-4824-A638-68D2235E258C}" maximized="1" windowWidth="0" windowHeight="0" activeSheetId="0"/>
    <customWorkbookView name="CSCVLE - Personal View" guid="{2725018A-75FC-4F1C-84B0-F6408FBACE16}" maximized="1" windowWidth="0" windowHeight="0" activeSheetId="0"/>
    <customWorkbookView name="CSC-KGN - Personal View" guid="{7D776790-6EE6-4890-AEAD-CC685CF5AC69}" maximized="1" windowWidth="0" windowHeight="0" activeSheetId="0"/>
    <customWorkbookView name="user2 - Personal View" guid="{040E2B87-7533-4707-9322-D403F4F7577B}" maximized="1" windowWidth="0" windowHeight="0" activeSheetId="0"/>
    <customWorkbookView name="Sanjay Kumar - Personal View" guid="{62279284-2A04-4898-9B19-D0B29F26DFD3}" maximized="1" windowWidth="0" windowHeight="0" activeSheetId="0"/>
    <customWorkbookView name="comport - Personal View" guid="{5B977F16-71B0-46A5-85B0-37803B6F8619}" maximized="1" windowWidth="0" windowHeight="0" activeSheetId="0"/>
  </customWorkbookViews>
  <extLst>
    <ext uri="GoogleSheetsCustomDataVersion1">
      <go:sheetsCustomData xmlns:go="http://customooxmlschemas.google.com/" r:id="rId19" roundtripDataSignature="AMtx7mgjEuAM7tU6HuOhANTabFZssGQyCg=="/>
    </ext>
  </extLst>
</workbook>
</file>

<file path=xl/calcChain.xml><?xml version="1.0" encoding="utf-8"?>
<calcChain xmlns="http://schemas.openxmlformats.org/spreadsheetml/2006/main">
  <c r="O314" i="11" l="1"/>
  <c r="B4044" i="3"/>
  <c r="B4045" i="3"/>
  <c r="B4046" i="3"/>
  <c r="B4047" i="3"/>
  <c r="B4048" i="3"/>
  <c r="B4049" i="3"/>
  <c r="B4050" i="3"/>
  <c r="B4051" i="3"/>
  <c r="B4052" i="3"/>
  <c r="B4053" i="3"/>
  <c r="B4054" i="3"/>
  <c r="B4043" i="3"/>
  <c r="B4042" i="3"/>
  <c r="B4040" i="3" l="1"/>
  <c r="B4041" i="3"/>
  <c r="B4039" i="3"/>
  <c r="B4035" i="3" l="1"/>
  <c r="B4036" i="3"/>
  <c r="B4037" i="3"/>
  <c r="B4038" i="3"/>
  <c r="B4034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K314" i="11"/>
  <c r="P323" i="11" l="1"/>
  <c r="L323" i="11"/>
  <c r="O311" i="11"/>
  <c r="B4015" i="3"/>
  <c r="B4016" i="3"/>
  <c r="K311" i="11"/>
  <c r="P322" i="11"/>
  <c r="L322" i="11"/>
  <c r="B4007" i="3"/>
  <c r="B4008" i="3"/>
  <c r="B4009" i="3"/>
  <c r="B4010" i="3"/>
  <c r="B4011" i="3"/>
  <c r="B4012" i="3"/>
  <c r="B4013" i="3"/>
  <c r="B4014" i="3"/>
  <c r="B4000" i="3"/>
  <c r="B4001" i="3"/>
  <c r="B4002" i="3"/>
  <c r="B4003" i="3"/>
  <c r="B4004" i="3"/>
  <c r="B4005" i="3"/>
  <c r="B4006" i="3"/>
  <c r="B3965" i="3"/>
  <c r="O310" i="11"/>
  <c r="P321" i="11"/>
  <c r="L321" i="11"/>
  <c r="B3999" i="3"/>
  <c r="B3998" i="3"/>
  <c r="B3997" i="3"/>
  <c r="B3996" i="3"/>
  <c r="B3995" i="3"/>
  <c r="B3993" i="3"/>
  <c r="B3994" i="3"/>
  <c r="K310" i="11"/>
  <c r="B3990" i="3"/>
  <c r="B3991" i="3"/>
  <c r="B3992" i="3"/>
  <c r="P320" i="11"/>
  <c r="L320" i="11"/>
  <c r="B3989" i="3" l="1"/>
  <c r="B3988" i="3"/>
  <c r="B3987" i="3"/>
  <c r="B3986" i="3"/>
  <c r="B3985" i="3"/>
  <c r="B3984" i="3" l="1"/>
  <c r="B3978" i="3"/>
  <c r="B3979" i="3"/>
  <c r="B3980" i="3"/>
  <c r="B3981" i="3"/>
  <c r="B3982" i="3"/>
  <c r="B3983" i="3"/>
  <c r="B3976" i="3"/>
  <c r="B3977" i="3"/>
  <c r="P319" i="11"/>
  <c r="P318" i="11"/>
  <c r="L319" i="11"/>
  <c r="L318" i="11"/>
  <c r="P316" i="11"/>
  <c r="L316" i="11"/>
  <c r="P317" i="11"/>
  <c r="L317" i="11"/>
  <c r="B3960" i="3" l="1"/>
  <c r="B3961" i="3"/>
  <c r="B3962" i="3"/>
  <c r="B3963" i="3"/>
  <c r="B3964" i="3"/>
  <c r="B3966" i="3"/>
  <c r="B3967" i="3"/>
  <c r="B3968" i="3"/>
  <c r="B3969" i="3"/>
  <c r="B3970" i="3"/>
  <c r="B3971" i="3"/>
  <c r="B3972" i="3"/>
  <c r="B3973" i="3"/>
  <c r="B3974" i="3"/>
  <c r="B3975" i="3"/>
  <c r="B3959" i="3"/>
  <c r="P315" i="11" l="1"/>
  <c r="L315" i="11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34" i="3"/>
  <c r="B3935" i="3"/>
  <c r="B3936" i="3"/>
  <c r="B3937" i="3"/>
  <c r="B3938" i="3"/>
  <c r="B3939" i="3"/>
  <c r="B3940" i="3"/>
  <c r="B3941" i="3"/>
  <c r="B3942" i="3"/>
  <c r="B3933" i="3"/>
  <c r="B3932" i="3"/>
  <c r="B3931" i="3" l="1"/>
  <c r="B3930" i="3"/>
  <c r="B3929" i="3"/>
  <c r="K302" i="11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15" i="3"/>
  <c r="P314" i="11"/>
  <c r="L314" i="11"/>
  <c r="B3914" i="3"/>
  <c r="P313" i="11"/>
  <c r="L313" i="11"/>
  <c r="P312" i="11"/>
  <c r="L312" i="11"/>
  <c r="P311" i="11"/>
  <c r="P310" i="11"/>
  <c r="L311" i="11"/>
  <c r="L310" i="11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898" i="3"/>
  <c r="B3897" i="3"/>
  <c r="B3896" i="3"/>
  <c r="O287" i="11"/>
  <c r="K287" i="11"/>
  <c r="B3895" i="3"/>
  <c r="B3894" i="3"/>
  <c r="P309" i="11" l="1"/>
  <c r="L309" i="11"/>
  <c r="P308" i="11"/>
  <c r="P307" i="11"/>
  <c r="L308" i="11"/>
  <c r="L307" i="11"/>
  <c r="B3893" i="3"/>
  <c r="B3892" i="3"/>
  <c r="O295" i="11"/>
  <c r="K295" i="11"/>
  <c r="B3891" i="3"/>
  <c r="B3890" i="3"/>
  <c r="B3889" i="3"/>
  <c r="B3888" i="3"/>
  <c r="B3885" i="3"/>
  <c r="B3886" i="3"/>
  <c r="B3887" i="3"/>
  <c r="B3876" i="3" l="1"/>
  <c r="B3877" i="3"/>
  <c r="B3878" i="3"/>
  <c r="B3879" i="3"/>
  <c r="B3880" i="3"/>
  <c r="B3881" i="3"/>
  <c r="B3882" i="3"/>
  <c r="B3883" i="3"/>
  <c r="B3884" i="3"/>
  <c r="B3872" i="3"/>
  <c r="B3873" i="3"/>
  <c r="B3874" i="3"/>
  <c r="B3875" i="3"/>
  <c r="P306" i="11"/>
  <c r="L306" i="11"/>
  <c r="O296" i="11"/>
  <c r="K293" i="11"/>
  <c r="O293" i="11"/>
  <c r="K296" i="11"/>
  <c r="B3870" i="3"/>
  <c r="B3869" i="3"/>
  <c r="B3871" i="3"/>
  <c r="B3868" i="3" l="1"/>
  <c r="O304" i="11"/>
  <c r="P305" i="11"/>
  <c r="L305" i="11"/>
  <c r="B3863" i="3"/>
  <c r="B3864" i="3"/>
  <c r="B3865" i="3"/>
  <c r="B3866" i="3"/>
  <c r="B3867" i="3"/>
  <c r="B3862" i="3"/>
  <c r="B3861" i="3"/>
  <c r="B3859" i="3"/>
  <c r="B3860" i="3"/>
  <c r="O291" i="11"/>
  <c r="O288" i="11"/>
  <c r="B3858" i="3" l="1"/>
  <c r="B3848" i="3" l="1"/>
  <c r="B3849" i="3"/>
  <c r="B3850" i="3"/>
  <c r="B3851" i="3"/>
  <c r="B3852" i="3"/>
  <c r="B3853" i="3"/>
  <c r="B3854" i="3"/>
  <c r="B3855" i="3"/>
  <c r="B3856" i="3"/>
  <c r="B3857" i="3"/>
  <c r="B3842" i="3"/>
  <c r="B3843" i="3"/>
  <c r="B3844" i="3"/>
  <c r="B3845" i="3"/>
  <c r="B3846" i="3"/>
  <c r="B3847" i="3"/>
  <c r="K291" i="11" l="1"/>
  <c r="B3839" i="3"/>
  <c r="B3840" i="3"/>
  <c r="B3841" i="3"/>
  <c r="P304" i="11" l="1"/>
  <c r="L304" i="11"/>
  <c r="B3833" i="3" l="1"/>
  <c r="B3834" i="3"/>
  <c r="B3835" i="3"/>
  <c r="B3836" i="3"/>
  <c r="B3837" i="3"/>
  <c r="B3838" i="3"/>
  <c r="K288" i="11" l="1"/>
  <c r="P302" i="11"/>
  <c r="P301" i="11"/>
  <c r="L302" i="11"/>
  <c r="L301" i="11"/>
  <c r="O285" i="11" l="1"/>
  <c r="K285" i="11"/>
  <c r="B3832" i="3"/>
  <c r="B3831" i="3" l="1"/>
  <c r="B3830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P300" i="11"/>
  <c r="L300" i="11" l="1"/>
  <c r="B3815" i="3"/>
  <c r="P299" i="11"/>
  <c r="L299" i="11"/>
  <c r="B3814" i="3"/>
  <c r="B3813" i="3" l="1"/>
  <c r="B3812" i="3"/>
  <c r="B3811" i="3" l="1"/>
  <c r="B3810" i="3"/>
  <c r="B3805" i="3"/>
  <c r="B3806" i="3"/>
  <c r="B3807" i="3"/>
  <c r="B3808" i="3"/>
  <c r="B3809" i="3"/>
  <c r="P298" i="11"/>
  <c r="L298" i="11"/>
  <c r="B3804" i="3"/>
  <c r="B3803" i="3" l="1"/>
  <c r="P297" i="11"/>
  <c r="P296" i="11"/>
  <c r="L297" i="11"/>
  <c r="B3801" i="3"/>
  <c r="B3802" i="3"/>
  <c r="L296" i="11" l="1"/>
  <c r="B3800" i="3"/>
  <c r="B3799" i="3"/>
  <c r="P295" i="11"/>
  <c r="L295" i="11"/>
  <c r="M1" i="3"/>
  <c r="P294" i="11"/>
  <c r="P293" i="11"/>
  <c r="L294" i="11"/>
  <c r="L293" i="11"/>
  <c r="P292" i="11"/>
  <c r="O273" i="11" l="1"/>
  <c r="O275" i="11"/>
  <c r="B3744" i="3"/>
  <c r="B3746" i="3" l="1"/>
  <c r="B3747" i="3"/>
  <c r="B3748" i="3"/>
  <c r="K273" i="11"/>
  <c r="K275" i="11"/>
  <c r="P291" i="11" l="1"/>
  <c r="L292" i="11"/>
  <c r="B3733" i="3"/>
  <c r="B3734" i="3"/>
  <c r="B3735" i="3"/>
  <c r="B3736" i="3"/>
  <c r="B3737" i="3"/>
  <c r="B3738" i="3"/>
  <c r="B3739" i="3"/>
  <c r="B3740" i="3"/>
  <c r="B3741" i="3"/>
  <c r="B3742" i="3"/>
  <c r="B3743" i="3"/>
  <c r="B3745" i="3"/>
  <c r="B3732" i="3"/>
  <c r="B3731" i="3"/>
  <c r="B3729" i="3"/>
  <c r="B3730" i="3"/>
  <c r="B3723" i="3"/>
  <c r="B3724" i="3"/>
  <c r="B3725" i="3"/>
  <c r="B3726" i="3"/>
  <c r="B3727" i="3"/>
  <c r="B3728" i="3"/>
  <c r="B3749" i="3" l="1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L291" i="11"/>
  <c r="O272" i="11"/>
  <c r="P290" i="11"/>
  <c r="L290" i="11"/>
  <c r="P289" i="11"/>
  <c r="L289" i="11"/>
  <c r="P288" i="11"/>
  <c r="L288" i="11"/>
  <c r="N3699" i="3"/>
  <c r="B3699" i="3" l="1"/>
  <c r="P287" i="11" l="1"/>
  <c r="P286" i="11"/>
  <c r="L287" i="11"/>
  <c r="L286" i="11"/>
  <c r="K265" i="11"/>
  <c r="O266" i="11"/>
  <c r="P285" i="11"/>
  <c r="L285" i="11" l="1"/>
  <c r="O271" i="11" l="1"/>
  <c r="K271" i="11" l="1"/>
  <c r="P284" i="11"/>
  <c r="L284" i="11"/>
  <c r="B3679" i="3" l="1"/>
  <c r="B3680" i="3"/>
  <c r="B3681" i="3"/>
  <c r="B3682" i="3"/>
  <c r="B3683" i="3"/>
  <c r="B3684" i="3"/>
  <c r="P281" i="11" l="1"/>
  <c r="P282" i="11"/>
  <c r="P283" i="11"/>
  <c r="L283" i="11" l="1"/>
  <c r="L282" i="11"/>
  <c r="P280" i="11"/>
  <c r="L280" i="11"/>
  <c r="B3670" i="3"/>
  <c r="K266" i="11"/>
  <c r="B3649" i="3"/>
  <c r="O262" i="11"/>
  <c r="K262" i="11"/>
  <c r="K263" i="11"/>
  <c r="O267" i="11"/>
  <c r="K267" i="11"/>
  <c r="P279" i="11" l="1"/>
  <c r="L279" i="11"/>
  <c r="O265" i="11"/>
  <c r="P278" i="11"/>
  <c r="L278" i="11"/>
  <c r="P277" i="11"/>
  <c r="L277" i="11"/>
  <c r="P273" i="11" l="1"/>
  <c r="P274" i="11"/>
  <c r="P275" i="11"/>
  <c r="P276" i="11"/>
  <c r="L276" i="11"/>
  <c r="L275" i="11"/>
  <c r="L274" i="11"/>
  <c r="L273" i="11"/>
  <c r="B3601" i="3" l="1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591" i="3"/>
  <c r="B3592" i="3"/>
  <c r="B3593" i="3"/>
  <c r="B3594" i="3"/>
  <c r="B3595" i="3"/>
  <c r="B3596" i="3"/>
  <c r="B3597" i="3"/>
  <c r="B3598" i="3"/>
  <c r="B3599" i="3"/>
  <c r="B3600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1" i="3"/>
  <c r="B3672" i="3"/>
  <c r="B3673" i="3"/>
  <c r="B3674" i="3"/>
  <c r="B3675" i="3"/>
  <c r="B3676" i="3"/>
  <c r="B3677" i="3"/>
  <c r="B3678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590" i="3" l="1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P272" i="11" l="1"/>
  <c r="L272" i="11"/>
  <c r="P271" i="11"/>
  <c r="P270" i="11"/>
  <c r="L271" i="11"/>
  <c r="L270" i="11"/>
  <c r="B3563" i="3"/>
  <c r="B3564" i="3"/>
  <c r="B3565" i="3"/>
  <c r="B3566" i="3"/>
  <c r="B3535" i="3"/>
  <c r="B3536" i="3"/>
  <c r="B3537" i="3"/>
  <c r="B3538" i="3"/>
  <c r="B3539" i="3"/>
  <c r="B3540" i="3"/>
  <c r="B3541" i="3"/>
  <c r="B3542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O259" i="11" l="1"/>
  <c r="O256" i="11"/>
  <c r="K256" i="11"/>
  <c r="P269" i="11"/>
  <c r="L268" i="11"/>
  <c r="L269" i="11"/>
  <c r="B3524" i="3" l="1"/>
  <c r="B3525" i="3"/>
  <c r="B3526" i="3"/>
  <c r="B3527" i="3"/>
  <c r="B3528" i="3"/>
  <c r="B3529" i="3"/>
  <c r="B3530" i="3"/>
  <c r="B3531" i="3"/>
  <c r="B3532" i="3"/>
  <c r="B3533" i="3"/>
  <c r="B3534" i="3"/>
  <c r="B3523" i="3" l="1"/>
  <c r="B3519" i="3" l="1"/>
  <c r="B3520" i="3"/>
  <c r="B3521" i="3"/>
  <c r="B3522" i="3"/>
  <c r="B351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488" i="3"/>
  <c r="B3489" i="3"/>
  <c r="B3490" i="3"/>
  <c r="B3491" i="3"/>
  <c r="B3492" i="3"/>
  <c r="B3493" i="3"/>
  <c r="B3494" i="3"/>
  <c r="B3495" i="3"/>
  <c r="B3496" i="3"/>
  <c r="B3497" i="3"/>
  <c r="B3498" i="3"/>
  <c r="B3482" i="3" l="1"/>
  <c r="B3483" i="3"/>
  <c r="B3484" i="3"/>
  <c r="B3485" i="3"/>
  <c r="B3486" i="3"/>
  <c r="B3487" i="3"/>
  <c r="B3470" i="3" l="1"/>
  <c r="B3471" i="3"/>
  <c r="B3472" i="3"/>
  <c r="B3473" i="3"/>
  <c r="B3474" i="3"/>
  <c r="I27" i="10"/>
  <c r="P268" i="11" l="1"/>
  <c r="P267" i="11"/>
  <c r="P266" i="11"/>
  <c r="L267" i="11" l="1"/>
  <c r="L266" i="11" l="1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5" i="3"/>
  <c r="B3476" i="3"/>
  <c r="B3477" i="3"/>
  <c r="B3478" i="3"/>
  <c r="B3479" i="3"/>
  <c r="B3480" i="3"/>
  <c r="B3481" i="3"/>
  <c r="P265" i="11" l="1"/>
  <c r="L265" i="11"/>
  <c r="K257" i="11" l="1"/>
  <c r="P264" i="11"/>
  <c r="L264" i="11"/>
  <c r="P263" i="11" l="1"/>
  <c r="L263" i="11" l="1"/>
  <c r="P262" i="11" l="1"/>
  <c r="L262" i="11"/>
  <c r="P261" i="11" l="1"/>
  <c r="L261" i="11"/>
  <c r="P260" i="11" l="1"/>
  <c r="P259" i="11"/>
  <c r="L260" i="11"/>
  <c r="L259" i="11"/>
  <c r="J258" i="11" l="1"/>
  <c r="J257" i="11"/>
  <c r="P258" i="11"/>
  <c r="L258" i="11"/>
  <c r="P257" i="11" l="1"/>
  <c r="L257" i="11"/>
  <c r="P256" i="11"/>
  <c r="L256" i="11"/>
  <c r="O244" i="11"/>
  <c r="O253" i="11"/>
  <c r="O252" i="11"/>
  <c r="O251" i="11"/>
  <c r="K252" i="11" l="1"/>
  <c r="K251" i="11"/>
  <c r="J251" i="11"/>
  <c r="K253" i="11"/>
  <c r="N253" i="11"/>
  <c r="O3325" i="3"/>
  <c r="O3326" i="3"/>
  <c r="K244" i="11"/>
  <c r="O248" i="11" l="1"/>
  <c r="K248" i="11"/>
  <c r="J253" i="11"/>
  <c r="J252" i="11"/>
  <c r="P255" i="11"/>
  <c r="K246" i="11"/>
  <c r="K225" i="11" l="1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L255" i="11"/>
  <c r="B3307" i="3" l="1"/>
  <c r="B3306" i="3"/>
  <c r="B3305" i="3"/>
  <c r="B3304" i="3"/>
  <c r="B3303" i="3" l="1"/>
  <c r="B3297" i="3"/>
  <c r="B3298" i="3"/>
  <c r="B3299" i="3"/>
  <c r="B3300" i="3"/>
  <c r="B3301" i="3"/>
  <c r="B3302" i="3"/>
  <c r="K240" i="11"/>
  <c r="O243" i="11"/>
  <c r="B3296" i="3" l="1"/>
  <c r="B3295" i="3"/>
  <c r="B3294" i="3"/>
  <c r="B3293" i="3"/>
  <c r="B3292" i="3" l="1"/>
  <c r="B3291" i="3"/>
  <c r="K243" i="11"/>
  <c r="B3290" i="3"/>
  <c r="B3289" i="3"/>
  <c r="B3288" i="3"/>
  <c r="B3287" i="3"/>
  <c r="B3286" i="3"/>
  <c r="B3285" i="3"/>
  <c r="B3284" i="3" l="1"/>
  <c r="B3283" i="3"/>
  <c r="B3282" i="3"/>
  <c r="B3281" i="3"/>
  <c r="L248" i="11" l="1"/>
  <c r="L249" i="11"/>
  <c r="L250" i="11"/>
  <c r="L251" i="11"/>
  <c r="L252" i="11"/>
  <c r="L253" i="11"/>
  <c r="L254" i="11"/>
  <c r="L247" i="11"/>
  <c r="B3280" i="3"/>
  <c r="B3279" i="3"/>
  <c r="B3278" i="3"/>
  <c r="B3277" i="3"/>
  <c r="B3276" i="3" l="1"/>
  <c r="B3275" i="3"/>
  <c r="B3274" i="3"/>
  <c r="B3273" i="3"/>
  <c r="B3272" i="3"/>
  <c r="B3271" i="3" l="1"/>
  <c r="B3269" i="3" l="1"/>
  <c r="B3270" i="3"/>
  <c r="B3268" i="3"/>
  <c r="B3267" i="3"/>
  <c r="B3266" i="3"/>
  <c r="B3265" i="3"/>
  <c r="B3264" i="3"/>
  <c r="B3263" i="3"/>
  <c r="B3262" i="3"/>
  <c r="B3261" i="3"/>
  <c r="B3258" i="3"/>
  <c r="B3259" i="3"/>
  <c r="B3260" i="3"/>
  <c r="P254" i="11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44" i="3"/>
  <c r="B3243" i="3"/>
  <c r="B3242" i="3"/>
  <c r="B3241" i="3"/>
  <c r="B3240" i="3"/>
  <c r="B3239" i="3"/>
  <c r="B3238" i="3" l="1"/>
  <c r="B3237" i="3"/>
  <c r="B3236" i="3"/>
  <c r="B3235" i="3"/>
  <c r="B3234" i="3" l="1"/>
  <c r="B3233" i="3"/>
  <c r="B3232" i="3"/>
  <c r="P253" i="11"/>
  <c r="B3231" i="3"/>
  <c r="B3230" i="3"/>
  <c r="B3229" i="3"/>
  <c r="B3228" i="3"/>
  <c r="B3227" i="3"/>
  <c r="P252" i="11"/>
  <c r="P251" i="11"/>
  <c r="O241" i="11"/>
  <c r="P250" i="11"/>
  <c r="K242" i="11"/>
  <c r="K241" i="11"/>
  <c r="B3226" i="3"/>
  <c r="B3225" i="3"/>
  <c r="O242" i="11"/>
  <c r="B3224" i="3" l="1"/>
  <c r="B3223" i="3"/>
  <c r="B3222" i="3"/>
  <c r="B3221" i="3"/>
  <c r="O249" i="11"/>
  <c r="P249" i="11" s="1"/>
  <c r="B3220" i="3"/>
  <c r="P248" i="11"/>
  <c r="P247" i="11" l="1"/>
  <c r="J246" i="11" l="1"/>
  <c r="L246" i="11" s="1"/>
  <c r="J245" i="11"/>
  <c r="L245" i="11" s="1"/>
  <c r="P246" i="11" l="1"/>
  <c r="P245" i="11"/>
  <c r="O231" i="11"/>
  <c r="O224" i="11"/>
  <c r="O3177" i="3" l="1"/>
  <c r="O221" i="11" l="1"/>
  <c r="K221" i="11"/>
  <c r="K231" i="11" l="1"/>
  <c r="P244" i="11"/>
  <c r="L244" i="11"/>
  <c r="P243" i="11" l="1"/>
  <c r="B3168" i="3"/>
  <c r="B3169" i="3"/>
  <c r="B3170" i="3"/>
  <c r="B3171" i="3"/>
  <c r="B3172" i="3"/>
  <c r="B3173" i="3"/>
  <c r="B3174" i="3"/>
  <c r="B3175" i="3"/>
  <c r="B3176" i="3"/>
  <c r="B3177" i="3"/>
  <c r="B3178" i="3"/>
  <c r="B3156" i="3"/>
  <c r="L243" i="11"/>
  <c r="O216" i="11"/>
  <c r="K201" i="11"/>
  <c r="K216" i="11"/>
  <c r="P242" i="11" l="1"/>
  <c r="L242" i="11" l="1"/>
  <c r="P241" i="11"/>
  <c r="J241" i="11"/>
  <c r="L241" i="11" s="1"/>
  <c r="P240" i="11"/>
  <c r="L240" i="11"/>
  <c r="O199" i="11"/>
  <c r="P239" i="11" l="1"/>
  <c r="L239" i="11"/>
  <c r="O232" i="11"/>
  <c r="O228" i="11"/>
  <c r="K228" i="11"/>
  <c r="K232" i="11" l="1"/>
  <c r="K199" i="11"/>
  <c r="O107" i="11"/>
  <c r="O109" i="11"/>
  <c r="K109" i="11"/>
  <c r="K158" i="11"/>
  <c r="K223" i="11"/>
  <c r="O225" i="11"/>
  <c r="P238" i="11"/>
  <c r="P237" i="11"/>
  <c r="L238" i="11"/>
  <c r="L237" i="11"/>
  <c r="O190" i="11"/>
  <c r="O207" i="11"/>
  <c r="K190" i="11"/>
  <c r="K207" i="11"/>
  <c r="O227" i="11"/>
  <c r="K227" i="11"/>
  <c r="O223" i="11"/>
  <c r="O222" i="11"/>
  <c r="J190" i="11"/>
  <c r="K222" i="11"/>
  <c r="P236" i="11"/>
  <c r="L236" i="11"/>
  <c r="P235" i="11"/>
  <c r="P234" i="11"/>
  <c r="L235" i="11"/>
  <c r="L234" i="11"/>
  <c r="O209" i="11"/>
  <c r="O219" i="11"/>
  <c r="B3083" i="3" l="1"/>
  <c r="B3081" i="3"/>
  <c r="B3082" i="3"/>
  <c r="B3084" i="3"/>
  <c r="B3085" i="3"/>
  <c r="B3086" i="3"/>
  <c r="K219" i="11" l="1"/>
  <c r="K209" i="11"/>
  <c r="O212" i="11" l="1"/>
  <c r="K212" i="11"/>
  <c r="K211" i="11"/>
  <c r="K210" i="11"/>
  <c r="P233" i="11"/>
  <c r="L233" i="11"/>
  <c r="S232" i="11"/>
  <c r="P232" i="11"/>
  <c r="O211" i="11"/>
  <c r="O210" i="11"/>
  <c r="L232" i="11"/>
  <c r="J161" i="11" l="1"/>
  <c r="O161" i="11"/>
  <c r="N161" i="11"/>
  <c r="K161" i="11" l="1"/>
  <c r="P231" i="11"/>
  <c r="L231" i="11"/>
  <c r="P230" i="11" l="1"/>
  <c r="P229" i="11"/>
  <c r="L230" i="11"/>
  <c r="L229" i="11"/>
  <c r="P228" i="11"/>
  <c r="L228" i="11"/>
  <c r="O202" i="11" l="1"/>
  <c r="O196" i="11"/>
  <c r="K202" i="11" l="1"/>
  <c r="O194" i="11" l="1"/>
  <c r="B3054" i="3" l="1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7" i="3"/>
  <c r="B3158" i="3"/>
  <c r="B3159" i="3"/>
  <c r="B3160" i="3"/>
  <c r="B3161" i="3"/>
  <c r="B3162" i="3"/>
  <c r="B3163" i="3"/>
  <c r="B3164" i="3"/>
  <c r="B3165" i="3"/>
  <c r="B3166" i="3"/>
  <c r="B3167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053" i="3"/>
  <c r="B3052" i="3"/>
  <c r="B3051" i="3"/>
  <c r="B3050" i="3"/>
  <c r="B3049" i="3"/>
  <c r="B3048" i="3"/>
  <c r="B3047" i="3"/>
  <c r="B3046" i="3"/>
  <c r="K220" i="11"/>
  <c r="B3045" i="3"/>
  <c r="B3044" i="3"/>
  <c r="B3043" i="3" l="1"/>
  <c r="B3042" i="3"/>
  <c r="B3041" i="3" l="1"/>
  <c r="B3040" i="3"/>
  <c r="B3039" i="3"/>
  <c r="B3038" i="3"/>
  <c r="K194" i="11"/>
  <c r="B3033" i="3"/>
  <c r="B3034" i="3"/>
  <c r="B3035" i="3"/>
  <c r="B3036" i="3"/>
  <c r="B3037" i="3"/>
  <c r="B3032" i="3"/>
  <c r="B3031" i="3"/>
  <c r="B3030" i="3" l="1"/>
  <c r="B3029" i="3"/>
  <c r="B3028" i="3"/>
  <c r="B3027" i="3"/>
  <c r="B3026" i="3"/>
  <c r="P225" i="11"/>
  <c r="P227" i="11"/>
  <c r="L227" i="11"/>
  <c r="L225" i="11"/>
  <c r="B3025" i="3"/>
  <c r="B3024" i="3"/>
  <c r="B3023" i="3"/>
  <c r="B3022" i="3"/>
  <c r="B3021" i="3"/>
  <c r="B3019" i="3"/>
  <c r="B3020" i="3"/>
  <c r="B3013" i="3"/>
  <c r="B3014" i="3"/>
  <c r="B3015" i="3"/>
  <c r="B3016" i="3"/>
  <c r="B3017" i="3"/>
  <c r="B3018" i="3"/>
  <c r="O197" i="11" l="1"/>
  <c r="K197" i="11"/>
  <c r="P224" i="11"/>
  <c r="P223" i="11"/>
  <c r="L224" i="11"/>
  <c r="L223" i="11"/>
  <c r="B3005" i="3"/>
  <c r="B3006" i="3"/>
  <c r="B3007" i="3"/>
  <c r="B3008" i="3"/>
  <c r="B3009" i="3"/>
  <c r="B3010" i="3"/>
  <c r="B3011" i="3"/>
  <c r="B3012" i="3"/>
  <c r="K196" i="11"/>
  <c r="P222" i="11" l="1"/>
  <c r="L222" i="11"/>
  <c r="B3003" i="3"/>
  <c r="P221" i="11"/>
  <c r="L221" i="11"/>
  <c r="P220" i="11"/>
  <c r="B2978" i="3" l="1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4" i="3"/>
  <c r="L220" i="11"/>
  <c r="L226" i="11"/>
  <c r="P226" i="11"/>
  <c r="B2977" i="3" l="1"/>
  <c r="P219" i="11"/>
  <c r="L219" i="11"/>
  <c r="B2972" i="3"/>
  <c r="B2973" i="3"/>
  <c r="B2974" i="3"/>
  <c r="B2975" i="3"/>
  <c r="B2976" i="3"/>
  <c r="B2971" i="3" l="1"/>
  <c r="B2970" i="3"/>
  <c r="B2967" i="3" l="1"/>
  <c r="B2968" i="3"/>
  <c r="B2969" i="3"/>
  <c r="B2964" i="3" l="1"/>
  <c r="B2965" i="3"/>
  <c r="B2966" i="3"/>
  <c r="B2963" i="3"/>
  <c r="B2962" i="3"/>
  <c r="L218" i="11"/>
  <c r="P218" i="11"/>
  <c r="P217" i="11"/>
  <c r="P216" i="11"/>
  <c r="L217" i="11"/>
  <c r="L216" i="11"/>
  <c r="L215" i="11"/>
  <c r="L214" i="11"/>
  <c r="B2961" i="3"/>
  <c r="B2960" i="3"/>
  <c r="B2959" i="3"/>
  <c r="B2958" i="3"/>
  <c r="P215" i="11"/>
  <c r="P214" i="11"/>
  <c r="B2957" i="3"/>
  <c r="B2956" i="3"/>
  <c r="B2955" i="3"/>
  <c r="B2954" i="3"/>
  <c r="B2953" i="3"/>
  <c r="B2952" i="3"/>
  <c r="B2951" i="3"/>
  <c r="B2950" i="3"/>
  <c r="B2949" i="3"/>
  <c r="B2948" i="3"/>
  <c r="B2947" i="3" l="1"/>
  <c r="B2946" i="3"/>
  <c r="B2945" i="3"/>
  <c r="B2944" i="3"/>
  <c r="B2943" i="3"/>
  <c r="B2942" i="3"/>
  <c r="B2941" i="3"/>
  <c r="B2940" i="3"/>
  <c r="B2939" i="3"/>
  <c r="B2938" i="3"/>
  <c r="B2937" i="3"/>
  <c r="B2936" i="3" l="1"/>
  <c r="B2935" i="3"/>
  <c r="P213" i="11"/>
  <c r="L213" i="11"/>
  <c r="P212" i="11"/>
  <c r="L212" i="11"/>
  <c r="B2934" i="3" l="1"/>
  <c r="B2933" i="3"/>
  <c r="P210" i="11" l="1"/>
  <c r="P211" i="11"/>
  <c r="L210" i="11"/>
  <c r="L211" i="11"/>
  <c r="P209" i="11"/>
  <c r="L209" i="11"/>
  <c r="B2932" i="3"/>
  <c r="B2924" i="3"/>
  <c r="B2925" i="3"/>
  <c r="B2926" i="3"/>
  <c r="B2927" i="3"/>
  <c r="B2928" i="3"/>
  <c r="B2929" i="3"/>
  <c r="B2930" i="3"/>
  <c r="B2931" i="3"/>
  <c r="B2920" i="3" l="1"/>
  <c r="B2921" i="3"/>
  <c r="B2922" i="3"/>
  <c r="B2923" i="3"/>
  <c r="P208" i="11" l="1"/>
  <c r="L208" i="11"/>
  <c r="P207" i="11" l="1"/>
  <c r="L207" i="11"/>
  <c r="P206" i="11"/>
  <c r="P205" i="11"/>
  <c r="L206" i="11"/>
  <c r="B2886" i="3"/>
  <c r="L205" i="11" l="1"/>
  <c r="P204" i="11"/>
  <c r="L204" i="11"/>
  <c r="P203" i="11" l="1"/>
  <c r="L203" i="11"/>
  <c r="P202" i="11" l="1"/>
  <c r="L202" i="11"/>
  <c r="K150" i="11" l="1"/>
  <c r="K156" i="11"/>
  <c r="K157" i="11"/>
  <c r="K166" i="11"/>
  <c r="K176" i="11"/>
  <c r="O193" i="11"/>
  <c r="O189" i="11"/>
  <c r="O157" i="11"/>
  <c r="P200" i="11"/>
  <c r="P201" i="11"/>
  <c r="L201" i="11"/>
  <c r="K189" i="11" l="1"/>
  <c r="B2883" i="3" l="1"/>
  <c r="P199" i="11"/>
  <c r="L199" i="11"/>
  <c r="K193" i="11"/>
  <c r="B2824" i="3"/>
  <c r="B2818" i="3" l="1"/>
  <c r="B2819" i="3"/>
  <c r="B2810" i="3" l="1"/>
  <c r="B2811" i="3"/>
  <c r="B2812" i="3"/>
  <c r="B2813" i="3"/>
  <c r="B2814" i="3"/>
  <c r="B2807" i="3"/>
  <c r="B2808" i="3"/>
  <c r="B2809" i="3"/>
  <c r="B2815" i="3"/>
  <c r="B2816" i="3"/>
  <c r="B2817" i="3"/>
  <c r="P198" i="11" l="1"/>
  <c r="L198" i="11"/>
  <c r="O188" i="11" l="1"/>
  <c r="P197" i="11" l="1"/>
  <c r="L197" i="11"/>
  <c r="K188" i="11"/>
  <c r="P196" i="11" l="1"/>
  <c r="L196" i="11"/>
  <c r="P195" i="11" l="1"/>
  <c r="L195" i="11"/>
  <c r="N193" i="11" l="1"/>
  <c r="P193" i="11" s="1"/>
  <c r="J193" i="11"/>
  <c r="K178" i="11"/>
  <c r="L193" i="11" l="1"/>
  <c r="P192" i="11"/>
  <c r="L192" i="11"/>
  <c r="P191" i="11"/>
  <c r="L191" i="11"/>
  <c r="P190" i="11"/>
  <c r="O168" i="11"/>
  <c r="L190" i="11"/>
  <c r="K168" i="11"/>
  <c r="P189" i="11"/>
  <c r="L189" i="11"/>
  <c r="O176" i="11"/>
  <c r="O183" i="11"/>
  <c r="K183" i="11"/>
  <c r="O172" i="11"/>
  <c r="O180" i="11" l="1"/>
  <c r="O182" i="11"/>
  <c r="O177" i="11" l="1"/>
  <c r="K177" i="11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20" i="3"/>
  <c r="B2821" i="3"/>
  <c r="B2822" i="3"/>
  <c r="B2823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4" i="3"/>
  <c r="B2885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672" i="3"/>
  <c r="B2671" i="3"/>
  <c r="B2670" i="3"/>
  <c r="B2669" i="3"/>
  <c r="B2668" i="3"/>
  <c r="B2667" i="3"/>
  <c r="B2666" i="3"/>
  <c r="B2665" i="3" l="1"/>
  <c r="B2664" i="3"/>
  <c r="K172" i="11" l="1"/>
  <c r="K180" i="11"/>
  <c r="O179" i="11"/>
  <c r="B2663" i="3"/>
  <c r="K179" i="11" l="1"/>
  <c r="B2662" i="3"/>
  <c r="P188" i="11"/>
  <c r="L188" i="11"/>
  <c r="P187" i="11"/>
  <c r="L187" i="11"/>
  <c r="P186" i="11"/>
  <c r="L186" i="11"/>
  <c r="B2661" i="3"/>
  <c r="B2660" i="3"/>
  <c r="B2659" i="3"/>
  <c r="B2657" i="3" l="1"/>
  <c r="B2656" i="3"/>
  <c r="B2655" i="3" l="1"/>
  <c r="B2654" i="3"/>
  <c r="B2653" i="3" l="1"/>
  <c r="O178" i="11" l="1"/>
  <c r="B2652" i="3"/>
  <c r="B2651" i="3" l="1"/>
  <c r="B2650" i="3"/>
  <c r="N185" i="11"/>
  <c r="P185" i="11" s="1"/>
  <c r="L185" i="11"/>
  <c r="O173" i="11"/>
  <c r="K173" i="11"/>
  <c r="B2658" i="3"/>
  <c r="B2649" i="3" l="1"/>
  <c r="B2648" i="3"/>
  <c r="B2647" i="3"/>
  <c r="P184" i="11"/>
  <c r="L184" i="11"/>
  <c r="B2646" i="3"/>
  <c r="B2645" i="3"/>
  <c r="P183" i="11"/>
  <c r="L183" i="11"/>
  <c r="K174" i="11"/>
  <c r="B2628" i="3"/>
  <c r="O175" i="11"/>
  <c r="K175" i="11" l="1"/>
  <c r="B2625" i="3"/>
  <c r="O149" i="11"/>
  <c r="N149" i="11"/>
  <c r="J149" i="11"/>
  <c r="O163" i="11"/>
  <c r="O167" i="11"/>
  <c r="P182" i="11"/>
  <c r="N167" i="11"/>
  <c r="K163" i="11" l="1"/>
  <c r="L182" i="11"/>
  <c r="O171" i="11" l="1"/>
  <c r="O162" i="11"/>
  <c r="N162" i="11"/>
  <c r="K171" i="11"/>
  <c r="K162" i="11"/>
  <c r="J162" i="11"/>
  <c r="O154" i="11" l="1"/>
  <c r="P181" i="11"/>
  <c r="P180" i="11"/>
  <c r="L181" i="11"/>
  <c r="L180" i="11"/>
  <c r="P179" i="11" l="1"/>
  <c r="L179" i="11"/>
  <c r="K154" i="11" l="1"/>
  <c r="O170" i="11"/>
  <c r="K170" i="11"/>
  <c r="O158" i="11"/>
  <c r="N158" i="11"/>
  <c r="O166" i="11"/>
  <c r="P178" i="11"/>
  <c r="P177" i="11"/>
  <c r="L178" i="11"/>
  <c r="L177" i="11"/>
  <c r="O169" i="11"/>
  <c r="K169" i="11"/>
  <c r="P176" i="11"/>
  <c r="L176" i="11"/>
  <c r="P175" i="11"/>
  <c r="L175" i="11"/>
  <c r="P174" i="11" l="1"/>
  <c r="L174" i="11"/>
  <c r="N170" i="11"/>
  <c r="P170" i="11" s="1"/>
  <c r="O118" i="11"/>
  <c r="P173" i="11"/>
  <c r="L173" i="11"/>
  <c r="K118" i="11"/>
  <c r="L172" i="11"/>
  <c r="P172" i="11"/>
  <c r="P171" i="11"/>
  <c r="L171" i="11"/>
  <c r="L170" i="11"/>
  <c r="N169" i="11"/>
  <c r="J169" i="11"/>
  <c r="O156" i="11" l="1"/>
  <c r="P168" i="11"/>
  <c r="L168" i="11"/>
  <c r="P167" i="11"/>
  <c r="L167" i="11"/>
  <c r="O160" i="11"/>
  <c r="N160" i="11"/>
  <c r="B2506" i="3" l="1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6" i="3"/>
  <c r="B2627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505" i="3"/>
  <c r="B2502" i="3"/>
  <c r="B2503" i="3"/>
  <c r="B2504" i="3"/>
  <c r="N166" i="11" l="1"/>
  <c r="P166" i="11" s="1"/>
  <c r="L166" i="11"/>
  <c r="P169" i="11" l="1"/>
  <c r="L169" i="11"/>
  <c r="B2501" i="3"/>
  <c r="B2500" i="3" l="1"/>
  <c r="B2499" i="3"/>
  <c r="B2498" i="3"/>
  <c r="B2497" i="3"/>
  <c r="B2496" i="3" l="1"/>
  <c r="B2490" i="3"/>
  <c r="B2495" i="3"/>
  <c r="B2494" i="3"/>
  <c r="B2493" i="3"/>
  <c r="B2492" i="3"/>
  <c r="B2491" i="3"/>
  <c r="B2489" i="3"/>
  <c r="B2488" i="3"/>
  <c r="B2487" i="3"/>
  <c r="B2486" i="3"/>
  <c r="B2485" i="3"/>
  <c r="B2484" i="3"/>
  <c r="B2480" i="3"/>
  <c r="B2481" i="3"/>
  <c r="B2482" i="3"/>
  <c r="B2483" i="3"/>
  <c r="O155" i="11" l="1"/>
  <c r="P164" i="11"/>
  <c r="L164" i="11"/>
  <c r="K155" i="11"/>
  <c r="J158" i="11" l="1"/>
  <c r="B2479" i="3"/>
  <c r="B2478" i="3"/>
  <c r="B2477" i="3"/>
  <c r="B2476" i="3"/>
  <c r="B2475" i="3"/>
  <c r="B2474" i="3"/>
  <c r="B2473" i="3"/>
  <c r="K8" i="10"/>
  <c r="B2472" i="3"/>
  <c r="B2471" i="3"/>
  <c r="B2470" i="3"/>
  <c r="B2469" i="3" l="1"/>
  <c r="B2468" i="3"/>
  <c r="B2467" i="3"/>
  <c r="B2466" i="3" l="1"/>
  <c r="B2465" i="3"/>
  <c r="B2464" i="3"/>
  <c r="B2463" i="3"/>
  <c r="B2462" i="3"/>
  <c r="B2461" i="3" l="1"/>
  <c r="B2460" i="3"/>
  <c r="B2459" i="3"/>
  <c r="B2458" i="3" l="1"/>
  <c r="B2457" i="3"/>
  <c r="B2456" i="3"/>
  <c r="O1974" i="3"/>
  <c r="B2454" i="3"/>
  <c r="B2455" i="3"/>
  <c r="B2453" i="3"/>
  <c r="B2449" i="3" l="1"/>
  <c r="B2450" i="3"/>
  <c r="B2451" i="3"/>
  <c r="B2452" i="3"/>
  <c r="B2448" i="3"/>
  <c r="O152" i="11" l="1"/>
  <c r="O151" i="11"/>
  <c r="K151" i="11" l="1"/>
  <c r="P163" i="11"/>
  <c r="L163" i="11"/>
  <c r="O145" i="11"/>
  <c r="P162" i="11"/>
  <c r="L162" i="11"/>
  <c r="P161" i="11"/>
  <c r="P160" i="11"/>
  <c r="L160" i="11"/>
  <c r="L161" i="11"/>
  <c r="K152" i="11" l="1"/>
  <c r="P159" i="11"/>
  <c r="L159" i="11"/>
  <c r="L158" i="11"/>
  <c r="L157" i="11"/>
  <c r="L156" i="11"/>
  <c r="L155" i="11"/>
  <c r="P158" i="11"/>
  <c r="P157" i="11"/>
  <c r="O146" i="11"/>
  <c r="K146" i="11"/>
  <c r="O150" i="11"/>
  <c r="P156" i="11" l="1"/>
  <c r="P155" i="11"/>
  <c r="O139" i="11"/>
  <c r="P139" i="11" s="1"/>
  <c r="P194" i="11"/>
  <c r="L194" i="11"/>
  <c r="B2358" i="3"/>
  <c r="P154" i="11"/>
  <c r="L154" i="11"/>
  <c r="P153" i="11"/>
  <c r="L153" i="11"/>
  <c r="K92" i="11"/>
  <c r="L92" i="11" s="1"/>
  <c r="K98" i="11"/>
  <c r="K129" i="11"/>
  <c r="L129" i="11" s="1"/>
  <c r="O121" i="11"/>
  <c r="P121" i="11" s="1"/>
  <c r="O127" i="11"/>
  <c r="P127" i="11" s="1"/>
  <c r="P152" i="11"/>
  <c r="L152" i="11"/>
  <c r="K121" i="11"/>
  <c r="L121" i="11" s="1"/>
  <c r="O144" i="11"/>
  <c r="P144" i="11" s="1"/>
  <c r="L144" i="11"/>
  <c r="P151" i="11"/>
  <c r="L151" i="11"/>
  <c r="L164" i="7"/>
  <c r="L166" i="7" s="1"/>
  <c r="P150" i="11"/>
  <c r="L150" i="11"/>
  <c r="P149" i="11"/>
  <c r="L149" i="11"/>
  <c r="P148" i="11"/>
  <c r="L148" i="11"/>
  <c r="P147" i="11"/>
  <c r="L147" i="11"/>
  <c r="P146" i="11"/>
  <c r="L146" i="11"/>
  <c r="P145" i="11"/>
  <c r="L145" i="11"/>
  <c r="N143" i="11"/>
  <c r="P143" i="11" s="1"/>
  <c r="J143" i="11"/>
  <c r="L143" i="11" s="1"/>
  <c r="P142" i="11"/>
  <c r="L142" i="11"/>
  <c r="P141" i="11"/>
  <c r="L141" i="11"/>
  <c r="P140" i="11"/>
  <c r="L140" i="11"/>
  <c r="K139" i="11"/>
  <c r="L139" i="11" s="1"/>
  <c r="P138" i="11"/>
  <c r="L138" i="11"/>
  <c r="O137" i="11"/>
  <c r="P137" i="11" s="1"/>
  <c r="K137" i="11"/>
  <c r="L137" i="11" s="1"/>
  <c r="O136" i="11"/>
  <c r="P136" i="11" s="1"/>
  <c r="K136" i="11"/>
  <c r="L136" i="11" s="1"/>
  <c r="P135" i="11"/>
  <c r="L135" i="11"/>
  <c r="P134" i="11"/>
  <c r="L134" i="11"/>
  <c r="O133" i="11"/>
  <c r="N133" i="11"/>
  <c r="K133" i="11"/>
  <c r="J133" i="11"/>
  <c r="O132" i="11"/>
  <c r="N132" i="11"/>
  <c r="K132" i="11"/>
  <c r="J132" i="11"/>
  <c r="O131" i="11"/>
  <c r="P131" i="11" s="1"/>
  <c r="K131" i="11"/>
  <c r="L131" i="11" s="1"/>
  <c r="O130" i="11"/>
  <c r="P130" i="11" s="1"/>
  <c r="K130" i="11"/>
  <c r="L130" i="11" s="1"/>
  <c r="O129" i="11"/>
  <c r="P129" i="11" s="1"/>
  <c r="O128" i="11"/>
  <c r="P128" i="11" s="1"/>
  <c r="K128" i="11"/>
  <c r="L128" i="11" s="1"/>
  <c r="K127" i="11"/>
  <c r="L127" i="11" s="1"/>
  <c r="P126" i="11"/>
  <c r="L126" i="11"/>
  <c r="O125" i="11"/>
  <c r="P125" i="11" s="1"/>
  <c r="K125" i="11"/>
  <c r="J125" i="11"/>
  <c r="O124" i="11"/>
  <c r="P124" i="11" s="1"/>
  <c r="K124" i="11"/>
  <c r="L124" i="11" s="1"/>
  <c r="P123" i="11"/>
  <c r="K123" i="11"/>
  <c r="L123" i="11" s="1"/>
  <c r="O122" i="11"/>
  <c r="P122" i="11" s="1"/>
  <c r="K122" i="11"/>
  <c r="L122" i="11" s="1"/>
  <c r="P120" i="11"/>
  <c r="L120" i="11"/>
  <c r="O119" i="11"/>
  <c r="P119" i="11" s="1"/>
  <c r="K119" i="11"/>
  <c r="L119" i="11" s="1"/>
  <c r="P118" i="11"/>
  <c r="L118" i="11"/>
  <c r="O117" i="11"/>
  <c r="P117" i="11" s="1"/>
  <c r="K117" i="11"/>
  <c r="L117" i="11" s="1"/>
  <c r="O116" i="11"/>
  <c r="P116" i="11" s="1"/>
  <c r="K116" i="11"/>
  <c r="L116" i="11" s="1"/>
  <c r="P115" i="11"/>
  <c r="L115" i="11"/>
  <c r="O114" i="11"/>
  <c r="P114" i="11" s="1"/>
  <c r="K114" i="11"/>
  <c r="L114" i="11" s="1"/>
  <c r="N113" i="11"/>
  <c r="P113" i="11" s="1"/>
  <c r="L113" i="11"/>
  <c r="P112" i="11"/>
  <c r="L112" i="11"/>
  <c r="P111" i="11"/>
  <c r="L111" i="11"/>
  <c r="P110" i="11"/>
  <c r="L110" i="11"/>
  <c r="P109" i="11"/>
  <c r="L109" i="11"/>
  <c r="P108" i="11"/>
  <c r="L108" i="11"/>
  <c r="P107" i="11"/>
  <c r="K107" i="11"/>
  <c r="J107" i="11"/>
  <c r="O106" i="11"/>
  <c r="N106" i="11"/>
  <c r="K106" i="11"/>
  <c r="J106" i="11"/>
  <c r="P105" i="11"/>
  <c r="L105" i="11"/>
  <c r="P104" i="11"/>
  <c r="L104" i="11"/>
  <c r="P103" i="11"/>
  <c r="L103" i="11"/>
  <c r="O102" i="11"/>
  <c r="N102" i="11"/>
  <c r="J102" i="11"/>
  <c r="L102" i="11" s="1"/>
  <c r="N101" i="11"/>
  <c r="P101" i="11" s="1"/>
  <c r="J101" i="11"/>
  <c r="L101" i="11" s="1"/>
  <c r="O100" i="11"/>
  <c r="N100" i="11"/>
  <c r="K100" i="11"/>
  <c r="J100" i="11"/>
  <c r="O99" i="11"/>
  <c r="N99" i="11"/>
  <c r="K99" i="11"/>
  <c r="J99" i="11"/>
  <c r="O98" i="11"/>
  <c r="N98" i="11"/>
  <c r="J98" i="11"/>
  <c r="P97" i="11"/>
  <c r="L97" i="11"/>
  <c r="P96" i="11"/>
  <c r="L96" i="11"/>
  <c r="P95" i="11"/>
  <c r="L95" i="11"/>
  <c r="O94" i="11"/>
  <c r="N94" i="11"/>
  <c r="K94" i="11"/>
  <c r="J94" i="11"/>
  <c r="N93" i="11"/>
  <c r="P93" i="11" s="1"/>
  <c r="J93" i="11"/>
  <c r="L93" i="11" s="1"/>
  <c r="O92" i="11"/>
  <c r="N92" i="11"/>
  <c r="O91" i="11"/>
  <c r="N91" i="11"/>
  <c r="K91" i="11"/>
  <c r="J91" i="11"/>
  <c r="P90" i="11"/>
  <c r="L90" i="11"/>
  <c r="O89" i="11"/>
  <c r="P89" i="11" s="1"/>
  <c r="K89" i="11"/>
  <c r="L89" i="11" s="1"/>
  <c r="O88" i="11"/>
  <c r="N88" i="11"/>
  <c r="K88" i="11"/>
  <c r="J88" i="11"/>
  <c r="O87" i="11"/>
  <c r="P87" i="11" s="1"/>
  <c r="K87" i="11"/>
  <c r="L87" i="11" s="1"/>
  <c r="T86" i="11"/>
  <c r="P86" i="11"/>
  <c r="L86" i="11"/>
  <c r="O85" i="11"/>
  <c r="P85" i="11" s="1"/>
  <c r="K85" i="11"/>
  <c r="L85" i="11" s="1"/>
  <c r="P84" i="11"/>
  <c r="L84" i="11"/>
  <c r="O83" i="11"/>
  <c r="P83" i="11" s="1"/>
  <c r="K83" i="11"/>
  <c r="L83" i="11" s="1"/>
  <c r="P82" i="11"/>
  <c r="L82" i="11"/>
  <c r="O81" i="11"/>
  <c r="P81" i="11" s="1"/>
  <c r="K81" i="11"/>
  <c r="L81" i="11" s="1"/>
  <c r="O80" i="11"/>
  <c r="N80" i="11"/>
  <c r="K80" i="11"/>
  <c r="L80" i="11" s="1"/>
  <c r="O79" i="11"/>
  <c r="P79" i="11" s="1"/>
  <c r="K79" i="11"/>
  <c r="L79" i="11" s="1"/>
  <c r="O78" i="11"/>
  <c r="N78" i="11"/>
  <c r="K78" i="11"/>
  <c r="L78" i="11" s="1"/>
  <c r="P77" i="11"/>
  <c r="J77" i="11"/>
  <c r="L77" i="11" s="1"/>
  <c r="O76" i="11"/>
  <c r="P76" i="11" s="1"/>
  <c r="L76" i="11"/>
  <c r="P75" i="11"/>
  <c r="L75" i="11"/>
  <c r="P74" i="11"/>
  <c r="L74" i="11"/>
  <c r="O73" i="11"/>
  <c r="P73" i="11" s="1"/>
  <c r="K73" i="11"/>
  <c r="L73" i="11" s="1"/>
  <c r="O72" i="11"/>
  <c r="P72" i="11" s="1"/>
  <c r="K72" i="11"/>
  <c r="J72" i="11"/>
  <c r="N71" i="11"/>
  <c r="P71" i="11" s="1"/>
  <c r="L71" i="11"/>
  <c r="O70" i="11"/>
  <c r="P70" i="11" s="1"/>
  <c r="L70" i="11"/>
  <c r="P69" i="11"/>
  <c r="L69" i="11"/>
  <c r="P68" i="11"/>
  <c r="L68" i="11"/>
  <c r="O67" i="11"/>
  <c r="P67" i="11" s="1"/>
  <c r="L67" i="11"/>
  <c r="P66" i="11"/>
  <c r="L66" i="11"/>
  <c r="O65" i="11"/>
  <c r="P65" i="11" s="1"/>
  <c r="K65" i="11"/>
  <c r="L65" i="11" s="1"/>
  <c r="O64" i="11"/>
  <c r="P64" i="11" s="1"/>
  <c r="K64" i="11"/>
  <c r="L64" i="11" s="1"/>
  <c r="N63" i="11"/>
  <c r="P63" i="11" s="1"/>
  <c r="K63" i="11"/>
  <c r="J63" i="11"/>
  <c r="N62" i="11"/>
  <c r="P62" i="11" s="1"/>
  <c r="K62" i="11"/>
  <c r="J62" i="11"/>
  <c r="P61" i="11"/>
  <c r="K61" i="11"/>
  <c r="L61" i="11" s="1"/>
  <c r="O60" i="11"/>
  <c r="P60" i="11" s="1"/>
  <c r="L60" i="11"/>
  <c r="P59" i="11"/>
  <c r="L59" i="11"/>
  <c r="P58" i="11"/>
  <c r="L58" i="11"/>
  <c r="O57" i="11"/>
  <c r="N57" i="11"/>
  <c r="K57" i="11"/>
  <c r="L57" i="11" s="1"/>
  <c r="P56" i="11"/>
  <c r="L56" i="11"/>
  <c r="P55" i="11"/>
  <c r="L55" i="11"/>
  <c r="P54" i="11"/>
  <c r="L54" i="11"/>
  <c r="P53" i="11"/>
  <c r="L53" i="11"/>
  <c r="P52" i="11"/>
  <c r="J52" i="11"/>
  <c r="L52" i="11" s="1"/>
  <c r="P51" i="11"/>
  <c r="J51" i="11"/>
  <c r="L51" i="11" s="1"/>
  <c r="P50" i="11"/>
  <c r="L50" i="11"/>
  <c r="P49" i="11"/>
  <c r="L49" i="11"/>
  <c r="P48" i="11"/>
  <c r="K48" i="11"/>
  <c r="L48" i="11" s="1"/>
  <c r="P47" i="11"/>
  <c r="L47" i="11"/>
  <c r="P46" i="11"/>
  <c r="L46" i="11"/>
  <c r="O45" i="11"/>
  <c r="P45" i="11" s="1"/>
  <c r="L45" i="11"/>
  <c r="P44" i="11"/>
  <c r="L44" i="11"/>
  <c r="P43" i="11"/>
  <c r="L43" i="11"/>
  <c r="O42" i="11"/>
  <c r="P42" i="11" s="1"/>
  <c r="L42" i="11"/>
  <c r="L41" i="11"/>
  <c r="O40" i="11"/>
  <c r="P40" i="11" s="1"/>
  <c r="L40" i="11"/>
  <c r="O38" i="11"/>
  <c r="P38" i="11" s="1"/>
  <c r="L38" i="11"/>
  <c r="P37" i="11"/>
  <c r="K37" i="11"/>
  <c r="L37" i="11" s="1"/>
  <c r="P36" i="11"/>
  <c r="L36" i="11"/>
  <c r="O35" i="11"/>
  <c r="P35" i="11" s="1"/>
  <c r="K35" i="11"/>
  <c r="L35" i="11" s="1"/>
  <c r="O34" i="11"/>
  <c r="P34" i="11" s="1"/>
  <c r="K34" i="11"/>
  <c r="L34" i="11" s="1"/>
  <c r="N33" i="11"/>
  <c r="P33" i="11" s="1"/>
  <c r="K33" i="11"/>
  <c r="J33" i="11"/>
  <c r="P32" i="11"/>
  <c r="L32" i="11"/>
  <c r="O31" i="11"/>
  <c r="P31" i="11" s="1"/>
  <c r="K31" i="11"/>
  <c r="L31" i="11" s="1"/>
  <c r="O30" i="11"/>
  <c r="P30" i="11" s="1"/>
  <c r="L30" i="11"/>
  <c r="O29" i="11"/>
  <c r="P29" i="11" s="1"/>
  <c r="K29" i="11"/>
  <c r="L29" i="11" s="1"/>
  <c r="O28" i="11"/>
  <c r="P28" i="11" s="1"/>
  <c r="K28" i="11"/>
  <c r="L28" i="11" s="1"/>
  <c r="O27" i="11"/>
  <c r="P27" i="11" s="1"/>
  <c r="L27" i="11"/>
  <c r="O26" i="11"/>
  <c r="P26" i="11" s="1"/>
  <c r="L26" i="11"/>
  <c r="O25" i="11"/>
  <c r="P25" i="11" s="1"/>
  <c r="K25" i="11"/>
  <c r="J25" i="11"/>
  <c r="O24" i="11"/>
  <c r="P24" i="11" s="1"/>
  <c r="K24" i="11"/>
  <c r="L24" i="11" s="1"/>
  <c r="P23" i="11"/>
  <c r="K23" i="11"/>
  <c r="L23" i="11" s="1"/>
  <c r="O22" i="11"/>
  <c r="P22" i="11" s="1"/>
  <c r="K22" i="11"/>
  <c r="L22" i="11" s="1"/>
  <c r="N21" i="11"/>
  <c r="P21" i="11" s="1"/>
  <c r="J21" i="11"/>
  <c r="L21" i="11" s="1"/>
  <c r="O20" i="11"/>
  <c r="P20" i="11" s="1"/>
  <c r="L20" i="11"/>
  <c r="P19" i="11"/>
  <c r="L19" i="11"/>
  <c r="O18" i="11"/>
  <c r="P18" i="11" s="1"/>
  <c r="K18" i="11"/>
  <c r="L18" i="11" s="1"/>
  <c r="O16" i="11"/>
  <c r="P16" i="11" s="1"/>
  <c r="L16" i="11"/>
  <c r="N15" i="11"/>
  <c r="P15" i="11" s="1"/>
  <c r="J15" i="11"/>
  <c r="L15" i="11" s="1"/>
  <c r="N14" i="11"/>
  <c r="P14" i="11" s="1"/>
  <c r="J14" i="11"/>
  <c r="L14" i="11" s="1"/>
  <c r="P13" i="11"/>
  <c r="L13" i="11"/>
  <c r="P10" i="11"/>
  <c r="L10" i="11"/>
  <c r="O9" i="11"/>
  <c r="P9" i="11" s="1"/>
  <c r="K9" i="11"/>
  <c r="L9" i="11" s="1"/>
  <c r="P8" i="11"/>
  <c r="L8" i="11"/>
  <c r="P7" i="11"/>
  <c r="L7" i="11"/>
  <c r="P6" i="11"/>
  <c r="L6" i="11"/>
  <c r="P5" i="11"/>
  <c r="K5" i="11"/>
  <c r="L5" i="11" s="1"/>
  <c r="P4" i="11"/>
  <c r="L4" i="11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E16" i="2"/>
  <c r="D16" i="2"/>
  <c r="C16" i="2"/>
  <c r="B16" i="2"/>
  <c r="W8" i="2"/>
  <c r="M8" i="2"/>
  <c r="P8" i="2" s="1"/>
  <c r="Q8" i="2" s="1"/>
  <c r="M7" i="2"/>
  <c r="P7" i="2" s="1"/>
  <c r="Q7" i="2" s="1"/>
  <c r="M6" i="2"/>
  <c r="P6" i="2" s="1"/>
  <c r="Q6" i="2" s="1"/>
  <c r="M5" i="2"/>
  <c r="P5" i="2" s="1"/>
  <c r="Q5" i="2" s="1"/>
  <c r="P132" i="11" l="1"/>
  <c r="P80" i="11"/>
  <c r="P133" i="11"/>
  <c r="L25" i="11"/>
  <c r="L33" i="11"/>
  <c r="P88" i="11"/>
  <c r="L100" i="11"/>
  <c r="L62" i="11"/>
  <c r="P78" i="11"/>
  <c r="L133" i="11"/>
  <c r="P92" i="11"/>
  <c r="L94" i="11"/>
  <c r="P100" i="11"/>
  <c r="L125" i="11"/>
  <c r="P91" i="11"/>
  <c r="L99" i="11"/>
  <c r="P102" i="11"/>
  <c r="L106" i="11"/>
  <c r="L107" i="11"/>
  <c r="L63" i="11"/>
  <c r="L72" i="11"/>
  <c r="L88" i="11"/>
  <c r="L91" i="11"/>
  <c r="P98" i="11"/>
  <c r="P57" i="11"/>
  <c r="P99" i="11"/>
  <c r="P94" i="11"/>
  <c r="P106" i="11"/>
  <c r="L132" i="11"/>
  <c r="L98" i="11"/>
  <c r="P2" i="11" l="1"/>
  <c r="L2" i="11"/>
  <c r="Q2" i="11" l="1"/>
  <c r="N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ID#AAAAW_Mcqvk
shubham    (2022-03-18 06:08:10)
mismatch data</t>
        </r>
      </text>
    </comment>
    <comment ref="L17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ID#AAAAW_Mcqvg
comport    (2022-03-18 06:08:10)
call to Lakhinder
7070896026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+eBo0d5kdDm2l+3tl4OEOb6Vkg=="/>
    </ext>
  </extLst>
</comments>
</file>

<file path=xl/sharedStrings.xml><?xml version="1.0" encoding="utf-8"?>
<sst xmlns="http://schemas.openxmlformats.org/spreadsheetml/2006/main" count="21409" uniqueCount="12343">
  <si>
    <t>P</t>
  </si>
  <si>
    <t>N</t>
  </si>
  <si>
    <t>Date</t>
  </si>
  <si>
    <t>n</t>
  </si>
  <si>
    <t>p</t>
  </si>
  <si>
    <t>dvd</t>
  </si>
  <si>
    <t>DC</t>
  </si>
  <si>
    <t>I3</t>
  </si>
  <si>
    <t>PHOTOS</t>
  </si>
  <si>
    <t>pdate</t>
  </si>
  <si>
    <t>model</t>
  </si>
  <si>
    <t>cdate</t>
  </si>
  <si>
    <t>cost</t>
  </si>
  <si>
    <t>mod</t>
  </si>
  <si>
    <t>cab</t>
  </si>
  <si>
    <t>SW 3490</t>
  </si>
  <si>
    <t>cpu</t>
  </si>
  <si>
    <t>dc 4th</t>
  </si>
  <si>
    <t>IT KILLER</t>
  </si>
  <si>
    <t>mbod</t>
  </si>
  <si>
    <t>gigabyte</t>
  </si>
  <si>
    <t>IT 2580</t>
  </si>
  <si>
    <t>ram</t>
  </si>
  <si>
    <t>BT 3430</t>
  </si>
  <si>
    <t>hdd</t>
  </si>
  <si>
    <t>500 gb</t>
  </si>
  <si>
    <t>sam</t>
  </si>
  <si>
    <t>kb</t>
  </si>
  <si>
    <t>mou</t>
  </si>
  <si>
    <t>monitor</t>
  </si>
  <si>
    <t>ups</t>
  </si>
  <si>
    <t>coupon</t>
  </si>
  <si>
    <t>name</t>
  </si>
  <si>
    <t>dob</t>
  </si>
  <si>
    <t>applied</t>
  </si>
  <si>
    <t>upload</t>
  </si>
  <si>
    <t>PAN NO</t>
  </si>
  <si>
    <t>Dispatch</t>
  </si>
  <si>
    <t>Email</t>
  </si>
  <si>
    <t>mob</t>
  </si>
  <si>
    <t>Y</t>
  </si>
  <si>
    <t>029229700118920</t>
  </si>
  <si>
    <t>BISHWANATH GORAI</t>
  </si>
  <si>
    <t>SATISH GORAI</t>
  </si>
  <si>
    <t>BTYPG3460J</t>
  </si>
  <si>
    <t xml:space="preserve">First Flight Couriers </t>
  </si>
  <si>
    <t>B99122262300</t>
  </si>
  <si>
    <t>029229700118953</t>
  </si>
  <si>
    <t>PRIYANKA PANDEY</t>
  </si>
  <si>
    <t>DAAPP7029D</t>
  </si>
  <si>
    <t>B991Z2262302</t>
  </si>
  <si>
    <t>029229700118942</t>
  </si>
  <si>
    <t>PANKAJ GORAI</t>
  </si>
  <si>
    <t>BTYPG3451M</t>
  </si>
  <si>
    <t>B991Z2262301</t>
  </si>
  <si>
    <t>029229700132802</t>
  </si>
  <si>
    <t>Sarita Pandey</t>
  </si>
  <si>
    <t>DDYPP3192N</t>
  </si>
  <si>
    <t>FIRST FLIGHT</t>
  </si>
  <si>
    <t>B90304429400</t>
  </si>
  <si>
    <t>rcpt given</t>
  </si>
  <si>
    <t>029229700132780</t>
  </si>
  <si>
    <t>Salma Khatoon</t>
  </si>
  <si>
    <t>ELXPK7471M</t>
  </si>
  <si>
    <t>B90304429398</t>
  </si>
  <si>
    <t>Imran Akhtar</t>
  </si>
  <si>
    <t>029229700133141</t>
  </si>
  <si>
    <t>Mohammad DILSAD ALAM</t>
  </si>
  <si>
    <t>withheld</t>
  </si>
  <si>
    <t>029229700133642</t>
  </si>
  <si>
    <t>JASPAL SINGH</t>
  </si>
  <si>
    <t>GXYPS9701M</t>
  </si>
  <si>
    <t>B90304843675</t>
  </si>
  <si>
    <t>FIRST FLIGH</t>
  </si>
  <si>
    <t>A001148505</t>
  </si>
  <si>
    <t>SHAHNAZ BEGUM</t>
  </si>
  <si>
    <t>CMVPB9372H</t>
  </si>
  <si>
    <t>Q000107137</t>
  </si>
  <si>
    <t>NAND KISHORE BHAGAT</t>
  </si>
  <si>
    <t>ABCPB1685P</t>
  </si>
  <si>
    <t>COURIER</t>
  </si>
  <si>
    <t>A001199495</t>
  </si>
  <si>
    <t>ABDHESH KUMAR SINGH</t>
  </si>
  <si>
    <t>JAY PRAKASH SINGH</t>
  </si>
  <si>
    <t>HBNPS7491L</t>
  </si>
  <si>
    <t>A001199281</t>
  </si>
  <si>
    <t>ASMANJ MAHATO</t>
  </si>
  <si>
    <t>DHIRENDRA NATH MAHATO</t>
  </si>
  <si>
    <t>DFGPM4264C</t>
  </si>
  <si>
    <t>A001199375</t>
  </si>
  <si>
    <t>RAJ KUMAR GOSWAMI</t>
  </si>
  <si>
    <t>JITENDRA NATH GOSWAMI</t>
  </si>
  <si>
    <t>BXHPG5367F</t>
  </si>
  <si>
    <t>A001210886</t>
  </si>
  <si>
    <t>NUTAN DEVI</t>
  </si>
  <si>
    <t>KAUSHAL DUBEY</t>
  </si>
  <si>
    <t>CQGPD2670H</t>
  </si>
  <si>
    <t>15/10/2016</t>
  </si>
  <si>
    <t>Q000132284</t>
  </si>
  <si>
    <t>KUMARI SONY</t>
  </si>
  <si>
    <t>GIRIDHAR PRASAD</t>
  </si>
  <si>
    <t>Dispatched</t>
  </si>
  <si>
    <t>21/10/2016</t>
  </si>
  <si>
    <t>029229700138026</t>
  </si>
  <si>
    <t>Aman kumar</t>
  </si>
  <si>
    <t>EPKPK7901D</t>
  </si>
  <si>
    <t>10-Oct-2016.</t>
  </si>
  <si>
    <t>029229700138085</t>
  </si>
  <si>
    <t>Kartik Kumar</t>
  </si>
  <si>
    <t>EPKPK7899A</t>
  </si>
  <si>
    <t>EA427675339IN</t>
  </si>
  <si>
    <t>881060182146384</t>
  </si>
  <si>
    <t>Neha Kumari</t>
  </si>
  <si>
    <t>GJFPK8645K</t>
  </si>
  <si>
    <t>B903Z2978582,</t>
  </si>
  <si>
    <t>881060182151870</t>
  </si>
  <si>
    <t>Moni Kumari Verma</t>
  </si>
  <si>
    <t>BJDPV0846C</t>
  </si>
  <si>
    <t>B903Z2978596</t>
  </si>
  <si>
    <t>881060182272793</t>
  </si>
  <si>
    <t>Sampuniman</t>
  </si>
  <si>
    <t>JGIPS5936Q</t>
  </si>
  <si>
    <t xml:space="preserve">B903Z2978708, </t>
  </si>
  <si>
    <t>881060226167962</t>
  </si>
  <si>
    <t>Akash Badhuk</t>
  </si>
  <si>
    <t>OBJECTION</t>
  </si>
  <si>
    <t>881060182399095</t>
  </si>
  <si>
    <t>Ita Samajder</t>
  </si>
  <si>
    <t>JGHPS4185Q</t>
  </si>
  <si>
    <t>27-Nov-2017.</t>
  </si>
  <si>
    <t>EA896810826IN,</t>
  </si>
  <si>
    <t>881060226185731</t>
  </si>
  <si>
    <t>MOHAMMED MOAZZAM ALAM</t>
  </si>
  <si>
    <t>881060226195273</t>
  </si>
  <si>
    <t>Tuhina Sarkar</t>
  </si>
  <si>
    <t>881060182879612</t>
  </si>
  <si>
    <t>Nuna Devi</t>
  </si>
  <si>
    <t>DZGPD0206K</t>
  </si>
  <si>
    <t>B903Z3013275</t>
  </si>
  <si>
    <t>881060226219224</t>
  </si>
  <si>
    <t>Bimla Dwivedy</t>
  </si>
  <si>
    <t>BOGPD5774M</t>
  </si>
  <si>
    <t>05-Dec-2017.</t>
  </si>
  <si>
    <t>EA329662105IN</t>
  </si>
  <si>
    <t>881060183127353</t>
  </si>
  <si>
    <t>Nazibul Haque</t>
  </si>
  <si>
    <t>20/10/1980</t>
  </si>
  <si>
    <t>AVHPH0620B</t>
  </si>
  <si>
    <t>B903Z3022860,</t>
  </si>
  <si>
    <t>881060183127994</t>
  </si>
  <si>
    <t>Alima Khatun</t>
  </si>
  <si>
    <t>GKCPK6766F</t>
  </si>
  <si>
    <t>B903Z1988378</t>
  </si>
  <si>
    <t>881060183184156</t>
  </si>
  <si>
    <t>Muslima Khatun</t>
  </si>
  <si>
    <t>GJWPK9852D</t>
  </si>
  <si>
    <t>03-Dec-2017.</t>
  </si>
  <si>
    <t>B903Z1964104</t>
  </si>
  <si>
    <t>881060183648680</t>
  </si>
  <si>
    <t>Vidyawati Chandra</t>
  </si>
  <si>
    <t>BRMPC9547E</t>
  </si>
  <si>
    <t>B903Z1965262,</t>
  </si>
  <si>
    <t>881060183648153</t>
  </si>
  <si>
    <t>Pramita Devi</t>
  </si>
  <si>
    <t>DZMPD9064F</t>
  </si>
  <si>
    <t>EA328323335IN</t>
  </si>
  <si>
    <t>881060226261165</t>
  </si>
  <si>
    <t>Anil Kumar Pandey</t>
  </si>
  <si>
    <t>UNDER PROCESS</t>
  </si>
  <si>
    <t>881060184317670</t>
  </si>
  <si>
    <t>Shatrughan Mahato</t>
  </si>
  <si>
    <t>EGMPM9333L</t>
  </si>
  <si>
    <t>B903Z2060886</t>
  </si>
  <si>
    <t>881060184493775</t>
  </si>
  <si>
    <t>PRAMILA SINGH</t>
  </si>
  <si>
    <t>JIFPS5249F</t>
  </si>
  <si>
    <t>B903Z2060932</t>
  </si>
  <si>
    <t>881060226304731</t>
  </si>
  <si>
    <t>Somra Oraon</t>
  </si>
  <si>
    <t>ACBPO5007A</t>
  </si>
  <si>
    <t>EA593866615IN</t>
  </si>
  <si>
    <t>881060184514403</t>
  </si>
  <si>
    <t>Kanchan Mahata</t>
  </si>
  <si>
    <t>EGTPM2285L</t>
  </si>
  <si>
    <t>881060226340980</t>
  </si>
  <si>
    <t>Om Prakash Prasad</t>
  </si>
  <si>
    <t>BGZPP0119D</t>
  </si>
  <si>
    <t>B903Z2142003</t>
  </si>
  <si>
    <t>881060184911616</t>
  </si>
  <si>
    <t>Gagan Mandal</t>
  </si>
  <si>
    <t>EHAPM1067G</t>
  </si>
  <si>
    <t>B903Z2150029</t>
  </si>
  <si>
    <t>881060184987216</t>
  </si>
  <si>
    <t>Arun Gorai</t>
  </si>
  <si>
    <t>CLIPG5059E</t>
  </si>
  <si>
    <t>B903Z2267539</t>
  </si>
  <si>
    <t>881060184995966</t>
  </si>
  <si>
    <t>Vijay Barla</t>
  </si>
  <si>
    <t>DLRPB6064C</t>
  </si>
  <si>
    <t>881060184984862</t>
  </si>
  <si>
    <t>Hamid Ali</t>
  </si>
  <si>
    <t>COSPA0100F</t>
  </si>
  <si>
    <t>B903Z2150114</t>
  </si>
  <si>
    <t>881060226347442</t>
  </si>
  <si>
    <t>Renu Sharma</t>
  </si>
  <si>
    <t>EPVPS1252C</t>
  </si>
  <si>
    <t>EA555365503IN</t>
  </si>
  <si>
    <t>881060184757502</t>
  </si>
  <si>
    <t>Dilip Mahato</t>
  </si>
  <si>
    <t>EHAPM0975B</t>
  </si>
  <si>
    <t>B903Z2149910</t>
  </si>
  <si>
    <t>881060185253301</t>
  </si>
  <si>
    <t>Inderjeet Kaur</t>
  </si>
  <si>
    <t>881060185499314</t>
  </si>
  <si>
    <t>Satrughan Kumar</t>
  </si>
  <si>
    <t>GLJPK2339N</t>
  </si>
  <si>
    <t>17-Dec-2017.</t>
  </si>
  <si>
    <t>B903Z2114328</t>
  </si>
  <si>
    <t>881060226398553</t>
  </si>
  <si>
    <t>Sunil Sowar</t>
  </si>
  <si>
    <t>HOAPS6442P</t>
  </si>
  <si>
    <t xml:space="preserve"> 01-Jan-2018 </t>
  </si>
  <si>
    <t> EA599970262IN</t>
  </si>
  <si>
    <t>881060226399275</t>
  </si>
  <si>
    <t>SITANATH DUTTA</t>
  </si>
  <si>
    <t>881060185766412</t>
  </si>
  <si>
    <t>Mohammad Sahil</t>
  </si>
  <si>
    <t>881060185770542</t>
  </si>
  <si>
    <t>Kulwanti Devi</t>
  </si>
  <si>
    <t>881060185906213</t>
  </si>
  <si>
    <t>GOPAL JEE SHARMA</t>
  </si>
  <si>
    <t>881060185907495</t>
  </si>
  <si>
    <t>Momin Nisha</t>
  </si>
  <si>
    <t>881060186049654</t>
  </si>
  <si>
    <t>Kusum</t>
  </si>
  <si>
    <t>881060226429412</t>
  </si>
  <si>
    <t>Prabha Sarker</t>
  </si>
  <si>
    <t>delivered</t>
  </si>
  <si>
    <t>881060186189120</t>
  </si>
  <si>
    <t>Sonia Dey</t>
  </si>
  <si>
    <t>ECWPD8290P</t>
  </si>
  <si>
    <t>B903Z2280298</t>
  </si>
  <si>
    <t>881060186400262</t>
  </si>
  <si>
    <t>Ayan Samanata</t>
  </si>
  <si>
    <t>JJUPS5452J</t>
  </si>
  <si>
    <t>B903Z3229488</t>
  </si>
  <si>
    <t>881060186396320</t>
  </si>
  <si>
    <t>Dinesh Singh</t>
  </si>
  <si>
    <t>JJUPS5451M</t>
  </si>
  <si>
    <t>B903Z3229487</t>
  </si>
  <si>
    <t>881060186860652</t>
  </si>
  <si>
    <t>Sultana Abida</t>
  </si>
  <si>
    <t>JKNPS1215R</t>
  </si>
  <si>
    <t>881060187004152</t>
  </si>
  <si>
    <t xml:space="preserve"> Saswati Basu</t>
  </si>
  <si>
    <t>31-12-1952</t>
  </si>
  <si>
    <t>DMJPB3396E</t>
  </si>
  <si>
    <t>B903Z3259613</t>
  </si>
  <si>
    <t>881060187199861</t>
  </si>
  <si>
    <t>Anwari Khatoon</t>
  </si>
  <si>
    <t>GNPPK9794B</t>
  </si>
  <si>
    <t>EA602324527IN</t>
  </si>
  <si>
    <t>881060226512373</t>
  </si>
  <si>
    <t>Arun Gupta</t>
  </si>
  <si>
    <t>APUPG9064P</t>
  </si>
  <si>
    <t>10-Jan-2018.</t>
  </si>
  <si>
    <t>EA607361230IN,</t>
  </si>
  <si>
    <t>881060187365536</t>
  </si>
  <si>
    <t>Aruna Gupta</t>
  </si>
  <si>
    <t xml:space="preserve">  CLFPG3541L </t>
  </si>
  <si>
    <t>07-Jan-2018.</t>
  </si>
  <si>
    <t>EA605044340IN,</t>
  </si>
  <si>
    <t>881060187442201</t>
  </si>
  <si>
    <t>Majid</t>
  </si>
  <si>
    <t>EHZPM4132H</t>
  </si>
  <si>
    <t>04-Jan-2018.</t>
  </si>
  <si>
    <t>. EA602158246IN,</t>
  </si>
  <si>
    <t>881060187443612</t>
  </si>
  <si>
    <t>Elama</t>
  </si>
  <si>
    <t xml:space="preserve">ADHPE6357J </t>
  </si>
  <si>
    <t>EA602158250IN</t>
  </si>
  <si>
    <t>881060226521440</t>
  </si>
  <si>
    <t>Anjali Mishra</t>
  </si>
  <si>
    <t xml:space="preserve">BQJPM7354M </t>
  </si>
  <si>
    <t>EA607361243IN,</t>
  </si>
  <si>
    <t>881060187501255</t>
  </si>
  <si>
    <t>Nazua Gul Afshan</t>
  </si>
  <si>
    <t xml:space="preserve">  CPHPA3893M </t>
  </si>
  <si>
    <t>03-Jan-2018.</t>
  </si>
  <si>
    <t>EA601317666IN,</t>
  </si>
  <si>
    <t>881060187581604</t>
  </si>
  <si>
    <t>ABDUL HAMID</t>
  </si>
  <si>
    <t>AVUPH5200J</t>
  </si>
  <si>
    <t>EA602169133IN</t>
  </si>
  <si>
    <t>881060187674100</t>
  </si>
  <si>
    <t>NAUSABA KHATOON</t>
  </si>
  <si>
    <t>GNPPK9996F</t>
  </si>
  <si>
    <t>EA602365019IN</t>
  </si>
  <si>
    <t>881060187677412</t>
  </si>
  <si>
    <t>SIMA KUMARI</t>
  </si>
  <si>
    <t xml:space="preserve">  GNSPK5502E </t>
  </si>
  <si>
    <t>06-Jan-2018.</t>
  </si>
  <si>
    <t>EA604531955IN,</t>
  </si>
  <si>
    <t>881060187680676</t>
  </si>
  <si>
    <t>KANHYA KUMAR</t>
  </si>
  <si>
    <t xml:space="preserve">GNSPK5528L </t>
  </si>
  <si>
    <t>EA604021798IN,</t>
  </si>
  <si>
    <t>881060187769624</t>
  </si>
  <si>
    <t>Habiba Khatoon</t>
  </si>
  <si>
    <t xml:space="preserve">GNPPK9987L </t>
  </si>
  <si>
    <t>EA602384565IN,</t>
  </si>
  <si>
    <t>881060188021510</t>
  </si>
  <si>
    <t>Shakuntala Singh</t>
  </si>
  <si>
    <t>JLXPS0308L</t>
  </si>
  <si>
    <t>B903Z3271316,</t>
  </si>
  <si>
    <t>881060188047970</t>
  </si>
  <si>
    <t>Wakil Ahmad Quraishi</t>
  </si>
  <si>
    <t xml:space="preserve">ABAPQ8849G </t>
  </si>
  <si>
    <t>09-Jan-2018.</t>
  </si>
  <si>
    <t>EA606568935IN</t>
  </si>
  <si>
    <t>881060188113604</t>
  </si>
  <si>
    <t>Maleshwari Gounder</t>
  </si>
  <si>
    <t>CLGPG0595P</t>
  </si>
  <si>
    <t>EA606578898IN</t>
  </si>
  <si>
    <t>881060188314596</t>
  </si>
  <si>
    <t>Gokarla Hymavathi</t>
  </si>
  <si>
    <t xml:space="preserve">AVWPH6805P </t>
  </si>
  <si>
    <t>12-Jan-2018.</t>
  </si>
  <si>
    <t>EA706782004IN,</t>
  </si>
  <si>
    <t>881060188398515</t>
  </si>
  <si>
    <t>Shivanand Singh</t>
  </si>
  <si>
    <t>JLXPS0294B</t>
  </si>
  <si>
    <t xml:space="preserve"> 08-Jan-2018</t>
  </si>
  <si>
    <t>B903Z2268033</t>
  </si>
  <si>
    <t>881060226582480</t>
  </si>
  <si>
    <t>Faisal Bakhsh</t>
  </si>
  <si>
    <t xml:space="preserve">  CVCPB2743Q </t>
  </si>
  <si>
    <t>881060226594881</t>
  </si>
  <si>
    <t>Himanshu Ranjan</t>
  </si>
  <si>
    <t xml:space="preserve">BZCPR8865A </t>
  </si>
  <si>
    <t>18-Jan-2018.</t>
  </si>
  <si>
    <t xml:space="preserve">EA712566843IN, </t>
  </si>
  <si>
    <t>881060188588834</t>
  </si>
  <si>
    <t>Syeda Nazneen Saba</t>
  </si>
  <si>
    <t>881060188769832</t>
  </si>
  <si>
    <t>Ravi Kumar Rahule</t>
  </si>
  <si>
    <t>DGRPR0239G</t>
  </si>
  <si>
    <t>B903Z2291236</t>
  </si>
  <si>
    <t>881060188782620</t>
  </si>
  <si>
    <t>Babar Khan</t>
  </si>
  <si>
    <t>GOSPK8383C</t>
  </si>
  <si>
    <t>B903Z3332695,</t>
  </si>
  <si>
    <t>881060226618552</t>
  </si>
  <si>
    <t>Prity Tiwary</t>
  </si>
  <si>
    <t>APNPT0817Q</t>
  </si>
  <si>
    <t>23-01-18</t>
  </si>
  <si>
    <t>POST</t>
  </si>
  <si>
    <t>881060189039634</t>
  </si>
  <si>
    <t>Chittaranjan Badhuk</t>
  </si>
  <si>
    <t>881060189314126</t>
  </si>
  <si>
    <t>Anita Das</t>
  </si>
  <si>
    <t>EDDPD3885G</t>
  </si>
  <si>
    <t>B903Z4500733</t>
  </si>
  <si>
    <t>881060189321115</t>
  </si>
  <si>
    <t>Bipin Bihari Prasad</t>
  </si>
  <si>
    <t>EHKPP9506H</t>
  </si>
  <si>
    <t>881060189581073</t>
  </si>
  <si>
    <t>Pinki Prajapati</t>
  </si>
  <si>
    <t>EGNPP7205P</t>
  </si>
  <si>
    <t>881060226661823</t>
  </si>
  <si>
    <t>Dipesh Dubey</t>
  </si>
  <si>
    <t>AMPPD0063M</t>
  </si>
  <si>
    <t>03-Feb-2018 </t>
  </si>
  <si>
    <t>881060189702501</t>
  </si>
  <si>
    <t>Sheikh Junaid</t>
  </si>
  <si>
    <t>BLJPJ3698C</t>
  </si>
  <si>
    <t>23301797876,</t>
  </si>
  <si>
    <t>881060189701694</t>
  </si>
  <si>
    <t>FIRDUS NIGAR</t>
  </si>
  <si>
    <t xml:space="preserve">  BNXPN9619R </t>
  </si>
  <si>
    <t>881060189869823</t>
  </si>
  <si>
    <t>Anant Kumar Sharma</t>
  </si>
  <si>
    <t>JMYPS0383D</t>
  </si>
  <si>
    <t>B903Z4510895,</t>
  </si>
  <si>
    <t>881060189944583</t>
  </si>
  <si>
    <t>Sonu Kumar Singh</t>
  </si>
  <si>
    <t>JNSPS1929A</t>
  </si>
  <si>
    <t>23301491222,</t>
  </si>
  <si>
    <t>881060190145925</t>
  </si>
  <si>
    <t>Mohammad Bakhsh</t>
  </si>
  <si>
    <t>DNTPB4111G</t>
  </si>
  <si>
    <t>20-Jan-2018.</t>
  </si>
  <si>
    <t>EA714885986IN,</t>
  </si>
  <si>
    <t>881060190144374</t>
  </si>
  <si>
    <t>Musa Kalim</t>
  </si>
  <si>
    <t xml:space="preserve">  GPQPK9775D </t>
  </si>
  <si>
    <t>881060190202592</t>
  </si>
  <si>
    <t>Mir Sahud Ali</t>
  </si>
  <si>
    <t>CQEPA6962M</t>
  </si>
  <si>
    <t>23301503442,</t>
  </si>
  <si>
    <t>VELEX LOGISTICS PVT LTD</t>
  </si>
  <si>
    <t>881060190210992</t>
  </si>
  <si>
    <t>Madhuri Gorai</t>
  </si>
  <si>
    <t>CLSPG2676R</t>
  </si>
  <si>
    <t xml:space="preserve"> 23-Jan-2018.</t>
  </si>
  <si>
    <t>881060190985645</t>
  </si>
  <si>
    <t>Shankar Gundar</t>
  </si>
  <si>
    <t>CLSPG2686P</t>
  </si>
  <si>
    <t>23-Jan-2018.</t>
  </si>
  <si>
    <t>EA719118632IN</t>
  </si>
  <si>
    <t>881060190983442</t>
  </si>
  <si>
    <t>Mohammad Soheb</t>
  </si>
  <si>
    <t>JPKPS2547A</t>
  </si>
  <si>
    <t>881060190976604</t>
  </si>
  <si>
    <t>Sikha Singh</t>
  </si>
  <si>
    <t xml:space="preserve">  JNXPS3712L</t>
  </si>
  <si>
    <t>881060190970540</t>
  </si>
  <si>
    <t>Prachi Roshan</t>
  </si>
  <si>
    <t>DHFPR1513G</t>
  </si>
  <si>
    <t>B903Z4581966,</t>
  </si>
  <si>
    <t>881060190987255</t>
  </si>
  <si>
    <t>Savir Ali</t>
  </si>
  <si>
    <t>CQQPA2449P</t>
  </si>
  <si>
    <t>29-Jan-2018 </t>
  </si>
  <si>
    <t>881060226752790</t>
  </si>
  <si>
    <t>Abhimanyu Kumar Singh</t>
  </si>
  <si>
    <t>AZJPS1809B</t>
  </si>
  <si>
    <t>881060191055796</t>
  </si>
  <si>
    <t>Ghazala Nausheen</t>
  </si>
  <si>
    <t xml:space="preserve">  BNZPN0815P </t>
  </si>
  <si>
    <t>881060191210183</t>
  </si>
  <si>
    <t>Sunil Kumar Sao</t>
  </si>
  <si>
    <t>JOVPS4525G</t>
  </si>
  <si>
    <t>881060191513622</t>
  </si>
  <si>
    <t>Rizwana Tabassum</t>
  </si>
  <si>
    <t>BJXPT5198K</t>
  </si>
  <si>
    <t>881060226785631</t>
  </si>
  <si>
    <t>Chittranjan Prasad Singh</t>
  </si>
  <si>
    <t>FHCPS0451M</t>
  </si>
  <si>
    <t>08-Feb-2018 </t>
  </si>
  <si>
    <t>881060191514462</t>
  </si>
  <si>
    <t>Rajiya Fatma</t>
  </si>
  <si>
    <t>U/PAEJPF8727N</t>
  </si>
  <si>
    <t> 27-Jan-2018</t>
  </si>
  <si>
    <t>23301555523,</t>
  </si>
  <si>
    <t>881060191370763</t>
  </si>
  <si>
    <t>Nilu Singh</t>
  </si>
  <si>
    <t>JPGPS4668N</t>
  </si>
  <si>
    <t>23301589938,</t>
  </si>
  <si>
    <t>881060191736480</t>
  </si>
  <si>
    <t>Shiv Nandan Pandey</t>
  </si>
  <si>
    <t>EHGPP5532K</t>
  </si>
  <si>
    <t>23301602366,</t>
  </si>
  <si>
    <t>881060191735581</t>
  </si>
  <si>
    <t>Laxmi Devi</t>
  </si>
  <si>
    <t>EFDPD8738A</t>
  </si>
  <si>
    <t>23301602365,</t>
  </si>
  <si>
    <t>881060191834690</t>
  </si>
  <si>
    <t>Rubi Mahato</t>
  </si>
  <si>
    <t>EJYPM5649Q</t>
  </si>
  <si>
    <t>881060191952404</t>
  </si>
  <si>
    <t>Priya Pathak</t>
  </si>
  <si>
    <t>EHDPP5996Q</t>
  </si>
  <si>
    <t>23301640610,</t>
  </si>
  <si>
    <t>881060226828353</t>
  </si>
  <si>
    <t>ANJLESH KUMAR PANDEY</t>
  </si>
  <si>
    <t xml:space="preserve">BVAPP1953R
</t>
  </si>
  <si>
    <t>881060226828143</t>
  </si>
  <si>
    <t>MIR SAHUD ALI</t>
  </si>
  <si>
    <t>U/P</t>
  </si>
  <si>
    <t>881060192164810</t>
  </si>
  <si>
    <t>Sangita Devi</t>
  </si>
  <si>
    <t>DOC UNSGND</t>
  </si>
  <si>
    <t>We have not yet received the supporting documents with respect to your PAN application.</t>
  </si>
  <si>
    <t>881060192037406</t>
  </si>
  <si>
    <t>Anand Kumar Yadav</t>
  </si>
  <si>
    <t>AVAPY5001C</t>
  </si>
  <si>
    <t>30-Jan-2018.</t>
  </si>
  <si>
    <t>23301637502,</t>
  </si>
  <si>
    <t>881060192195573</t>
  </si>
  <si>
    <t>Suresh Kumar</t>
  </si>
  <si>
    <t>GQZPK8859J</t>
  </si>
  <si>
    <t>23301589954,</t>
  </si>
  <si>
    <t>881060192197500</t>
  </si>
  <si>
    <t>Sita Pareya</t>
  </si>
  <si>
    <t>EHKPP9596R</t>
  </si>
  <si>
    <t>23301619966,</t>
  </si>
  <si>
    <t>881060226842806</t>
  </si>
  <si>
    <t>RAJKUMAR SAH</t>
  </si>
  <si>
    <t>FNXPS9291E</t>
  </si>
  <si>
    <t>19-Feb-2018.</t>
  </si>
  <si>
    <t>EA548998187IN,</t>
  </si>
  <si>
    <t>881060192364015</t>
  </si>
  <si>
    <t>Tapeshwar Singh</t>
  </si>
  <si>
    <t>JPGPS3785J</t>
  </si>
  <si>
    <t>02-Feb-2018.</t>
  </si>
  <si>
    <t>EA535998223IN,</t>
  </si>
  <si>
    <t>881060192778732</t>
  </si>
  <si>
    <t>Ravi Munda</t>
  </si>
  <si>
    <t>EKLPM6388G</t>
  </si>
  <si>
    <t>23301742744,</t>
  </si>
  <si>
    <t>881060226906020</t>
  </si>
  <si>
    <t>Smita Lata Shikhar</t>
  </si>
  <si>
    <t>AJIPA8258L</t>
  </si>
  <si>
    <t>881060226921556</t>
  </si>
  <si>
    <t>Birendra Mahto</t>
  </si>
  <si>
    <t>BDIPM7227H</t>
  </si>
  <si>
    <t>881060193547741</t>
  </si>
  <si>
    <t>Binita Devi</t>
  </si>
  <si>
    <t>EFYPD8795E</t>
  </si>
  <si>
    <t>06-Feb-2018 </t>
  </si>
  <si>
    <t>881060193684576</t>
  </si>
  <si>
    <t>Afsar Alam Khan</t>
  </si>
  <si>
    <t>EGBPD8233HEGBPD8233H</t>
  </si>
  <si>
    <t> 15-Feb-2018.</t>
  </si>
  <si>
    <t>23302256722,</t>
  </si>
  <si>
    <t>881060193737802</t>
  </si>
  <si>
    <t>Uma Dasgupta</t>
  </si>
  <si>
    <t>EGBPD8233H</t>
  </si>
  <si>
    <t>15-Feb-2018.</t>
  </si>
  <si>
    <t>881060193710745</t>
  </si>
  <si>
    <t>RAJESH KUMAR</t>
  </si>
  <si>
    <t>GSGPK4123N</t>
  </si>
  <si>
    <t> 23302256719</t>
  </si>
  <si>
    <t>881060194090856</t>
  </si>
  <si>
    <t>Sushma Kumari</t>
  </si>
  <si>
    <t>GRZPK4392D</t>
  </si>
  <si>
    <t>881060194092702</t>
  </si>
  <si>
    <t>Vinod Kumar Kamat</t>
  </si>
  <si>
    <t>GSCPK4084G</t>
  </si>
  <si>
    <t>12-Feb-2018.</t>
  </si>
  <si>
    <t>881060193966746</t>
  </si>
  <si>
    <t>Rani Kumari</t>
  </si>
  <si>
    <t>GRZPK4359A</t>
  </si>
  <si>
    <t>881060194183330</t>
  </si>
  <si>
    <t>Shalini Mishra</t>
  </si>
  <si>
    <t>EKPPM9237J</t>
  </si>
  <si>
    <t> 11-Feb-2018.</t>
  </si>
  <si>
    <t>34938143656,</t>
  </si>
  <si>
    <t>881060194177671</t>
  </si>
  <si>
    <t>Smriti Das</t>
  </si>
  <si>
    <t>EFYPD8808E</t>
  </si>
  <si>
    <t>881060194747246</t>
  </si>
  <si>
    <t>Salim Siddique</t>
  </si>
  <si>
    <t>JRZPS9667A</t>
  </si>
  <si>
    <t>17-Feb-2018 </t>
  </si>
  <si>
    <t>23301849586,</t>
  </si>
  <si>
    <t>881060227030535</t>
  </si>
  <si>
    <t>Ranjit Kumar Das</t>
  </si>
  <si>
    <t>ABFD9089A</t>
  </si>
  <si>
    <t>881060227030163</t>
  </si>
  <si>
    <t>Jitendra Kumar Singh</t>
  </si>
  <si>
    <t>AEIPS7033P</t>
  </si>
  <si>
    <t>15-Mar-2018.</t>
  </si>
  <si>
    <t>881060227030690</t>
  </si>
  <si>
    <t>Parvachiti Ramkrishna Rao</t>
  </si>
  <si>
    <t>AEYPR8047</t>
  </si>
  <si>
    <t>06-Mar-2018 </t>
  </si>
  <si>
    <t>881060195437240</t>
  </si>
  <si>
    <t>Mohammad Zeeshan Ahmad</t>
  </si>
  <si>
    <t>881060195455451</t>
  </si>
  <si>
    <t>Nurun Nisha</t>
  </si>
  <si>
    <t>BOSPN9724F</t>
  </si>
  <si>
    <t>881060195468541</t>
  </si>
  <si>
    <t>Malina Banerjee</t>
  </si>
  <si>
    <t xml:space="preserve">  DPWPB0728E </t>
  </si>
  <si>
    <t>881060227074521</t>
  </si>
  <si>
    <t>Rana Mahendra Pratap Singh</t>
  </si>
  <si>
    <t>ELMPS3865Q</t>
  </si>
  <si>
    <t>881060196245666</t>
  </si>
  <si>
    <t>Binod Patel</t>
  </si>
  <si>
    <t>EJHPP1542J</t>
  </si>
  <si>
    <t>881060196715565</t>
  </si>
  <si>
    <t>Mohammad Shakib</t>
  </si>
  <si>
    <t>JTUPS8236N</t>
  </si>
  <si>
    <t> 24-Feb-2018 </t>
  </si>
  <si>
    <t> 23301973492,</t>
  </si>
  <si>
    <t>881060197097500</t>
  </si>
  <si>
    <t>Pintu Gorai</t>
  </si>
  <si>
    <t>CNBPG3635D</t>
  </si>
  <si>
    <t>05-Mar-2018.</t>
  </si>
  <si>
    <t>881060197110004</t>
  </si>
  <si>
    <t>Neera Kumari</t>
  </si>
  <si>
    <t>GTVPK3092L</t>
  </si>
  <si>
    <t> 20-Feb-2018</t>
  </si>
  <si>
    <t>881060197412102</t>
  </si>
  <si>
    <t>Tusta Ghosh</t>
  </si>
  <si>
    <t>CNGPG0063G</t>
  </si>
  <si>
    <t>A009485106</t>
  </si>
  <si>
    <t>GUBPK9736C</t>
  </si>
  <si>
    <t>881060197466094</t>
  </si>
  <si>
    <t>Khadak Singh</t>
  </si>
  <si>
    <t xml:space="preserve">Submit proof of office address </t>
  </si>
  <si>
    <t>881060227201932</t>
  </si>
  <si>
    <t>Binod Kumar Soni</t>
  </si>
  <si>
    <t>BUZPS1133C</t>
  </si>
  <si>
    <t> 23302050306</t>
  </si>
  <si>
    <t>881060227195190</t>
  </si>
  <si>
    <t>Baishakhi Sahu</t>
  </si>
  <si>
    <t>DZQPS4294J</t>
  </si>
  <si>
    <t>21-Mar-2018.</t>
  </si>
  <si>
    <t>23302551654,</t>
  </si>
  <si>
    <t>881060197660974</t>
  </si>
  <si>
    <t>Nazia Perveen</t>
  </si>
  <si>
    <t>EJNPP3648R</t>
  </si>
  <si>
    <t>13-Mar-2018.</t>
  </si>
  <si>
    <t>881060197715832</t>
  </si>
  <si>
    <t>Nilu Perween</t>
  </si>
  <si>
    <t>EJJPP6637N</t>
  </si>
  <si>
    <t>881060227214786</t>
  </si>
  <si>
    <t>Jharna  Pal</t>
  </si>
  <si>
    <t>BHAPP7805C</t>
  </si>
  <si>
    <t>14-Mar-2018 </t>
  </si>
  <si>
    <t>881060227214963</t>
  </si>
  <si>
    <t>Deepak Pal</t>
  </si>
  <si>
    <t>ARXPP1209L</t>
  </si>
  <si>
    <t>. 23302050313</t>
  </si>
  <si>
    <t>881060198184740</t>
  </si>
  <si>
    <t>Ranjeet Tiwari</t>
  </si>
  <si>
    <t>UP</t>
  </si>
  <si>
    <t>881060198226600</t>
  </si>
  <si>
    <t>Ekta Rani Mishra</t>
  </si>
  <si>
    <t>ENEPM5842M</t>
  </si>
  <si>
    <t>20-Mar-2018.</t>
  </si>
  <si>
    <t> 23302549207, </t>
  </si>
  <si>
    <t>881060227231704</t>
  </si>
  <si>
    <t>Dharamdeo Giri</t>
  </si>
  <si>
    <t>ARZPG2063P</t>
  </si>
  <si>
    <t> 14-Mar-2018 </t>
  </si>
  <si>
    <t>881060198330130</t>
  </si>
  <si>
    <t>Tousif Adnan</t>
  </si>
  <si>
    <t>CSCPA7549E</t>
  </si>
  <si>
    <t> 06-Mar-2018 </t>
  </si>
  <si>
    <t>23302013453,</t>
  </si>
  <si>
    <t>881060227239124</t>
  </si>
  <si>
    <t>Prasenjit Saren</t>
  </si>
  <si>
    <t>CLWPS0594Q</t>
  </si>
  <si>
    <t> 15-Mar-2018.</t>
  </si>
  <si>
    <t> EA162474264IN, </t>
  </si>
  <si>
    <t>881060227239625</t>
  </si>
  <si>
    <t>Mahadev Behera</t>
  </si>
  <si>
    <t>ALGPB3057M</t>
  </si>
  <si>
    <t>24-Mar-2018.</t>
  </si>
  <si>
    <t> 23302571506,</t>
  </si>
  <si>
    <t>881060227255924</t>
  </si>
  <si>
    <t>shankar Gorai</t>
  </si>
  <si>
    <t>BWQPG2833Q</t>
  </si>
  <si>
    <t>881060198883340</t>
  </si>
  <si>
    <t>Dhananjay Shaw</t>
  </si>
  <si>
    <t>JWIPS5088B</t>
  </si>
  <si>
    <t>881060198928906</t>
  </si>
  <si>
    <t>Rafat Rosy</t>
  </si>
  <si>
    <t>DJXPR2402C</t>
  </si>
  <si>
    <t>09-Mar-2018.</t>
  </si>
  <si>
    <t>23301999208,</t>
  </si>
  <si>
    <t>881060198774232</t>
  </si>
  <si>
    <t>Birendra Kumar</t>
  </si>
  <si>
    <t>GWEPK4384K</t>
  </si>
  <si>
    <t>881060227266321</t>
  </si>
  <si>
    <t>Saroj Srivastava</t>
  </si>
  <si>
    <t>DTXXXXXX2P</t>
  </si>
  <si>
    <t>881060198744014</t>
  </si>
  <si>
    <t>Dheeraj  Mandal</t>
  </si>
  <si>
    <t>EMNPM5504E</t>
  </si>
  <si>
    <t>23302014193,</t>
  </si>
  <si>
    <t>881060227269961</t>
  </si>
  <si>
    <t>Kailu Kamat</t>
  </si>
  <si>
    <t>ELBPK7594H</t>
  </si>
  <si>
    <t>23302050333,</t>
  </si>
  <si>
    <t>881060199244002</t>
  </si>
  <si>
    <t>Monu Gorai</t>
  </si>
  <si>
    <t>CNHPG0693P</t>
  </si>
  <si>
    <t>881060227292534</t>
  </si>
  <si>
    <t>Satyendra Tiwary</t>
  </si>
  <si>
    <t>AFEPT4988B</t>
  </si>
  <si>
    <t>881060227303981</t>
  </si>
  <si>
    <t>Usha Tiwary</t>
  </si>
  <si>
    <t>AUWPT6658F</t>
  </si>
  <si>
    <t> 24-Mar-2018</t>
  </si>
  <si>
    <t>881060199405514</t>
  </si>
  <si>
    <t>Nikhil Mehta</t>
  </si>
  <si>
    <t>EMNPM3808M</t>
  </si>
  <si>
    <t>EA158409114IN,</t>
  </si>
  <si>
    <t>881060199412724</t>
  </si>
  <si>
    <t>Jamaluddin Khan</t>
  </si>
  <si>
    <t>GWKPK3038N</t>
  </si>
  <si>
    <t> 21-Mar-2018</t>
  </si>
  <si>
    <t>EA166776588IN,</t>
  </si>
  <si>
    <t>881060199511251</t>
  </si>
  <si>
    <t>Shikha Kumari</t>
  </si>
  <si>
    <t>GVYPK5006H</t>
  </si>
  <si>
    <t>17-Mar-2018.</t>
  </si>
  <si>
    <t> 23302072267,</t>
  </si>
  <si>
    <t>s</t>
  </si>
  <si>
    <t>Noor Jhan</t>
  </si>
  <si>
    <t>BQPPJ6826F</t>
  </si>
  <si>
    <t>881060199725565</t>
  </si>
  <si>
    <t>Sarda Mani</t>
  </si>
  <si>
    <t>ENOPM9188Q</t>
  </si>
  <si>
    <t>19-Mar-2018 </t>
  </si>
  <si>
    <t>881060227362593</t>
  </si>
  <si>
    <t>BBVPD8217M</t>
  </si>
  <si>
    <t>05-Apr-2018.</t>
  </si>
  <si>
    <t>23302591040,</t>
  </si>
  <si>
    <t>881069100477801</t>
  </si>
  <si>
    <t>Montu Mahato</t>
  </si>
  <si>
    <t>ENMPM9185B</t>
  </si>
  <si>
    <t>25-Mar-2018.</t>
  </si>
  <si>
    <t> 23302100698</t>
  </si>
  <si>
    <t>881069100639545</t>
  </si>
  <si>
    <t>Saida Parween</t>
  </si>
  <si>
    <t>EKEPP8149D</t>
  </si>
  <si>
    <t> 25-Mar-2018.</t>
  </si>
  <si>
    <t>23302100708,</t>
  </si>
  <si>
    <t>881069100922861</t>
  </si>
  <si>
    <t>Pratima Khan</t>
  </si>
  <si>
    <t>GWVPK2150N</t>
  </si>
  <si>
    <t>881060227426304</t>
  </si>
  <si>
    <t>Indira Kour</t>
  </si>
  <si>
    <t>BBGPK0428N</t>
  </si>
  <si>
    <t>23302591058, </t>
  </si>
  <si>
    <t>881060227464480</t>
  </si>
  <si>
    <t>Chandrika Dubey</t>
  </si>
  <si>
    <t>ABXXXXXX4G</t>
  </si>
  <si>
    <t>881069101446936</t>
  </si>
  <si>
    <t>Chanchala Manjhi</t>
  </si>
  <si>
    <t>ENWPM7384E</t>
  </si>
  <si>
    <t>30-Mar-2018.</t>
  </si>
  <si>
    <t>EA099641991IN</t>
  </si>
  <si>
    <t>881069101453995</t>
  </si>
  <si>
    <t>Tufail Ahmad</t>
  </si>
  <si>
    <t>CSXPA6678M</t>
  </si>
  <si>
    <t> 23302169091</t>
  </si>
  <si>
    <t>881060227465250</t>
  </si>
  <si>
    <t>Bandana Kumari</t>
  </si>
  <si>
    <t>GDEPK8778L</t>
  </si>
  <si>
    <t>23302142598, </t>
  </si>
  <si>
    <t>881069101464613</t>
  </si>
  <si>
    <t>Punam Kumari</t>
  </si>
  <si>
    <t>GXMPK2883J</t>
  </si>
  <si>
    <t>23302169092,</t>
  </si>
  <si>
    <t>881069101597344</t>
  </si>
  <si>
    <t>Chandni</t>
  </si>
  <si>
    <t>BUCPC9213N</t>
  </si>
  <si>
    <t> 23302168983</t>
  </si>
  <si>
    <t>881069101630060</t>
  </si>
  <si>
    <t>Anchal Sharma</t>
  </si>
  <si>
    <t>JWIPS5073J</t>
  </si>
  <si>
    <t>881060227477441</t>
  </si>
  <si>
    <t>Jainul Ali</t>
  </si>
  <si>
    <t>BLOPA1336B</t>
  </si>
  <si>
    <t>881069101607306</t>
  </si>
  <si>
    <t>Maimun Nisha</t>
  </si>
  <si>
    <t>BPRPN1961C</t>
  </si>
  <si>
    <t>23302169095, </t>
  </si>
  <si>
    <t>881069101876622</t>
  </si>
  <si>
    <t>Ranjeet Kumar Shukla</t>
  </si>
  <si>
    <t>NOT SAMIT DOC.</t>
  </si>
  <si>
    <t>881060227497354</t>
  </si>
  <si>
    <t>Anand Kishore Srivastava</t>
  </si>
  <si>
    <t>AEXXXXXX1J</t>
  </si>
  <si>
    <t>881069102210566</t>
  </si>
  <si>
    <t>Ranjana Devi</t>
  </si>
  <si>
    <t>JWZPS5728B</t>
  </si>
  <si>
    <t>31-Mar-2018.</t>
  </si>
  <si>
    <t> 23302174412,</t>
  </si>
  <si>
    <t>881069102207324</t>
  </si>
  <si>
    <t>Prakash Kumar Soni</t>
  </si>
  <si>
    <t> 31-Mar-2018.</t>
  </si>
  <si>
    <t> 23302174412</t>
  </si>
  <si>
    <t>881069102587284</t>
  </si>
  <si>
    <t>Shagufta Jamal</t>
  </si>
  <si>
    <t>BQXXXXXX3G</t>
  </si>
  <si>
    <t> 09-Apr-2018.</t>
  </si>
  <si>
    <t> 23302769696</t>
  </si>
  <si>
    <t>881060227566676</t>
  </si>
  <si>
    <t>Ashoka Rani Prasad</t>
  </si>
  <si>
    <t>CBXXXXXX1B</t>
  </si>
  <si>
    <t>05-Apr-2018 </t>
  </si>
  <si>
    <t>881069102950175</t>
  </si>
  <si>
    <t>Anita Sharma</t>
  </si>
  <si>
    <t>JYXXXXXX1B</t>
  </si>
  <si>
    <t>10-Apr-2018.</t>
  </si>
  <si>
    <t>23302782000,</t>
  </si>
  <si>
    <t>881069102994356</t>
  </si>
  <si>
    <t>Tulsi Lohar</t>
  </si>
  <si>
    <t>AXXXXXXX2B</t>
  </si>
  <si>
    <t>23-Apr-2018.</t>
  </si>
  <si>
    <t>23302885890,</t>
  </si>
  <si>
    <t>881069102947235</t>
  </si>
  <si>
    <t>Laxmi Mahato</t>
  </si>
  <si>
    <t>EOXXXXXX8L</t>
  </si>
  <si>
    <t> 05-Apr-2018.</t>
  </si>
  <si>
    <t>23302727868, </t>
  </si>
  <si>
    <t>881069102934436</t>
  </si>
  <si>
    <t>Saba Nasreen</t>
  </si>
  <si>
    <t>BPXXXXXX4B</t>
  </si>
  <si>
    <t>. 23302727866, </t>
  </si>
  <si>
    <t>881069103100911</t>
  </si>
  <si>
    <t>Sourav Prasad</t>
  </si>
  <si>
    <t>EKXXXXXX1K</t>
  </si>
  <si>
    <t>23302727881,</t>
  </si>
  <si>
    <t>881069103198384</t>
  </si>
  <si>
    <t>SEEMA DEVI</t>
  </si>
  <si>
    <t>ELXXXXXX6P</t>
  </si>
  <si>
    <t>31-Mar-2018 </t>
  </si>
  <si>
    <t>881060227604911</t>
  </si>
  <si>
    <t>Gopi Mukhi</t>
  </si>
  <si>
    <t>881069103330640</t>
  </si>
  <si>
    <t>Shushila Devi</t>
  </si>
  <si>
    <t>ELXXXXXX0C</t>
  </si>
  <si>
    <t>06-Apr-2018.</t>
  </si>
  <si>
    <t>B903Z5389710, </t>
  </si>
  <si>
    <t>881060227613790</t>
  </si>
  <si>
    <t>Jai Narayan Singh</t>
  </si>
  <si>
    <t>AXXXXXXX1D</t>
  </si>
  <si>
    <t> 03-Apr-2018</t>
  </si>
  <si>
    <t>881069103482654</t>
  </si>
  <si>
    <t>Rekha Sharma</t>
  </si>
  <si>
    <t>JXXXXXXX7M</t>
  </si>
  <si>
    <t>881069103719840</t>
  </si>
  <si>
    <t>Nahied Begum</t>
  </si>
  <si>
    <t>DSXXXXXX5A</t>
  </si>
  <si>
    <t>23302769722,</t>
  </si>
  <si>
    <t>881069103929383</t>
  </si>
  <si>
    <t>Savinder Kaur</t>
  </si>
  <si>
    <t>881069103806161</t>
  </si>
  <si>
    <t>Shabia Sharique</t>
  </si>
  <si>
    <t>JYXXXXXX4N</t>
  </si>
  <si>
    <t>15-Apr-2018.</t>
  </si>
  <si>
    <t>881069103896726</t>
  </si>
  <si>
    <t>Abhishek Jojo</t>
  </si>
  <si>
    <t>BRXXXXXX5Q</t>
  </si>
  <si>
    <t>23302909554,</t>
  </si>
  <si>
    <t>881060227672240</t>
  </si>
  <si>
    <t>Usha Maithy</t>
  </si>
  <si>
    <t>881060227672030</t>
  </si>
  <si>
    <t>Amrit Kaur</t>
  </si>
  <si>
    <t>881069104027416</t>
  </si>
  <si>
    <t>Sadhana Sinha</t>
  </si>
  <si>
    <t>JZXXXXXX8D</t>
  </si>
  <si>
    <t>23302873091,</t>
  </si>
  <si>
    <t>881069104044990</t>
  </si>
  <si>
    <t>Lalita Devi</t>
  </si>
  <si>
    <t>ELXXXXXX7J</t>
  </si>
  <si>
    <t> 23302827424</t>
  </si>
  <si>
    <t>881069104077186</t>
  </si>
  <si>
    <t>Krishna Singh</t>
  </si>
  <si>
    <t>JYXXXXXX3F</t>
  </si>
  <si>
    <t>. 23302771223</t>
  </si>
  <si>
    <t>881060227689751</t>
  </si>
  <si>
    <t>Purnima Verma</t>
  </si>
  <si>
    <t>AIXXXXXX8D</t>
  </si>
  <si>
    <t> 17-Apr-2018.</t>
  </si>
  <si>
    <t>881069104359533</t>
  </si>
  <si>
    <t>Farhat Jahan</t>
  </si>
  <si>
    <t>BRXXXXXX8N</t>
  </si>
  <si>
    <t> 23-Apr-2018.</t>
  </si>
  <si>
    <t>881060227720612</t>
  </si>
  <si>
    <t>Shiv Kumar Ram</t>
  </si>
  <si>
    <t>881069104432823</t>
  </si>
  <si>
    <t>Jaswant Kaur</t>
  </si>
  <si>
    <t>GZXXXXXX8M</t>
  </si>
  <si>
    <t>23302873114,</t>
  </si>
  <si>
    <t>881060227705140</t>
  </si>
  <si>
    <t>Santosh Singh</t>
  </si>
  <si>
    <t>CZXXXXXX0B</t>
  </si>
  <si>
    <t> 17-Apr-2018 </t>
  </si>
  <si>
    <t>881069104413514</t>
  </si>
  <si>
    <t>Chhanda Ghosh</t>
  </si>
  <si>
    <t>received</t>
  </si>
  <si>
    <t>881069104503350</t>
  </si>
  <si>
    <t>Ram Chander Chorasiya</t>
  </si>
  <si>
    <t>BUXXXXXX9E</t>
  </si>
  <si>
    <t>23302830178,</t>
  </si>
  <si>
    <t>881069104530366</t>
  </si>
  <si>
    <t>Harshit Anand</t>
  </si>
  <si>
    <t>CTXXXXXX3N</t>
  </si>
  <si>
    <t>881060227713131</t>
  </si>
  <si>
    <t>Anand</t>
  </si>
  <si>
    <t>881069104741556</t>
  </si>
  <si>
    <t>Madhusudan Behara</t>
  </si>
  <si>
    <t>DSXXXXXX0E</t>
  </si>
  <si>
    <t> EA292172115IN</t>
  </si>
  <si>
    <t>881069104867162</t>
  </si>
  <si>
    <t>Ananda Gorai</t>
  </si>
  <si>
    <t>881069105015061</t>
  </si>
  <si>
    <t>Rubi Jha</t>
  </si>
  <si>
    <t>881060227753506</t>
  </si>
  <si>
    <t>Samir Day</t>
  </si>
  <si>
    <t>ARXXXXXX9F</t>
  </si>
  <si>
    <t>881069105138110</t>
  </si>
  <si>
    <t>Zainab Khatoon</t>
  </si>
  <si>
    <t>HAXXXXXX6A</t>
  </si>
  <si>
    <t>20-Apr-2018 </t>
  </si>
  <si>
    <t>881069105151012</t>
  </si>
  <si>
    <t>Bina Maity</t>
  </si>
  <si>
    <t>EPXXXXXX0G</t>
  </si>
  <si>
    <t>060227757345</t>
  </si>
  <si>
    <t>Naba Kuamr Ghosh</t>
  </si>
  <si>
    <t>A010476079</t>
  </si>
  <si>
    <t>Anchal Dev</t>
  </si>
  <si>
    <t>ENIPD0714D</t>
  </si>
  <si>
    <t>RM194752790IN ON 25/04/2018 </t>
  </si>
  <si>
    <t>A010467174</t>
  </si>
  <si>
    <t>Renu Bhattacharjee</t>
  </si>
  <si>
    <t>881069105406501</t>
  </si>
  <si>
    <t>Seema Dungdung</t>
  </si>
  <si>
    <t>EMXXXXXX4L</t>
  </si>
  <si>
    <t>B903Z5918782,</t>
  </si>
  <si>
    <t>881069105554654</t>
  </si>
  <si>
    <t>Sweta Kullu</t>
  </si>
  <si>
    <t>GZXXXXXX2C</t>
  </si>
  <si>
    <t> 24-Apr-2018.</t>
  </si>
  <si>
    <t>881069105709575</t>
  </si>
  <si>
    <t>Abhishek Kumar Sharma</t>
  </si>
  <si>
    <t>JZXXXXXX7N</t>
  </si>
  <si>
    <t>881069105692985</t>
  </si>
  <si>
    <t>Shivnath behra</t>
  </si>
  <si>
    <t>DTXXXXXX7Q</t>
  </si>
  <si>
    <t> B903Z5821773</t>
  </si>
  <si>
    <t>881069105710500</t>
  </si>
  <si>
    <t>Asha Kumari</t>
  </si>
  <si>
    <t>HAXXXXXX3P</t>
  </si>
  <si>
    <t> 19-Apr-2018 </t>
  </si>
  <si>
    <t>881069105779822</t>
  </si>
  <si>
    <t>Shabana Parween</t>
  </si>
  <si>
    <t>ELXXXXXX3K</t>
  </si>
  <si>
    <t>881069106006132</t>
  </si>
  <si>
    <t>Kakuli Adak</t>
  </si>
  <si>
    <t>CTXXXXXX0N</t>
  </si>
  <si>
    <t>26-Apr-2018.</t>
  </si>
  <si>
    <t> B903Z5867507,</t>
  </si>
  <si>
    <t>A010536968</t>
  </si>
  <si>
    <t>Bijay Singh</t>
  </si>
  <si>
    <t>881069106160924</t>
  </si>
  <si>
    <t>Vinit Kumar Singh</t>
  </si>
  <si>
    <t>KAXXXXXX0K</t>
  </si>
  <si>
    <t> 25-Apr-2018.</t>
  </si>
  <si>
    <t>EA860466542IN,</t>
  </si>
  <si>
    <t>A010568808</t>
  </si>
  <si>
    <t>Parwinder Singh</t>
  </si>
  <si>
    <t>Q000700788</t>
  </si>
  <si>
    <t>Ranjit Kumar Chakraborty</t>
  </si>
  <si>
    <t>ANRPC7574K</t>
  </si>
  <si>
    <t>RM600598863IN</t>
  </si>
  <si>
    <t>A010574070</t>
  </si>
  <si>
    <t>Shreya Srivastava</t>
  </si>
  <si>
    <t>881069106215502</t>
  </si>
  <si>
    <t>Vishal Ravi Das</t>
  </si>
  <si>
    <t>ENXXXXXX2A</t>
  </si>
  <si>
    <t>05-May-2018.</t>
  </si>
  <si>
    <t> 23302647172, </t>
  </si>
  <si>
    <t>881060227872204</t>
  </si>
  <si>
    <t>Sumona Kundu</t>
  </si>
  <si>
    <t>COXXXXXX2D</t>
  </si>
  <si>
    <t>881069106450945</t>
  </si>
  <si>
    <t>Akash Sharma</t>
  </si>
  <si>
    <t>KAXXXXXX0M</t>
  </si>
  <si>
    <t>881069106425476</t>
  </si>
  <si>
    <t>Shahida Begum</t>
  </si>
  <si>
    <t>DTXXXXXX8F</t>
  </si>
  <si>
    <t>23302645589,</t>
  </si>
  <si>
    <t>881069106764044</t>
  </si>
  <si>
    <t>Sanjay Sahu</t>
  </si>
  <si>
    <t> 05-May-2018.</t>
  </si>
  <si>
    <t> 23302645674,</t>
  </si>
  <si>
    <t>881060227918231</t>
  </si>
  <si>
    <t>Majin Karmkar</t>
  </si>
  <si>
    <t>EOXXXXXX8K</t>
  </si>
  <si>
    <t> 02-May-2018 </t>
  </si>
  <si>
    <t>881060227912060</t>
  </si>
  <si>
    <t>Sanjay Kumar Singh</t>
  </si>
  <si>
    <t>BDXXXXXX0J</t>
  </si>
  <si>
    <t>Q000706928</t>
  </si>
  <si>
    <t>881069107099090</t>
  </si>
  <si>
    <t>Sandhya Devi</t>
  </si>
  <si>
    <t>ENXXXXXX1K</t>
  </si>
  <si>
    <t> 23302647342,</t>
  </si>
  <si>
    <t>881069107159220</t>
  </si>
  <si>
    <t>Nitish Kumar Thakur</t>
  </si>
  <si>
    <t>BLXXXXXX7E</t>
  </si>
  <si>
    <t>30-Apr-2018 </t>
  </si>
  <si>
    <t>881069107208194</t>
  </si>
  <si>
    <t>Harendra Sah</t>
  </si>
  <si>
    <t>KBXXXXXX5K</t>
  </si>
  <si>
    <t>Q000708705</t>
  </si>
  <si>
    <t>Mohammad Abid</t>
  </si>
  <si>
    <t>881060227941412</t>
  </si>
  <si>
    <t>Mamta kar</t>
  </si>
  <si>
    <t>BZXXXXXX3G</t>
  </si>
  <si>
    <t>10-May-2018.</t>
  </si>
  <si>
    <t> 23301153059,</t>
  </si>
  <si>
    <t>881069107276514</t>
  </si>
  <si>
    <t>Saraswati Ganguly</t>
  </si>
  <si>
    <t>COXXXXXX4C</t>
  </si>
  <si>
    <t>23302688948,</t>
  </si>
  <si>
    <t>881069107332610</t>
  </si>
  <si>
    <t>Shaikh riyaz</t>
  </si>
  <si>
    <t>DMXXXXXX0H</t>
  </si>
  <si>
    <t> 30-Apr-2018</t>
  </si>
  <si>
    <t>881069107337753</t>
  </si>
  <si>
    <t>Isha Singh</t>
  </si>
  <si>
    <t>KAXXXXXX2R</t>
  </si>
  <si>
    <t>04-May-2018.</t>
  </si>
  <si>
    <t>23302961614, </t>
  </si>
  <si>
    <t>881069107347273</t>
  </si>
  <si>
    <t>Aman Raj</t>
  </si>
  <si>
    <t>DMXXXXXX2Q</t>
  </si>
  <si>
    <t> 04-May-2018</t>
  </si>
  <si>
    <t> 23302961618,</t>
  </si>
  <si>
    <t>881069107299371</t>
  </si>
  <si>
    <t>Khushbu Kumari</t>
  </si>
  <si>
    <t>ABXXXXXX0R</t>
  </si>
  <si>
    <t> 10-May-2018</t>
  </si>
  <si>
    <t> 23301153060,</t>
  </si>
  <si>
    <t>881060227954340</t>
  </si>
  <si>
    <t>Prem Singh Mandley</t>
  </si>
  <si>
    <t> 23301153060, </t>
  </si>
  <si>
    <t>881069107370314</t>
  </si>
  <si>
    <t>Rohit Gorai</t>
  </si>
  <si>
    <t>COXXXXXX8N</t>
  </si>
  <si>
    <t> 07-May-2018.</t>
  </si>
  <si>
    <t> 23302664660</t>
  </si>
  <si>
    <t>881069107613936</t>
  </si>
  <si>
    <t>Anjali Kumari</t>
  </si>
  <si>
    <t>23302650855,</t>
  </si>
  <si>
    <t>881069107612875</t>
  </si>
  <si>
    <t>881069107736576</t>
  </si>
  <si>
    <t>Georgedeep Senapati</t>
  </si>
  <si>
    <t>881069107738455</t>
  </si>
  <si>
    <t>Mala Gorai</t>
  </si>
  <si>
    <t>881069107864842</t>
  </si>
  <si>
    <t>Rohan Verma</t>
  </si>
  <si>
    <t>BMXXXXXX7G</t>
  </si>
  <si>
    <t>09-May-2018.</t>
  </si>
  <si>
    <t>. 23302681450, </t>
  </si>
  <si>
    <t>881060227988824</t>
  </si>
  <si>
    <t>Bechan Devi</t>
  </si>
  <si>
    <t>CPXPD3999B</t>
  </si>
  <si>
    <t>881060227987564</t>
  </si>
  <si>
    <t xml:space="preserve">Dulal Chandra Tantubay </t>
  </si>
  <si>
    <t>AFXXXXXX2B</t>
  </si>
  <si>
    <t> 23301153086, </t>
  </si>
  <si>
    <t>881069107907682</t>
  </si>
  <si>
    <t>Sunil Mukherjee</t>
  </si>
  <si>
    <t>EQXXXXXX3H</t>
  </si>
  <si>
    <t> 11-May-2018.</t>
  </si>
  <si>
    <t> 23302695004, </t>
  </si>
  <si>
    <t>881069107974425</t>
  </si>
  <si>
    <t>Meera Kumari</t>
  </si>
  <si>
    <t>HBXXXXXX6M</t>
  </si>
  <si>
    <t>23302681453, </t>
  </si>
  <si>
    <t>A010766661</t>
  </si>
  <si>
    <t>Urmila Devi</t>
  </si>
  <si>
    <t>resend on 25-10-2018</t>
  </si>
  <si>
    <t>881069107980331</t>
  </si>
  <si>
    <t>Sahana Parveen</t>
  </si>
  <si>
    <t>EMXXXXXX1L</t>
  </si>
  <si>
    <t> 23302681454</t>
  </si>
  <si>
    <t>881060228019042</t>
  </si>
  <si>
    <t>Bijay Shit</t>
  </si>
  <si>
    <t>CZXXXXXX4M</t>
  </si>
  <si>
    <t>23301153088, </t>
  </si>
  <si>
    <t>881069107607894</t>
  </si>
  <si>
    <t>Ram Vivek Kumar</t>
  </si>
  <si>
    <t>882060227974041</t>
  </si>
  <si>
    <t>Vikas Samities Telco</t>
  </si>
  <si>
    <t>AAXXXXXX8B</t>
  </si>
  <si>
    <t>881060228001741</t>
  </si>
  <si>
    <t>AJXXXXXX7D</t>
  </si>
  <si>
    <t>881060228019790</t>
  </si>
  <si>
    <t>Ram Kumar Singh</t>
  </si>
  <si>
    <t>FWXXXXXX2P</t>
  </si>
  <si>
    <t>881069108304346</t>
  </si>
  <si>
    <t>Bharti Kumari</t>
  </si>
  <si>
    <t>HCXXXXXX1K</t>
  </si>
  <si>
    <t xml:space="preserve">23303732430, </t>
  </si>
  <si>
    <t>881060228050660</t>
  </si>
  <si>
    <t>Sudeshna Dutta</t>
  </si>
  <si>
    <t>BQXXXXXX6B</t>
  </si>
  <si>
    <t>881069109022001</t>
  </si>
  <si>
    <t>Dharmendra Kumar Verma</t>
  </si>
  <si>
    <t>881069109221221</t>
  </si>
  <si>
    <t>Ashok Kumar Dubey</t>
  </si>
  <si>
    <t>881069109303563</t>
  </si>
  <si>
    <t>Nishita Sareen</t>
  </si>
  <si>
    <t>881069109307262</t>
  </si>
  <si>
    <t>Madhuri Mahato</t>
  </si>
  <si>
    <t>881060228118652</t>
  </si>
  <si>
    <t>Heena Mukhi</t>
  </si>
  <si>
    <t>881069109337115</t>
  </si>
  <si>
    <t>Kush Kumar</t>
  </si>
  <si>
    <t>881060228093323</t>
  </si>
  <si>
    <t>Jatindar Sukhdeo Thorat</t>
  </si>
  <si>
    <t>881069109593702</t>
  </si>
  <si>
    <t>Syed Faiz</t>
  </si>
  <si>
    <t>881069109444020</t>
  </si>
  <si>
    <t>Pinki Kumari</t>
  </si>
  <si>
    <t>881069109714216</t>
  </si>
  <si>
    <t>Mary Hembrom</t>
  </si>
  <si>
    <t>881069109941705</t>
  </si>
  <si>
    <t>Majoj Das</t>
  </si>
  <si>
    <t>881069109825564</t>
  </si>
  <si>
    <t>Ramesh Sardar</t>
  </si>
  <si>
    <t>881060228175374</t>
  </si>
  <si>
    <t>Madhuri Kalpana Kujur</t>
  </si>
  <si>
    <t>881069110391724</t>
  </si>
  <si>
    <t>Sukanti Devi</t>
  </si>
  <si>
    <t>881069110575415</t>
  </si>
  <si>
    <t>Sadaf Tahseen Khan</t>
  </si>
  <si>
    <t>881069110573606</t>
  </si>
  <si>
    <t>Vishal Singh</t>
  </si>
  <si>
    <t>881069110715791</t>
  </si>
  <si>
    <t>Simmi Kumari Rahelu</t>
  </si>
  <si>
    <t>881060228247544</t>
  </si>
  <si>
    <t>Swagata Bhattacharjee</t>
  </si>
  <si>
    <t>881069111072216</t>
  </si>
  <si>
    <t>Ajay Rantay</t>
  </si>
  <si>
    <t>881069111174140</t>
  </si>
  <si>
    <t>Prabila Devi</t>
  </si>
  <si>
    <t>881069111234244</t>
  </si>
  <si>
    <t>Rashmi Kumari</t>
  </si>
  <si>
    <t>A011241123</t>
  </si>
  <si>
    <t>SUMITRA BESRA</t>
  </si>
  <si>
    <t>Q000747800</t>
  </si>
  <si>
    <t>A011242989</t>
  </si>
  <si>
    <t>Barun Gorai</t>
  </si>
  <si>
    <t>A011242617</t>
  </si>
  <si>
    <t>Manorama Devi</t>
  </si>
  <si>
    <t>A011236792</t>
  </si>
  <si>
    <t>Poonam Munda</t>
  </si>
  <si>
    <t>Q000747759</t>
  </si>
  <si>
    <t>Srabani Giri Dey</t>
  </si>
  <si>
    <t>A011257193</t>
  </si>
  <si>
    <t>Durga Gorai</t>
  </si>
  <si>
    <t>25/05/18</t>
  </si>
  <si>
    <t>A000747759</t>
  </si>
  <si>
    <t>Srabani  Giri Dey</t>
  </si>
  <si>
    <t>Sumitra Besra</t>
  </si>
  <si>
    <t>A011279881</t>
  </si>
  <si>
    <t>Shek Reyaz</t>
  </si>
  <si>
    <t>A011278620</t>
  </si>
  <si>
    <t>Shaikh Shanawaz</t>
  </si>
  <si>
    <t>26/05/2016</t>
  </si>
  <si>
    <t>Q000749899</t>
  </si>
  <si>
    <t>Amit Paul</t>
  </si>
  <si>
    <t>28/05/2018</t>
  </si>
  <si>
    <t>Q000751097</t>
  </si>
  <si>
    <t>Ramadhar Singh</t>
  </si>
  <si>
    <t>29/05/2018</t>
  </si>
  <si>
    <t>A011295894</t>
  </si>
  <si>
    <t>Indro Besra</t>
  </si>
  <si>
    <t>DWCPB1581A</t>
  </si>
  <si>
    <t>Q000751444</t>
  </si>
  <si>
    <t>Kanchan Thomasina Ekka</t>
  </si>
  <si>
    <t>A011348564</t>
  </si>
  <si>
    <t>Pooja Kumar Singh</t>
  </si>
  <si>
    <t>31/05/2018</t>
  </si>
  <si>
    <t>Ack  Print</t>
  </si>
  <si>
    <t>A011355793</t>
  </si>
  <si>
    <t>Pallavi Singh</t>
  </si>
  <si>
    <t>A011356045</t>
  </si>
  <si>
    <t>Rajesh Sen</t>
  </si>
  <si>
    <t>A011316263</t>
  </si>
  <si>
    <t>Akhilesh Kumar rai</t>
  </si>
  <si>
    <t>Q000759776</t>
  </si>
  <si>
    <t>Pritam Das</t>
  </si>
  <si>
    <t>Q000761037</t>
  </si>
  <si>
    <t>Nawab Ali Akhaar</t>
  </si>
  <si>
    <t>Q000762116</t>
  </si>
  <si>
    <t>CHANDAN KUMAR PATHAK</t>
  </si>
  <si>
    <t>Q000761319</t>
  </si>
  <si>
    <t>A011440186</t>
  </si>
  <si>
    <t>RAJA PAUL</t>
  </si>
  <si>
    <t>A011469757</t>
  </si>
  <si>
    <t>MOHAMMAD AFRIDI</t>
  </si>
  <si>
    <t>Q000762982</t>
  </si>
  <si>
    <t>Utkalika Patra</t>
  </si>
  <si>
    <t>A011473681</t>
  </si>
  <si>
    <t>Bal Mukund Pandey</t>
  </si>
  <si>
    <t>A011465399</t>
  </si>
  <si>
    <t>Kritibash Mahato</t>
  </si>
  <si>
    <t>EPCPP0929G</t>
  </si>
  <si>
    <t>29/06/2018</t>
  </si>
  <si>
    <t>A011467232</t>
  </si>
  <si>
    <t>ANIL TIRKEY</t>
  </si>
  <si>
    <t>Q000762423</t>
  </si>
  <si>
    <t>Narayan Mahal</t>
  </si>
  <si>
    <t>Q000763752</t>
  </si>
  <si>
    <t>Amit Kumar patel</t>
  </si>
  <si>
    <t>A011503505</t>
  </si>
  <si>
    <t>Trisha Ganguly</t>
  </si>
  <si>
    <t>Alok</t>
  </si>
  <si>
    <t>A011508984</t>
  </si>
  <si>
    <t>Jiten Mahato</t>
  </si>
  <si>
    <t xml:space="preserve">Q000765385 </t>
  </si>
  <si>
    <t>ANIRUDDHA SHIVAJI TIRUKHE</t>
  </si>
  <si>
    <t>A011513180</t>
  </si>
  <si>
    <t>Amrendra Kumar Singh</t>
  </si>
  <si>
    <t>Objection Name</t>
  </si>
  <si>
    <t>A011513371</t>
  </si>
  <si>
    <t>Dilip HO</t>
  </si>
  <si>
    <t>Q000765691</t>
  </si>
  <si>
    <t>Piyas Mujherjee</t>
  </si>
  <si>
    <t>RM812293192IN ON 14/09/2018</t>
  </si>
  <si>
    <t>Q000765722</t>
  </si>
  <si>
    <t>Rohidas Nag</t>
  </si>
  <si>
    <t>A011522894</t>
  </si>
  <si>
    <t>Ravi Karmakar</t>
  </si>
  <si>
    <t>A011524285</t>
  </si>
  <si>
    <t>Sneha</t>
  </si>
  <si>
    <t>A011526643</t>
  </si>
  <si>
    <t>Apratim Ranjan Chakrabarty</t>
  </si>
  <si>
    <t>A011525510</t>
  </si>
  <si>
    <t>Vivek Kumar Srivastava</t>
  </si>
  <si>
    <t>Objection</t>
  </si>
  <si>
    <t>AADHAR NOT MATCHED</t>
  </si>
  <si>
    <t>Q000768089</t>
  </si>
  <si>
    <t>Deepak Kumar</t>
  </si>
  <si>
    <t>mailed</t>
  </si>
  <si>
    <t>Q000768097</t>
  </si>
  <si>
    <t>Niranjan Behera</t>
  </si>
  <si>
    <t>Q000768100</t>
  </si>
  <si>
    <t>Sakal Dev</t>
  </si>
  <si>
    <t>A011550282</t>
  </si>
  <si>
    <t>Anand Kumar Thakur</t>
  </si>
  <si>
    <t>A011550333</t>
  </si>
  <si>
    <t>Pragya Raj</t>
  </si>
  <si>
    <t>A011550382</t>
  </si>
  <si>
    <t>Shivani Shrivastva</t>
  </si>
  <si>
    <t>A011543770</t>
  </si>
  <si>
    <t>Ravi Gorai</t>
  </si>
  <si>
    <t>Q000771295</t>
  </si>
  <si>
    <t>Gereya Chattar</t>
  </si>
  <si>
    <t>given</t>
  </si>
  <si>
    <t>A011620246</t>
  </si>
  <si>
    <t>Sulekha Sarkar</t>
  </si>
  <si>
    <t>A011600157</t>
  </si>
  <si>
    <t>Rajeev Mukherjee</t>
  </si>
  <si>
    <t>A011620120</t>
  </si>
  <si>
    <t>Sankhadeep Sur</t>
  </si>
  <si>
    <t>A011619726</t>
  </si>
  <si>
    <t>Avinash Kumar SIngh</t>
  </si>
  <si>
    <t>A011605940</t>
  </si>
  <si>
    <t>Titali Ravidas</t>
  </si>
  <si>
    <t>A011599632</t>
  </si>
  <si>
    <t>A011625684</t>
  </si>
  <si>
    <t>Khadak SIngh</t>
  </si>
  <si>
    <t>KIOPS8671D</t>
  </si>
  <si>
    <t>Reapplied</t>
  </si>
  <si>
    <t>A011636325</t>
  </si>
  <si>
    <t>Rina Maithy</t>
  </si>
  <si>
    <t>Q000774119</t>
  </si>
  <si>
    <t>Binit Jaiswal</t>
  </si>
  <si>
    <t>A011661291</t>
  </si>
  <si>
    <t>Bhawna Talari</t>
  </si>
  <si>
    <t>A011667469</t>
  </si>
  <si>
    <t>Laxmi Murmu</t>
  </si>
  <si>
    <t>A011667371</t>
  </si>
  <si>
    <t>Chandana Patna</t>
  </si>
  <si>
    <t>A011667236</t>
  </si>
  <si>
    <t>Dinesh Mahato</t>
  </si>
  <si>
    <t>A011666958</t>
  </si>
  <si>
    <t>Sonka Gorai</t>
  </si>
  <si>
    <t>CQTPG9659N</t>
  </si>
  <si>
    <t>Q000776349</t>
  </si>
  <si>
    <t>Tejo Kumar Measala</t>
  </si>
  <si>
    <t>A011753034</t>
  </si>
  <si>
    <t>Mangal Singh</t>
  </si>
  <si>
    <t>A011763158</t>
  </si>
  <si>
    <t>Jayprakash Swansi</t>
  </si>
  <si>
    <t>Q000783225</t>
  </si>
  <si>
    <t>Shreya Chatterjee</t>
  </si>
  <si>
    <t>BEMPC1480B</t>
  </si>
  <si>
    <t>RETURNED</t>
  </si>
  <si>
    <t>Srikrishna Sahu</t>
  </si>
  <si>
    <t>A011791354</t>
  </si>
  <si>
    <t>Tapan Gorai</t>
  </si>
  <si>
    <t>Q000785106</t>
  </si>
  <si>
    <t>Sobha Mondal</t>
  </si>
  <si>
    <t>A011844694</t>
  </si>
  <si>
    <t>Bali Mardi</t>
  </si>
  <si>
    <t>krishna</t>
  </si>
  <si>
    <t>A011863433</t>
  </si>
  <si>
    <t>Mukesh Kumar</t>
  </si>
  <si>
    <t>alok</t>
  </si>
  <si>
    <t>A011863599</t>
  </si>
  <si>
    <t>Devraj Godsora</t>
  </si>
  <si>
    <t>A011863717</t>
  </si>
  <si>
    <t>Raj Lohar</t>
  </si>
  <si>
    <t>Lokesh Gounder</t>
  </si>
  <si>
    <t>A011864890</t>
  </si>
  <si>
    <t>Shama Khatoon</t>
  </si>
  <si>
    <t>Q000789388</t>
  </si>
  <si>
    <t>Jageshwar Mahto</t>
  </si>
  <si>
    <t>A011869412</t>
  </si>
  <si>
    <t>Madan Mahato</t>
  </si>
  <si>
    <t>A011886556</t>
  </si>
  <si>
    <t>Sawmik Guha</t>
  </si>
  <si>
    <t>aLOK</t>
  </si>
  <si>
    <t>Q000790015</t>
  </si>
  <si>
    <t>Neha Pandey</t>
  </si>
  <si>
    <t>DEL</t>
  </si>
  <si>
    <t>Q000795820</t>
  </si>
  <si>
    <t>Tilak Sarkar</t>
  </si>
  <si>
    <t>A011947037</t>
  </si>
  <si>
    <t>Sourav Anand</t>
  </si>
  <si>
    <t>Q000798423</t>
  </si>
  <si>
    <t>Soma Singh</t>
  </si>
  <si>
    <t>send</t>
  </si>
  <si>
    <t>A011959881</t>
  </si>
  <si>
    <t>Beauty Kumari</t>
  </si>
  <si>
    <t>i</t>
  </si>
  <si>
    <t>A011977964</t>
  </si>
  <si>
    <t>Ankit Kumar Sinha</t>
  </si>
  <si>
    <t>A011978427</t>
  </si>
  <si>
    <t>Fulmuni Hansada</t>
  </si>
  <si>
    <t>A011980350</t>
  </si>
  <si>
    <t>Akash Kumar Sony</t>
  </si>
  <si>
    <t>A012001642</t>
  </si>
  <si>
    <t>Rashmi Singh</t>
  </si>
  <si>
    <t>A011967496</t>
  </si>
  <si>
    <t>Amisha Verma</t>
  </si>
  <si>
    <t>Q000800257</t>
  </si>
  <si>
    <t>Manjula Mahato</t>
  </si>
  <si>
    <t>A012001949</t>
  </si>
  <si>
    <t>Satwik Kumar</t>
  </si>
  <si>
    <t>A012047174</t>
  </si>
  <si>
    <t>Sonali Adhikary</t>
  </si>
  <si>
    <t>9/7/2018</t>
  </si>
  <si>
    <t>A012046432</t>
  </si>
  <si>
    <t>Sudipta Pramanik</t>
  </si>
  <si>
    <t xml:space="preserve">Failed </t>
  </si>
  <si>
    <t>Q000806095</t>
  </si>
  <si>
    <t>Santanu Majumder</t>
  </si>
  <si>
    <t>10/7/2018</t>
  </si>
  <si>
    <t>A012064088</t>
  </si>
  <si>
    <t>Sushila Devi</t>
  </si>
  <si>
    <t>11/7/2018</t>
  </si>
  <si>
    <t>A012070891</t>
  </si>
  <si>
    <t>Prabha Rai</t>
  </si>
  <si>
    <t>Q000805949</t>
  </si>
  <si>
    <t>Rahul Kumar Gupta</t>
  </si>
  <si>
    <t>Q000807901</t>
  </si>
  <si>
    <t>Samsun Bibi</t>
  </si>
  <si>
    <t>Q000808365</t>
  </si>
  <si>
    <t>Harendra Narayan Singh</t>
  </si>
  <si>
    <t>Send</t>
  </si>
  <si>
    <t>Q000808393</t>
  </si>
  <si>
    <t>Shudu Devi</t>
  </si>
  <si>
    <t>Q000808381</t>
  </si>
  <si>
    <t>Menjo Bari</t>
  </si>
  <si>
    <t>A012107939</t>
  </si>
  <si>
    <t>Laxman Ruhidas</t>
  </si>
  <si>
    <t>A012119247</t>
  </si>
  <si>
    <t>Shankar Mahato</t>
  </si>
  <si>
    <t>12/7/2018</t>
  </si>
  <si>
    <t>Q000809623</t>
  </si>
  <si>
    <t>Moly Chaki</t>
  </si>
  <si>
    <t>13/7/2018</t>
  </si>
  <si>
    <t>Q000809635</t>
  </si>
  <si>
    <t>Amitava Chaki</t>
  </si>
  <si>
    <t>A012141062</t>
  </si>
  <si>
    <t>Ananda Bisui</t>
  </si>
  <si>
    <t>A012141275</t>
  </si>
  <si>
    <t>Milan Bisui</t>
  </si>
  <si>
    <t>14/7/2018</t>
  </si>
  <si>
    <t>Q000810882</t>
  </si>
  <si>
    <t>A012142562</t>
  </si>
  <si>
    <t>Abeda Zeya</t>
  </si>
  <si>
    <t>A012153156</t>
  </si>
  <si>
    <t>Renu Devi</t>
  </si>
  <si>
    <t>A012153322</t>
  </si>
  <si>
    <t>manoj Kumar</t>
  </si>
  <si>
    <t>Insuff</t>
  </si>
  <si>
    <t>Q000811693</t>
  </si>
  <si>
    <t>A012145763</t>
  </si>
  <si>
    <t>Pratima Kundu</t>
  </si>
  <si>
    <t>Q000811178</t>
  </si>
  <si>
    <t>Kamal Sahu</t>
  </si>
  <si>
    <t>A012147154</t>
  </si>
  <si>
    <t>Raj Kaur</t>
  </si>
  <si>
    <t>A012147911</t>
  </si>
  <si>
    <t xml:space="preserve">Abhishek Kumar </t>
  </si>
  <si>
    <t>A012148566</t>
  </si>
  <si>
    <t>Nigar Bano</t>
  </si>
  <si>
    <t>A012151708</t>
  </si>
  <si>
    <t>Shailini Prasad</t>
  </si>
  <si>
    <t xml:space="preserve">Not Filled </t>
  </si>
  <si>
    <t>DOB Not given</t>
  </si>
  <si>
    <t>A012150795</t>
  </si>
  <si>
    <t>Anandini Topno</t>
  </si>
  <si>
    <t>Q000812546</t>
  </si>
  <si>
    <t>Sunita Sha</t>
  </si>
  <si>
    <t>Q000813627</t>
  </si>
  <si>
    <t>Sushovan Dey</t>
  </si>
  <si>
    <t>Q000813617</t>
  </si>
  <si>
    <t>Dilip Kumar Verma</t>
  </si>
  <si>
    <t>A012162136</t>
  </si>
  <si>
    <t>Shivam Kumar</t>
  </si>
  <si>
    <t>Q000815167</t>
  </si>
  <si>
    <t>Radhe Shyam Pandey</t>
  </si>
  <si>
    <t>Q000815158</t>
  </si>
  <si>
    <t>Sikha Rani Mahato</t>
  </si>
  <si>
    <t>A012213843</t>
  </si>
  <si>
    <t>Varsha Srivastava</t>
  </si>
  <si>
    <t>15/7/2018</t>
  </si>
  <si>
    <t xml:space="preserve">A012151708 </t>
  </si>
  <si>
    <t>Rupa Devi</t>
  </si>
  <si>
    <t>A012260741</t>
  </si>
  <si>
    <t>Hareram Yadav</t>
  </si>
  <si>
    <t>18/7/2018</t>
  </si>
  <si>
    <t xml:space="preserve">A012260706 </t>
  </si>
  <si>
    <t>Sonu Das</t>
  </si>
  <si>
    <t>Q000819884</t>
  </si>
  <si>
    <t>Rabi Mahato</t>
  </si>
  <si>
    <t>Q000819956</t>
  </si>
  <si>
    <t>Ram Kumar Saw</t>
  </si>
  <si>
    <t>Q000821317</t>
  </si>
  <si>
    <t>Baban Kumar Sah</t>
  </si>
  <si>
    <t>19/7/2018</t>
  </si>
  <si>
    <t>Q000821333</t>
  </si>
  <si>
    <t>Vikash Kumar Agarwal</t>
  </si>
  <si>
    <t>7/27/2018</t>
  </si>
  <si>
    <t>Krishna</t>
  </si>
  <si>
    <t>Q000824505</t>
  </si>
  <si>
    <t>Manik Poira</t>
  </si>
  <si>
    <t>A012328684</t>
  </si>
  <si>
    <t>Supriya Chakraborty</t>
  </si>
  <si>
    <t>21/7/2018</t>
  </si>
  <si>
    <t>A012344653</t>
  </si>
  <si>
    <t>Akash Bhardwaj</t>
  </si>
  <si>
    <t>A012345724</t>
  </si>
  <si>
    <t>Sana Aaliya</t>
  </si>
  <si>
    <t>Q000833815</t>
  </si>
  <si>
    <t>Laxmi hembrom</t>
  </si>
  <si>
    <t>A012441753</t>
  </si>
  <si>
    <t>Sikandar Singh</t>
  </si>
  <si>
    <t>biometric</t>
  </si>
  <si>
    <t>A012441453</t>
  </si>
  <si>
    <t>Vijay Kumar Singh</t>
  </si>
  <si>
    <t>A012441313</t>
  </si>
  <si>
    <t>Amit Kumar</t>
  </si>
  <si>
    <t>A012441003</t>
  </si>
  <si>
    <t>Simran Kumar</t>
  </si>
  <si>
    <t>A012441190</t>
  </si>
  <si>
    <t>Subhashish Ravidas</t>
  </si>
  <si>
    <t>DRPPR4366P</t>
  </si>
  <si>
    <t>A012432148</t>
  </si>
  <si>
    <t>Hopna Soren</t>
  </si>
  <si>
    <t>A012445965</t>
  </si>
  <si>
    <t>Sonamani Hembram</t>
  </si>
  <si>
    <t>Q000834730</t>
  </si>
  <si>
    <t>Madan Kumar Rajak</t>
  </si>
  <si>
    <t>Q000836168</t>
  </si>
  <si>
    <t>Chetram</t>
  </si>
  <si>
    <t>A012457800</t>
  </si>
  <si>
    <t>Shalini Prasad</t>
  </si>
  <si>
    <t>Q000836157</t>
  </si>
  <si>
    <t>Abhijit Dutta</t>
  </si>
  <si>
    <t>Q000836152</t>
  </si>
  <si>
    <t>Rintu Bhattacharjee</t>
  </si>
  <si>
    <t>Q000836174</t>
  </si>
  <si>
    <t>Prerna Singhania</t>
  </si>
  <si>
    <t>A012458001</t>
  </si>
  <si>
    <t>Mihir Das</t>
  </si>
  <si>
    <t>Sikander Singh</t>
  </si>
  <si>
    <t>Q000835217</t>
  </si>
  <si>
    <t>Monojit Chakraborty</t>
  </si>
  <si>
    <t>A012476719</t>
  </si>
  <si>
    <t>Usha Devi</t>
  </si>
  <si>
    <t>returned</t>
  </si>
  <si>
    <t>A012477289</t>
  </si>
  <si>
    <t>Raymoni Gope</t>
  </si>
  <si>
    <t>A012477146</t>
  </si>
  <si>
    <t>Rajender Kaur</t>
  </si>
  <si>
    <t>A012477060</t>
  </si>
  <si>
    <t>Baby Devi</t>
  </si>
  <si>
    <t>Q000836833</t>
  </si>
  <si>
    <t>Sukhminder Kaur</t>
  </si>
  <si>
    <t>Q000833968</t>
  </si>
  <si>
    <t>Antara Mitra</t>
  </si>
  <si>
    <t>A012506240</t>
  </si>
  <si>
    <t>A012526098</t>
  </si>
  <si>
    <t>Shweta Singh</t>
  </si>
  <si>
    <t>A012602043</t>
  </si>
  <si>
    <t>Suresh Hembrom</t>
  </si>
  <si>
    <t>A012602342</t>
  </si>
  <si>
    <t>NITAI CHANDRA PRAMANIK</t>
  </si>
  <si>
    <t>A012606505</t>
  </si>
  <si>
    <t>Swapan Ruhidas</t>
  </si>
  <si>
    <t>A012611278</t>
  </si>
  <si>
    <t>Ganganalu Rupa</t>
  </si>
  <si>
    <t>Q000852553</t>
  </si>
  <si>
    <t>Jitendra Prasad</t>
  </si>
  <si>
    <t>A012693144</t>
  </si>
  <si>
    <t>Deepu Gorai</t>
  </si>
  <si>
    <t>A012702819</t>
  </si>
  <si>
    <t>Irfan Alam</t>
  </si>
  <si>
    <t>A012715060</t>
  </si>
  <si>
    <t>Bimla Mukhi</t>
  </si>
  <si>
    <t>A012745647</t>
  </si>
  <si>
    <t>Nitu Singh Malla</t>
  </si>
  <si>
    <t>sent</t>
  </si>
  <si>
    <t>Q000857597</t>
  </si>
  <si>
    <t>Suresh Chandra Patnaik</t>
  </si>
  <si>
    <t>Q000858071</t>
  </si>
  <si>
    <t>Arvind Prasad</t>
  </si>
  <si>
    <t>A012753599</t>
  </si>
  <si>
    <t>Kalpana Gorai</t>
  </si>
  <si>
    <t>A012788017</t>
  </si>
  <si>
    <t>Subasini Patnaik</t>
  </si>
  <si>
    <t>A012767521</t>
  </si>
  <si>
    <t>Nazia Tabassum</t>
  </si>
  <si>
    <t>A012789219</t>
  </si>
  <si>
    <t>Piyusha Mazumdar</t>
  </si>
  <si>
    <t>A012789284</t>
  </si>
  <si>
    <t>Nimai Gorai</t>
  </si>
  <si>
    <t>Q0008584168</t>
  </si>
  <si>
    <t>A012934381</t>
  </si>
  <si>
    <t>Q000860810</t>
  </si>
  <si>
    <t>Shama Sanowar</t>
  </si>
  <si>
    <t>Q000861931</t>
  </si>
  <si>
    <t>Bikash Chandra Mahato</t>
  </si>
  <si>
    <t>A012835174</t>
  </si>
  <si>
    <t>Mahfooz Alam</t>
  </si>
  <si>
    <t>Q000871880</t>
  </si>
  <si>
    <t>Rajesh Kumar Singh</t>
  </si>
  <si>
    <t>A012901710</t>
  </si>
  <si>
    <t>Indu Subedi</t>
  </si>
  <si>
    <t>A012901851</t>
  </si>
  <si>
    <t>Rani Madhuni</t>
  </si>
  <si>
    <t>Sanju Birua</t>
  </si>
  <si>
    <t>Q000871867</t>
  </si>
  <si>
    <t>Jayeeta Roy</t>
  </si>
  <si>
    <t>A012934268</t>
  </si>
  <si>
    <t>Neha kumari</t>
  </si>
  <si>
    <t>A012933247</t>
  </si>
  <si>
    <t>Suraj Priyadarshi</t>
  </si>
  <si>
    <t>A013021058</t>
  </si>
  <si>
    <t>Ganesh Munda</t>
  </si>
  <si>
    <t>A013021228</t>
  </si>
  <si>
    <t>Mohammad Matlub Khan</t>
  </si>
  <si>
    <t>A013033168</t>
  </si>
  <si>
    <t>Suresh Sha</t>
  </si>
  <si>
    <t>A013032597</t>
  </si>
  <si>
    <t>Sanju Devi</t>
  </si>
  <si>
    <t>A013021386</t>
  </si>
  <si>
    <t>Afridi Mazhar</t>
  </si>
  <si>
    <t>A013102323</t>
  </si>
  <si>
    <t>BISHOKA DEVI</t>
  </si>
  <si>
    <t>A013102135</t>
  </si>
  <si>
    <t>JITENDRA NATH ROHIDAS</t>
  </si>
  <si>
    <t>A013147222</t>
  </si>
  <si>
    <t>Hirdaya nath Tiwary</t>
  </si>
  <si>
    <t>A013175392</t>
  </si>
  <si>
    <t>Arti Kumari</t>
  </si>
  <si>
    <t>363829700258776</t>
  </si>
  <si>
    <t>Krishna Prasad</t>
  </si>
  <si>
    <t>ESTPP5724B</t>
  </si>
  <si>
    <t>VELEX</t>
  </si>
  <si>
    <t>363829700261720</t>
  </si>
  <si>
    <t>Ankita Upadhyay</t>
  </si>
  <si>
    <t>A013276181</t>
  </si>
  <si>
    <t>Amrit Gorai</t>
  </si>
  <si>
    <t>A013276797</t>
  </si>
  <si>
    <t>Bablu Khan</t>
  </si>
  <si>
    <t>A013276977</t>
  </si>
  <si>
    <t>Anurag Kumar Ram</t>
  </si>
  <si>
    <t>Q000899807</t>
  </si>
  <si>
    <t>Kunta Sharma</t>
  </si>
  <si>
    <t>363829700276571</t>
  </si>
  <si>
    <t>Mallika Mallik</t>
  </si>
  <si>
    <t>1-jan-72</t>
  </si>
  <si>
    <t>Q000903506</t>
  </si>
  <si>
    <t>Man Bahadur Adhikari</t>
  </si>
  <si>
    <t>A013381187</t>
  </si>
  <si>
    <t>Diwakar Ravidas</t>
  </si>
  <si>
    <t>A013381096</t>
  </si>
  <si>
    <t>Govinda Ravidas</t>
  </si>
  <si>
    <t>363829700286824</t>
  </si>
  <si>
    <t>Savitri Devi</t>
  </si>
  <si>
    <t>363829700286754</t>
  </si>
  <si>
    <t>Swarnalata Goarai</t>
  </si>
  <si>
    <t>363829700286695</t>
  </si>
  <si>
    <t>Deepak Thapa</t>
  </si>
  <si>
    <t>363829700286581</t>
  </si>
  <si>
    <t>363829700286570</t>
  </si>
  <si>
    <t>Jayanti Lohar</t>
  </si>
  <si>
    <t>Anjna Xaxa</t>
  </si>
  <si>
    <t>pending</t>
  </si>
  <si>
    <t>363829700286360</t>
  </si>
  <si>
    <t>Tapojyoti Bhattacharjee</t>
  </si>
  <si>
    <t>ISSUED</t>
  </si>
  <si>
    <t>A013841683</t>
  </si>
  <si>
    <t>Nutan Jyoti Hassa Purti</t>
  </si>
  <si>
    <t>A013841553</t>
  </si>
  <si>
    <t>Christina Xalxo</t>
  </si>
  <si>
    <t>D</t>
  </si>
  <si>
    <t>A013543482</t>
  </si>
  <si>
    <t>Aparna Bhattacharya</t>
  </si>
  <si>
    <t>Q000915361</t>
  </si>
  <si>
    <t>Harichandan Bhattacharge</t>
  </si>
  <si>
    <t>done</t>
  </si>
  <si>
    <t>363829700294443</t>
  </si>
  <si>
    <t>Johan Topno</t>
  </si>
  <si>
    <t>SUCCESS</t>
  </si>
  <si>
    <t>363829700294410</t>
  </si>
  <si>
    <t>Jagjit Kaur</t>
  </si>
  <si>
    <t>AT TIN CENTER</t>
  </si>
  <si>
    <t>363829700293883</t>
  </si>
  <si>
    <t>Abdul Aziz</t>
  </si>
  <si>
    <t>A013481768</t>
  </si>
  <si>
    <t>Rahil Tuti</t>
  </si>
  <si>
    <t>uid authentication</t>
  </si>
  <si>
    <t>A013553414</t>
  </si>
  <si>
    <t>Veena Devi</t>
  </si>
  <si>
    <t>A013682068</t>
  </si>
  <si>
    <t>Subhash Banerjee</t>
  </si>
  <si>
    <t>A013679120</t>
  </si>
  <si>
    <t>Mohammad Nayeem</t>
  </si>
  <si>
    <t>Q000928277</t>
  </si>
  <si>
    <t>Narayan Modi</t>
  </si>
  <si>
    <t>A013639521</t>
  </si>
  <si>
    <t>Dinesh Tiwary</t>
  </si>
  <si>
    <t>A013627428</t>
  </si>
  <si>
    <t>Puspa Devi</t>
  </si>
  <si>
    <t>A013678456</t>
  </si>
  <si>
    <t>Ajay Mahato</t>
  </si>
  <si>
    <t>A013678709</t>
  </si>
  <si>
    <t>Suraj Kumar Dhibar</t>
  </si>
  <si>
    <t>363829700310904</t>
  </si>
  <si>
    <t>Dipak banerjee</t>
  </si>
  <si>
    <t>EBXXXXXX8B</t>
  </si>
  <si>
    <t>386389700000043</t>
  </si>
  <si>
    <t>Pratima Devi</t>
  </si>
  <si>
    <t>csc</t>
  </si>
  <si>
    <t>363829700320100</t>
  </si>
  <si>
    <t>Sunil Gorai</t>
  </si>
  <si>
    <t>A013689038</t>
  </si>
  <si>
    <t>Sintu Kumar</t>
  </si>
  <si>
    <t>A013688952</t>
  </si>
  <si>
    <t>Sagar Mukhi</t>
  </si>
  <si>
    <t>363829700</t>
  </si>
  <si>
    <t>Sharmili Roy</t>
  </si>
  <si>
    <t>363829700335496</t>
  </si>
  <si>
    <t>Savitri Soren</t>
  </si>
  <si>
    <t>KTFPS4787E</t>
  </si>
  <si>
    <t>17-10-18</t>
  </si>
  <si>
    <t>363829700335533</t>
  </si>
  <si>
    <t>Shilpa Kerketta</t>
  </si>
  <si>
    <t>HQXXXXXX8M</t>
  </si>
  <si>
    <t>363829700338053</t>
  </si>
  <si>
    <t>Arshi Perween</t>
  </si>
  <si>
    <t>EUXXXXXX2</t>
  </si>
  <si>
    <t>A013968443</t>
  </si>
  <si>
    <t>Rita Sherpa</t>
  </si>
  <si>
    <t>KUEPS3050J</t>
  </si>
  <si>
    <t>Q000943530</t>
  </si>
  <si>
    <t>7301497220</t>
  </si>
  <si>
    <t>Q000945104</t>
  </si>
  <si>
    <t>Nepal Parmanik</t>
  </si>
  <si>
    <t>BCSPP8609P</t>
  </si>
  <si>
    <t>20-10-18</t>
  </si>
  <si>
    <t>Q000953455</t>
  </si>
  <si>
    <t>Kanchan Singh Solanki</t>
  </si>
  <si>
    <t>FNWPS8058E</t>
  </si>
  <si>
    <t>A014097324</t>
  </si>
  <si>
    <t>Aparna Das</t>
  </si>
  <si>
    <t>A014205754</t>
  </si>
  <si>
    <t>Sanchita Kumari</t>
  </si>
  <si>
    <t>A014165666</t>
  </si>
  <si>
    <t>Sushila Sharma</t>
  </si>
  <si>
    <t>A014169035</t>
  </si>
  <si>
    <t>Meharun Nisha</t>
  </si>
  <si>
    <t>A014186136</t>
  </si>
  <si>
    <t>Ranjeeta Kumari</t>
  </si>
  <si>
    <t>Q000969707</t>
  </si>
  <si>
    <t>Jakso james</t>
  </si>
  <si>
    <t>A014240533</t>
  </si>
  <si>
    <t>Abira Sarkar</t>
  </si>
  <si>
    <t>A014244090</t>
  </si>
  <si>
    <t>Abhishek Kumar Singh</t>
  </si>
  <si>
    <t>a014251158</t>
  </si>
  <si>
    <t>Asif Ansari</t>
  </si>
  <si>
    <t>A014255964</t>
  </si>
  <si>
    <t>Ranjeet Mahato</t>
  </si>
  <si>
    <t>A014257172</t>
  </si>
  <si>
    <t>Kanan biswas</t>
  </si>
  <si>
    <t xml:space="preserve">EDGPB0711J </t>
  </si>
  <si>
    <t>A014275730</t>
  </si>
  <si>
    <t>Asha Rani Mohanty</t>
  </si>
  <si>
    <t>A014338701</t>
  </si>
  <si>
    <t>Deepak Sah</t>
  </si>
  <si>
    <t>KWJPS8749R</t>
  </si>
  <si>
    <t>A014400610</t>
  </si>
  <si>
    <t>Nikia Singh</t>
  </si>
  <si>
    <t>A014403679</t>
  </si>
  <si>
    <t>Mohit Kumar Singh</t>
  </si>
  <si>
    <t>A014439011</t>
  </si>
  <si>
    <t>Anita Munda</t>
  </si>
  <si>
    <t>A014438580</t>
  </si>
  <si>
    <t>Kinkar Mandal</t>
  </si>
  <si>
    <t>Q000989536</t>
  </si>
  <si>
    <t>Abhijit Sarkar</t>
  </si>
  <si>
    <t>A014439120</t>
  </si>
  <si>
    <t>Shivani Munda</t>
  </si>
  <si>
    <t>Q000989186</t>
  </si>
  <si>
    <t>Pradip Kumar Mazumdar</t>
  </si>
  <si>
    <t>Q000991664</t>
  </si>
  <si>
    <t>Tarique Anwar</t>
  </si>
  <si>
    <t>A014479804</t>
  </si>
  <si>
    <t>Sadhu Singh</t>
  </si>
  <si>
    <t>A014466043</t>
  </si>
  <si>
    <t>Payal Mitra Neogi</t>
  </si>
  <si>
    <t>A014479871</t>
  </si>
  <si>
    <t>Nabanita Bose</t>
  </si>
  <si>
    <t>A014479311</t>
  </si>
  <si>
    <t>Prasenjit Mandal</t>
  </si>
  <si>
    <t>A014479669</t>
  </si>
  <si>
    <t>Bablu Gorai</t>
  </si>
  <si>
    <t>A014487031</t>
  </si>
  <si>
    <t>Sahani Khatoon</t>
  </si>
  <si>
    <t>A014495220</t>
  </si>
  <si>
    <t>Ratna Pandey</t>
  </si>
  <si>
    <t>A014496149</t>
  </si>
  <si>
    <t>swayam sahayata samuh</t>
  </si>
  <si>
    <t>A014496783</t>
  </si>
  <si>
    <t>Gul Jabeen</t>
  </si>
  <si>
    <t>BUSPJ2775C</t>
  </si>
  <si>
    <t>RM164111727IN ON 22/11/2018</t>
  </si>
  <si>
    <t>Anisha Chaki</t>
  </si>
  <si>
    <t>minor</t>
  </si>
  <si>
    <t>A014498639</t>
  </si>
  <si>
    <t>Shriyadita Chaki</t>
  </si>
  <si>
    <t>Q000997020</t>
  </si>
  <si>
    <t>Padma Adhikari</t>
  </si>
  <si>
    <t>A014595882</t>
  </si>
  <si>
    <t>Jaba Gorai</t>
  </si>
  <si>
    <t>A014614718</t>
  </si>
  <si>
    <t>Ally Base</t>
  </si>
  <si>
    <t>firm</t>
  </si>
  <si>
    <t> ABNFA5549G</t>
  </si>
  <si>
    <t>13/12/2018</t>
  </si>
  <si>
    <t>A014724920</t>
  </si>
  <si>
    <t>Bhagyadhar Sahis</t>
  </si>
  <si>
    <t>Q001013862</t>
  </si>
  <si>
    <t>Gurdeep Singh</t>
  </si>
  <si>
    <t>Q001015654</t>
  </si>
  <si>
    <t>Sunita Devi</t>
  </si>
  <si>
    <t>manoj</t>
  </si>
  <si>
    <t>Q001017316</t>
  </si>
  <si>
    <t>Lakshmi</t>
  </si>
  <si>
    <t>A014779558</t>
  </si>
  <si>
    <t>Jasabanta Mohanta</t>
  </si>
  <si>
    <t>A014772147</t>
  </si>
  <si>
    <t>Manoj Kumar Bediya</t>
  </si>
  <si>
    <t>Q001019436</t>
  </si>
  <si>
    <t>Ashok Kumar Singh</t>
  </si>
  <si>
    <t>A014803012</t>
  </si>
  <si>
    <t>Kalipado Goswami</t>
  </si>
  <si>
    <t>ALOK</t>
  </si>
  <si>
    <t>A014802947</t>
  </si>
  <si>
    <t>Bhagirath Mardi</t>
  </si>
  <si>
    <t>A014801023</t>
  </si>
  <si>
    <t>Vimla Thapa</t>
  </si>
  <si>
    <t>BPCPT5413A</t>
  </si>
  <si>
    <t>RM173479109IN ON 10/12/2018</t>
  </si>
  <si>
    <t>Q001024420</t>
  </si>
  <si>
    <t>Vivek Prasad</t>
  </si>
  <si>
    <t>A014762435</t>
  </si>
  <si>
    <t>Jhuma Goswami</t>
  </si>
  <si>
    <t>A014800978</t>
  </si>
  <si>
    <t>Ankita</t>
  </si>
  <si>
    <t>DBLPA3106A</t>
  </si>
  <si>
    <t>A014884101</t>
  </si>
  <si>
    <t>Dhrub Oraon</t>
  </si>
  <si>
    <t>A014862707</t>
  </si>
  <si>
    <t>Gurubari Pramanik</t>
  </si>
  <si>
    <t>A014863455</t>
  </si>
  <si>
    <t>Shabnam Sultana</t>
  </si>
  <si>
    <t> KYXPS7857G</t>
  </si>
  <si>
    <t>A014867600</t>
  </si>
  <si>
    <t>Preeti Narayan</t>
  </si>
  <si>
    <t>Q001027964</t>
  </si>
  <si>
    <t>Amrit Kumar Upadhyay</t>
  </si>
  <si>
    <t>386389700006903</t>
  </si>
  <si>
    <t>Subrato Roy Choudhury</t>
  </si>
  <si>
    <t>386389700006881</t>
  </si>
  <si>
    <t>Deeparnita Biswas</t>
  </si>
  <si>
    <t>Q001029604</t>
  </si>
  <si>
    <t>Zohara begum</t>
  </si>
  <si>
    <t>A014966510</t>
  </si>
  <si>
    <t>Ajay Karmakar</t>
  </si>
  <si>
    <t>386389700007780</t>
  </si>
  <si>
    <t>Rinku Mukherjee</t>
  </si>
  <si>
    <t>386389700007791</t>
  </si>
  <si>
    <t>Somnath Lohar</t>
  </si>
  <si>
    <t>386389700007835</t>
  </si>
  <si>
    <t>Shweta Guha</t>
  </si>
  <si>
    <t>386389700007802</t>
  </si>
  <si>
    <t>Minu Devi</t>
  </si>
  <si>
    <t>A014968290</t>
  </si>
  <si>
    <t>Priyanka Chaudhary</t>
  </si>
  <si>
    <t>A014989327</t>
  </si>
  <si>
    <t>Binoti Hembram</t>
  </si>
  <si>
    <t>Q001035694</t>
  </si>
  <si>
    <t>Upadhyay</t>
  </si>
  <si>
    <t>A015054004</t>
  </si>
  <si>
    <t>Mamoni Haldhar</t>
  </si>
  <si>
    <t>lakshmi</t>
  </si>
  <si>
    <t> BADPH8703F</t>
  </si>
  <si>
    <t>RM177464232IN ON 19/12/2018</t>
  </si>
  <si>
    <t>A015009628</t>
  </si>
  <si>
    <t>Kalpana Bhawal</t>
  </si>
  <si>
    <t> EFFPB3445J</t>
  </si>
  <si>
    <t>386389700008502</t>
  </si>
  <si>
    <t>Moni Bala Shome</t>
  </si>
  <si>
    <t>386389700008513</t>
  </si>
  <si>
    <t>Sudhir Chandra Mahato</t>
  </si>
  <si>
    <t>dob pending</t>
  </si>
  <si>
    <t>Ravindra mardi</t>
  </si>
  <si>
    <t>386389700008443</t>
  </si>
  <si>
    <t>Ashwin Anand</t>
  </si>
  <si>
    <t>386389700008476</t>
  </si>
  <si>
    <t>Ishpal Singh Singh</t>
  </si>
  <si>
    <t>386389700008480</t>
  </si>
  <si>
    <t>Raju Lohar</t>
  </si>
  <si>
    <t>386389700008491</t>
  </si>
  <si>
    <t>386389700008734</t>
  </si>
  <si>
    <t>Mehrun Nisha</t>
  </si>
  <si>
    <t>386389700008454</t>
  </si>
  <si>
    <t>Poonam Devi</t>
  </si>
  <si>
    <t>386389700008804</t>
  </si>
  <si>
    <t>Madan Pal</t>
  </si>
  <si>
    <t>386389700009821</t>
  </si>
  <si>
    <t>Manorma Devi</t>
  </si>
  <si>
    <t>386389700009843</t>
  </si>
  <si>
    <t>Ranjit Kumar</t>
  </si>
  <si>
    <t>386389700009832</t>
  </si>
  <si>
    <t>Mehul Srivastava</t>
  </si>
  <si>
    <t>386389700010101</t>
  </si>
  <si>
    <t>Priyanka Kumari</t>
  </si>
  <si>
    <t xml:space="preserve">386389700010694 </t>
  </si>
  <si>
    <t>Dumaki Mahali</t>
  </si>
  <si>
    <t>386389700010112</t>
  </si>
  <si>
    <t>Sangeeta Singh</t>
  </si>
  <si>
    <t>386389700010134</t>
  </si>
  <si>
    <t>Babu Mukherjee</t>
  </si>
  <si>
    <t>386389700010123</t>
  </si>
  <si>
    <t>Tabassum Parveen</t>
  </si>
  <si>
    <t>386389700011604</t>
  </si>
  <si>
    <t>chandu Kui</t>
  </si>
  <si>
    <t>A015236484</t>
  </si>
  <si>
    <t>Mangari</t>
  </si>
  <si>
    <t>A014833117</t>
  </si>
  <si>
    <t>Riya Verma</t>
  </si>
  <si>
    <t>A015270944</t>
  </si>
  <si>
    <t>Dharmendra Saw</t>
  </si>
  <si>
    <t>A015270913</t>
  </si>
  <si>
    <t>Asha Devi</t>
  </si>
  <si>
    <t>A015271010</t>
  </si>
  <si>
    <t>Kanchan Devi</t>
  </si>
  <si>
    <t>A015270974</t>
  </si>
  <si>
    <t>Vinita Kumari</t>
  </si>
  <si>
    <t>A015252450</t>
  </si>
  <si>
    <t>Nikita Narayan</t>
  </si>
  <si>
    <t>Q001059740</t>
  </si>
  <si>
    <t>Susen Lohara</t>
  </si>
  <si>
    <t>A015338818</t>
  </si>
  <si>
    <t>Goutam Chandra</t>
  </si>
  <si>
    <t>A015312974</t>
  </si>
  <si>
    <t>Monika Purty</t>
  </si>
  <si>
    <t>A015346845</t>
  </si>
  <si>
    <t>Smita Dey</t>
  </si>
  <si>
    <t>A015316312</t>
  </si>
  <si>
    <t>Rupa Chakraborty</t>
  </si>
  <si>
    <t>A015325258</t>
  </si>
  <si>
    <t>Amresh Kumar Singh</t>
  </si>
  <si>
    <t>Q001064777</t>
  </si>
  <si>
    <t>Gourang Dey</t>
  </si>
  <si>
    <t>Q001065351</t>
  </si>
  <si>
    <t>Dhananjay Gorai</t>
  </si>
  <si>
    <t>Q001065302</t>
  </si>
  <si>
    <t>Binod Giri</t>
  </si>
  <si>
    <t>A015368358</t>
  </si>
  <si>
    <t>Mohammad Israrul Haque</t>
  </si>
  <si>
    <t>Q001068740</t>
  </si>
  <si>
    <t>Ambuj Gorain</t>
  </si>
  <si>
    <t>386389700012492</t>
  </si>
  <si>
    <t>Chanchala Devi</t>
  </si>
  <si>
    <t> Q001070616 </t>
  </si>
  <si>
    <t>Brijit John Kalapura</t>
  </si>
  <si>
    <t>Q001070585</t>
  </si>
  <si>
    <t>Satyajit Mukherjee</t>
  </si>
  <si>
    <t>A015559278</t>
  </si>
  <si>
    <t>Vaishvi Krishnan</t>
  </si>
  <si>
    <t>Q001072174</t>
  </si>
  <si>
    <t>A015479068</t>
  </si>
  <si>
    <t>Shubha</t>
  </si>
  <si>
    <t>A015496090</t>
  </si>
  <si>
    <t>Q001080034</t>
  </si>
  <si>
    <t>Q001080043</t>
  </si>
  <si>
    <t>Amita Singh</t>
  </si>
  <si>
    <t>Q001080648</t>
  </si>
  <si>
    <t>A015628308</t>
  </si>
  <si>
    <t>Soni Singh</t>
  </si>
  <si>
    <t>A015621891</t>
  </si>
  <si>
    <t>Archana Sanyal</t>
  </si>
  <si>
    <t>A015621974</t>
  </si>
  <si>
    <t>Rahul Gorai</t>
  </si>
  <si>
    <t>Q001085615</t>
  </si>
  <si>
    <t>Bikash Kumar</t>
  </si>
  <si>
    <t>A015628324</t>
  </si>
  <si>
    <t>Karmu Gorai</t>
  </si>
  <si>
    <t>Q001080628</t>
  </si>
  <si>
    <t>Birendra Kumar Singh</t>
  </si>
  <si>
    <t>Q001087456</t>
  </si>
  <si>
    <t>Harcharan Singh</t>
  </si>
  <si>
    <t>A015645995</t>
  </si>
  <si>
    <t>Kalwant Kaur</t>
  </si>
  <si>
    <t>A015644272</t>
  </si>
  <si>
    <t>Kumar Shivam</t>
  </si>
  <si>
    <t>A015643955</t>
  </si>
  <si>
    <t>Priti Kumari</t>
  </si>
  <si>
    <t>Q001090602</t>
  </si>
  <si>
    <t>Hema Devi</t>
  </si>
  <si>
    <t>A015726940</t>
  </si>
  <si>
    <t>Aman Kumar Singh</t>
  </si>
  <si>
    <t>A015687598</t>
  </si>
  <si>
    <t>Archana Dixit</t>
  </si>
  <si>
    <t>Shankar Prasad</t>
  </si>
  <si>
    <t>A015740131</t>
  </si>
  <si>
    <t>Iftekharul Hasan</t>
  </si>
  <si>
    <t>A015712193</t>
  </si>
  <si>
    <t>Sangeeta Devi</t>
  </si>
  <si>
    <t>A015762307</t>
  </si>
  <si>
    <t>Kausar Fatima</t>
  </si>
  <si>
    <t>A015765965</t>
  </si>
  <si>
    <t>Laxmi Hansda</t>
  </si>
  <si>
    <t>A015766457</t>
  </si>
  <si>
    <t>Ashok Kumar Upadhyay</t>
  </si>
  <si>
    <t>Q001097671</t>
  </si>
  <si>
    <t>A015774359</t>
  </si>
  <si>
    <t>Beas Nandi</t>
  </si>
  <si>
    <t>A015792275</t>
  </si>
  <si>
    <t>Jhuni Kumari</t>
  </si>
  <si>
    <t>A015839601</t>
  </si>
  <si>
    <t>Aditya Kumar</t>
  </si>
  <si>
    <t>A015839219</t>
  </si>
  <si>
    <t>Pratyush Priye</t>
  </si>
  <si>
    <t>A015839339</t>
  </si>
  <si>
    <t>A015839750</t>
  </si>
  <si>
    <t>Akshay Vohra</t>
  </si>
  <si>
    <t>A015878841</t>
  </si>
  <si>
    <t>Umesh Choudhary</t>
  </si>
  <si>
    <t>Q001106131</t>
  </si>
  <si>
    <t>Jogendra Ram Varma</t>
  </si>
  <si>
    <t>Q001105853</t>
  </si>
  <si>
    <t>Prabhat Kumar Srivastava</t>
  </si>
  <si>
    <t>A015925482</t>
  </si>
  <si>
    <t>Madhuri Kumari</t>
  </si>
  <si>
    <t>A015940519</t>
  </si>
  <si>
    <t>Akash Kumar Sah</t>
  </si>
  <si>
    <t>A015981410</t>
  </si>
  <si>
    <t>Prabjot Singh</t>
  </si>
  <si>
    <t>A015979469</t>
  </si>
  <si>
    <t>Khurshid Mansuree</t>
  </si>
  <si>
    <t>A016034236</t>
  </si>
  <si>
    <t>Alok Mahato</t>
  </si>
  <si>
    <t>A016034541</t>
  </si>
  <si>
    <t>Amla Hembram</t>
  </si>
  <si>
    <t>A016036727</t>
  </si>
  <si>
    <t>Sakuntala Gorai</t>
  </si>
  <si>
    <t>A016037037</t>
  </si>
  <si>
    <t>Tapashri Mahato</t>
  </si>
  <si>
    <t>Q001118513</t>
  </si>
  <si>
    <t>Reyaz Ahmad Siddique</t>
  </si>
  <si>
    <t>A016056769</t>
  </si>
  <si>
    <t>Umesh Kumar Singh</t>
  </si>
  <si>
    <t>Q001123011</t>
  </si>
  <si>
    <t>Kuldeep Pandey</t>
  </si>
  <si>
    <t>Q001120397</t>
  </si>
  <si>
    <t>A016123538</t>
  </si>
  <si>
    <t>Asha Gorai</t>
  </si>
  <si>
    <t>dispatched on 7-2</t>
  </si>
  <si>
    <t>A016107101</t>
  </si>
  <si>
    <t>A016123362</t>
  </si>
  <si>
    <t>Simanta Gorai</t>
  </si>
  <si>
    <t>A016108565</t>
  </si>
  <si>
    <t>Madhvi Kumaravel</t>
  </si>
  <si>
    <t>A016108046</t>
  </si>
  <si>
    <t>Mohit Mishra</t>
  </si>
  <si>
    <t>A016106812</t>
  </si>
  <si>
    <t>Mohammad Shafiullah</t>
  </si>
  <si>
    <t>A016107531</t>
  </si>
  <si>
    <t>Chutu Karmakar</t>
  </si>
  <si>
    <t>Q001122872</t>
  </si>
  <si>
    <t>Indrajit Singh</t>
  </si>
  <si>
    <t>21-01-1970</t>
  </si>
  <si>
    <t>A016207912</t>
  </si>
  <si>
    <t>Ratan Chandra Mahato</t>
  </si>
  <si>
    <t>A016166060</t>
  </si>
  <si>
    <t>Kabita Mukherjee</t>
  </si>
  <si>
    <t>A016206421</t>
  </si>
  <si>
    <t>Shiriti Kumari</t>
  </si>
  <si>
    <t>A016182536</t>
  </si>
  <si>
    <t>Guruwa Rohidas</t>
  </si>
  <si>
    <t>Q001131830</t>
  </si>
  <si>
    <t>Q001131854</t>
  </si>
  <si>
    <t>Q001142088</t>
  </si>
  <si>
    <t>Jaspal Singh</t>
  </si>
  <si>
    <t>A016445759</t>
  </si>
  <si>
    <t>Sanju Ho</t>
  </si>
  <si>
    <t>Q001145953</t>
  </si>
  <si>
    <t>Rabish Kumar</t>
  </si>
  <si>
    <t>A016263520</t>
  </si>
  <si>
    <t>Surbhi Suman</t>
  </si>
  <si>
    <t>A016442822</t>
  </si>
  <si>
    <t>Gulnaz Khatoon</t>
  </si>
  <si>
    <t>Q001150454</t>
  </si>
  <si>
    <t>Gayatri Tripathy</t>
  </si>
  <si>
    <t>A016445535</t>
  </si>
  <si>
    <t>Nilu Kaur</t>
  </si>
  <si>
    <t>Q001148662</t>
  </si>
  <si>
    <t>Shahina Perween</t>
  </si>
  <si>
    <t>29/06/2019</t>
  </si>
  <si>
    <t>A016443441</t>
  </si>
  <si>
    <t>Kamal Singh</t>
  </si>
  <si>
    <t>A016450707</t>
  </si>
  <si>
    <t>Arjun Mahali</t>
  </si>
  <si>
    <t>A016476264</t>
  </si>
  <si>
    <t>Pinky Rai</t>
  </si>
  <si>
    <t>A016474590</t>
  </si>
  <si>
    <t>Shaktipad Gorai</t>
  </si>
  <si>
    <t>A016475613</t>
  </si>
  <si>
    <t>Shaista Naaz</t>
  </si>
  <si>
    <t>A016328801</t>
  </si>
  <si>
    <t>Lakkhimani Biruli</t>
  </si>
  <si>
    <t>A016421484</t>
  </si>
  <si>
    <t>Najma Begum</t>
  </si>
  <si>
    <t>A016417024</t>
  </si>
  <si>
    <t>Rasida Khatoon</t>
  </si>
  <si>
    <t>A016476842</t>
  </si>
  <si>
    <t>Hassan Rizvi</t>
  </si>
  <si>
    <t>A016476918</t>
  </si>
  <si>
    <t>Shahrukh Akmal</t>
  </si>
  <si>
    <t>A016477056</t>
  </si>
  <si>
    <t>Tehrun Nisha</t>
  </si>
  <si>
    <t>A016486468</t>
  </si>
  <si>
    <t>Sila Sahu</t>
  </si>
  <si>
    <t>A016475924</t>
  </si>
  <si>
    <t>Sunita Prajapati</t>
  </si>
  <si>
    <t>A016474808</t>
  </si>
  <si>
    <t>Aloka Gorai</t>
  </si>
  <si>
    <t>A016485108</t>
  </si>
  <si>
    <t>Najbun Nisha</t>
  </si>
  <si>
    <t>Q001155015</t>
  </si>
  <si>
    <t>Mohammad Hamjala</t>
  </si>
  <si>
    <t>A01651118</t>
  </si>
  <si>
    <t>Ravi Kumar Prasad</t>
  </si>
  <si>
    <t>a016510581</t>
  </si>
  <si>
    <t>Jasbir Kaur Suri</t>
  </si>
  <si>
    <t>A016529149</t>
  </si>
  <si>
    <t>Aniket Panda</t>
  </si>
  <si>
    <t>A016541733</t>
  </si>
  <si>
    <t>Shubham Kumra</t>
  </si>
  <si>
    <t>A016416796</t>
  </si>
  <si>
    <t>Sanjay Prasd</t>
  </si>
  <si>
    <t>A016576874</t>
  </si>
  <si>
    <t>Guina Karmakar</t>
  </si>
  <si>
    <t>A016581996</t>
  </si>
  <si>
    <t>Singh</t>
  </si>
  <si>
    <t>A016581660</t>
  </si>
  <si>
    <t>Indrakshi Dey</t>
  </si>
  <si>
    <t>Q001159074</t>
  </si>
  <si>
    <t>The Harijan</t>
  </si>
  <si>
    <t>A016590355</t>
  </si>
  <si>
    <t>Ujjwal Sahu</t>
  </si>
  <si>
    <t>A016624507</t>
  </si>
  <si>
    <t>Samima Khatun</t>
  </si>
  <si>
    <t>A016637404</t>
  </si>
  <si>
    <t>Raju Mikhi</t>
  </si>
  <si>
    <t>A016637984</t>
  </si>
  <si>
    <t>Kalawati Singh</t>
  </si>
  <si>
    <t>A016655869</t>
  </si>
  <si>
    <t>Puja Karmakar</t>
  </si>
  <si>
    <t>A016656822</t>
  </si>
  <si>
    <t>Kanika Pal</t>
  </si>
  <si>
    <t>Q001166598</t>
  </si>
  <si>
    <t>Jalaluddin Ahmed</t>
  </si>
  <si>
    <t>A016704463</t>
  </si>
  <si>
    <t>Heena Singh</t>
  </si>
  <si>
    <t>A016712411</t>
  </si>
  <si>
    <t>Saiyad Sakib</t>
  </si>
  <si>
    <t>A016713288</t>
  </si>
  <si>
    <t>Ramesh Kumar</t>
  </si>
  <si>
    <t>A016717904</t>
  </si>
  <si>
    <t>Varadi Ravanamma</t>
  </si>
  <si>
    <t>A016809232</t>
  </si>
  <si>
    <t>Dilip Rai</t>
  </si>
  <si>
    <t>A016840167</t>
  </si>
  <si>
    <t>Sarfaraz Sabbir</t>
  </si>
  <si>
    <t>A016840836</t>
  </si>
  <si>
    <t>Ranjit Singh</t>
  </si>
  <si>
    <t>A016840634</t>
  </si>
  <si>
    <t>Pintu Dutta</t>
  </si>
  <si>
    <t>A016840456</t>
  </si>
  <si>
    <t>Krishna Karmakar</t>
  </si>
  <si>
    <t>Q001175181</t>
  </si>
  <si>
    <t>Jasbir Singh</t>
  </si>
  <si>
    <t>A016870395</t>
  </si>
  <si>
    <t>Shail Verma</t>
  </si>
  <si>
    <t>Q001176753</t>
  </si>
  <si>
    <t>Vijaya Laxmi</t>
  </si>
  <si>
    <t>A017034358</t>
  </si>
  <si>
    <t>Sarwari Bibi</t>
  </si>
  <si>
    <t>A017076382`</t>
  </si>
  <si>
    <t>Anamika Kumri</t>
  </si>
  <si>
    <t>A017076334</t>
  </si>
  <si>
    <t>Avinash Kumar</t>
  </si>
  <si>
    <t>Q001185290</t>
  </si>
  <si>
    <t>Ram Prasad Mahato</t>
  </si>
  <si>
    <t>A017097452</t>
  </si>
  <si>
    <t>Bimla Kaur</t>
  </si>
  <si>
    <t>A017076414</t>
  </si>
  <si>
    <t>Nirmal Kumar</t>
  </si>
  <si>
    <t>A017123682</t>
  </si>
  <si>
    <t>Karuna Kumar</t>
  </si>
  <si>
    <t>A016947365</t>
  </si>
  <si>
    <t>Arjun Mardi</t>
  </si>
  <si>
    <t>11-11-1988</t>
  </si>
  <si>
    <t>A017007927</t>
  </si>
  <si>
    <t>Manju Parida</t>
  </si>
  <si>
    <t>A017099730</t>
  </si>
  <si>
    <t>Manik Banerjee</t>
  </si>
  <si>
    <t>A017101973</t>
  </si>
  <si>
    <t>Gurucharan Sardar</t>
  </si>
  <si>
    <t>A017127133</t>
  </si>
  <si>
    <t>Rehana Begum</t>
  </si>
  <si>
    <t>07-09-1994</t>
  </si>
  <si>
    <t>A017137223</t>
  </si>
  <si>
    <t>Gourav Anand</t>
  </si>
  <si>
    <t>A017149708</t>
  </si>
  <si>
    <t>Mohammad Ali Sher</t>
  </si>
  <si>
    <t>Q001188733</t>
  </si>
  <si>
    <t>Raj Kumari</t>
  </si>
  <si>
    <t>A017195568</t>
  </si>
  <si>
    <t>Govind Swami</t>
  </si>
  <si>
    <t>A017273870</t>
  </si>
  <si>
    <t>Shashi Kumar</t>
  </si>
  <si>
    <t>A017301611</t>
  </si>
  <si>
    <t>Nikhat Perween</t>
  </si>
  <si>
    <t>A017297767</t>
  </si>
  <si>
    <t>Sweety Kumari</t>
  </si>
  <si>
    <t>A017297326</t>
  </si>
  <si>
    <t>Athar Khan</t>
  </si>
  <si>
    <t>A017296850</t>
  </si>
  <si>
    <t>Som Gorai</t>
  </si>
  <si>
    <t>A017383512</t>
  </si>
  <si>
    <t>Nimai Mahato</t>
  </si>
  <si>
    <t>A017430966</t>
  </si>
  <si>
    <t>Sajda Tabassum</t>
  </si>
  <si>
    <t>A017598870</t>
  </si>
  <si>
    <t>Jaychand Mahato</t>
  </si>
  <si>
    <t>A017545200</t>
  </si>
  <si>
    <t>RiZwana Khatoon</t>
  </si>
  <si>
    <t>A017686814</t>
  </si>
  <si>
    <t>Anil Kumar Parsad</t>
  </si>
  <si>
    <t>Sambhu Das</t>
  </si>
  <si>
    <t>sinha</t>
  </si>
  <si>
    <t>Q001214476</t>
  </si>
  <si>
    <t>Mohammad Nasimuddin</t>
  </si>
  <si>
    <t>A017931636</t>
  </si>
  <si>
    <t>Mohan Gorai</t>
  </si>
  <si>
    <t>24-05-1997</t>
  </si>
  <si>
    <t>A017931897</t>
  </si>
  <si>
    <t>Bablu Singh</t>
  </si>
  <si>
    <t>01-01-1986</t>
  </si>
  <si>
    <t>A017932063</t>
  </si>
  <si>
    <t>Raghunath Singh</t>
  </si>
  <si>
    <t>01-01-1970</t>
  </si>
  <si>
    <t>Shambhu Singh</t>
  </si>
  <si>
    <t>01-01-1987</t>
  </si>
  <si>
    <t>A017932416</t>
  </si>
  <si>
    <t>Pintu Singh</t>
  </si>
  <si>
    <t>01-01-1989</t>
  </si>
  <si>
    <t>A017932588</t>
  </si>
  <si>
    <t>Karan Singh</t>
  </si>
  <si>
    <t>Q001222564</t>
  </si>
  <si>
    <t>Domyanti Mukhi</t>
  </si>
  <si>
    <t>due-200</t>
  </si>
  <si>
    <t>A017979303</t>
  </si>
  <si>
    <t>Kshetramohan Mahato</t>
  </si>
  <si>
    <t>01-01-1953</t>
  </si>
  <si>
    <t>A017979523 </t>
  </si>
  <si>
    <t>Rabindra Sunani</t>
  </si>
  <si>
    <t>06-01-1974</t>
  </si>
  <si>
    <t>A017979685</t>
  </si>
  <si>
    <t>Seikh Imtiyaz Ali</t>
  </si>
  <si>
    <t>25-06-1999</t>
  </si>
  <si>
    <t>A018003397</t>
  </si>
  <si>
    <t>Rina Dutta</t>
  </si>
  <si>
    <t>12-12-1979</t>
  </si>
  <si>
    <t>Q001224049 </t>
  </si>
  <si>
    <t>Niranjan Kumar Srivastava</t>
  </si>
  <si>
    <t>A018019826</t>
  </si>
  <si>
    <t>Golak Dhibar</t>
  </si>
  <si>
    <t>01-01-1996</t>
  </si>
  <si>
    <t>A018078644</t>
  </si>
  <si>
    <t>Shubham Pathak</t>
  </si>
  <si>
    <t>31-12-2000</t>
  </si>
  <si>
    <t>Q001184390</t>
  </si>
  <si>
    <t>Kamal Narayan Singh</t>
  </si>
  <si>
    <t>20-04-1954</t>
  </si>
  <si>
    <t>due</t>
  </si>
  <si>
    <t>A018181466</t>
  </si>
  <si>
    <t>Tuli Singh</t>
  </si>
  <si>
    <t>01-01-1954</t>
  </si>
  <si>
    <t>15-03-2019</t>
  </si>
  <si>
    <t>A018181543</t>
  </si>
  <si>
    <t>Sarswati Sardar</t>
  </si>
  <si>
    <t>01-01-1960</t>
  </si>
  <si>
    <t>A018181587</t>
  </si>
  <si>
    <t>Soniya Prasad</t>
  </si>
  <si>
    <t>A018181622</t>
  </si>
  <si>
    <t>Dilip Sardar</t>
  </si>
  <si>
    <t>01-01-1983</t>
  </si>
  <si>
    <t>A018181650</t>
  </si>
  <si>
    <t>Aparti Sardar</t>
  </si>
  <si>
    <t>01-01-1980</t>
  </si>
  <si>
    <t>A018181685</t>
  </si>
  <si>
    <t>Anita Sardar</t>
  </si>
  <si>
    <t>A018227447</t>
  </si>
  <si>
    <t>Sirola Karmakar</t>
  </si>
  <si>
    <t>01-01-1965</t>
  </si>
  <si>
    <t>16-03-2019</t>
  </si>
  <si>
    <t>A018226948</t>
  </si>
  <si>
    <t>Ganesh Mahakur</t>
  </si>
  <si>
    <t>10-03-1997</t>
  </si>
  <si>
    <t>Q001235632</t>
  </si>
  <si>
    <t>Sumer Kumar Thakur</t>
  </si>
  <si>
    <t>03-03-1961</t>
  </si>
  <si>
    <t>Q001240270</t>
  </si>
  <si>
    <t>Vicki Singh</t>
  </si>
  <si>
    <t>10-02-1983</t>
  </si>
  <si>
    <t>Q001240523</t>
  </si>
  <si>
    <t>Ajit Kumar</t>
  </si>
  <si>
    <t>13-01-1993</t>
  </si>
  <si>
    <t>A018340140</t>
  </si>
  <si>
    <t>Ursulina Tudu</t>
  </si>
  <si>
    <t>08-02-1992</t>
  </si>
  <si>
    <t>19-03-2019</t>
  </si>
  <si>
    <t>A018363691</t>
  </si>
  <si>
    <t>Gurucharan singh</t>
  </si>
  <si>
    <t>01-01-1979</t>
  </si>
  <si>
    <t>A018363979</t>
  </si>
  <si>
    <t>Basumati Singh</t>
  </si>
  <si>
    <t>01-01-1985</t>
  </si>
  <si>
    <t>A018364325</t>
  </si>
  <si>
    <t>Atif Afsar Khan</t>
  </si>
  <si>
    <t>15-10-1999</t>
  </si>
  <si>
    <t>A018364627</t>
  </si>
  <si>
    <t>Asif Afsar Khan</t>
  </si>
  <si>
    <t>22-12-2000</t>
  </si>
  <si>
    <t>A018378722</t>
  </si>
  <si>
    <t>Neha KUmari</t>
  </si>
  <si>
    <t>29-10-2000</t>
  </si>
  <si>
    <t>A018381151</t>
  </si>
  <si>
    <t>Tarannum Nisha</t>
  </si>
  <si>
    <t>22-05-2000</t>
  </si>
  <si>
    <t>A018486317</t>
  </si>
  <si>
    <t>Md Faiyaz Khan</t>
  </si>
  <si>
    <t>01-01-1975</t>
  </si>
  <si>
    <t>23-03-2019</t>
  </si>
  <si>
    <t>A018484138</t>
  </si>
  <si>
    <t>Shubham Dev Nath</t>
  </si>
  <si>
    <t>23-04-2000</t>
  </si>
  <si>
    <t>A018485322</t>
  </si>
  <si>
    <t>Deepak Kumar Mahato</t>
  </si>
  <si>
    <t>05-021998</t>
  </si>
  <si>
    <t>A018536076</t>
  </si>
  <si>
    <t>Malti Soren</t>
  </si>
  <si>
    <t>01-01-1974</t>
  </si>
  <si>
    <t>Rahin Lohra</t>
  </si>
  <si>
    <t>Q001253466</t>
  </si>
  <si>
    <t>Trilok Singh</t>
  </si>
  <si>
    <t>08-07-1964</t>
  </si>
  <si>
    <t>Q001253407</t>
  </si>
  <si>
    <t>Rajinder Kaur</t>
  </si>
  <si>
    <t>12-09-1976</t>
  </si>
  <si>
    <t>Q001253762</t>
  </si>
  <si>
    <t>Syed Mahfoozur Rahman</t>
  </si>
  <si>
    <t>03-10-1948</t>
  </si>
  <si>
    <t>A018582265</t>
  </si>
  <si>
    <t>27-10-1980</t>
  </si>
  <si>
    <t>A018574496</t>
  </si>
  <si>
    <t>Prem Sagar</t>
  </si>
  <si>
    <t>07-08-1994</t>
  </si>
  <si>
    <t>Q001255862 </t>
  </si>
  <si>
    <t>Hardeep Singh</t>
  </si>
  <si>
    <t>16-06-1973</t>
  </si>
  <si>
    <t>A018652703</t>
  </si>
  <si>
    <t>Abhinav Mukherjee</t>
  </si>
  <si>
    <t>08-11-2000</t>
  </si>
  <si>
    <t>Q001256686 </t>
  </si>
  <si>
    <t>Krishna Nand Prasad Singh</t>
  </si>
  <si>
    <t>Q001258406</t>
  </si>
  <si>
    <t>Bijay Kumar Mishra</t>
  </si>
  <si>
    <t>04-07-1962</t>
  </si>
  <si>
    <t>A018699345</t>
  </si>
  <si>
    <t>Supriya Patra</t>
  </si>
  <si>
    <t>A018702941</t>
  </si>
  <si>
    <t>Ramjhari Devi</t>
  </si>
  <si>
    <t>A018703406</t>
  </si>
  <si>
    <t>Prabhat Ranjan Mahato</t>
  </si>
  <si>
    <t>A018704610</t>
  </si>
  <si>
    <t>Gobinda Das</t>
  </si>
  <si>
    <t>21-04-1993</t>
  </si>
  <si>
    <t>A018719456</t>
  </si>
  <si>
    <t>Mayank Kumar</t>
  </si>
  <si>
    <t>24/12/2000</t>
  </si>
  <si>
    <t>A018745790</t>
  </si>
  <si>
    <t>Priyanka Nandkuliyar</t>
  </si>
  <si>
    <t>Q001265218</t>
  </si>
  <si>
    <t>Bhawani Khan</t>
  </si>
  <si>
    <t>21-12-1951</t>
  </si>
  <si>
    <t>01-04-2019</t>
  </si>
  <si>
    <t>A018837075</t>
  </si>
  <si>
    <t>Vasmoni Sardar</t>
  </si>
  <si>
    <t>A018911211</t>
  </si>
  <si>
    <t>Sujaat Ali</t>
  </si>
  <si>
    <t>14-01-1983</t>
  </si>
  <si>
    <t>Q001269799</t>
  </si>
  <si>
    <t>Pradeep Yadav</t>
  </si>
  <si>
    <t>18-06-1988</t>
  </si>
  <si>
    <t>A018926928</t>
  </si>
  <si>
    <t>Priya Kumari</t>
  </si>
  <si>
    <t>18-10-1998</t>
  </si>
  <si>
    <t>A018903868</t>
  </si>
  <si>
    <t>Manju Kundu</t>
  </si>
  <si>
    <t>01-01-1964</t>
  </si>
  <si>
    <t>A018992702</t>
  </si>
  <si>
    <t>Avishake Chatterjee</t>
  </si>
  <si>
    <t>17-10-2000</t>
  </si>
  <si>
    <t>A019049644</t>
  </si>
  <si>
    <t>Soumya Verma</t>
  </si>
  <si>
    <t>05-03-1990</t>
  </si>
  <si>
    <t>A019056503</t>
  </si>
  <si>
    <t>Laxmi Sandil</t>
  </si>
  <si>
    <t>A019117955</t>
  </si>
  <si>
    <t>Sanju Mukhi</t>
  </si>
  <si>
    <t>A019112054</t>
  </si>
  <si>
    <t>Sibani Rani Jana</t>
  </si>
  <si>
    <t>31-12-1949</t>
  </si>
  <si>
    <t>A019119961</t>
  </si>
  <si>
    <t>Rasmita Jana</t>
  </si>
  <si>
    <t>08-06-1988</t>
  </si>
  <si>
    <t>A019171931 </t>
  </si>
  <si>
    <t>Mobassrin Khan</t>
  </si>
  <si>
    <t>26-01-2000</t>
  </si>
  <si>
    <t>A019190447 </t>
  </si>
  <si>
    <t>23-06-1968</t>
  </si>
  <si>
    <t>A019234647</t>
  </si>
  <si>
    <t>Tuklu Karmakar</t>
  </si>
  <si>
    <t>13-08-1998</t>
  </si>
  <si>
    <t>Q001288081</t>
  </si>
  <si>
    <t>Anupriya Agnihotry</t>
  </si>
  <si>
    <t>31-12-1990</t>
  </si>
  <si>
    <t>A019292198</t>
  </si>
  <si>
    <t>Sunita Kumari</t>
  </si>
  <si>
    <t>09-04-1992</t>
  </si>
  <si>
    <t>A019263047</t>
  </si>
  <si>
    <t>Beena Devi</t>
  </si>
  <si>
    <t>09-04-1989</t>
  </si>
  <si>
    <t>A019339243</t>
  </si>
  <si>
    <t>Dilkash Khan</t>
  </si>
  <si>
    <t>31-01-2001</t>
  </si>
  <si>
    <t>A019340217</t>
  </si>
  <si>
    <t>Akhatri Khatoon</t>
  </si>
  <si>
    <t>A019361665</t>
  </si>
  <si>
    <t>Singre bari</t>
  </si>
  <si>
    <t>01-01-1995</t>
  </si>
  <si>
    <t>A018424522</t>
  </si>
  <si>
    <t>Syed Osama Hussain</t>
  </si>
  <si>
    <t>21-06-1999</t>
  </si>
  <si>
    <t>A019552230</t>
  </si>
  <si>
    <t>Shek Seraj</t>
  </si>
  <si>
    <t>28-06-1994</t>
  </si>
  <si>
    <t>No Response</t>
  </si>
  <si>
    <t>Q001306524</t>
  </si>
  <si>
    <t>Bharati Devi</t>
  </si>
  <si>
    <t>01-01-1971</t>
  </si>
  <si>
    <t>A019614599</t>
  </si>
  <si>
    <t>Mamta Devi</t>
  </si>
  <si>
    <t>04-12-1991</t>
  </si>
  <si>
    <t>Q001312189</t>
  </si>
  <si>
    <t>Ritu Kumari</t>
  </si>
  <si>
    <t>01-02-1983</t>
  </si>
  <si>
    <t>A019640732</t>
  </si>
  <si>
    <t>Sanjeet Gorai</t>
  </si>
  <si>
    <t>11-02-1998</t>
  </si>
  <si>
    <t>A019672763</t>
  </si>
  <si>
    <t>Usha Karmakar</t>
  </si>
  <si>
    <t>Q001325045</t>
  </si>
  <si>
    <t>Nandu Karwa</t>
  </si>
  <si>
    <t>02-08-1976</t>
  </si>
  <si>
    <t>Q001325233</t>
  </si>
  <si>
    <t>11-05-1969</t>
  </si>
  <si>
    <t>Q001326034</t>
  </si>
  <si>
    <t>Gouri Kumari</t>
  </si>
  <si>
    <t>Q001329859</t>
  </si>
  <si>
    <t>Ajay Kumar Yadav</t>
  </si>
  <si>
    <t>06-05-2015</t>
  </si>
  <si>
    <t>Q001331740</t>
  </si>
  <si>
    <t>Dinesh Kumar pandey</t>
  </si>
  <si>
    <t>31/01/1972</t>
  </si>
  <si>
    <t>08/05/2019</t>
  </si>
  <si>
    <t>Q001335452</t>
  </si>
  <si>
    <t>10-05-2019</t>
  </si>
  <si>
    <t>Q001337665 </t>
  </si>
  <si>
    <t>Nuzha Maaz</t>
  </si>
  <si>
    <t>10-07-1988</t>
  </si>
  <si>
    <t>A0199843174</t>
  </si>
  <si>
    <t>ppppppp</t>
  </si>
  <si>
    <t>02-02-1995</t>
  </si>
  <si>
    <t>A020009919</t>
  </si>
  <si>
    <t>25-01-1987</t>
  </si>
  <si>
    <t>A020071181</t>
  </si>
  <si>
    <t>Pinky Verma</t>
  </si>
  <si>
    <t>24-03-1988</t>
  </si>
  <si>
    <t>Q001345122</t>
  </si>
  <si>
    <t>Malkit Singh Suri</t>
  </si>
  <si>
    <t>26-08-1959</t>
  </si>
  <si>
    <t>15-05-2019</t>
  </si>
  <si>
    <t>Q001350318</t>
  </si>
  <si>
    <t>Neelam Singh</t>
  </si>
  <si>
    <t>23-02-1997</t>
  </si>
  <si>
    <t>A020169264</t>
  </si>
  <si>
    <t>Dolly Gorai</t>
  </si>
  <si>
    <t>05-03-1987</t>
  </si>
  <si>
    <t xml:space="preserve">Q001351783 </t>
  </si>
  <si>
    <t>Shruti</t>
  </si>
  <si>
    <t>20-02-2019</t>
  </si>
  <si>
    <t>A020218119</t>
  </si>
  <si>
    <t>Shalu Singh</t>
  </si>
  <si>
    <t>01-01-1997</t>
  </si>
  <si>
    <t>Q001360761</t>
  </si>
  <si>
    <t>Reyaz Ahmad Khan</t>
  </si>
  <si>
    <t>05-07-1957</t>
  </si>
  <si>
    <t xml:space="preserve"> </t>
  </si>
  <si>
    <t>A020380189</t>
  </si>
  <si>
    <t>Nilmani Besra</t>
  </si>
  <si>
    <t>01-01-1984</t>
  </si>
  <si>
    <t>A020409035</t>
  </si>
  <si>
    <t>Mala Devi</t>
  </si>
  <si>
    <t>10-12-1987</t>
  </si>
  <si>
    <t>A020405697</t>
  </si>
  <si>
    <t>Paramjeet Kour</t>
  </si>
  <si>
    <t>03-09-1994</t>
  </si>
  <si>
    <t>Q001369561</t>
  </si>
  <si>
    <t>Lipika Gorai</t>
  </si>
  <si>
    <t>13-08-1955</t>
  </si>
  <si>
    <t>A020436715</t>
  </si>
  <si>
    <t>Jagannath Gorai</t>
  </si>
  <si>
    <t>07-04-1991</t>
  </si>
  <si>
    <t>Q001385632</t>
  </si>
  <si>
    <t>Anup Kumar Agarwal</t>
  </si>
  <si>
    <t>21-12-1980</t>
  </si>
  <si>
    <t>08-06-2019</t>
  </si>
  <si>
    <t>A020652775</t>
  </si>
  <si>
    <t>Rajo bala Gorai</t>
  </si>
  <si>
    <t>01-05-1978</t>
  </si>
  <si>
    <t>A020652553</t>
  </si>
  <si>
    <t>Deepika Gorai</t>
  </si>
  <si>
    <t>11-11-1990</t>
  </si>
  <si>
    <t>A020693009</t>
  </si>
  <si>
    <t>Razia Begam</t>
  </si>
  <si>
    <t>07-05-1956</t>
  </si>
  <si>
    <t>09-06-2019</t>
  </si>
  <si>
    <t>A020693711 </t>
  </si>
  <si>
    <t>Shiksha Shivangi</t>
  </si>
  <si>
    <t>01-01-2000</t>
  </si>
  <si>
    <t>10-06-2019</t>
  </si>
  <si>
    <t>A020739451</t>
  </si>
  <si>
    <t>Anurag Kumar Pandey</t>
  </si>
  <si>
    <t>11-06-2019</t>
  </si>
  <si>
    <t>A020743432</t>
  </si>
  <si>
    <t>Subal Gorai</t>
  </si>
  <si>
    <t>01-01-1957</t>
  </si>
  <si>
    <t>12-06-2019</t>
  </si>
  <si>
    <t>A020773301</t>
  </si>
  <si>
    <t>Sahnaz Perween</t>
  </si>
  <si>
    <t>01-01-1992</t>
  </si>
  <si>
    <t>13-06-2019</t>
  </si>
  <si>
    <t>A020773942 </t>
  </si>
  <si>
    <t>Mohammad Miraj</t>
  </si>
  <si>
    <t>18-05-1979</t>
  </si>
  <si>
    <t>A020833146</t>
  </si>
  <si>
    <t>Nandu Saw</t>
  </si>
  <si>
    <t>03-02-1970</t>
  </si>
  <si>
    <t>15-06-2019</t>
  </si>
  <si>
    <t>Q001398559</t>
  </si>
  <si>
    <t>Manju Devi</t>
  </si>
  <si>
    <t>01-01-1981</t>
  </si>
  <si>
    <t>Q001400077</t>
  </si>
  <si>
    <t>Dhnanjay Kumar</t>
  </si>
  <si>
    <t>21-01-1984</t>
  </si>
  <si>
    <t>Q001403762</t>
  </si>
  <si>
    <t>Premshila Devi</t>
  </si>
  <si>
    <t>20-09-1957</t>
  </si>
  <si>
    <t>18-06-2019</t>
  </si>
  <si>
    <t>Q001403962</t>
  </si>
  <si>
    <t>Ram Bilash Singh</t>
  </si>
  <si>
    <t>03-02-1957</t>
  </si>
  <si>
    <t>A020969202</t>
  </si>
  <si>
    <t>Nalini Sinha</t>
  </si>
  <si>
    <t>22-07-1993</t>
  </si>
  <si>
    <t>19-06-2019</t>
  </si>
  <si>
    <t>A020982327</t>
  </si>
  <si>
    <t>Kamal Kumar Singh</t>
  </si>
  <si>
    <t>02-10-1979</t>
  </si>
  <si>
    <t>20-06-2019</t>
  </si>
  <si>
    <t>A021141964</t>
  </si>
  <si>
    <t>Dimpal Kumari</t>
  </si>
  <si>
    <t>05-06-1995</t>
  </si>
  <si>
    <t>25-06-2019</t>
  </si>
  <si>
    <t>A021141291</t>
  </si>
  <si>
    <t>Usha Vishwakarma</t>
  </si>
  <si>
    <t>07-09-1969</t>
  </si>
  <si>
    <t>Q001423233</t>
  </si>
  <si>
    <t>Sanju Yadav</t>
  </si>
  <si>
    <t>02-01-1985</t>
  </si>
  <si>
    <t>26-06-2019</t>
  </si>
  <si>
    <t>a021182811</t>
  </si>
  <si>
    <t>Hirawati Pandey</t>
  </si>
  <si>
    <t>01-01-1969</t>
  </si>
  <si>
    <t>A021190382</t>
  </si>
  <si>
    <t>Alomati Mahato</t>
  </si>
  <si>
    <t>02-06-1999</t>
  </si>
  <si>
    <t>A021192900</t>
  </si>
  <si>
    <t>Jay Prakash Gupta</t>
  </si>
  <si>
    <t>A021264943</t>
  </si>
  <si>
    <t>Anam Khurshid</t>
  </si>
  <si>
    <t>12-11-1997</t>
  </si>
  <si>
    <t>29-06-2019</t>
  </si>
  <si>
    <t>A021312367</t>
  </si>
  <si>
    <t>Kumkum Devi</t>
  </si>
  <si>
    <t>15-02-1989</t>
  </si>
  <si>
    <t>01-07-2019</t>
  </si>
  <si>
    <t>Q001433511</t>
  </si>
  <si>
    <t>A021394559</t>
  </si>
  <si>
    <t>Shabina Perveen</t>
  </si>
  <si>
    <t>21-01-1995</t>
  </si>
  <si>
    <t>04-17-2019</t>
  </si>
  <si>
    <t>Q001439235</t>
  </si>
  <si>
    <t>Mohammad Ekhlak</t>
  </si>
  <si>
    <t>09-12-1976</t>
  </si>
  <si>
    <t>A021452150</t>
  </si>
  <si>
    <t>Rizwana Perween</t>
  </si>
  <si>
    <t>12-01-1988</t>
  </si>
  <si>
    <t>A021492257</t>
  </si>
  <si>
    <t>Nishi Kumari Soni</t>
  </si>
  <si>
    <t>04-05-2001</t>
  </si>
  <si>
    <t>07-07-2019</t>
  </si>
  <si>
    <t>A021492114</t>
  </si>
  <si>
    <t>Neha Kumari Soni</t>
  </si>
  <si>
    <t>12-02-1998</t>
  </si>
  <si>
    <t>A021500467</t>
  </si>
  <si>
    <t>Maya Devi Pandey</t>
  </si>
  <si>
    <t>11-12-1981</t>
  </si>
  <si>
    <t>Returned</t>
  </si>
  <si>
    <t>Q001447883</t>
  </si>
  <si>
    <t>Sandip Das</t>
  </si>
  <si>
    <t>02-06-1976</t>
  </si>
  <si>
    <t>Objection Address</t>
  </si>
  <si>
    <t>Re-uploaded</t>
  </si>
  <si>
    <t>A021513271</t>
  </si>
  <si>
    <t>Rounak Chakraborty</t>
  </si>
  <si>
    <t>28-01-2001</t>
  </si>
  <si>
    <t>Q001449414 </t>
  </si>
  <si>
    <t>Dadi Vara Noka Lakshmi</t>
  </si>
  <si>
    <t>21-03-1963</t>
  </si>
  <si>
    <t>08-07-2019</t>
  </si>
  <si>
    <t>A021596930</t>
  </si>
  <si>
    <t>Reena Karmakar</t>
  </si>
  <si>
    <t>07-11-2000</t>
  </si>
  <si>
    <t>11-07-2019</t>
  </si>
  <si>
    <t>A021588233</t>
  </si>
  <si>
    <t>Rajvansh Sah</t>
  </si>
  <si>
    <t>13-11-2000</t>
  </si>
  <si>
    <t>Q001455713</t>
  </si>
  <si>
    <t>Raghunath Prasad Kuri</t>
  </si>
  <si>
    <t>01-01-1978</t>
  </si>
  <si>
    <t>Q001457289</t>
  </si>
  <si>
    <t>Haider Ali</t>
  </si>
  <si>
    <t>31-03-1998</t>
  </si>
  <si>
    <t>Q001457326</t>
  </si>
  <si>
    <t>A021634675</t>
  </si>
  <si>
    <t>Asha Bhuiya</t>
  </si>
  <si>
    <t>12-09-1997</t>
  </si>
  <si>
    <t>Q001458590</t>
  </si>
  <si>
    <t>Neha Tiwari</t>
  </si>
  <si>
    <t>26-08-1993</t>
  </si>
  <si>
    <t>Q001462906</t>
  </si>
  <si>
    <t>Sunil Kumar Sha</t>
  </si>
  <si>
    <t>12-06-1972</t>
  </si>
  <si>
    <t>14-07-19</t>
  </si>
  <si>
    <t>A021705114</t>
  </si>
  <si>
    <t>Faizyab Hussain</t>
  </si>
  <si>
    <t>08-02-2000</t>
  </si>
  <si>
    <t>Q001473628</t>
  </si>
  <si>
    <t>Dukhan Prasad</t>
  </si>
  <si>
    <t>16-06-1968</t>
  </si>
  <si>
    <t>Q001473425</t>
  </si>
  <si>
    <t>Putul Devi</t>
  </si>
  <si>
    <t>Q001479359</t>
  </si>
  <si>
    <t>Shiv Shankar Pradhan</t>
  </si>
  <si>
    <t>08-05-2000</t>
  </si>
  <si>
    <t>A021896268</t>
  </si>
  <si>
    <t>Santosh Kumar Verma</t>
  </si>
  <si>
    <t>A021898665</t>
  </si>
  <si>
    <t>Saima Shaheen</t>
  </si>
  <si>
    <t>03-12-1993</t>
  </si>
  <si>
    <t>A022019511 </t>
  </si>
  <si>
    <t>Nishu Upadhyay</t>
  </si>
  <si>
    <t>11-12-2000</t>
  </si>
  <si>
    <t>A022019676</t>
  </si>
  <si>
    <t>Halima Begum</t>
  </si>
  <si>
    <t>A022023483</t>
  </si>
  <si>
    <t>Yash Baanwal</t>
  </si>
  <si>
    <t>11-01-2001</t>
  </si>
  <si>
    <t>A021596781</t>
  </si>
  <si>
    <t>Gurupodo Gorai</t>
  </si>
  <si>
    <t>A022068982</t>
  </si>
  <si>
    <t>Damini Devi</t>
  </si>
  <si>
    <t>24-12-1991</t>
  </si>
  <si>
    <t>A022075626</t>
  </si>
  <si>
    <t>01-03-1977</t>
  </si>
  <si>
    <t>A022127030</t>
  </si>
  <si>
    <t>Parmeshwar Sharma</t>
  </si>
  <si>
    <t>18-05-1977</t>
  </si>
  <si>
    <t>Q001501754</t>
  </si>
  <si>
    <t>11-01-1960</t>
  </si>
  <si>
    <t>A022098415</t>
  </si>
  <si>
    <t>Rajni Sharma</t>
  </si>
  <si>
    <t>27-04-1984</t>
  </si>
  <si>
    <t>A022273424</t>
  </si>
  <si>
    <t>Shivani</t>
  </si>
  <si>
    <t>27/12/1997</t>
  </si>
  <si>
    <t>Q001509301</t>
  </si>
  <si>
    <t>15/01/1964</t>
  </si>
  <si>
    <t>A022274750</t>
  </si>
  <si>
    <t>Khushnuma Bano</t>
  </si>
  <si>
    <t>15-03-1998</t>
  </si>
  <si>
    <t>Q001508550</t>
  </si>
  <si>
    <t>Anand Kumar</t>
  </si>
  <si>
    <t>14-08-1981</t>
  </si>
  <si>
    <t>A022311393</t>
  </si>
  <si>
    <t>Harsh Kumar Mishra</t>
  </si>
  <si>
    <t>10-03-2001</t>
  </si>
  <si>
    <t>A022322458</t>
  </si>
  <si>
    <t>Sujata devi</t>
  </si>
  <si>
    <t>Q001536594</t>
  </si>
  <si>
    <t>Jhadaija Khatoon</t>
  </si>
  <si>
    <t>07-04-1965</t>
  </si>
  <si>
    <t>Q001531676</t>
  </si>
  <si>
    <t>Birender Gorai</t>
  </si>
  <si>
    <t>09-09-1974</t>
  </si>
  <si>
    <t>09-08-2019</t>
  </si>
  <si>
    <t>Rec Delivered</t>
  </si>
  <si>
    <t>A022521780</t>
  </si>
  <si>
    <t>Sudha Dwivedy</t>
  </si>
  <si>
    <t>09-10-1979</t>
  </si>
  <si>
    <t>Q001533492</t>
  </si>
  <si>
    <t>Hari Prasad</t>
  </si>
  <si>
    <t>02-05-1977</t>
  </si>
  <si>
    <t>A022565833 </t>
  </si>
  <si>
    <t>Suman Kumari</t>
  </si>
  <si>
    <t>20-06-1999</t>
  </si>
  <si>
    <t>A022550879</t>
  </si>
  <si>
    <t>Rashmi Dubey</t>
  </si>
  <si>
    <t>22-10-1999</t>
  </si>
  <si>
    <t>Khodaija Khatoon</t>
  </si>
  <si>
    <t>A022567551</t>
  </si>
  <si>
    <t>Rajiv Pradhan</t>
  </si>
  <si>
    <t>01/07/2000</t>
  </si>
  <si>
    <t>A022568385</t>
  </si>
  <si>
    <t>Ajay Das</t>
  </si>
  <si>
    <t>A022593335</t>
  </si>
  <si>
    <t>Shyam Kumar</t>
  </si>
  <si>
    <t>25/02/2002</t>
  </si>
  <si>
    <t>Aahar Mismatch</t>
  </si>
  <si>
    <t>A022619797</t>
  </si>
  <si>
    <t>Aitoon Khatoon</t>
  </si>
  <si>
    <t>A022656714</t>
  </si>
  <si>
    <t>Lakshmi Devi</t>
  </si>
  <si>
    <t>Q001549884</t>
  </si>
  <si>
    <t>Badal Chandra Paine</t>
  </si>
  <si>
    <t>31-12-1981</t>
  </si>
  <si>
    <t>Q001551206</t>
  </si>
  <si>
    <t>Pinki Jaiswal</t>
  </si>
  <si>
    <t>31/07/1986</t>
  </si>
  <si>
    <t>A022712524</t>
  </si>
  <si>
    <t>Seema Kumari</t>
  </si>
  <si>
    <t>11/10/1983</t>
  </si>
  <si>
    <t>19-08-2019</t>
  </si>
  <si>
    <t>Rec Printed</t>
  </si>
  <si>
    <t>A022711264</t>
  </si>
  <si>
    <t>Tuna Pandey</t>
  </si>
  <si>
    <t>14/04/1992</t>
  </si>
  <si>
    <t>Q001554232</t>
  </si>
  <si>
    <t>Kavita Singh</t>
  </si>
  <si>
    <t>12/11/1980</t>
  </si>
  <si>
    <t>A022717978</t>
  </si>
  <si>
    <t>Navneet Kaur</t>
  </si>
  <si>
    <t>15/06/1974</t>
  </si>
  <si>
    <t>Q001556962</t>
  </si>
  <si>
    <t>Triloki Nath Singh</t>
  </si>
  <si>
    <t>01/01/1980</t>
  </si>
  <si>
    <t>20-08-2019</t>
  </si>
  <si>
    <t>A022748936</t>
  </si>
  <si>
    <t>Gauav Pandey</t>
  </si>
  <si>
    <t>16/08/2001</t>
  </si>
  <si>
    <t>A022904500</t>
  </si>
  <si>
    <t>Tinku Kumar Singh</t>
  </si>
  <si>
    <t>21/08/1991</t>
  </si>
  <si>
    <t>25-08-2019</t>
  </si>
  <si>
    <t>A022911340</t>
  </si>
  <si>
    <t>Tripti Kumari</t>
  </si>
  <si>
    <t>10-10-1998</t>
  </si>
  <si>
    <t>darbhanga</t>
  </si>
  <si>
    <t>A022955229 </t>
  </si>
  <si>
    <t>PANKAJ MAHATO</t>
  </si>
  <si>
    <t>24/03/1997</t>
  </si>
  <si>
    <t>27/08/2019</t>
  </si>
  <si>
    <t>A022998554</t>
  </si>
  <si>
    <t>Prabin Bano</t>
  </si>
  <si>
    <t>11/05/1994</t>
  </si>
  <si>
    <t>28-08-2019</t>
  </si>
  <si>
    <t>A022994966</t>
  </si>
  <si>
    <t>Kaushar Perween</t>
  </si>
  <si>
    <t>15/09/1984</t>
  </si>
  <si>
    <t>A022995264</t>
  </si>
  <si>
    <t>Antu Kumar</t>
  </si>
  <si>
    <t>07/08/2001</t>
  </si>
  <si>
    <t>Q001581142 </t>
  </si>
  <si>
    <t>Suman Kumari Verma</t>
  </si>
  <si>
    <t>10/01/1967</t>
  </si>
  <si>
    <t>Aadhar Mismatch</t>
  </si>
  <si>
    <t>A023052145</t>
  </si>
  <si>
    <t>Vikky Karmakar</t>
  </si>
  <si>
    <t>17-05-1998</t>
  </si>
  <si>
    <t>30-08-2019</t>
  </si>
  <si>
    <t>A023065032</t>
  </si>
  <si>
    <t>Anup Singh</t>
  </si>
  <si>
    <t>01/01/1984</t>
  </si>
  <si>
    <t>A023084890</t>
  </si>
  <si>
    <t>Megha Rajak</t>
  </si>
  <si>
    <t>12/02/1996</t>
  </si>
  <si>
    <t>Q001598838</t>
  </si>
  <si>
    <t>Jiban Kumar Giri</t>
  </si>
  <si>
    <t>19-08-1982</t>
  </si>
  <si>
    <t>04-09-2019</t>
  </si>
  <si>
    <t>Q001600714 </t>
  </si>
  <si>
    <t>Dinesh Prasad Singh</t>
  </si>
  <si>
    <t>09/10/1972</t>
  </si>
  <si>
    <t>04/09/2019</t>
  </si>
  <si>
    <t>A023206520</t>
  </si>
  <si>
    <t>Kanhaiya Ray</t>
  </si>
  <si>
    <t>09/01/1989</t>
  </si>
  <si>
    <t>Payment Pending</t>
  </si>
  <si>
    <t>Q0016002648</t>
  </si>
  <si>
    <t>SYED MOHAMMAD SHARIQUE ANWER</t>
  </si>
  <si>
    <t>06/05/1973</t>
  </si>
  <si>
    <t>05/09/2019</t>
  </si>
  <si>
    <t>140 Due</t>
  </si>
  <si>
    <t>A023337550</t>
  </si>
  <si>
    <t>Kiran Kumari Singh</t>
  </si>
  <si>
    <t>11/10/1984</t>
  </si>
  <si>
    <t>08/09/2019</t>
  </si>
  <si>
    <t>Q001613142</t>
  </si>
  <si>
    <t>Suman Kerketta</t>
  </si>
  <si>
    <t>21/10/1984</t>
  </si>
  <si>
    <t>09/09/2019</t>
  </si>
  <si>
    <t>Q001619335</t>
  </si>
  <si>
    <t>Mohamad Salim</t>
  </si>
  <si>
    <t>01/01/1966</t>
  </si>
  <si>
    <t>12/09/2019</t>
  </si>
  <si>
    <t>A023472497</t>
  </si>
  <si>
    <t>Puja Pal</t>
  </si>
  <si>
    <t>12/04/1993</t>
  </si>
  <si>
    <t>13/09/2019</t>
  </si>
  <si>
    <t>A023504855</t>
  </si>
  <si>
    <t>Urmila Rai</t>
  </si>
  <si>
    <t>01/01/1971</t>
  </si>
  <si>
    <t>A023536628</t>
  </si>
  <si>
    <t>Pinki Das</t>
  </si>
  <si>
    <t>01/01/1979</t>
  </si>
  <si>
    <t>190 Due</t>
  </si>
  <si>
    <t>A023541208</t>
  </si>
  <si>
    <t>Sharique Jamil</t>
  </si>
  <si>
    <t>02/01/1979</t>
  </si>
  <si>
    <t>15/09/2019</t>
  </si>
  <si>
    <t>A023547633</t>
  </si>
  <si>
    <t>Chandrakala Devi</t>
  </si>
  <si>
    <t>16-09-2019</t>
  </si>
  <si>
    <t>A023547937</t>
  </si>
  <si>
    <t>Kajatwa Rajwar</t>
  </si>
  <si>
    <t>01/01/1970</t>
  </si>
  <si>
    <t>A023562542</t>
  </si>
  <si>
    <t>Indu Jha</t>
  </si>
  <si>
    <t>01/01/1975</t>
  </si>
  <si>
    <t>A023563221</t>
  </si>
  <si>
    <t>Akash Jha</t>
  </si>
  <si>
    <t>10/07/2000</t>
  </si>
  <si>
    <t>Q001632187</t>
  </si>
  <si>
    <t>Debasish Mahato</t>
  </si>
  <si>
    <t>07/09/1975</t>
  </si>
  <si>
    <t>A023590483</t>
  </si>
  <si>
    <t>Akash Kumar Singh</t>
  </si>
  <si>
    <t>15/08/2003</t>
  </si>
  <si>
    <t>A023591100</t>
  </si>
  <si>
    <t>Neelam Sinha</t>
  </si>
  <si>
    <t>08/12/1968</t>
  </si>
  <si>
    <t>Q001636346</t>
  </si>
  <si>
    <t>Dhabal Kanti Sinha</t>
  </si>
  <si>
    <t>09/01/1937</t>
  </si>
  <si>
    <t>18-09-2019</t>
  </si>
  <si>
    <t>20-09-2019</t>
  </si>
  <si>
    <t>Q001640094</t>
  </si>
  <si>
    <t>Gajendra Kumar</t>
  </si>
  <si>
    <t>01/12/1981</t>
  </si>
  <si>
    <t>19-09-2019</t>
  </si>
  <si>
    <t>Q001642463</t>
  </si>
  <si>
    <t>Afroz Jahan</t>
  </si>
  <si>
    <t>01/01/1965</t>
  </si>
  <si>
    <t>A023711597</t>
  </si>
  <si>
    <t>Sourav Sau</t>
  </si>
  <si>
    <t>18/12/1998</t>
  </si>
  <si>
    <t>A023709484</t>
  </si>
  <si>
    <t>Rashmi Rekha Jena</t>
  </si>
  <si>
    <t>09/07/1982</t>
  </si>
  <si>
    <t>A023708078</t>
  </si>
  <si>
    <t>VIMLA LOHAR</t>
  </si>
  <si>
    <t>Q001646315</t>
  </si>
  <si>
    <t>Jainulah Ansari</t>
  </si>
  <si>
    <t>05/05/1984</t>
  </si>
  <si>
    <t>21-09-2019</t>
  </si>
  <si>
    <t>A023772034</t>
  </si>
  <si>
    <t>Rekha Tudu</t>
  </si>
  <si>
    <t>01/11/1987</t>
  </si>
  <si>
    <t>A023769211</t>
  </si>
  <si>
    <t>Dodhika Lohar</t>
  </si>
  <si>
    <t>07/01/1975</t>
  </si>
  <si>
    <t>A023769934</t>
  </si>
  <si>
    <t>Chura Mani Soren</t>
  </si>
  <si>
    <t>01/01/1985</t>
  </si>
  <si>
    <t>A023770312</t>
  </si>
  <si>
    <t>Rupa Kisku</t>
  </si>
  <si>
    <t>28/03/2001</t>
  </si>
  <si>
    <t>A023770175</t>
  </si>
  <si>
    <t>20/05/1979</t>
  </si>
  <si>
    <t>Q001649298</t>
  </si>
  <si>
    <t>Vijay Kumar Sahi</t>
  </si>
  <si>
    <t>21/04/1957</t>
  </si>
  <si>
    <t>Q001649792</t>
  </si>
  <si>
    <t>Sukhbinder Singh</t>
  </si>
  <si>
    <t>09/09/1988</t>
  </si>
  <si>
    <t>22-09-2019</t>
  </si>
  <si>
    <t>Q001659800</t>
  </si>
  <si>
    <t>Chandra Shekhar Singh</t>
  </si>
  <si>
    <t>22/10/1956</t>
  </si>
  <si>
    <t>25-09-19</t>
  </si>
  <si>
    <t>25-09-2019</t>
  </si>
  <si>
    <t>A023904801</t>
  </si>
  <si>
    <t>27/05/2002</t>
  </si>
  <si>
    <t>27-09-2019</t>
  </si>
  <si>
    <t>A023905823</t>
  </si>
  <si>
    <t>Harpal Singh Mathur</t>
  </si>
  <si>
    <t>06/07/2001</t>
  </si>
  <si>
    <t>A023845256</t>
  </si>
  <si>
    <t>Sabiha Parween</t>
  </si>
  <si>
    <t>04/12/1991</t>
  </si>
  <si>
    <t>Q001668976</t>
  </si>
  <si>
    <t>Niranjan Prajapati</t>
  </si>
  <si>
    <t>04/05/1997</t>
  </si>
  <si>
    <t>Q001669292</t>
  </si>
  <si>
    <t>Sarathi Munda</t>
  </si>
  <si>
    <t>01/01/1978</t>
  </si>
  <si>
    <t>A023980746</t>
  </si>
  <si>
    <t>Archana Kumari</t>
  </si>
  <si>
    <t>31/12/1996</t>
  </si>
  <si>
    <t>28-09-2019</t>
  </si>
  <si>
    <t>01-10-2019</t>
  </si>
  <si>
    <t>A023980254</t>
  </si>
  <si>
    <t>Tania Aram</t>
  </si>
  <si>
    <t>05/06/1995</t>
  </si>
  <si>
    <t>A023982727</t>
  </si>
  <si>
    <t>Roshan Jahan</t>
  </si>
  <si>
    <t>01/01/1981</t>
  </si>
  <si>
    <t>A023985285</t>
  </si>
  <si>
    <t>Sadhu Saran Yadav</t>
  </si>
  <si>
    <t>A023986120</t>
  </si>
  <si>
    <t>A024049209</t>
  </si>
  <si>
    <t>Deepak Das Tantubai</t>
  </si>
  <si>
    <t>12/09/1979</t>
  </si>
  <si>
    <t>Q001680410</t>
  </si>
  <si>
    <t>Maqsuda Begum</t>
  </si>
  <si>
    <t>14/09/1954</t>
  </si>
  <si>
    <t>Q001680009</t>
  </si>
  <si>
    <t>Rakesh Kumar-due 50</t>
  </si>
  <si>
    <t>25/12/1984</t>
  </si>
  <si>
    <t>A024078581</t>
  </si>
  <si>
    <t>Antora Chakraborty</t>
  </si>
  <si>
    <t>27/02/1998</t>
  </si>
  <si>
    <t>A024081011</t>
  </si>
  <si>
    <t>Munna Munda</t>
  </si>
  <si>
    <t>03/09/2001</t>
  </si>
  <si>
    <t>A024081071</t>
  </si>
  <si>
    <t>Anthony Munda</t>
  </si>
  <si>
    <t>05/03/2000</t>
  </si>
  <si>
    <t>A001684443</t>
  </si>
  <si>
    <t>Surendra Kumar Dwivedy</t>
  </si>
  <si>
    <t>08/06/1948</t>
  </si>
  <si>
    <t>02-10-2019</t>
  </si>
  <si>
    <t>ABEPD5476G</t>
  </si>
  <si>
    <t>Q001684495</t>
  </si>
  <si>
    <t>09/06/1953</t>
  </si>
  <si>
    <t>A024125423</t>
  </si>
  <si>
    <t>Sultana Parween</t>
  </si>
  <si>
    <t>26/12/1997</t>
  </si>
  <si>
    <t>03-10-2019</t>
  </si>
  <si>
    <t>Q001689241</t>
  </si>
  <si>
    <t>Bhriguram Mahato</t>
  </si>
  <si>
    <t>10/08/1973</t>
  </si>
  <si>
    <t>05-10-2019</t>
  </si>
  <si>
    <t>Q001694013</t>
  </si>
  <si>
    <t>Salya Khatoon</t>
  </si>
  <si>
    <t>17/05/1946</t>
  </si>
  <si>
    <t>BYYPK1070P</t>
  </si>
  <si>
    <t>A024168371</t>
  </si>
  <si>
    <t>Rina Das</t>
  </si>
  <si>
    <t>04/07/1985</t>
  </si>
  <si>
    <t>A024184659</t>
  </si>
  <si>
    <t>Saraswati Karmakar</t>
  </si>
  <si>
    <t>16/07/1985</t>
  </si>
  <si>
    <t>Q001694947</t>
  </si>
  <si>
    <t>Netrapal</t>
  </si>
  <si>
    <t>10/12/1994</t>
  </si>
  <si>
    <t>A024258525</t>
  </si>
  <si>
    <t>Khatiza Khatoon</t>
  </si>
  <si>
    <t>01/01/1960</t>
  </si>
  <si>
    <t>09-10-2019</t>
  </si>
  <si>
    <t>Q001705920</t>
  </si>
  <si>
    <t>Madhurima Saha</t>
  </si>
  <si>
    <t>29/09/1995</t>
  </si>
  <si>
    <t>A024288858</t>
  </si>
  <si>
    <t>Alka Devi</t>
  </si>
  <si>
    <t>02/01/1972</t>
  </si>
  <si>
    <t>10-10-2019</t>
  </si>
  <si>
    <t>A024293099</t>
  </si>
  <si>
    <t>Mahwish Anjum</t>
  </si>
  <si>
    <t>10/04/1999</t>
  </si>
  <si>
    <t>A024317398</t>
  </si>
  <si>
    <t>Aaliya Zainab</t>
  </si>
  <si>
    <t>26/10/1999</t>
  </si>
  <si>
    <t>A024345407</t>
  </si>
  <si>
    <t>Jitendra Mahato</t>
  </si>
  <si>
    <t>21/01/1996</t>
  </si>
  <si>
    <t>11-10-2019</t>
  </si>
  <si>
    <t>12-10-2019</t>
  </si>
  <si>
    <t>Q001714757</t>
  </si>
  <si>
    <t>Nazrin Khatoon</t>
  </si>
  <si>
    <t>01/01/1988</t>
  </si>
  <si>
    <t>Q001713218</t>
  </si>
  <si>
    <t>Kumar Shitanshu</t>
  </si>
  <si>
    <t>24/03/1991</t>
  </si>
  <si>
    <t>A024361822</t>
  </si>
  <si>
    <t>Dasrath Soren</t>
  </si>
  <si>
    <t>02/05/1986</t>
  </si>
  <si>
    <t>A024362057</t>
  </si>
  <si>
    <t>Neha Priyambada</t>
  </si>
  <si>
    <t>22/11/1987</t>
  </si>
  <si>
    <t>A024383976</t>
  </si>
  <si>
    <t>Nidhi Singh</t>
  </si>
  <si>
    <t>10/07/1999</t>
  </si>
  <si>
    <t>13-10-2019</t>
  </si>
  <si>
    <t>A024394689</t>
  </si>
  <si>
    <t>Naushina Anwar</t>
  </si>
  <si>
    <t>12/07/1977</t>
  </si>
  <si>
    <t>14-10-2019</t>
  </si>
  <si>
    <t>Q001721162</t>
  </si>
  <si>
    <t>Avijeet Ranjan</t>
  </si>
  <si>
    <t>04/10/1990</t>
  </si>
  <si>
    <t>A024401128</t>
  </si>
  <si>
    <t>Shahnawaz Haque</t>
  </si>
  <si>
    <t>30/11/1998</t>
  </si>
  <si>
    <t>Q001723192</t>
  </si>
  <si>
    <t>Bhoto Krishna Tudu</t>
  </si>
  <si>
    <t>15/12/1969</t>
  </si>
  <si>
    <t>A024430575</t>
  </si>
  <si>
    <t>Champawati Gorai</t>
  </si>
  <si>
    <t>01/01/1991</t>
  </si>
  <si>
    <t>A024427205</t>
  </si>
  <si>
    <t>Sandhya Dubey</t>
  </si>
  <si>
    <t>Q001650373</t>
  </si>
  <si>
    <t>Sudhir Kumar Sinha</t>
  </si>
  <si>
    <t>A024504808</t>
  </si>
  <si>
    <t>Minati Bhattacharjee</t>
  </si>
  <si>
    <t>23/10/1950</t>
  </si>
  <si>
    <t>17-10-2019</t>
  </si>
  <si>
    <t>Q00173624</t>
  </si>
  <si>
    <t>Shivani Singh</t>
  </si>
  <si>
    <t>19-10-2019</t>
  </si>
  <si>
    <t>Q001736272</t>
  </si>
  <si>
    <t>Samina Naznee</t>
  </si>
  <si>
    <t>23/03/1980</t>
  </si>
  <si>
    <t>A024540783</t>
  </si>
  <si>
    <t>Nidhi</t>
  </si>
  <si>
    <t>01/02/2000</t>
  </si>
  <si>
    <t>A024615297</t>
  </si>
  <si>
    <t>Satyendra Kumar Singh</t>
  </si>
  <si>
    <t>01/07/1972</t>
  </si>
  <si>
    <t>20-10-2019</t>
  </si>
  <si>
    <t>Q001744414</t>
  </si>
  <si>
    <t>Aashma Khatoon</t>
  </si>
  <si>
    <t>Q001745747</t>
  </si>
  <si>
    <t>Prafullo Mahato</t>
  </si>
  <si>
    <t>15/09/1968</t>
  </si>
  <si>
    <t>21-10-2019</t>
  </si>
  <si>
    <t>A024627253</t>
  </si>
  <si>
    <t>Laxmi Gon</t>
  </si>
  <si>
    <t>03/11/1967</t>
  </si>
  <si>
    <t>A024643971</t>
  </si>
  <si>
    <t>Jagat Mahato</t>
  </si>
  <si>
    <t>17/10/1989</t>
  </si>
  <si>
    <t>Q001749031</t>
  </si>
  <si>
    <t>Asrak Ahamd</t>
  </si>
  <si>
    <t>10/02/1992</t>
  </si>
  <si>
    <t>22-10-2019</t>
  </si>
  <si>
    <t>A024671432</t>
  </si>
  <si>
    <t>Sephali Nayak</t>
  </si>
  <si>
    <t>Q001751071</t>
  </si>
  <si>
    <t>05/06/1997</t>
  </si>
  <si>
    <t>A024710856</t>
  </si>
  <si>
    <t>Shaista Parween</t>
  </si>
  <si>
    <t>20/06/1988</t>
  </si>
  <si>
    <t>24-10-2019</t>
  </si>
  <si>
    <t>A024745592</t>
  </si>
  <si>
    <t>Manish Kumar Ray</t>
  </si>
  <si>
    <t>01/01/1995</t>
  </si>
  <si>
    <t>25-10-2019</t>
  </si>
  <si>
    <t>A024799768</t>
  </si>
  <si>
    <t>Zeeshan Ahmad</t>
  </si>
  <si>
    <t>14/11/2000</t>
  </si>
  <si>
    <t>29-10-2019</t>
  </si>
  <si>
    <t>A024824736</t>
  </si>
  <si>
    <t>Bijay Baskey</t>
  </si>
  <si>
    <t>30-10-2019</t>
  </si>
  <si>
    <t>Q001771648</t>
  </si>
  <si>
    <t>Prakash Mahato</t>
  </si>
  <si>
    <t>04/04/1981</t>
  </si>
  <si>
    <t>31-10-2019</t>
  </si>
  <si>
    <t>Q001774182</t>
  </si>
  <si>
    <t>25/12/1998</t>
  </si>
  <si>
    <t>Q001774861</t>
  </si>
  <si>
    <t>Mohammad Arshad Alam</t>
  </si>
  <si>
    <t>15/08/1992</t>
  </si>
  <si>
    <t>01-11-2019</t>
  </si>
  <si>
    <t>A024881286</t>
  </si>
  <si>
    <t>Zeenat Perween</t>
  </si>
  <si>
    <t>25/07/1998</t>
  </si>
  <si>
    <t>Q001783014</t>
  </si>
  <si>
    <t>Debasish Paul</t>
  </si>
  <si>
    <t>28/10/1961</t>
  </si>
  <si>
    <t>03-11-2019</t>
  </si>
  <si>
    <t>A024945100</t>
  </si>
  <si>
    <t>Mahboob Ahmad</t>
  </si>
  <si>
    <t>05-01-2000</t>
  </si>
  <si>
    <t>04-11-2019</t>
  </si>
  <si>
    <t>Q001860609</t>
  </si>
  <si>
    <t>Anamika Dwivedi</t>
  </si>
  <si>
    <t>14-01-1989</t>
  </si>
  <si>
    <t>A025001535</t>
  </si>
  <si>
    <t>Raju Sarkar</t>
  </si>
  <si>
    <t>04-05-2000</t>
  </si>
  <si>
    <t>05-11-2019</t>
  </si>
  <si>
    <t>Shailendra Kumar Mishra</t>
  </si>
  <si>
    <t>03/04/1970</t>
  </si>
  <si>
    <t>06-11-2019</t>
  </si>
  <si>
    <t>A025038194</t>
  </si>
  <si>
    <t>Nisha Singh</t>
  </si>
  <si>
    <t>03/07/1986</t>
  </si>
  <si>
    <t>07-11-2019</t>
  </si>
  <si>
    <t>Q001794809</t>
  </si>
  <si>
    <t>Namita Das</t>
  </si>
  <si>
    <t>29-08-1966</t>
  </si>
  <si>
    <t>A025044947</t>
  </si>
  <si>
    <t>Taharun Perween</t>
  </si>
  <si>
    <t>Q001803258</t>
  </si>
  <si>
    <t>Giridhari Bishayi</t>
  </si>
  <si>
    <t>01-01-1968</t>
  </si>
  <si>
    <t>09-11-2019</t>
  </si>
  <si>
    <t>16-11-2019</t>
  </si>
  <si>
    <t>A025213622</t>
  </si>
  <si>
    <t>Sumit Roy</t>
  </si>
  <si>
    <t>11-09-1996</t>
  </si>
  <si>
    <t>14-11-2019</t>
  </si>
  <si>
    <t>A025122061</t>
  </si>
  <si>
    <t>Amrita Kumari</t>
  </si>
  <si>
    <t>14-03-1996</t>
  </si>
  <si>
    <t>A025242047</t>
  </si>
  <si>
    <t>A025270763</t>
  </si>
  <si>
    <t>Ankit Dubey</t>
  </si>
  <si>
    <t>30-06-1991</t>
  </si>
  <si>
    <t>15-11-2019</t>
  </si>
  <si>
    <t>A025280981</t>
  </si>
  <si>
    <t>Surai Tudu</t>
  </si>
  <si>
    <t>08-04-1977</t>
  </si>
  <si>
    <t>A025306300</t>
  </si>
  <si>
    <t>Shama Parween</t>
  </si>
  <si>
    <t>09-11-2001</t>
  </si>
  <si>
    <t>17-11-2019</t>
  </si>
  <si>
    <t>Q001828027</t>
  </si>
  <si>
    <t>Shabbir Alam</t>
  </si>
  <si>
    <t>07-08-1981</t>
  </si>
  <si>
    <t>18-11-2019</t>
  </si>
  <si>
    <t>Adhar Not Matvh</t>
  </si>
  <si>
    <t>A025329073</t>
  </si>
  <si>
    <t>Purnima Kumari</t>
  </si>
  <si>
    <t>04-02-1996</t>
  </si>
  <si>
    <t>Q001828483</t>
  </si>
  <si>
    <t>Mohammad Jalil</t>
  </si>
  <si>
    <t>09-03-1951</t>
  </si>
  <si>
    <t>A025378678</t>
  </si>
  <si>
    <t>Sankari Choudhary</t>
  </si>
  <si>
    <t>20-11-1980</t>
  </si>
  <si>
    <t>20-11-2019</t>
  </si>
  <si>
    <t>A025417602</t>
  </si>
  <si>
    <t>Sayada Khatoon</t>
  </si>
  <si>
    <t>01-01-1976</t>
  </si>
  <si>
    <t>21-11-2019</t>
  </si>
  <si>
    <t>A025490864</t>
  </si>
  <si>
    <t>Soni Devi</t>
  </si>
  <si>
    <t>01/12/1986</t>
  </si>
  <si>
    <t>24-11-2019</t>
  </si>
  <si>
    <t>Q001850605</t>
  </si>
  <si>
    <t>Ashim Chakraborty</t>
  </si>
  <si>
    <t>15/11/1960</t>
  </si>
  <si>
    <t>25-11-2019</t>
  </si>
  <si>
    <t>Q001852546</t>
  </si>
  <si>
    <t>Ruby Barua</t>
  </si>
  <si>
    <t>24-06-1993</t>
  </si>
  <si>
    <t>A025534548</t>
  </si>
  <si>
    <t>Tupma Dutta</t>
  </si>
  <si>
    <t>A025594523</t>
  </si>
  <si>
    <t>31-12-1967</t>
  </si>
  <si>
    <t>27-11-19</t>
  </si>
  <si>
    <t>Q001258182</t>
  </si>
  <si>
    <t>Tarannum  Praveen</t>
  </si>
  <si>
    <t>05/03/1979</t>
  </si>
  <si>
    <t>28-03-19</t>
  </si>
  <si>
    <t>A025575144</t>
  </si>
  <si>
    <t>Jamuna Ho</t>
  </si>
  <si>
    <t>A025650126</t>
  </si>
  <si>
    <t>Vipin Prasad</t>
  </si>
  <si>
    <t>10-07-1997</t>
  </si>
  <si>
    <t>29-11-19</t>
  </si>
  <si>
    <t>A025622912</t>
  </si>
  <si>
    <t>Guru Prasad Karuwa</t>
  </si>
  <si>
    <t>02/02/1982</t>
  </si>
  <si>
    <t>28-11-19</t>
  </si>
  <si>
    <t>A025604221</t>
  </si>
  <si>
    <t>Saba Shakrin</t>
  </si>
  <si>
    <t>20/07/1986</t>
  </si>
  <si>
    <t>30-11-19</t>
  </si>
  <si>
    <t>A025605239</t>
  </si>
  <si>
    <t>Sunny Kumar Rahelu</t>
  </si>
  <si>
    <t>28/08/2002</t>
  </si>
  <si>
    <t>Q001860935</t>
  </si>
  <si>
    <t>Sonu Giri</t>
  </si>
  <si>
    <t>01/01/1986</t>
  </si>
  <si>
    <t>Q001872798</t>
  </si>
  <si>
    <t>Soma Bhabani Nag</t>
  </si>
  <si>
    <t>02-12-19</t>
  </si>
  <si>
    <t>A025767378</t>
  </si>
  <si>
    <t>Nisha Devi</t>
  </si>
  <si>
    <t>04-12-19</t>
  </si>
  <si>
    <t>A025764302</t>
  </si>
  <si>
    <t>Pooja Jena</t>
  </si>
  <si>
    <t>16/10/1995</t>
  </si>
  <si>
    <t>A025781920</t>
  </si>
  <si>
    <t>Taiyeb Faraz</t>
  </si>
  <si>
    <t>25/10/1997</t>
  </si>
  <si>
    <t>A025812720</t>
  </si>
  <si>
    <t>Mafruza Khatoon</t>
  </si>
  <si>
    <t>25/03/1967</t>
  </si>
  <si>
    <t>05-12-19</t>
  </si>
  <si>
    <t>Q001885624</t>
  </si>
  <si>
    <t>Daljeet Kaur</t>
  </si>
  <si>
    <t>31/12/1997</t>
  </si>
  <si>
    <t>A025838710</t>
  </si>
  <si>
    <t>Ravindra Kumar</t>
  </si>
  <si>
    <t>01/01/1977</t>
  </si>
  <si>
    <t>06-12-19</t>
  </si>
  <si>
    <t>A025829916</t>
  </si>
  <si>
    <t>Sonu Bhumij</t>
  </si>
  <si>
    <t>A025886073</t>
  </si>
  <si>
    <t>Akash Kumar Prasad</t>
  </si>
  <si>
    <t>27/10/1998</t>
  </si>
  <si>
    <t>08-12-19</t>
  </si>
  <si>
    <t>Q001895670</t>
  </si>
  <si>
    <t>Pampa Chel</t>
  </si>
  <si>
    <t>27/03/1986</t>
  </si>
  <si>
    <t>09-12-19</t>
  </si>
  <si>
    <t>A025969429</t>
  </si>
  <si>
    <t>Binay Hajari</t>
  </si>
  <si>
    <t>20/05/1980</t>
  </si>
  <si>
    <t>11-12-19</t>
  </si>
  <si>
    <t>A025969047</t>
  </si>
  <si>
    <t>Md Shahbaz</t>
  </si>
  <si>
    <t>18/05/2000</t>
  </si>
  <si>
    <t>Q001900081</t>
  </si>
  <si>
    <t>Satyendra Kumar Rajak</t>
  </si>
  <si>
    <t>05-04-1984</t>
  </si>
  <si>
    <t>10-12-19</t>
  </si>
  <si>
    <t>Q001903940</t>
  </si>
  <si>
    <t>Alexander Hirvthaya</t>
  </si>
  <si>
    <t>28-06-1969</t>
  </si>
  <si>
    <t>14-12-19</t>
  </si>
  <si>
    <t>A025972531</t>
  </si>
  <si>
    <t>Dvinder Pal Singh</t>
  </si>
  <si>
    <t>10-11-1997</t>
  </si>
  <si>
    <t>A025983854</t>
  </si>
  <si>
    <t>Urmila Devi Shaharia</t>
  </si>
  <si>
    <t>24/04/1955</t>
  </si>
  <si>
    <t>12-12-19</t>
  </si>
  <si>
    <t>A025985077</t>
  </si>
  <si>
    <t>Ishrat Parween</t>
  </si>
  <si>
    <t>15/07/2000</t>
  </si>
  <si>
    <t>Q001914267</t>
  </si>
  <si>
    <t>Anushka Amey Maindarge</t>
  </si>
  <si>
    <t>25/01/1985</t>
  </si>
  <si>
    <t>Q001915279</t>
  </si>
  <si>
    <t>Azmat Rahmani</t>
  </si>
  <si>
    <t>10/05/1988</t>
  </si>
  <si>
    <t>15-12-19</t>
  </si>
  <si>
    <t>Q001917361</t>
  </si>
  <si>
    <t>Mahboob Hussain</t>
  </si>
  <si>
    <t>16-12-19</t>
  </si>
  <si>
    <t>G028764104</t>
  </si>
  <si>
    <t>MD Badruzzama</t>
  </si>
  <si>
    <t>16/09/1943</t>
  </si>
  <si>
    <t>G028764105</t>
  </si>
  <si>
    <t>Hazra Khatoon</t>
  </si>
  <si>
    <t>14/07/1951</t>
  </si>
  <si>
    <t>G028764106</t>
  </si>
  <si>
    <t>Kausar Ara</t>
  </si>
  <si>
    <t>15/06/1984</t>
  </si>
  <si>
    <t>G028764107</t>
  </si>
  <si>
    <t>Khalida Zeya</t>
  </si>
  <si>
    <t>30/10/1993</t>
  </si>
  <si>
    <t>G028764108</t>
  </si>
  <si>
    <t>Shakra Zeya</t>
  </si>
  <si>
    <t>20/01/2001</t>
  </si>
  <si>
    <t>G028764109</t>
  </si>
  <si>
    <t>Shagufta Shaheen</t>
  </si>
  <si>
    <t>12/10/1989</t>
  </si>
  <si>
    <t>G028764110</t>
  </si>
  <si>
    <t>Prankrishna Chatterjee</t>
  </si>
  <si>
    <t>01/01/1973</t>
  </si>
  <si>
    <t>G028764111</t>
  </si>
  <si>
    <t>Pratima Pathak</t>
  </si>
  <si>
    <t>22/02/1985</t>
  </si>
  <si>
    <t>18-12-19</t>
  </si>
  <si>
    <t>Q001924747</t>
  </si>
  <si>
    <t>Babalu Kumar</t>
  </si>
  <si>
    <t>05/11/1987</t>
  </si>
  <si>
    <t>Q001924842</t>
  </si>
  <si>
    <t>Faruque Ahmad</t>
  </si>
  <si>
    <t>10/04/1974</t>
  </si>
  <si>
    <t>Q001928427</t>
  </si>
  <si>
    <t>Rajesh Kumar Sahu Gond</t>
  </si>
  <si>
    <t>21-12-1974</t>
  </si>
  <si>
    <t>19-12-19</t>
  </si>
  <si>
    <t>Q001928172</t>
  </si>
  <si>
    <t>A026173100</t>
  </si>
  <si>
    <t>Shahjahan</t>
  </si>
  <si>
    <t>04-09-1979</t>
  </si>
  <si>
    <t>Q001934677</t>
  </si>
  <si>
    <t>Shadab Alam</t>
  </si>
  <si>
    <t>18-08-1985</t>
  </si>
  <si>
    <t>20-12-19</t>
  </si>
  <si>
    <t>A026253411</t>
  </si>
  <si>
    <t>Ayush Kumar</t>
  </si>
  <si>
    <t>24-10-2001</t>
  </si>
  <si>
    <t>21-12-19</t>
  </si>
  <si>
    <t>A026280836</t>
  </si>
  <si>
    <t>Abhishek Kumar Pandey</t>
  </si>
  <si>
    <t>06/03/1996</t>
  </si>
  <si>
    <t>23-12-19</t>
  </si>
  <si>
    <t xml:space="preserve">   </t>
  </si>
  <si>
    <t>Q001959460</t>
  </si>
  <si>
    <t>27-12-19</t>
  </si>
  <si>
    <t>Q001965762</t>
  </si>
  <si>
    <t>Rama Devi</t>
  </si>
  <si>
    <t>12/02/1970</t>
  </si>
  <si>
    <t>29/12/19</t>
  </si>
  <si>
    <t>Q001965826</t>
  </si>
  <si>
    <t>Manik Chakraborty</t>
  </si>
  <si>
    <t>25/12/1975</t>
  </si>
  <si>
    <t>29-12-19</t>
  </si>
  <si>
    <t>Q001966159</t>
  </si>
  <si>
    <t>Jagadish Mahata</t>
  </si>
  <si>
    <t>01/11/1971</t>
  </si>
  <si>
    <t>30-12-19</t>
  </si>
  <si>
    <t>A026494128</t>
  </si>
  <si>
    <t>Prashant Mahato</t>
  </si>
  <si>
    <t>31-12-19</t>
  </si>
  <si>
    <t>A026503013</t>
  </si>
  <si>
    <t>Asima Mumtaz</t>
  </si>
  <si>
    <t>16-02-1960</t>
  </si>
  <si>
    <t>Sabina Kujur</t>
  </si>
  <si>
    <t>15-09-1998</t>
  </si>
  <si>
    <t>02-01-2020</t>
  </si>
  <si>
    <t>A026567763</t>
  </si>
  <si>
    <t>Smriti Julie Topno</t>
  </si>
  <si>
    <t>17-07-1999</t>
  </si>
  <si>
    <t>Q001992102</t>
  </si>
  <si>
    <t>Madhuri Das</t>
  </si>
  <si>
    <t>07/02/1986</t>
  </si>
  <si>
    <t>04-01-2020</t>
  </si>
  <si>
    <t>Q001994127</t>
  </si>
  <si>
    <t>Mamta Dung Dung</t>
  </si>
  <si>
    <t>11/07/1980</t>
  </si>
  <si>
    <t>Q002002418</t>
  </si>
  <si>
    <t>Toishiya Parween</t>
  </si>
  <si>
    <t>04/08/1985</t>
  </si>
  <si>
    <t>07-01-2020</t>
  </si>
  <si>
    <t>A026737628</t>
  </si>
  <si>
    <t>Shanaj Perween</t>
  </si>
  <si>
    <t>01/01/1996</t>
  </si>
  <si>
    <t>A026778043</t>
  </si>
  <si>
    <t>Abhishek Kumar</t>
  </si>
  <si>
    <t>01-03-1967</t>
  </si>
  <si>
    <t>08-01-2020</t>
  </si>
  <si>
    <t>Q002005360</t>
  </si>
  <si>
    <t>Dwarika Saw</t>
  </si>
  <si>
    <t>01/01/1959</t>
  </si>
  <si>
    <t>A026778974</t>
  </si>
  <si>
    <t>Mohammad Azim</t>
  </si>
  <si>
    <t>05/07/1977</t>
  </si>
  <si>
    <t>Q002008510</t>
  </si>
  <si>
    <t>Manasi Barik</t>
  </si>
  <si>
    <t>15/09/1989</t>
  </si>
  <si>
    <t>Q002015952</t>
  </si>
  <si>
    <t>Usha Gupta</t>
  </si>
  <si>
    <t>12/02/1960</t>
  </si>
  <si>
    <t>10-01-20</t>
  </si>
  <si>
    <t>Not Paid</t>
  </si>
  <si>
    <t>A026850091</t>
  </si>
  <si>
    <t>Sahima Khatoon</t>
  </si>
  <si>
    <t>01//03/1986</t>
  </si>
  <si>
    <t>Q002015980</t>
  </si>
  <si>
    <t>Chandu Tiue</t>
  </si>
  <si>
    <t>01/01/1931</t>
  </si>
  <si>
    <t>HXWPK0782D</t>
  </si>
  <si>
    <t>A026827364</t>
  </si>
  <si>
    <t>Namita Paramanik</t>
  </si>
  <si>
    <t>Q002019915</t>
  </si>
  <si>
    <t>Abdul Bari</t>
  </si>
  <si>
    <t>15/08/1972</t>
  </si>
  <si>
    <t>ABKPB4289M</t>
  </si>
  <si>
    <t>A026967721</t>
  </si>
  <si>
    <t>Lalu Singh Sardar</t>
  </si>
  <si>
    <t>14-01-20</t>
  </si>
  <si>
    <t>G028764113</t>
  </si>
  <si>
    <t>Farida Khatoon</t>
  </si>
  <si>
    <t>15/10/1996</t>
  </si>
  <si>
    <t>13-01-20</t>
  </si>
  <si>
    <t>A026940838</t>
  </si>
  <si>
    <t>Sujata Gounder</t>
  </si>
  <si>
    <t>18/07/1995</t>
  </si>
  <si>
    <t>A026941220</t>
  </si>
  <si>
    <t>Ravi Gounder</t>
  </si>
  <si>
    <t>10/04/1985</t>
  </si>
  <si>
    <t>A026984485</t>
  </si>
  <si>
    <t>Sandiya Devi</t>
  </si>
  <si>
    <t>15/01/20</t>
  </si>
  <si>
    <t>A027204739</t>
  </si>
  <si>
    <t>Nikhat Parween</t>
  </si>
  <si>
    <t>25/12/1987</t>
  </si>
  <si>
    <t>22-01-2020</t>
  </si>
  <si>
    <t>A027249099</t>
  </si>
  <si>
    <t>Laxmi Kumari</t>
  </si>
  <si>
    <t>24/01/1996</t>
  </si>
  <si>
    <t>23-01-2020</t>
  </si>
  <si>
    <t>a027247193</t>
  </si>
  <si>
    <t>Tara Moni Mahato</t>
  </si>
  <si>
    <t>06-04-1990</t>
  </si>
  <si>
    <t>A027284573</t>
  </si>
  <si>
    <t>Maninder Singh  Rayat</t>
  </si>
  <si>
    <t>08/11/2000</t>
  </si>
  <si>
    <t>24-01-2020</t>
  </si>
  <si>
    <t>A027132075</t>
  </si>
  <si>
    <t>Binda Devi</t>
  </si>
  <si>
    <t>10/05/1970</t>
  </si>
  <si>
    <t>20-01-2020</t>
  </si>
  <si>
    <t>A027131858</t>
  </si>
  <si>
    <t>Gurvindar Kaur</t>
  </si>
  <si>
    <t>01/01/1976</t>
  </si>
  <si>
    <t>A027333983</t>
  </si>
  <si>
    <t>01/01/1998</t>
  </si>
  <si>
    <t>25-01-2020</t>
  </si>
  <si>
    <t>A027340804</t>
  </si>
  <si>
    <t>Mandeep Kaur</t>
  </si>
  <si>
    <t>27/10/1995</t>
  </si>
  <si>
    <t>Q002078140</t>
  </si>
  <si>
    <t>Najneen Parveen</t>
  </si>
  <si>
    <t>02/08/1993</t>
  </si>
  <si>
    <t>27-01-2020</t>
  </si>
  <si>
    <t>A027376598</t>
  </si>
  <si>
    <t>Paritosh Hansda</t>
  </si>
  <si>
    <t>05/08/2001</t>
  </si>
  <si>
    <t>A027398326</t>
  </si>
  <si>
    <t>Kapra Hansada</t>
  </si>
  <si>
    <t>20-02-1970</t>
  </si>
  <si>
    <t>29-01-2020</t>
  </si>
  <si>
    <t>A027435571</t>
  </si>
  <si>
    <t>Nazia Perween</t>
  </si>
  <si>
    <t>10/01/1998</t>
  </si>
  <si>
    <t>29-01-20</t>
  </si>
  <si>
    <t>Q002081901</t>
  </si>
  <si>
    <t>Chandra Mukhi</t>
  </si>
  <si>
    <t>01/04/1959</t>
  </si>
  <si>
    <t>28-01-2020</t>
  </si>
  <si>
    <t>Q002085419</t>
  </si>
  <si>
    <t>Ejaz Ahmad Khan</t>
  </si>
  <si>
    <t>22/12/1967</t>
  </si>
  <si>
    <t>A027432325</t>
  </si>
  <si>
    <t>Riya Maity</t>
  </si>
  <si>
    <t>29/11/1997</t>
  </si>
  <si>
    <t>a027479628</t>
  </si>
  <si>
    <t>Sagar Kumar</t>
  </si>
  <si>
    <t>25/11/2000</t>
  </si>
  <si>
    <t>30-01-2020</t>
  </si>
  <si>
    <t>Q002096269</t>
  </si>
  <si>
    <t>Vikash Kumar</t>
  </si>
  <si>
    <t>01-02-2020</t>
  </si>
  <si>
    <t>Q002095652</t>
  </si>
  <si>
    <t>Dhar Banshi Karmakar</t>
  </si>
  <si>
    <t>BYVPK1838G</t>
  </si>
  <si>
    <t>bansinweb20</t>
  </si>
  <si>
    <t>Mypass@2020</t>
  </si>
  <si>
    <t>A027520396</t>
  </si>
  <si>
    <t>Nioty Rana</t>
  </si>
  <si>
    <t>09/10/1970</t>
  </si>
  <si>
    <t>niotynweb20</t>
  </si>
  <si>
    <t>A027530941</t>
  </si>
  <si>
    <t>Suparna Singh</t>
  </si>
  <si>
    <t>18/11/1990</t>
  </si>
  <si>
    <t>suparnanweb20</t>
  </si>
  <si>
    <t>A027572009</t>
  </si>
  <si>
    <t>Binay Shrivastav</t>
  </si>
  <si>
    <t>31/01/1968</t>
  </si>
  <si>
    <t>03-02-2020</t>
  </si>
  <si>
    <t>Q002103819</t>
  </si>
  <si>
    <t>Anita Garai</t>
  </si>
  <si>
    <t>01/09/1983</t>
  </si>
  <si>
    <t>garai.bishal44@gmail.com</t>
  </si>
  <si>
    <t>A027630246</t>
  </si>
  <si>
    <t>Ayasa Khatoon</t>
  </si>
  <si>
    <t>25/06/1972</t>
  </si>
  <si>
    <t>05-02-2020</t>
  </si>
  <si>
    <t>Q002109652</t>
  </si>
  <si>
    <t>Mohammad Quamaruddin</t>
  </si>
  <si>
    <t>02/08/1942</t>
  </si>
  <si>
    <t>04-02-2020</t>
  </si>
  <si>
    <t>A027622250</t>
  </si>
  <si>
    <t>Alok Nath Das</t>
  </si>
  <si>
    <t>28/11/2001</t>
  </si>
  <si>
    <t>Q002110002</t>
  </si>
  <si>
    <t>Ratan Kumar Sharma</t>
  </si>
  <si>
    <t>23/11/1979</t>
  </si>
  <si>
    <t>A027594547</t>
  </si>
  <si>
    <t>25/12/1989</t>
  </si>
  <si>
    <t>Q002120612</t>
  </si>
  <si>
    <t>Shahjahan Quraishi</t>
  </si>
  <si>
    <t>07-02-2020</t>
  </si>
  <si>
    <t>Q002125752</t>
  </si>
  <si>
    <t>Md Ishrarul Haque</t>
  </si>
  <si>
    <t>26/02/1972</t>
  </si>
  <si>
    <t>09-02-2020</t>
  </si>
  <si>
    <t>BAIPH0173G</t>
  </si>
  <si>
    <t>Q002132482</t>
  </si>
  <si>
    <t>Shankar Roy</t>
  </si>
  <si>
    <t>19/11/1972</t>
  </si>
  <si>
    <t>11-02-2020</t>
  </si>
  <si>
    <t>AXQPR1031D</t>
  </si>
  <si>
    <t>shankarnweb20</t>
  </si>
  <si>
    <t>A027835529</t>
  </si>
  <si>
    <t>Ruksana Pravin</t>
  </si>
  <si>
    <t>06/07/1988</t>
  </si>
  <si>
    <t>12-02-2020</t>
  </si>
  <si>
    <t>Q002134561</t>
  </si>
  <si>
    <t>01/03/1986</t>
  </si>
  <si>
    <t>JHIPK3906D</t>
  </si>
  <si>
    <t>Q002134590</t>
  </si>
  <si>
    <t>Rishabh Kumar</t>
  </si>
  <si>
    <t>08/04/1999</t>
  </si>
  <si>
    <t>GECPK0974R</t>
  </si>
  <si>
    <t>sashikalaskumar123@gmail.com</t>
  </si>
  <si>
    <t>A027894922</t>
  </si>
  <si>
    <t>Kishan Kumar Singh</t>
  </si>
  <si>
    <t>29/04/2001</t>
  </si>
  <si>
    <t>13-02-20</t>
  </si>
  <si>
    <t>A027926963</t>
  </si>
  <si>
    <t>Sanjay Gorai</t>
  </si>
  <si>
    <t>02/02/2002</t>
  </si>
  <si>
    <t>14-02-20</t>
  </si>
  <si>
    <t>A027927206</t>
  </si>
  <si>
    <t>Abhishek Banerjee</t>
  </si>
  <si>
    <t>12/02/2002</t>
  </si>
  <si>
    <t>A027912761</t>
  </si>
  <si>
    <t>05/04/2002</t>
  </si>
  <si>
    <t>Q002140901</t>
  </si>
  <si>
    <t>Ranjit Kumar Singh</t>
  </si>
  <si>
    <t>25/06/1982</t>
  </si>
  <si>
    <t>HDHPS3298K</t>
  </si>
  <si>
    <t>A027994114</t>
  </si>
  <si>
    <t>16-02-20</t>
  </si>
  <si>
    <t>A028105807</t>
  </si>
  <si>
    <t>Amina Khatoon</t>
  </si>
  <si>
    <t>01/01/1949</t>
  </si>
  <si>
    <t>20-02-2020</t>
  </si>
  <si>
    <t>A028102307</t>
  </si>
  <si>
    <t>Hira Lal Sada</t>
  </si>
  <si>
    <t>A028107862</t>
  </si>
  <si>
    <t>Nazneen Perween</t>
  </si>
  <si>
    <t>31/03/1992</t>
  </si>
  <si>
    <t>A028124735</t>
  </si>
  <si>
    <t>Rekha Devi</t>
  </si>
  <si>
    <t>29/07/1982</t>
  </si>
  <si>
    <t>21-02-2020</t>
  </si>
  <si>
    <t>A028115678</t>
  </si>
  <si>
    <t>Punit Dung Dung</t>
  </si>
  <si>
    <t>26/12/2000</t>
  </si>
  <si>
    <t>A028124985</t>
  </si>
  <si>
    <t>Binay Kumar Srivastav</t>
  </si>
  <si>
    <t>01/01/1968</t>
  </si>
  <si>
    <t>A028125438</t>
  </si>
  <si>
    <t>Prakash Kumar</t>
  </si>
  <si>
    <t>05/03/1991</t>
  </si>
  <si>
    <t>Q002172323</t>
  </si>
  <si>
    <t>HARDEEP SINGH</t>
  </si>
  <si>
    <t>A028197906</t>
  </si>
  <si>
    <t>Pranati Mahato</t>
  </si>
  <si>
    <t>25-02-2020</t>
  </si>
  <si>
    <t>A028211271</t>
  </si>
  <si>
    <t>Md Rizwan</t>
  </si>
  <si>
    <t>25-12-2001</t>
  </si>
  <si>
    <t>26-02-2020</t>
  </si>
  <si>
    <t>A028202684</t>
  </si>
  <si>
    <t>Nutan Devi</t>
  </si>
  <si>
    <t>01-10-1982</t>
  </si>
  <si>
    <t>Q001912822</t>
  </si>
  <si>
    <t>Rajesh Kumar Sahu</t>
  </si>
  <si>
    <t>02-10-1984</t>
  </si>
  <si>
    <t>nweb.hub</t>
  </si>
  <si>
    <t>A028215313</t>
  </si>
  <si>
    <t>Susourav Bose</t>
  </si>
  <si>
    <t>26/11/1997</t>
  </si>
  <si>
    <t>A028247480</t>
  </si>
  <si>
    <t>Shrinivas Mahato</t>
  </si>
  <si>
    <t>27-02-2020</t>
  </si>
  <si>
    <t>Q002187023</t>
  </si>
  <si>
    <t>Shahin Perween</t>
  </si>
  <si>
    <t>16/04/1987</t>
  </si>
  <si>
    <t>Q002192197</t>
  </si>
  <si>
    <t>Nemat Raza</t>
  </si>
  <si>
    <t>03/05/1996</t>
  </si>
  <si>
    <t>28-02-2020</t>
  </si>
  <si>
    <t>A028262806</t>
  </si>
  <si>
    <t>Leela Devi</t>
  </si>
  <si>
    <t>27/02/2020</t>
  </si>
  <si>
    <t>Q002196868</t>
  </si>
  <si>
    <t>Punit Kindo</t>
  </si>
  <si>
    <t>12/05/1984</t>
  </si>
  <si>
    <t>01-03-2020</t>
  </si>
  <si>
    <t>A028381492</t>
  </si>
  <si>
    <t>Raju Karmakar</t>
  </si>
  <si>
    <t>05/03/1996</t>
  </si>
  <si>
    <t>03-03-2020</t>
  </si>
  <si>
    <t>sanjaygorai124</t>
  </si>
  <si>
    <t>A028381054</t>
  </si>
  <si>
    <t>Srishti Kumari</t>
  </si>
  <si>
    <t>31/07/2000</t>
  </si>
  <si>
    <t>Q002204991</t>
  </si>
  <si>
    <t>Akash Kumar</t>
  </si>
  <si>
    <t>06/05/1991</t>
  </si>
  <si>
    <t>04-03-2020</t>
  </si>
  <si>
    <t>Q002204960</t>
  </si>
  <si>
    <t>Nyamdat Devi</t>
  </si>
  <si>
    <t>13/07/1989</t>
  </si>
  <si>
    <t>Q002207842</t>
  </si>
  <si>
    <t>Rashida Khatoon</t>
  </si>
  <si>
    <t>Q002207891</t>
  </si>
  <si>
    <t>Syed Iftakhar Hussain</t>
  </si>
  <si>
    <t>03/11/1958</t>
  </si>
  <si>
    <t>05-03-2020</t>
  </si>
  <si>
    <t>A028487151</t>
  </si>
  <si>
    <t>Chanda Devi</t>
  </si>
  <si>
    <t>07-03-2020</t>
  </si>
  <si>
    <t>09-03-2020</t>
  </si>
  <si>
    <t>Q002218513</t>
  </si>
  <si>
    <t>Amit Gupta</t>
  </si>
  <si>
    <t>29/11/1994</t>
  </si>
  <si>
    <t>A028485069</t>
  </si>
  <si>
    <t>Ritika Singh</t>
  </si>
  <si>
    <t>11/02/2001</t>
  </si>
  <si>
    <t>Q002225706</t>
  </si>
  <si>
    <t>Mohammad Kamaluddin</t>
  </si>
  <si>
    <t>26/01/1978</t>
  </si>
  <si>
    <t>Q002226900</t>
  </si>
  <si>
    <t>Engula Hari Hara Moorty Nath</t>
  </si>
  <si>
    <t>14/06/1955</t>
  </si>
  <si>
    <t>Q002235928</t>
  </si>
  <si>
    <t>Krishna Kumar Sanigrahi</t>
  </si>
  <si>
    <t>01/01/1994</t>
  </si>
  <si>
    <t>12-03-20</t>
  </si>
  <si>
    <t>12-03-2020</t>
  </si>
  <si>
    <t>Q002235362</t>
  </si>
  <si>
    <t>Uday Nath Sahu</t>
  </si>
  <si>
    <t>02/02/1971</t>
  </si>
  <si>
    <t>12/03/2020</t>
  </si>
  <si>
    <t>A028585863</t>
  </si>
  <si>
    <t>Hasina Khatoon</t>
  </si>
  <si>
    <t>03-03-1986</t>
  </si>
  <si>
    <t>Q002240958</t>
  </si>
  <si>
    <t>Budheshwar Swansi</t>
  </si>
  <si>
    <t>08/10/1989</t>
  </si>
  <si>
    <t>13-03-2020</t>
  </si>
  <si>
    <t>A028611956</t>
  </si>
  <si>
    <t>Tamanna Khatoon</t>
  </si>
  <si>
    <t>01/02/1984</t>
  </si>
  <si>
    <t>A028611220</t>
  </si>
  <si>
    <t>Tabassum Sanya</t>
  </si>
  <si>
    <t>10/07/2006</t>
  </si>
  <si>
    <t>Q002244622</t>
  </si>
  <si>
    <t>Anita Prasad</t>
  </si>
  <si>
    <t>28/07/1966</t>
  </si>
  <si>
    <t>14-03-2020</t>
  </si>
  <si>
    <t>Find Pan</t>
  </si>
  <si>
    <t>A028656433</t>
  </si>
  <si>
    <t>Ginkala Sunita</t>
  </si>
  <si>
    <t>12/01/1975</t>
  </si>
  <si>
    <t>15-03-2020</t>
  </si>
  <si>
    <t>A028655486</t>
  </si>
  <si>
    <t>Khusboo Kumari</t>
  </si>
  <si>
    <t>20/02/1996</t>
  </si>
  <si>
    <t>A028656630</t>
  </si>
  <si>
    <t>Nishant Giri</t>
  </si>
  <si>
    <t>28/03/2000</t>
  </si>
  <si>
    <t>A028719795</t>
  </si>
  <si>
    <t>Ashutosh Narayan</t>
  </si>
  <si>
    <t>29/09/2001</t>
  </si>
  <si>
    <t>17-03-2020</t>
  </si>
  <si>
    <t>Q002258343</t>
  </si>
  <si>
    <t>Bhim Prasad</t>
  </si>
  <si>
    <t>20/05/1967</t>
  </si>
  <si>
    <t>16-03-2020</t>
  </si>
  <si>
    <t>A028811846</t>
  </si>
  <si>
    <t>Ganesh</t>
  </si>
  <si>
    <t>21-03-2020</t>
  </si>
  <si>
    <t>A028812636</t>
  </si>
  <si>
    <t>Jannat Khan</t>
  </si>
  <si>
    <t>28/03/1996</t>
  </si>
  <si>
    <t>20-03-2020</t>
  </si>
  <si>
    <t>A028816224</t>
  </si>
  <si>
    <t>Parmeshwar Munda</t>
  </si>
  <si>
    <t>A028817708</t>
  </si>
  <si>
    <t>Dipa munda</t>
  </si>
  <si>
    <t>A028812679</t>
  </si>
  <si>
    <t>DUTTA ALAKA</t>
  </si>
  <si>
    <t>01/01/1932</t>
  </si>
  <si>
    <t>A028858653</t>
  </si>
  <si>
    <t>Shekher Goundor</t>
  </si>
  <si>
    <t>02/2/1974</t>
  </si>
  <si>
    <t>04-04-2020</t>
  </si>
  <si>
    <t>sanjay@minusoft.co.in</t>
  </si>
  <si>
    <t>A028979045</t>
  </si>
  <si>
    <t>Tulsi Tudu</t>
  </si>
  <si>
    <t>01/05/2020</t>
  </si>
  <si>
    <t>Q002287483</t>
  </si>
  <si>
    <t>17/01/1987</t>
  </si>
  <si>
    <t>24/04/2020</t>
  </si>
  <si>
    <t>A028899903</t>
  </si>
  <si>
    <t>Punam Sharma</t>
  </si>
  <si>
    <t>25/03/1977</t>
  </si>
  <si>
    <t>18/04/2020</t>
  </si>
  <si>
    <t>Sukher Gounder</t>
  </si>
  <si>
    <t>02/02/1974</t>
  </si>
  <si>
    <t>04/04/2020</t>
  </si>
  <si>
    <t>Q002278132</t>
  </si>
  <si>
    <t>Sangita Singh</t>
  </si>
  <si>
    <t>02/03/1974</t>
  </si>
  <si>
    <t>24/03/2020</t>
  </si>
  <si>
    <t>Q002307131</t>
  </si>
  <si>
    <t>Yashoda Devi</t>
  </si>
  <si>
    <t>01/01/1940</t>
  </si>
  <si>
    <t>19/05-2020</t>
  </si>
  <si>
    <t>A029380664</t>
  </si>
  <si>
    <t>Kalipada Sai</t>
  </si>
  <si>
    <t>30/05/2020</t>
  </si>
  <si>
    <t>A029611818</t>
  </si>
  <si>
    <t>Babuni Devi</t>
  </si>
  <si>
    <t>05/07/1932</t>
  </si>
  <si>
    <t>09/05/2020</t>
  </si>
  <si>
    <t>seemababy4@gmail.com</t>
  </si>
  <si>
    <t>A029625761</t>
  </si>
  <si>
    <t>Sohail khan</t>
  </si>
  <si>
    <t>21/11/2001</t>
  </si>
  <si>
    <t>22/05/2020</t>
  </si>
  <si>
    <t>Alka Dutta</t>
  </si>
  <si>
    <t>20/03/2020</t>
  </si>
  <si>
    <t>debdasduttatm@gmail.com</t>
  </si>
  <si>
    <t>A029707959</t>
  </si>
  <si>
    <t>ANJALI MAHATO</t>
  </si>
  <si>
    <t>25/03/1996</t>
  </si>
  <si>
    <t>12/06/2020</t>
  </si>
  <si>
    <t>mahatohirawati@gmail.com</t>
  </si>
  <si>
    <t>A029706372</t>
  </si>
  <si>
    <t>Hirabati Mahato</t>
  </si>
  <si>
    <t>20/06/1980</t>
  </si>
  <si>
    <t>A029718496</t>
  </si>
  <si>
    <t>Pabjot Kaur</t>
  </si>
  <si>
    <t>16/06/1993</t>
  </si>
  <si>
    <t>madymaninder007@gmail.com</t>
  </si>
  <si>
    <t>A029700551</t>
  </si>
  <si>
    <t>03/02/2002</t>
  </si>
  <si>
    <t>akumari2002.in@gmail.com</t>
  </si>
  <si>
    <t>A029578536</t>
  </si>
  <si>
    <t>Madhumita Ghosh</t>
  </si>
  <si>
    <t>17/11/1976</t>
  </si>
  <si>
    <t>08/06/2020</t>
  </si>
  <si>
    <t>ghoshsayan608@gmail.com</t>
  </si>
  <si>
    <t>A029505651</t>
  </si>
  <si>
    <t>Sitabia Devi</t>
  </si>
  <si>
    <t>12/08/1954</t>
  </si>
  <si>
    <t>05/06/2020</t>
  </si>
  <si>
    <t>sanjaygorai124@gmail.com</t>
  </si>
  <si>
    <t>Q002352346</t>
  </si>
  <si>
    <t>Pushpa Singh</t>
  </si>
  <si>
    <t>25/12/1976</t>
  </si>
  <si>
    <t>13/06/2020</t>
  </si>
  <si>
    <t>sunil.kum@gmail.com</t>
  </si>
  <si>
    <t>A029664266</t>
  </si>
  <si>
    <t>Musarrat Naaz</t>
  </si>
  <si>
    <t>11/06/2020</t>
  </si>
  <si>
    <t>karimkhan9955@gmail.com</t>
  </si>
  <si>
    <t>Q002356808</t>
  </si>
  <si>
    <t>Bikash Sarkar</t>
  </si>
  <si>
    <t>18/06/1964</t>
  </si>
  <si>
    <t>15/06/2020</t>
  </si>
  <si>
    <t>AUFPS9047N</t>
  </si>
  <si>
    <t>A029791283</t>
  </si>
  <si>
    <t>Rani Gorai</t>
  </si>
  <si>
    <t>01/01/1992</t>
  </si>
  <si>
    <t>A029791620</t>
  </si>
  <si>
    <t>Pooja Kumari</t>
  </si>
  <si>
    <t>13/10/1998</t>
  </si>
  <si>
    <t>Q002362635</t>
  </si>
  <si>
    <t>Nitai Chandra Gon</t>
  </si>
  <si>
    <t>24/11/1948</t>
  </si>
  <si>
    <t>17/06/2020</t>
  </si>
  <si>
    <t>Q002364132</t>
  </si>
  <si>
    <t>Dilip Kumar</t>
  </si>
  <si>
    <t>24/12/1964</t>
  </si>
  <si>
    <t>18/06/2020</t>
  </si>
  <si>
    <t>dk988504@gmail.com</t>
  </si>
  <si>
    <t>Q002363484</t>
  </si>
  <si>
    <t>Shiv Kishore Singh</t>
  </si>
  <si>
    <t>13/10/1957</t>
  </si>
  <si>
    <t>rupeshsingh317@gmail.com</t>
  </si>
  <si>
    <t>A029905173</t>
  </si>
  <si>
    <t>Sanyukta Singh</t>
  </si>
  <si>
    <t>15/11/1999</t>
  </si>
  <si>
    <t>19-06-2020</t>
  </si>
  <si>
    <t>A029921970</t>
  </si>
  <si>
    <t>Sanjida Khatoon</t>
  </si>
  <si>
    <t>Q002378386</t>
  </si>
  <si>
    <t>Yashoda devi</t>
  </si>
  <si>
    <t>23-06-2020</t>
  </si>
  <si>
    <t>Q002378645</t>
  </si>
  <si>
    <t>A030032020</t>
  </si>
  <si>
    <t>04/10/1991</t>
  </si>
  <si>
    <t>sonisingh53107@gmail.com</t>
  </si>
  <si>
    <t>A030032300</t>
  </si>
  <si>
    <t>Shilpi Devi</t>
  </si>
  <si>
    <t>25/06/1992</t>
  </si>
  <si>
    <t>mar15aug@gmail.com</t>
  </si>
  <si>
    <t>Q002383013</t>
  </si>
  <si>
    <t>16/03/1961</t>
  </si>
  <si>
    <t>25/06/2020</t>
  </si>
  <si>
    <t>ranjit.singh9611@gmail</t>
  </si>
  <si>
    <t>Q002386022</t>
  </si>
  <si>
    <t>02/05/1965</t>
  </si>
  <si>
    <t>vijaykrsingh02051965@gmail</t>
  </si>
  <si>
    <t>A030075551</t>
  </si>
  <si>
    <t>Binod Murmu</t>
  </si>
  <si>
    <t>09/01/1995</t>
  </si>
  <si>
    <t>A030115963</t>
  </si>
  <si>
    <t>Srivalli Susarla</t>
  </si>
  <si>
    <t>03/09/2000</t>
  </si>
  <si>
    <t>26/06/2020</t>
  </si>
  <si>
    <t>srivallisusarla09@gmail</t>
  </si>
  <si>
    <t>A030150300</t>
  </si>
  <si>
    <t>Faiz Ali</t>
  </si>
  <si>
    <t>20/03/2001</t>
  </si>
  <si>
    <t>27-06-2020</t>
  </si>
  <si>
    <t>faizalizaid01@gmail</t>
  </si>
  <si>
    <t>A030178670</t>
  </si>
  <si>
    <t>Ratani Mahato</t>
  </si>
  <si>
    <t>05/12/1976</t>
  </si>
  <si>
    <t>29-06-2020</t>
  </si>
  <si>
    <t>A030176954</t>
  </si>
  <si>
    <t>Kalpana Kumari</t>
  </si>
  <si>
    <t>01/01/1990</t>
  </si>
  <si>
    <t>A030182722</t>
  </si>
  <si>
    <t>Manju Munda</t>
  </si>
  <si>
    <t>18/02/2002</t>
  </si>
  <si>
    <t>Q002403014</t>
  </si>
  <si>
    <t>Sandhya Kumari</t>
  </si>
  <si>
    <t>26/12/1985</t>
  </si>
  <si>
    <t>30-06-2020</t>
  </si>
  <si>
    <t>Q002406400</t>
  </si>
  <si>
    <t>Tamojit Dutta</t>
  </si>
  <si>
    <t>16/02/2000</t>
  </si>
  <si>
    <t>01-07-20</t>
  </si>
  <si>
    <t>A030271013</t>
  </si>
  <si>
    <t>Nitu Mishra</t>
  </si>
  <si>
    <t>07/07/1994</t>
  </si>
  <si>
    <t>A030255201</t>
  </si>
  <si>
    <t>babita Devi</t>
  </si>
  <si>
    <t>08/08/1991</t>
  </si>
  <si>
    <t>01/07/20</t>
  </si>
  <si>
    <t>A030300759</t>
  </si>
  <si>
    <t>Senu Lal</t>
  </si>
  <si>
    <t>13/01/1972</t>
  </si>
  <si>
    <t>03-07-2020</t>
  </si>
  <si>
    <t>A030298911</t>
  </si>
  <si>
    <t>Akansha Tripathy</t>
  </si>
  <si>
    <t>24/01/1998</t>
  </si>
  <si>
    <t>akanshatripathy4@gmail.com</t>
  </si>
  <si>
    <t>Q002414656</t>
  </si>
  <si>
    <t>Nitu singh</t>
  </si>
  <si>
    <t>04-07-2020</t>
  </si>
  <si>
    <t>a7295056859@gmail.com</t>
  </si>
  <si>
    <t>A030396727</t>
  </si>
  <si>
    <t>Meeru Sharma</t>
  </si>
  <si>
    <t>04/11/1984</t>
  </si>
  <si>
    <t>06-07-2020</t>
  </si>
  <si>
    <t>Q002427846</t>
  </si>
  <si>
    <t>Seema Singh</t>
  </si>
  <si>
    <t>02/12/1964</t>
  </si>
  <si>
    <t>08-07-2020</t>
  </si>
  <si>
    <t>seemababy4@gmail</t>
  </si>
  <si>
    <t>A030440840</t>
  </si>
  <si>
    <t>01/01/1969</t>
  </si>
  <si>
    <t>shinekarmakar1979@gmail</t>
  </si>
  <si>
    <t>A030456961</t>
  </si>
  <si>
    <t>Rubi DeVI</t>
  </si>
  <si>
    <t>A030503164</t>
  </si>
  <si>
    <t>Lakhi Charan Dhibar</t>
  </si>
  <si>
    <t>09-09-1997</t>
  </si>
  <si>
    <t>10-07-2020</t>
  </si>
  <si>
    <t>charanlakhi2580@gmail.com</t>
  </si>
  <si>
    <t>A030504886</t>
  </si>
  <si>
    <t>Ajay Singh</t>
  </si>
  <si>
    <t>19/04/2000</t>
  </si>
  <si>
    <t>A030531765</t>
  </si>
  <si>
    <t>Ekta Jha</t>
  </si>
  <si>
    <t>29/12/2000</t>
  </si>
  <si>
    <t>11-07-2020</t>
  </si>
  <si>
    <t>ekta.jha29@gmail.com</t>
  </si>
  <si>
    <t>A030531937</t>
  </si>
  <si>
    <t>Reboti Nayak</t>
  </si>
  <si>
    <t>20/06/1954</t>
  </si>
  <si>
    <t>Q002434857</t>
  </si>
  <si>
    <t>Vicky Soni</t>
  </si>
  <si>
    <t>28/08/1988</t>
  </si>
  <si>
    <t>12-07-2020</t>
  </si>
  <si>
    <t>A030592652</t>
  </si>
  <si>
    <t>Farhat Saba</t>
  </si>
  <si>
    <t>07-01-1974</t>
  </si>
  <si>
    <t>14-07-2020</t>
  </si>
  <si>
    <t>nadimakhter1976@gmail.com</t>
  </si>
  <si>
    <t>A030626303</t>
  </si>
  <si>
    <t>Rakhi Munda</t>
  </si>
  <si>
    <t>06-06-1990</t>
  </si>
  <si>
    <t>15-07-2020</t>
  </si>
  <si>
    <t>A030653059</t>
  </si>
  <si>
    <t>Indrani Mukhuty</t>
  </si>
  <si>
    <t>23-03-1950</t>
  </si>
  <si>
    <t>16-07-2020</t>
  </si>
  <si>
    <t>jasbirsingh_2007@rediff</t>
  </si>
  <si>
    <t>A030658647</t>
  </si>
  <si>
    <t>Sumut Kujur</t>
  </si>
  <si>
    <t>04/12/1997</t>
  </si>
  <si>
    <t>kujursumit420@gmail.</t>
  </si>
  <si>
    <t>A030797066</t>
  </si>
  <si>
    <t>Mayna Gorai</t>
  </si>
  <si>
    <t>31-05-1988</t>
  </si>
  <si>
    <t>21-07-2020</t>
  </si>
  <si>
    <t>q002465129</t>
  </si>
  <si>
    <t>Harpreet singh</t>
  </si>
  <si>
    <t>17/02/2002</t>
  </si>
  <si>
    <t>singhharpreet9384@gmail</t>
  </si>
  <si>
    <t>A030853302</t>
  </si>
  <si>
    <t>Ashish Mukhi</t>
  </si>
  <si>
    <t>17/04/2002</t>
  </si>
  <si>
    <t>23-07-2020</t>
  </si>
  <si>
    <t>Q002485059</t>
  </si>
  <si>
    <t>Sangeeta Pandey</t>
  </si>
  <si>
    <t>15/12/1984</t>
  </si>
  <si>
    <t>28-07-2020</t>
  </si>
  <si>
    <t>shailendrakumarpandey65@g</t>
  </si>
  <si>
    <t>Q002491658</t>
  </si>
  <si>
    <t>Nasim Ahmad</t>
  </si>
  <si>
    <t>30/12/1973</t>
  </si>
  <si>
    <t>31-07-2020</t>
  </si>
  <si>
    <t>Q002496257</t>
  </si>
  <si>
    <t>02-08-2020</t>
  </si>
  <si>
    <t>A031049102</t>
  </si>
  <si>
    <t>Sulekha Pal</t>
  </si>
  <si>
    <t>A031045366</t>
  </si>
  <si>
    <t>Pankaj Kumar Upadhyay</t>
  </si>
  <si>
    <t>24/03/2001</t>
  </si>
  <si>
    <t>pankajsanju2403@gmail.com</t>
  </si>
  <si>
    <t>A031275494</t>
  </si>
  <si>
    <t>Shanti Devi</t>
  </si>
  <si>
    <t>01-01-1958</t>
  </si>
  <si>
    <t>13-08-2020</t>
  </si>
  <si>
    <t>A031352081</t>
  </si>
  <si>
    <t>Kriti Pandey</t>
  </si>
  <si>
    <t>24-07-2002</t>
  </si>
  <si>
    <t>15-08-2020</t>
  </si>
  <si>
    <t>kritipandey1412@gmail</t>
  </si>
  <si>
    <t>Q002511229</t>
  </si>
  <si>
    <t>Q002514352</t>
  </si>
  <si>
    <t>Amjad Khan</t>
  </si>
  <si>
    <t>Q002538908</t>
  </si>
  <si>
    <t>Rajni kant Sinha</t>
  </si>
  <si>
    <t>06-01-1968</t>
  </si>
  <si>
    <t>17-08-2020</t>
  </si>
  <si>
    <t>arajnikant@gmail</t>
  </si>
  <si>
    <t>A031430476</t>
  </si>
  <si>
    <t>Reeta Devi</t>
  </si>
  <si>
    <t>31-12-1976</t>
  </si>
  <si>
    <t>18-08-2020</t>
  </si>
  <si>
    <t>surajrathorebr@gmail.com</t>
  </si>
  <si>
    <t>Q002540472</t>
  </si>
  <si>
    <t>Sangeet Singh</t>
  </si>
  <si>
    <t>12-05-1982</t>
  </si>
  <si>
    <t>sangeetasinghdixit@gmail.com</t>
  </si>
  <si>
    <t>A031443299</t>
  </si>
  <si>
    <t>Surbhi Kumari</t>
  </si>
  <si>
    <t>03-07-2001</t>
  </si>
  <si>
    <t>surbhisinghjsr03@gmail.com</t>
  </si>
  <si>
    <t>Q002543507</t>
  </si>
  <si>
    <t>13-03-1973</t>
  </si>
  <si>
    <t>19-8-2020</t>
  </si>
  <si>
    <t>sanjay@minusoft</t>
  </si>
  <si>
    <t>A031513771</t>
  </si>
  <si>
    <t>Rahul Modak</t>
  </si>
  <si>
    <t>16-07-2002</t>
  </si>
  <si>
    <t>20-08-2020</t>
  </si>
  <si>
    <t>A031530487</t>
  </si>
  <si>
    <t>Sita Thakur</t>
  </si>
  <si>
    <t>10-05-1988</t>
  </si>
  <si>
    <t>snehabag56@gmail.co</t>
  </si>
  <si>
    <t>A031403704</t>
  </si>
  <si>
    <t>Ruma Sahu</t>
  </si>
  <si>
    <t>13-11-1989</t>
  </si>
  <si>
    <t>22-08-2020</t>
  </si>
  <si>
    <t>rajusahu4085@gmail.</t>
  </si>
  <si>
    <t>Q002551595</t>
  </si>
  <si>
    <t>Arbaz Ahmad</t>
  </si>
  <si>
    <t>20-05-2002</t>
  </si>
  <si>
    <t>21-08-2020</t>
  </si>
  <si>
    <t>arbazahmad273@gmail</t>
  </si>
  <si>
    <t>A031540785</t>
  </si>
  <si>
    <t>Jamila Bibi Khatoon</t>
  </si>
  <si>
    <t>31-12-1946</t>
  </si>
  <si>
    <t>mdmusaabamirhamza662@g</t>
  </si>
  <si>
    <t>A031607379</t>
  </si>
  <si>
    <t>Sanjeev Honhaga</t>
  </si>
  <si>
    <t>14-12-1994</t>
  </si>
  <si>
    <t>24-08-2020</t>
  </si>
  <si>
    <t>krishnastore001@gmail.com</t>
  </si>
  <si>
    <t>A031644367</t>
  </si>
  <si>
    <t>Priya Mukhi</t>
  </si>
  <si>
    <t>25-08-2020</t>
  </si>
  <si>
    <t>amarmukhi2627@gmail.com</t>
  </si>
  <si>
    <t>Q002563605</t>
  </si>
  <si>
    <t>Radhe Ravidas</t>
  </si>
  <si>
    <t>04-06-1972</t>
  </si>
  <si>
    <t>Q002563895</t>
  </si>
  <si>
    <t>Chandrama Devi</t>
  </si>
  <si>
    <t>01-01-1939</t>
  </si>
  <si>
    <t>vermark1503@gmail.com</t>
  </si>
  <si>
    <t>A031701659</t>
  </si>
  <si>
    <t>Rashmi Kumari Pandey</t>
  </si>
  <si>
    <t>11/07/1991</t>
  </si>
  <si>
    <t>A031701293</t>
  </si>
  <si>
    <t>Dilip Das</t>
  </si>
  <si>
    <t>A031742775</t>
  </si>
  <si>
    <t>Rita Shukla</t>
  </si>
  <si>
    <t>27-08-2020</t>
  </si>
  <si>
    <t>A031715597</t>
  </si>
  <si>
    <t>Kavita</t>
  </si>
  <si>
    <t>01/01/1983</t>
  </si>
  <si>
    <t>30-08-2020</t>
  </si>
  <si>
    <t>A031786304</t>
  </si>
  <si>
    <t>Sujata Kumari</t>
  </si>
  <si>
    <t>16/03/1996</t>
  </si>
  <si>
    <t>29-08-2020</t>
  </si>
  <si>
    <t>A031786532</t>
  </si>
  <si>
    <t>Payal Kumari</t>
  </si>
  <si>
    <t>17/03/1999</t>
  </si>
  <si>
    <t>A031794882</t>
  </si>
  <si>
    <t>Shanta paper Mill</t>
  </si>
  <si>
    <t>23/08/2020</t>
  </si>
  <si>
    <t>31-08-2020</t>
  </si>
  <si>
    <t>A031857318</t>
  </si>
  <si>
    <t>Tanweer Ejaz Khan</t>
  </si>
  <si>
    <t>02/08/1999</t>
  </si>
  <si>
    <t>ec.99.2019@gmail.com</t>
  </si>
  <si>
    <t>A031877344</t>
  </si>
  <si>
    <t>Shazia Khanam</t>
  </si>
  <si>
    <t>14/05/1987</t>
  </si>
  <si>
    <t>01-09-2020</t>
  </si>
  <si>
    <t>kalimrahi01@gmail.com</t>
  </si>
  <si>
    <t>A031892754</t>
  </si>
  <si>
    <t>Mahesh Saw</t>
  </si>
  <si>
    <t>10/03/1965</t>
  </si>
  <si>
    <t>A031892132</t>
  </si>
  <si>
    <t>15/01/1967</t>
  </si>
  <si>
    <t>A032049025</t>
  </si>
  <si>
    <t>Anusuya Mahato</t>
  </si>
  <si>
    <t>10/05/1997</t>
  </si>
  <si>
    <t>06-09-2020</t>
  </si>
  <si>
    <t>07-09-2020</t>
  </si>
  <si>
    <t>anusuya.cbs.201@gmail.com</t>
  </si>
  <si>
    <t>A032050037</t>
  </si>
  <si>
    <t>Chhaya Rani Mahato</t>
  </si>
  <si>
    <t>12/03/2001</t>
  </si>
  <si>
    <t>chhayarani.cbs201@gmail.com</t>
  </si>
  <si>
    <t>Q002604269</t>
  </si>
  <si>
    <t>Paranjit Singh</t>
  </si>
  <si>
    <t>31/10/1974</t>
  </si>
  <si>
    <t>jasbir.singh62044@gmail.om</t>
  </si>
  <si>
    <t>A032008829</t>
  </si>
  <si>
    <t>25/08/2002</t>
  </si>
  <si>
    <t>Q002604868</t>
  </si>
  <si>
    <t xml:space="preserve">Poornima </t>
  </si>
  <si>
    <t>10/09/1976</t>
  </si>
  <si>
    <t>jaipaljsr225@gmail.com</t>
  </si>
  <si>
    <t>A032042943</t>
  </si>
  <si>
    <t>Gandheswari Gorai</t>
  </si>
  <si>
    <t>Q002614664</t>
  </si>
  <si>
    <t>Ashim Kumar Mitra</t>
  </si>
  <si>
    <t>02/01/1968</t>
  </si>
  <si>
    <t>A032114436</t>
  </si>
  <si>
    <t>Raju Gorai</t>
  </si>
  <si>
    <t>17/07/1999</t>
  </si>
  <si>
    <t>08-09-2020</t>
  </si>
  <si>
    <t>q002614434</t>
  </si>
  <si>
    <t>Sanjeev Kumar Mishra</t>
  </si>
  <si>
    <t>05/11/1968</t>
  </si>
  <si>
    <t>Q002619231</t>
  </si>
  <si>
    <t>Lankalpalli Ravi Kumar</t>
  </si>
  <si>
    <t>23/02/1973</t>
  </si>
  <si>
    <t>Q002620433</t>
  </si>
  <si>
    <t>Md Irsad</t>
  </si>
  <si>
    <t>25/10/1972</t>
  </si>
  <si>
    <t>09-09-2020</t>
  </si>
  <si>
    <t>A032225533</t>
  </si>
  <si>
    <t>Sonam Kumari</t>
  </si>
  <si>
    <t>21-08-2001</t>
  </si>
  <si>
    <t>11-09-2020</t>
  </si>
  <si>
    <t>skofficial2307@g</t>
  </si>
  <si>
    <t>a032261444</t>
  </si>
  <si>
    <t>Apurva Kumari</t>
  </si>
  <si>
    <t>20/03/2000</t>
  </si>
  <si>
    <t>12-09-2020</t>
  </si>
  <si>
    <t>15-09-2020</t>
  </si>
  <si>
    <t>A032283354</t>
  </si>
  <si>
    <t>Mohammad Riyazuddin</t>
  </si>
  <si>
    <t>02/01/1981</t>
  </si>
  <si>
    <t>A032261886</t>
  </si>
  <si>
    <t>Aman Shukla</t>
  </si>
  <si>
    <t>21-02-1999</t>
  </si>
  <si>
    <t>A032350030</t>
  </si>
  <si>
    <t>Sunita Rajak</t>
  </si>
  <si>
    <t>01/01/1989</t>
  </si>
  <si>
    <t>A032382932</t>
  </si>
  <si>
    <t>Priya Mahato</t>
  </si>
  <si>
    <t>21/09/2001</t>
  </si>
  <si>
    <t>16-09-2020</t>
  </si>
  <si>
    <t>A032413582</t>
  </si>
  <si>
    <t>Suman Dutta</t>
  </si>
  <si>
    <t>26/01/1969</t>
  </si>
  <si>
    <t>sumandutta26jan@gmail.com</t>
  </si>
  <si>
    <t>A032397380</t>
  </si>
  <si>
    <t>JOGENDRA</t>
  </si>
  <si>
    <t>14/11/1955</t>
  </si>
  <si>
    <t>sonukumarasa787@g</t>
  </si>
  <si>
    <t>A032372609</t>
  </si>
  <si>
    <t>Atma Devi</t>
  </si>
  <si>
    <t>31-12-1954</t>
  </si>
  <si>
    <t>bbpdamit@gmail.com</t>
  </si>
  <si>
    <t>A032433251</t>
  </si>
  <si>
    <t>Mina Kumar Singh</t>
  </si>
  <si>
    <t>31-01-1965</t>
  </si>
  <si>
    <t>17-09-2020</t>
  </si>
  <si>
    <t>A032425825</t>
  </si>
  <si>
    <t>jagjeet singh Gill</t>
  </si>
  <si>
    <t>19-03-2002</t>
  </si>
  <si>
    <t>jagjeetsinghgill42600@gmail</t>
  </si>
  <si>
    <t>Q002656080</t>
  </si>
  <si>
    <t>Q002656219</t>
  </si>
  <si>
    <t>28/05/205</t>
  </si>
  <si>
    <t>18-09-2020</t>
  </si>
  <si>
    <t>Q002658280</t>
  </si>
  <si>
    <t>Aaquil Hasan</t>
  </si>
  <si>
    <t>02/06/1973</t>
  </si>
  <si>
    <t>zhasan987@gmail.com</t>
  </si>
  <si>
    <t>Q002658622</t>
  </si>
  <si>
    <t>Gargi Chowdhury</t>
  </si>
  <si>
    <t>02/11/1976</t>
  </si>
  <si>
    <t>A032531520</t>
  </si>
  <si>
    <t>Rahmatun Nisha</t>
  </si>
  <si>
    <t>01/01/1987</t>
  </si>
  <si>
    <t>20-09-2020</t>
  </si>
  <si>
    <t>Q002665098</t>
  </si>
  <si>
    <t>Sarbani Gupta</t>
  </si>
  <si>
    <t>18/12/1967</t>
  </si>
  <si>
    <t>19-09-2020</t>
  </si>
  <si>
    <t>sdd392487@gmail.com</t>
  </si>
  <si>
    <t>Q002557272</t>
  </si>
  <si>
    <t>Mandavi Pandey</t>
  </si>
  <si>
    <t>23/01/1976</t>
  </si>
  <si>
    <t>23-08-2020</t>
  </si>
  <si>
    <t>Q002683590</t>
  </si>
  <si>
    <t>Nasrul Hassan</t>
  </si>
  <si>
    <t>25/09/1979</t>
  </si>
  <si>
    <t>24-09-2020</t>
  </si>
  <si>
    <t>A032673524</t>
  </si>
  <si>
    <t>Rita Gorai</t>
  </si>
  <si>
    <t>01/01/1993</t>
  </si>
  <si>
    <t>DJAPG3830A</t>
  </si>
  <si>
    <t>sanjay1@minusoft.co.in</t>
  </si>
  <si>
    <t>Aatma Devi</t>
  </si>
  <si>
    <t>31/12/1954</t>
  </si>
  <si>
    <t>A033058505</t>
  </si>
  <si>
    <t>Ruchit Sharma</t>
  </si>
  <si>
    <t>17/11/2001</t>
  </si>
  <si>
    <t>06-10-2020</t>
  </si>
  <si>
    <t>A033229596</t>
  </si>
  <si>
    <t>Kanchan Pal</t>
  </si>
  <si>
    <t>12-12-1990</t>
  </si>
  <si>
    <t>12-10-2020</t>
  </si>
  <si>
    <t>sanjaygorai000@gmail.com</t>
  </si>
  <si>
    <t>A033391336</t>
  </si>
  <si>
    <t>Arti Samad</t>
  </si>
  <si>
    <t>29-11-2006</t>
  </si>
  <si>
    <t>17-10-2020</t>
  </si>
  <si>
    <t>A033256911</t>
  </si>
  <si>
    <t>Shek Kabir</t>
  </si>
  <si>
    <t>09-08-2000</t>
  </si>
  <si>
    <t>A033256569</t>
  </si>
  <si>
    <t>Farhat Imam</t>
  </si>
  <si>
    <t>03-03-1970</t>
  </si>
  <si>
    <t>Q002687236</t>
  </si>
  <si>
    <t>Renu Singh</t>
  </si>
  <si>
    <t>05-04-1988</t>
  </si>
  <si>
    <t>25-09-2020</t>
  </si>
  <si>
    <t>A032704322</t>
  </si>
  <si>
    <t>Areetra Sur</t>
  </si>
  <si>
    <t>01-01-2001</t>
  </si>
  <si>
    <t>A032758838</t>
  </si>
  <si>
    <t>Anuradha Pandey</t>
  </si>
  <si>
    <t>04-04-2002</t>
  </si>
  <si>
    <t>26-09-2020</t>
  </si>
  <si>
    <t>A032960561</t>
  </si>
  <si>
    <t>Savita Tiwaty</t>
  </si>
  <si>
    <t>22-10-1985</t>
  </si>
  <si>
    <t>03-10-2020</t>
  </si>
  <si>
    <t>A032987475</t>
  </si>
  <si>
    <t>Seema bhumij</t>
  </si>
  <si>
    <t>02-04-1995</t>
  </si>
  <si>
    <t>A032986268</t>
  </si>
  <si>
    <t>Rahul Prasad</t>
  </si>
  <si>
    <t>26-05-2000</t>
  </si>
  <si>
    <t>Q002723340</t>
  </si>
  <si>
    <t>09/07/1987</t>
  </si>
  <si>
    <t>A031794862</t>
  </si>
  <si>
    <t>Shanta Papers Mill</t>
  </si>
  <si>
    <t>Q002773510</t>
  </si>
  <si>
    <t>Sourav Agarwal</t>
  </si>
  <si>
    <t>03-08-2000</t>
  </si>
  <si>
    <t>16-102020</t>
  </si>
  <si>
    <t>A033417046</t>
  </si>
  <si>
    <t>Kartik Mahato</t>
  </si>
  <si>
    <t>22-07-1997</t>
  </si>
  <si>
    <t>kartikmahato5896@gmail.com</t>
  </si>
  <si>
    <t>A003430912</t>
  </si>
  <si>
    <t>Namita Mahato</t>
  </si>
  <si>
    <t>01-04-1999</t>
  </si>
  <si>
    <t>18-10-2020</t>
  </si>
  <si>
    <t>q002781982</t>
  </si>
  <si>
    <t>Aakriti Srivastava</t>
  </si>
  <si>
    <t>09-07-1999</t>
  </si>
  <si>
    <t>19-10-2020</t>
  </si>
  <si>
    <t>aakritifocus@gmail.com</t>
  </si>
  <si>
    <t>A033436315</t>
  </si>
  <si>
    <t>Manish Kumar Srivastava</t>
  </si>
  <si>
    <t>10-12-1986</t>
  </si>
  <si>
    <t>manishkumarcomsonu53811@gmail.com</t>
  </si>
  <si>
    <t>A033470736</t>
  </si>
  <si>
    <t>Punam Singh</t>
  </si>
  <si>
    <t>24-06-1986</t>
  </si>
  <si>
    <t>20-10-2020</t>
  </si>
  <si>
    <t>A033471960</t>
  </si>
  <si>
    <t>Sourav Tripathy</t>
  </si>
  <si>
    <t>15-08-1999</t>
  </si>
  <si>
    <t>souravtripathy67@gmail.com</t>
  </si>
  <si>
    <t>A033577251</t>
  </si>
  <si>
    <t>Yashpal Kaur</t>
  </si>
  <si>
    <t>07-06-1974</t>
  </si>
  <si>
    <t>23-10-2020</t>
  </si>
  <si>
    <t>simrankaur100200@g</t>
  </si>
  <si>
    <t>A033590340</t>
  </si>
  <si>
    <t>Md Adeen Khan</t>
  </si>
  <si>
    <t>25-08-2000</t>
  </si>
  <si>
    <t>24-10-2020</t>
  </si>
  <si>
    <t>adeenkhan25@gm</t>
  </si>
  <si>
    <t>A033713062</t>
  </si>
  <si>
    <t>Birbala Sinha</t>
  </si>
  <si>
    <t>01-10-1999</t>
  </si>
  <si>
    <t>29-10-2020</t>
  </si>
  <si>
    <t>shashi.shiv87@g</t>
  </si>
  <si>
    <t>A033662387</t>
  </si>
  <si>
    <t>Abhishek Kumar Vaibhav</t>
  </si>
  <si>
    <t>27-10-2002</t>
  </si>
  <si>
    <t>28-10-2020</t>
  </si>
  <si>
    <t>abhishek27kv@g</t>
  </si>
  <si>
    <t>A033736738</t>
  </si>
  <si>
    <t>Rumi Khatoon</t>
  </si>
  <si>
    <t>01-02-1988</t>
  </si>
  <si>
    <t>30-10-2020</t>
  </si>
  <si>
    <t>rumikhan5304@g</t>
  </si>
  <si>
    <t>A033736955</t>
  </si>
  <si>
    <t>Nisha Kumari</t>
  </si>
  <si>
    <t>05-12-1989</t>
  </si>
  <si>
    <t>sanjay1@mi</t>
  </si>
  <si>
    <t>Q002822653</t>
  </si>
  <si>
    <t>21-04-1964</t>
  </si>
  <si>
    <t>31-10-2020</t>
  </si>
  <si>
    <t>Q002823218</t>
  </si>
  <si>
    <t>16-02-2000</t>
  </si>
  <si>
    <t>tamojitdutta2000@gmai</t>
  </si>
  <si>
    <t>Q002823255</t>
  </si>
  <si>
    <t>Tamojoy Dutta</t>
  </si>
  <si>
    <t>tamojoyduta2000@g</t>
  </si>
  <si>
    <t>A033805176</t>
  </si>
  <si>
    <t>Meena Devi</t>
  </si>
  <si>
    <t>30-08-1967</t>
  </si>
  <si>
    <t>03-11-2020</t>
  </si>
  <si>
    <t>sanja1@minusoft.co.in</t>
  </si>
  <si>
    <t>Q002830487</t>
  </si>
  <si>
    <t>Dayananad Prasad</t>
  </si>
  <si>
    <t>04-06-1966</t>
  </si>
  <si>
    <t>02-11-2020</t>
  </si>
  <si>
    <t>Q002837452</t>
  </si>
  <si>
    <t>20-10-2002</t>
  </si>
  <si>
    <t>04-11-2020</t>
  </si>
  <si>
    <t>A033831104</t>
  </si>
  <si>
    <t>Bhawna</t>
  </si>
  <si>
    <t>30-10-2000</t>
  </si>
  <si>
    <t>A033854012</t>
  </si>
  <si>
    <t>Surjeet Kumar Panday</t>
  </si>
  <si>
    <t>20-04-1999</t>
  </si>
  <si>
    <t>A033868560</t>
  </si>
  <si>
    <t>Neha Singh</t>
  </si>
  <si>
    <t>26-12-2000</t>
  </si>
  <si>
    <t>05-11-2020</t>
  </si>
  <si>
    <t>ns966310@gmail.com</t>
  </si>
  <si>
    <t>A033938318</t>
  </si>
  <si>
    <t>Ahmad Shahbaz</t>
  </si>
  <si>
    <t>15-11-1994</t>
  </si>
  <si>
    <t>08-11-2020</t>
  </si>
  <si>
    <t>A033943925</t>
  </si>
  <si>
    <t>Suraj Kumar Chhatar</t>
  </si>
  <si>
    <t>11-09-1999</t>
  </si>
  <si>
    <t>A034090613</t>
  </si>
  <si>
    <t>Sarfaraz Akhtar</t>
  </si>
  <si>
    <t>27-12-2000</t>
  </si>
  <si>
    <t>15-11-2020</t>
  </si>
  <si>
    <t>A034050150</t>
  </si>
  <si>
    <t>Suku Tudu</t>
  </si>
  <si>
    <t>01-01-1973</t>
  </si>
  <si>
    <t>12-11-2020</t>
  </si>
  <si>
    <t>A034102950</t>
  </si>
  <si>
    <t>Gunjan Kumari</t>
  </si>
  <si>
    <t>05-03-1998</t>
  </si>
  <si>
    <t>16-11-2020</t>
  </si>
  <si>
    <t>gunjankumarijsr@gma</t>
  </si>
  <si>
    <t>A034114147</t>
  </si>
  <si>
    <t>Sharya Naaz</t>
  </si>
  <si>
    <t>31-03-2002</t>
  </si>
  <si>
    <t>Q002889015</t>
  </si>
  <si>
    <t>Manju Verma</t>
  </si>
  <si>
    <t>26-05-1963</t>
  </si>
  <si>
    <t>19-11-2020</t>
  </si>
  <si>
    <t>sanjay1@gma</t>
  </si>
  <si>
    <t>Q002894311</t>
  </si>
  <si>
    <t>07-03-1971</t>
  </si>
  <si>
    <t>21-11-2020</t>
  </si>
  <si>
    <t>23-11-2020</t>
  </si>
  <si>
    <t>desiringdilipkumar@gmail.com</t>
  </si>
  <si>
    <t>A034279055</t>
  </si>
  <si>
    <t>Ravinder Kaur</t>
  </si>
  <si>
    <t>15/05/2002</t>
  </si>
  <si>
    <t>Q002884852</t>
  </si>
  <si>
    <t>Moti Devi</t>
  </si>
  <si>
    <t>31/12/1956</t>
  </si>
  <si>
    <t>24-11-2020</t>
  </si>
  <si>
    <t>A034381164</t>
  </si>
  <si>
    <t>13-11-2002</t>
  </si>
  <si>
    <t>27-11-2020</t>
  </si>
  <si>
    <t>anshuk497@gmail.com</t>
  </si>
  <si>
    <t>A034414332</t>
  </si>
  <si>
    <t>Shital Mukhi</t>
  </si>
  <si>
    <t>29/11/1993</t>
  </si>
  <si>
    <t>29-11-2020</t>
  </si>
  <si>
    <t>A034420642</t>
  </si>
  <si>
    <t>A034430742</t>
  </si>
  <si>
    <t>Jaishankar Pandey</t>
  </si>
  <si>
    <t>27-12-1974</t>
  </si>
  <si>
    <t>30-11-2020</t>
  </si>
  <si>
    <t>034466141</t>
  </si>
  <si>
    <t>Jyoti Prakash</t>
  </si>
  <si>
    <t>07/06/2002</t>
  </si>
  <si>
    <t>01-12-2020</t>
  </si>
  <si>
    <t>A034502001</t>
  </si>
  <si>
    <t>Vilasi Mahato</t>
  </si>
  <si>
    <t>13/09/1978</t>
  </si>
  <si>
    <t>03-12-2020</t>
  </si>
  <si>
    <t>04-12-2020</t>
  </si>
  <si>
    <t>A034549664</t>
  </si>
  <si>
    <t>Rimi Bristi</t>
  </si>
  <si>
    <t>12/09/2001</t>
  </si>
  <si>
    <t>A034550771</t>
  </si>
  <si>
    <t>Shobharani Mahato</t>
  </si>
  <si>
    <t>A034577510</t>
  </si>
  <si>
    <t>Ayush Kumar Mishra</t>
  </si>
  <si>
    <t>27/09/2002</t>
  </si>
  <si>
    <t>05-12-2020</t>
  </si>
  <si>
    <t>binay.mishra@cummins.com</t>
  </si>
  <si>
    <t>A034566884</t>
  </si>
  <si>
    <t>Mohammad Nadim</t>
  </si>
  <si>
    <t>25/11/2002</t>
  </si>
  <si>
    <t>A034602674</t>
  </si>
  <si>
    <t>Jagdish Mahato</t>
  </si>
  <si>
    <t>19/12/2001</t>
  </si>
  <si>
    <t>06-12-2020</t>
  </si>
  <si>
    <t>Jagdishmahato316@gmail.com</t>
  </si>
  <si>
    <t>Q002960682</t>
  </si>
  <si>
    <t>Shesasis Mohanty</t>
  </si>
  <si>
    <t>04-04-1987</t>
  </si>
  <si>
    <t>08-12-2020</t>
  </si>
  <si>
    <t>shesasismohanty@g</t>
  </si>
  <si>
    <t>Q002962902</t>
  </si>
  <si>
    <t>Sumit Kumar</t>
  </si>
  <si>
    <t>26/10/2000</t>
  </si>
  <si>
    <t>09-12-2020</t>
  </si>
  <si>
    <t>sumitkingg786@gmail.com</t>
  </si>
  <si>
    <t>A034657859</t>
  </si>
  <si>
    <t>Manoj Sahu</t>
  </si>
  <si>
    <t>25/11/1978</t>
  </si>
  <si>
    <t>A034670693</t>
  </si>
  <si>
    <t>Navin Kumar Sharma</t>
  </si>
  <si>
    <t>05/12/2002</t>
  </si>
  <si>
    <t>nandasharma77500@gmail.com</t>
  </si>
  <si>
    <t>Q002976100</t>
  </si>
  <si>
    <t>Katadi Rajesh</t>
  </si>
  <si>
    <t>24/08/1988</t>
  </si>
  <si>
    <t>13-12-2020</t>
  </si>
  <si>
    <t>Q002976030</t>
  </si>
  <si>
    <t>Katadi Suresh</t>
  </si>
  <si>
    <t>15/06/1990</t>
  </si>
  <si>
    <t>A034739581</t>
  </si>
  <si>
    <t>Bangi Murmu</t>
  </si>
  <si>
    <t>Q002985287</t>
  </si>
  <si>
    <t>Beena Mahato</t>
  </si>
  <si>
    <t>02/03/1999</t>
  </si>
  <si>
    <t>14-12-2020</t>
  </si>
  <si>
    <t>16-12-2020</t>
  </si>
  <si>
    <t>beenamahato1@gmail.com</t>
  </si>
  <si>
    <t>Q002989305</t>
  </si>
  <si>
    <t>Sanjay Sharma</t>
  </si>
  <si>
    <t>10/05/1993</t>
  </si>
  <si>
    <t>15-12-2020</t>
  </si>
  <si>
    <t>A034834090</t>
  </si>
  <si>
    <t>Mamta Kumari</t>
  </si>
  <si>
    <t>17/01/1985</t>
  </si>
  <si>
    <t>A034865816</t>
  </si>
  <si>
    <t>Bipin Kumar Sah</t>
  </si>
  <si>
    <t>18/09/2003</t>
  </si>
  <si>
    <t>bipinkumarbipin676@gmail.com</t>
  </si>
  <si>
    <t>Q002994196</t>
  </si>
  <si>
    <t>Kunal Mehta</t>
  </si>
  <si>
    <t>25/12/1978</t>
  </si>
  <si>
    <t>A034882032</t>
  </si>
  <si>
    <t>Abhishek Mishra</t>
  </si>
  <si>
    <t>06-03-1999</t>
  </si>
  <si>
    <t>17-12-2020</t>
  </si>
  <si>
    <t>ahishekntp418773@g</t>
  </si>
  <si>
    <t>A035034153</t>
  </si>
  <si>
    <t>Priya Priyansha</t>
  </si>
  <si>
    <t>06/09/1997</t>
  </si>
  <si>
    <t>22/12/2020</t>
  </si>
  <si>
    <t>representative</t>
  </si>
  <si>
    <t>A035033622</t>
  </si>
  <si>
    <t>Mamta Sinha</t>
  </si>
  <si>
    <t>25/02/1973</t>
  </si>
  <si>
    <t>A035055883</t>
  </si>
  <si>
    <t>Tithi Nandi</t>
  </si>
  <si>
    <t>02/12/2002</t>
  </si>
  <si>
    <t>A035133532</t>
  </si>
  <si>
    <t>Somesh Patnaik</t>
  </si>
  <si>
    <t>02/03/1998</t>
  </si>
  <si>
    <t>24/12/2020</t>
  </si>
  <si>
    <t>25-12-2020</t>
  </si>
  <si>
    <t>A035171956</t>
  </si>
  <si>
    <t>Ratna Patra</t>
  </si>
  <si>
    <t>23/05/1996</t>
  </si>
  <si>
    <t>25/12/2020</t>
  </si>
  <si>
    <t>ratnapatra235@gmail.com</t>
  </si>
  <si>
    <t>A035192359</t>
  </si>
  <si>
    <t>Ravi Mahanandi</t>
  </si>
  <si>
    <t>01-08-1993</t>
  </si>
  <si>
    <t>26-12-2020</t>
  </si>
  <si>
    <t>sanjay1</t>
  </si>
  <si>
    <t>A035193519</t>
  </si>
  <si>
    <t>Kumari Pratyusha</t>
  </si>
  <si>
    <t>25-09-2000</t>
  </si>
  <si>
    <t>kumaripratyusha20@g</t>
  </si>
  <si>
    <t>A035198889</t>
  </si>
  <si>
    <t>Vishwanath Anand Sahu</t>
  </si>
  <si>
    <t>22-12-2002</t>
  </si>
  <si>
    <t>27-12-2020</t>
  </si>
  <si>
    <t>vishwanathsahu580@g</t>
  </si>
  <si>
    <t>Q003049535</t>
  </si>
  <si>
    <t>Pravin kumar sinha</t>
  </si>
  <si>
    <t>12-03-1982</t>
  </si>
  <si>
    <t>28-12-2020</t>
  </si>
  <si>
    <t>pravs.sinha@gmail.com</t>
  </si>
  <si>
    <t>A035241725</t>
  </si>
  <si>
    <t>kriti sinha</t>
  </si>
  <si>
    <t>24-12-1985</t>
  </si>
  <si>
    <t>A035261591</t>
  </si>
  <si>
    <t>Ranjita Patnaik</t>
  </si>
  <si>
    <t>09-11-1967</t>
  </si>
  <si>
    <t>29-12-2020</t>
  </si>
  <si>
    <t>A035262153</t>
  </si>
  <si>
    <t>Mustari Amir</t>
  </si>
  <si>
    <t>08-04-1981</t>
  </si>
  <si>
    <t>A035297504</t>
  </si>
  <si>
    <t>Shoaib Akhtar</t>
  </si>
  <si>
    <t>15-03-2000</t>
  </si>
  <si>
    <t>Q003070693</t>
  </si>
  <si>
    <t>Mohammed Imran Akhter</t>
  </si>
  <si>
    <t>07/06/1986</t>
  </si>
  <si>
    <t>02-01-2021</t>
  </si>
  <si>
    <t>Q003074960</t>
  </si>
  <si>
    <t>Aditi Lal</t>
  </si>
  <si>
    <t>11-07-2000</t>
  </si>
  <si>
    <t>03-01-2021</t>
  </si>
  <si>
    <t>aditi.athemolinete@gmai</t>
  </si>
  <si>
    <t>A035418092</t>
  </si>
  <si>
    <t>Umesh Devi</t>
  </si>
  <si>
    <t>01-01-1945</t>
  </si>
  <si>
    <t>A035464692</t>
  </si>
  <si>
    <t>Pratibha Prasad</t>
  </si>
  <si>
    <t>06-07-1965</t>
  </si>
  <si>
    <t>04-01-2021</t>
  </si>
  <si>
    <t>himanshukumar15926@g</t>
  </si>
  <si>
    <t>Q003080995</t>
  </si>
  <si>
    <t>Himani Tripathi</t>
  </si>
  <si>
    <t>23-02-1999</t>
  </si>
  <si>
    <t>himanitripathi23@g</t>
  </si>
  <si>
    <t>A035556071</t>
  </si>
  <si>
    <t>Sunita Tripathi</t>
  </si>
  <si>
    <t>15-09-1974</t>
  </si>
  <si>
    <t>07-01-2021</t>
  </si>
  <si>
    <t>adikumar8976@gmail</t>
  </si>
  <si>
    <t>A035555792</t>
  </si>
  <si>
    <t>Sulekha Kumari</t>
  </si>
  <si>
    <t>23-08-1999</t>
  </si>
  <si>
    <t>vishwajee.kumar1506@g</t>
  </si>
  <si>
    <t>A035567292</t>
  </si>
  <si>
    <t>Swadesh Sahoo</t>
  </si>
  <si>
    <t>22-04-1984</t>
  </si>
  <si>
    <t>08-01-2021</t>
  </si>
  <si>
    <t>Q003104107</t>
  </si>
  <si>
    <t>Rimjhim Kumari</t>
  </si>
  <si>
    <t>03-12-2002</t>
  </si>
  <si>
    <t>09-01-2021</t>
  </si>
  <si>
    <t>A035624155</t>
  </si>
  <si>
    <t>Krittibas Mahata</t>
  </si>
  <si>
    <t>04-12-1989</t>
  </si>
  <si>
    <t>krittibasvp@g</t>
  </si>
  <si>
    <t>A035692738</t>
  </si>
  <si>
    <t>Pinky Devi</t>
  </si>
  <si>
    <t>13-01-2021</t>
  </si>
  <si>
    <t>Q003123001</t>
  </si>
  <si>
    <t>Chandan Kumar</t>
  </si>
  <si>
    <t>21/06/1987</t>
  </si>
  <si>
    <t>14-01-2021</t>
  </si>
  <si>
    <t>A035806175</t>
  </si>
  <si>
    <t>Batash Pal</t>
  </si>
  <si>
    <t>01/01/2002</t>
  </si>
  <si>
    <t>15-01-2021</t>
  </si>
  <si>
    <t>A035818879</t>
  </si>
  <si>
    <t>Rina Singh</t>
  </si>
  <si>
    <t>06-09-1981</t>
  </si>
  <si>
    <t>A035823790</t>
  </si>
  <si>
    <t>Jahangir Alam</t>
  </si>
  <si>
    <t>01/12/1980</t>
  </si>
  <si>
    <t>A035856242</t>
  </si>
  <si>
    <t>Niraj Kumar</t>
  </si>
  <si>
    <t>10/10/2002</t>
  </si>
  <si>
    <t>16-01-2021</t>
  </si>
  <si>
    <t>A035915641</t>
  </si>
  <si>
    <t>18-01-2021</t>
  </si>
  <si>
    <t>A035911476</t>
  </si>
  <si>
    <t>Jaya Kumari</t>
  </si>
  <si>
    <t>25/12/1993</t>
  </si>
  <si>
    <t>A035915480</t>
  </si>
  <si>
    <t>Awanti Devi</t>
  </si>
  <si>
    <t>03/03/1964</t>
  </si>
  <si>
    <t>Q003140963</t>
  </si>
  <si>
    <t>Sarjit Singh</t>
  </si>
  <si>
    <t>23/05/1947</t>
  </si>
  <si>
    <t>A035915799</t>
  </si>
  <si>
    <t>Suraj Kumar</t>
  </si>
  <si>
    <t>16-11-2002</t>
  </si>
  <si>
    <t>19-01-2021</t>
  </si>
  <si>
    <t>sk.sidharth29@g</t>
  </si>
  <si>
    <t>Q003154813</t>
  </si>
  <si>
    <t>Binod Bhumij</t>
  </si>
  <si>
    <t>A036019548</t>
  </si>
  <si>
    <t>23/01/2002</t>
  </si>
  <si>
    <t>A035870709</t>
  </si>
  <si>
    <t>Wajid Ali</t>
  </si>
  <si>
    <t>11/03/2001</t>
  </si>
  <si>
    <t>Q003173631</t>
  </si>
  <si>
    <t>Seema Roy</t>
  </si>
  <si>
    <t>29/08/1966</t>
  </si>
  <si>
    <t>24-01-2021</t>
  </si>
  <si>
    <t>A036166172</t>
  </si>
  <si>
    <t>Mangal Lohar</t>
  </si>
  <si>
    <t>01/01/2001</t>
  </si>
  <si>
    <t>25-01-2021</t>
  </si>
  <si>
    <t>A036231980</t>
  </si>
  <si>
    <t>Devarpalli Dev</t>
  </si>
  <si>
    <t>27-01-2021</t>
  </si>
  <si>
    <t>A036368387</t>
  </si>
  <si>
    <t>Kamaljeet Manni Singh</t>
  </si>
  <si>
    <t>16/10/2002</t>
  </si>
  <si>
    <t>31-01-2021</t>
  </si>
  <si>
    <t>A036368528</t>
  </si>
  <si>
    <t>Hritik Kumar Shrivastava</t>
  </si>
  <si>
    <t>27-06-2001</t>
  </si>
  <si>
    <t>A0362380139</t>
  </si>
  <si>
    <t>Kanhaiya Singh</t>
  </si>
  <si>
    <t>01-02-1996</t>
  </si>
  <si>
    <t>01-01-2021</t>
  </si>
  <si>
    <t>A036380880</t>
  </si>
  <si>
    <t>Aman Maharana</t>
  </si>
  <si>
    <t>01-02-2021</t>
  </si>
  <si>
    <t>Q003212679</t>
  </si>
  <si>
    <t>Mala Saha</t>
  </si>
  <si>
    <t>01/06/1991</t>
  </si>
  <si>
    <t>Q003221994</t>
  </si>
  <si>
    <t>Dipika Bhattacherjee</t>
  </si>
  <si>
    <t>05/01/1958</t>
  </si>
  <si>
    <t>03-02-2021</t>
  </si>
  <si>
    <t>A036472149</t>
  </si>
  <si>
    <t>06/03-1983</t>
  </si>
  <si>
    <t>A036518383</t>
  </si>
  <si>
    <t>Aman Jha</t>
  </si>
  <si>
    <t>17-03-2002</t>
  </si>
  <si>
    <t>04-02-2021</t>
  </si>
  <si>
    <t>amanjha172002</t>
  </si>
  <si>
    <t>A036518847</t>
  </si>
  <si>
    <t>Soni Jha</t>
  </si>
  <si>
    <t>Q003237242</t>
  </si>
  <si>
    <t>Harbhajan Singh</t>
  </si>
  <si>
    <t>10-08-1945</t>
  </si>
  <si>
    <t>06-02-2020</t>
  </si>
  <si>
    <t>A036539218</t>
  </si>
  <si>
    <t>Q003247998</t>
  </si>
  <si>
    <t>Deepak Jana</t>
  </si>
  <si>
    <t>23/04/1971</t>
  </si>
  <si>
    <t>08/02/2021</t>
  </si>
  <si>
    <t>janadeepak79@gmail.com</t>
  </si>
  <si>
    <t>A036752409</t>
  </si>
  <si>
    <t>Manmoni Tantubay</t>
  </si>
  <si>
    <t>02/09/1981</t>
  </si>
  <si>
    <t>10-02-2021</t>
  </si>
  <si>
    <t>A036752750</t>
  </si>
  <si>
    <t>Subhadra</t>
  </si>
  <si>
    <t>A036814217</t>
  </si>
  <si>
    <t>Mohammad Alam</t>
  </si>
  <si>
    <t>13/09/1986</t>
  </si>
  <si>
    <t>12/02/2021</t>
  </si>
  <si>
    <t>Q003270001</t>
  </si>
  <si>
    <t>Kamlesh Sah</t>
  </si>
  <si>
    <t>A036829239</t>
  </si>
  <si>
    <t>Deepa Munda</t>
  </si>
  <si>
    <t>07/05/1998</t>
  </si>
  <si>
    <t>A036785553</t>
  </si>
  <si>
    <t>Gulapi Mahato</t>
  </si>
  <si>
    <t>10/10/1995</t>
  </si>
  <si>
    <t>11/02/2021</t>
  </si>
  <si>
    <t>Q003270100</t>
  </si>
  <si>
    <t>Ravindra Mahato</t>
  </si>
  <si>
    <t>05/09/1976</t>
  </si>
  <si>
    <t>A036835143</t>
  </si>
  <si>
    <t>Raviranjan Kumar</t>
  </si>
  <si>
    <t>01/05/2001</t>
  </si>
  <si>
    <t>A036881853</t>
  </si>
  <si>
    <t>01/03/1981</t>
  </si>
  <si>
    <t>14/02/2021</t>
  </si>
  <si>
    <t>A036882300</t>
  </si>
  <si>
    <t>Chandan Chakraborty</t>
  </si>
  <si>
    <t>14/04/1977</t>
  </si>
  <si>
    <t>A036881525</t>
  </si>
  <si>
    <t>16/08/1998</t>
  </si>
  <si>
    <t>A036881096</t>
  </si>
  <si>
    <t>Kalpana Routray</t>
  </si>
  <si>
    <t>18/02/1970</t>
  </si>
  <si>
    <t>Q003276854</t>
  </si>
  <si>
    <t>30/10/1970</t>
  </si>
  <si>
    <t>A036885296</t>
  </si>
  <si>
    <t>Anjali Priti</t>
  </si>
  <si>
    <t>23/02/2002</t>
  </si>
  <si>
    <t>Q003293804</t>
  </si>
  <si>
    <t>Mohammad Yahiya</t>
  </si>
  <si>
    <t>12/01/1960</t>
  </si>
  <si>
    <t>17/02/2021</t>
  </si>
  <si>
    <t>18/02/2021</t>
  </si>
  <si>
    <t>Q003293827</t>
  </si>
  <si>
    <t>Hena Chakraborty</t>
  </si>
  <si>
    <t>02/01/1955</t>
  </si>
  <si>
    <t>Q003293817</t>
  </si>
  <si>
    <t>Kamal Kumar Chakraborty</t>
  </si>
  <si>
    <t>05/07/1952</t>
  </si>
  <si>
    <t>A037036550</t>
  </si>
  <si>
    <t>Shahnaz Ali</t>
  </si>
  <si>
    <t>07/10/1991</t>
  </si>
  <si>
    <t>A037055097</t>
  </si>
  <si>
    <t>Aisha Mishra</t>
  </si>
  <si>
    <t>24/08/2002</t>
  </si>
  <si>
    <t>19/02/2021</t>
  </si>
  <si>
    <t>A037056571</t>
  </si>
  <si>
    <t>Meghangee Chowdhury</t>
  </si>
  <si>
    <t>25/08/2001</t>
  </si>
  <si>
    <t>Q003306734</t>
  </si>
  <si>
    <t>11/07/2000</t>
  </si>
  <si>
    <t>20/02/2021</t>
  </si>
  <si>
    <t>Q003306592</t>
  </si>
  <si>
    <t>Chhutu Karmakar</t>
  </si>
  <si>
    <t>16/12/1979</t>
  </si>
  <si>
    <t>A037112293</t>
  </si>
  <si>
    <t>Renuka Munda</t>
  </si>
  <si>
    <t>16/08/1990</t>
  </si>
  <si>
    <t>Q003313813</t>
  </si>
  <si>
    <t>Bhuwan Maitra</t>
  </si>
  <si>
    <t>10/08/1990</t>
  </si>
  <si>
    <t>23/02/2021</t>
  </si>
  <si>
    <t>A037181405</t>
  </si>
  <si>
    <t>Shabana Khatoon</t>
  </si>
  <si>
    <t>27/03/1984</t>
  </si>
  <si>
    <t>Q003322459</t>
  </si>
  <si>
    <t>Sanjiv Kumar Bera</t>
  </si>
  <si>
    <t>04/01/1994</t>
  </si>
  <si>
    <t>Q003322541</t>
  </si>
  <si>
    <t>Shambhavi Jaiswal</t>
  </si>
  <si>
    <t>11/06/1996</t>
  </si>
  <si>
    <t>A037181835</t>
  </si>
  <si>
    <t>Ganga Gorai</t>
  </si>
  <si>
    <t>23/08/1998</t>
  </si>
  <si>
    <t>A037290286</t>
  </si>
  <si>
    <t>Birendar Kumar Yadav</t>
  </si>
  <si>
    <t>03/04/1985</t>
  </si>
  <si>
    <t>26/02/2021</t>
  </si>
  <si>
    <t>A037331107</t>
  </si>
  <si>
    <t>Rahnuma Khanum</t>
  </si>
  <si>
    <t>13/04/1994</t>
  </si>
  <si>
    <t>27/02/2021</t>
  </si>
  <si>
    <t>A037366303</t>
  </si>
  <si>
    <t>Ratnesh Kumar Jha</t>
  </si>
  <si>
    <t>19-11-1974</t>
  </si>
  <si>
    <t>28-02-2021</t>
  </si>
  <si>
    <t>ratnesh74jha@gmail.com</t>
  </si>
  <si>
    <t>A037366037</t>
  </si>
  <si>
    <t>Jyoti Jha</t>
  </si>
  <si>
    <t>02-10-1981</t>
  </si>
  <si>
    <t>jyoti.hr.jha@gmail.com</t>
  </si>
  <si>
    <t>A037410485</t>
  </si>
  <si>
    <t>Santu Singh</t>
  </si>
  <si>
    <t>20-04-1998</t>
  </si>
  <si>
    <t>01-03-2021</t>
  </si>
  <si>
    <t>santusingh192020@gmail.com</t>
  </si>
  <si>
    <t>Q003346938</t>
  </si>
  <si>
    <t>05-04-2020</t>
  </si>
  <si>
    <t>sonipriyanshi339@gmail.com</t>
  </si>
  <si>
    <t>A037416947</t>
  </si>
  <si>
    <t>Durga Kumari</t>
  </si>
  <si>
    <t>06-11-1996</t>
  </si>
  <si>
    <t>02-03-2021</t>
  </si>
  <si>
    <t>Q003353811</t>
  </si>
  <si>
    <t>Braj Mohan Prasad Gupta</t>
  </si>
  <si>
    <t>03/05/1949</t>
  </si>
  <si>
    <t>Q003351076</t>
  </si>
  <si>
    <t>Rakesh Kumar Baranwal</t>
  </si>
  <si>
    <t>05-11-1975</t>
  </si>
  <si>
    <t>Q003357028</t>
  </si>
  <si>
    <t>Lakhhi Devi Sarkar</t>
  </si>
  <si>
    <t>02-03-1978</t>
  </si>
  <si>
    <t>A037485136</t>
  </si>
  <si>
    <t>Sneha Patro</t>
  </si>
  <si>
    <t>19-02-1998</t>
  </si>
  <si>
    <t>03-03-2021</t>
  </si>
  <si>
    <t>Q003364695</t>
  </si>
  <si>
    <t>09/10/1994</t>
  </si>
  <si>
    <t>04-03-2021</t>
  </si>
  <si>
    <t>A037598889</t>
  </si>
  <si>
    <t>Guriya Kumari</t>
  </si>
  <si>
    <t>24/06/2002</t>
  </si>
  <si>
    <t>06-03-2021</t>
  </si>
  <si>
    <t>A037541855</t>
  </si>
  <si>
    <t>Nanda Tiwary</t>
  </si>
  <si>
    <t>01/01/1963</t>
  </si>
  <si>
    <t>A037613244</t>
  </si>
  <si>
    <t>Ritik Maity</t>
  </si>
  <si>
    <t>01/03/2004</t>
  </si>
  <si>
    <t>A037606520</t>
  </si>
  <si>
    <t>23/11/1998</t>
  </si>
  <si>
    <t>A037606692</t>
  </si>
  <si>
    <t>Pintu Gupta</t>
  </si>
  <si>
    <t>A037542185</t>
  </si>
  <si>
    <t>Brij Bihari Tiwary</t>
  </si>
  <si>
    <t>a037689133</t>
  </si>
  <si>
    <t>Urmila Mahato</t>
  </si>
  <si>
    <t>09-03-2021</t>
  </si>
  <si>
    <t>A037688631</t>
  </si>
  <si>
    <t>Kahkansha Praween</t>
  </si>
  <si>
    <t>16-03-1972</t>
  </si>
  <si>
    <t>A037687122</t>
  </si>
  <si>
    <t>Ran Vijay</t>
  </si>
  <si>
    <t>18-08-2002</t>
  </si>
  <si>
    <t>pk7547839186</t>
  </si>
  <si>
    <t>A037693655</t>
  </si>
  <si>
    <t>Rohit kumar</t>
  </si>
  <si>
    <t>07-09-2001</t>
  </si>
  <si>
    <t>prasantogorai5845</t>
  </si>
  <si>
    <t>A037671845</t>
  </si>
  <si>
    <t>Saraswati Bera</t>
  </si>
  <si>
    <t>14-09-1971</t>
  </si>
  <si>
    <t>rajivbera91@gmail.com</t>
  </si>
  <si>
    <t>A037633542</t>
  </si>
  <si>
    <t>Neha Bharti</t>
  </si>
  <si>
    <t>04-06-2002</t>
  </si>
  <si>
    <t>07-03-2021</t>
  </si>
  <si>
    <t>A037735103</t>
  </si>
  <si>
    <t>Mukesh Kumar Singh</t>
  </si>
  <si>
    <t>30-09-1981</t>
  </si>
  <si>
    <t>10-03-2021</t>
  </si>
  <si>
    <t>A037738341</t>
  </si>
  <si>
    <t>Md Jaweid Akhtar</t>
  </si>
  <si>
    <t>08-04-2001</t>
  </si>
  <si>
    <t>A037725455</t>
  </si>
  <si>
    <t>Kaushalya Devi</t>
  </si>
  <si>
    <t>01-01-1963</t>
  </si>
  <si>
    <t>10-09-2021</t>
  </si>
  <si>
    <t>Q003403834</t>
  </si>
  <si>
    <t>05-01-1996</t>
  </si>
  <si>
    <t>11-03-2021</t>
  </si>
  <si>
    <t>Q003411926</t>
  </si>
  <si>
    <t>Minakshi Singh</t>
  </si>
  <si>
    <t>25/12/2021</t>
  </si>
  <si>
    <t>A037907960</t>
  </si>
  <si>
    <t>Haripada Sardar</t>
  </si>
  <si>
    <t>01/01/1951</t>
  </si>
  <si>
    <t>15-03-2021</t>
  </si>
  <si>
    <t>A037894625</t>
  </si>
  <si>
    <t>Maheswar Lohar</t>
  </si>
  <si>
    <t>A037893352</t>
  </si>
  <si>
    <t>Chitto Jana</t>
  </si>
  <si>
    <t>A037909478</t>
  </si>
  <si>
    <t xml:space="preserve">Prashant Panday  </t>
  </si>
  <si>
    <t>07/10/2001</t>
  </si>
  <si>
    <t>16-03-2021</t>
  </si>
  <si>
    <t>A037946940</t>
  </si>
  <si>
    <t>Hassina Bano</t>
  </si>
  <si>
    <t>13/06/1994</t>
  </si>
  <si>
    <t>17-03-2021</t>
  </si>
  <si>
    <t>A037971012</t>
  </si>
  <si>
    <t>Kasif Ali</t>
  </si>
  <si>
    <t>03/11/2002</t>
  </si>
  <si>
    <t>A038013794</t>
  </si>
  <si>
    <t>Kanchan Chakraborty</t>
  </si>
  <si>
    <t>25/08/1968</t>
  </si>
  <si>
    <t>19-03-2021</t>
  </si>
  <si>
    <t>A038024897</t>
  </si>
  <si>
    <t>Kalawati Devi</t>
  </si>
  <si>
    <t>A038026081</t>
  </si>
  <si>
    <t>Purnima Devi</t>
  </si>
  <si>
    <t>1/01/1970</t>
  </si>
  <si>
    <t>Q003450011</t>
  </si>
  <si>
    <t>Shahid Parwez</t>
  </si>
  <si>
    <t>22-04-1964</t>
  </si>
  <si>
    <t>21-03-2021</t>
  </si>
  <si>
    <t>A038180868</t>
  </si>
  <si>
    <t>Sima Chakraborty</t>
  </si>
  <si>
    <t>10-11-1984</t>
  </si>
  <si>
    <t>23-03-2021</t>
  </si>
  <si>
    <t>Q003461122</t>
  </si>
  <si>
    <t>Moin Ashraf</t>
  </si>
  <si>
    <t>22-09-1976</t>
  </si>
  <si>
    <t>A038189721</t>
  </si>
  <si>
    <t>Md Tanweer Ansari</t>
  </si>
  <si>
    <t>31-05-2002</t>
  </si>
  <si>
    <t>A038225469</t>
  </si>
  <si>
    <t>Mohammad Waris Manzar</t>
  </si>
  <si>
    <t>01/01/2005</t>
  </si>
  <si>
    <t>24-03-2021</t>
  </si>
  <si>
    <t>25-03-2021</t>
  </si>
  <si>
    <t>A038224728</t>
  </si>
  <si>
    <t>Vijay Anita</t>
  </si>
  <si>
    <t>10-07-1987</t>
  </si>
  <si>
    <t>Q003475486</t>
  </si>
  <si>
    <t>Santosh Gope</t>
  </si>
  <si>
    <t>11/06/1974</t>
  </si>
  <si>
    <t>26-03-2021</t>
  </si>
  <si>
    <t>A038318567</t>
  </si>
  <si>
    <t>Zaki hussain</t>
  </si>
  <si>
    <t>14-11-2002</t>
  </si>
  <si>
    <t>27-03-2021</t>
  </si>
  <si>
    <t>A038243708</t>
  </si>
  <si>
    <t>Samridh Kumar</t>
  </si>
  <si>
    <t>24-03-2002</t>
  </si>
  <si>
    <t>A038320110</t>
  </si>
  <si>
    <t>Reet Singh</t>
  </si>
  <si>
    <t>22-04-2003</t>
  </si>
  <si>
    <t>A038329706</t>
  </si>
  <si>
    <t>Kumari Pallavi Singh</t>
  </si>
  <si>
    <t>11/01/1992</t>
  </si>
  <si>
    <t>Q003483793</t>
  </si>
  <si>
    <t>12/12/1974</t>
  </si>
  <si>
    <t>Q003475342</t>
  </si>
  <si>
    <t>Nikhat Bano</t>
  </si>
  <si>
    <t>05/03/1976</t>
  </si>
  <si>
    <t>A038353327</t>
  </si>
  <si>
    <t>Durga Sardar</t>
  </si>
  <si>
    <t>01/02/1991</t>
  </si>
  <si>
    <t>28-03-2021</t>
  </si>
  <si>
    <t>A038380509</t>
  </si>
  <si>
    <t>Ajaz Ahmad</t>
  </si>
  <si>
    <t>14-08-1995</t>
  </si>
  <si>
    <t>30-03-2021</t>
  </si>
  <si>
    <t>ahmadajaz641@gmail.com</t>
  </si>
  <si>
    <t>A038397938</t>
  </si>
  <si>
    <t>Purnima Devi Gope</t>
  </si>
  <si>
    <t>01-01-1990</t>
  </si>
  <si>
    <t>A038397861</t>
  </si>
  <si>
    <t>Rafiya Akhter</t>
  </si>
  <si>
    <t>12-03-1994</t>
  </si>
  <si>
    <t>Q003503225</t>
  </si>
  <si>
    <t>Ashok Puran</t>
  </si>
  <si>
    <t>25-12-1995</t>
  </si>
  <si>
    <t>31-03-2021</t>
  </si>
  <si>
    <t>A038435505</t>
  </si>
  <si>
    <t>Renu Sinha</t>
  </si>
  <si>
    <t>01-04-2021</t>
  </si>
  <si>
    <t>A038436576</t>
  </si>
  <si>
    <t>Gaman Karmakar</t>
  </si>
  <si>
    <t>25/01/1992</t>
  </si>
  <si>
    <t>A038435745</t>
  </si>
  <si>
    <t>Vijeta Kumari</t>
  </si>
  <si>
    <t>16/08/1997</t>
  </si>
  <si>
    <t>A038436067</t>
  </si>
  <si>
    <t>Laxmi Rajak</t>
  </si>
  <si>
    <t>12/11/1995</t>
  </si>
  <si>
    <t>Q003501958</t>
  </si>
  <si>
    <t>Dinesh Kumar jha</t>
  </si>
  <si>
    <t>12/01/1973</t>
  </si>
  <si>
    <t>A038457464</t>
  </si>
  <si>
    <t>Roshan Kumar</t>
  </si>
  <si>
    <t>28-03-2003</t>
  </si>
  <si>
    <t>A038473945</t>
  </si>
  <si>
    <t>Koushalya Devi</t>
  </si>
  <si>
    <t>05-04-1947</t>
  </si>
  <si>
    <t>02-04-2021</t>
  </si>
  <si>
    <t>Q003510011</t>
  </si>
  <si>
    <t>Pankaj Gorai</t>
  </si>
  <si>
    <t>23-12-1997</t>
  </si>
  <si>
    <t>A038518215</t>
  </si>
  <si>
    <t>Snehal Sahu</t>
  </si>
  <si>
    <t>27/06/2007</t>
  </si>
  <si>
    <t>03-04-2021</t>
  </si>
  <si>
    <t>A038530257</t>
  </si>
  <si>
    <t>Shreya Sahu</t>
  </si>
  <si>
    <t>17/12/2011</t>
  </si>
  <si>
    <t>A038517649</t>
  </si>
  <si>
    <t>Joginder Singh</t>
  </si>
  <si>
    <t>13/10/1981</t>
  </si>
  <si>
    <t>A038522339</t>
  </si>
  <si>
    <t>Anand Shukla</t>
  </si>
  <si>
    <t>22/12/2002</t>
  </si>
  <si>
    <t>Q003526000</t>
  </si>
  <si>
    <t>Piyali Das</t>
  </si>
  <si>
    <t>15-01-1964</t>
  </si>
  <si>
    <t>05-04-2021</t>
  </si>
  <si>
    <t>Q003526515</t>
  </si>
  <si>
    <t>Mritunjay</t>
  </si>
  <si>
    <t>05-10-1985</t>
  </si>
  <si>
    <t>jaychousa@gmai</t>
  </si>
  <si>
    <t>A038602839</t>
  </si>
  <si>
    <t>Manish Kumar</t>
  </si>
  <si>
    <t>05/03/2003</t>
  </si>
  <si>
    <t>06-04-2021</t>
  </si>
  <si>
    <t>A038602677</t>
  </si>
  <si>
    <t>Harsh Mishra</t>
  </si>
  <si>
    <t>16/04/2003</t>
  </si>
  <si>
    <t>A038578252</t>
  </si>
  <si>
    <t>Mithali Devi</t>
  </si>
  <si>
    <t>01/01/1956</t>
  </si>
  <si>
    <t>A038621858</t>
  </si>
  <si>
    <t>Saurav Kumar</t>
  </si>
  <si>
    <t>03-03-2003</t>
  </si>
  <si>
    <t>sauravaasr316</t>
  </si>
  <si>
    <t>Q003542368</t>
  </si>
  <si>
    <t>Mohammad Firoz Khan</t>
  </si>
  <si>
    <t>14/02/1981</t>
  </si>
  <si>
    <t>08-04-2021</t>
  </si>
  <si>
    <t>A038658617</t>
  </si>
  <si>
    <t>Mohammad Saquib Khan</t>
  </si>
  <si>
    <t>16/03/2003</t>
  </si>
  <si>
    <t>Q003540214</t>
  </si>
  <si>
    <t>Meena Singh</t>
  </si>
  <si>
    <t>01/07/1975</t>
  </si>
  <si>
    <t>A038649924</t>
  </si>
  <si>
    <t>Somwari Hansda</t>
  </si>
  <si>
    <t>A038653572</t>
  </si>
  <si>
    <t>Anchal Karmakar</t>
  </si>
  <si>
    <t>12/09/2002</t>
  </si>
  <si>
    <t>Q003545823</t>
  </si>
  <si>
    <t>Dhiren Singh</t>
  </si>
  <si>
    <t>10/03/1998</t>
  </si>
  <si>
    <t>09-04-2021</t>
  </si>
  <si>
    <t>Q003548228</t>
  </si>
  <si>
    <t>Parmanand Singh</t>
  </si>
  <si>
    <t>15/05/1945</t>
  </si>
  <si>
    <t>A038702814</t>
  </si>
  <si>
    <t>Jasraj Singh</t>
  </si>
  <si>
    <t>28/09/2002</t>
  </si>
  <si>
    <t>A038692184</t>
  </si>
  <si>
    <t>Pani Pinguva</t>
  </si>
  <si>
    <t>A038730721</t>
  </si>
  <si>
    <t>13/02/1990</t>
  </si>
  <si>
    <t>10-04-2021</t>
  </si>
  <si>
    <t>A038731008</t>
  </si>
  <si>
    <t>Komal</t>
  </si>
  <si>
    <t>10/06/1998</t>
  </si>
  <si>
    <t>Q003551758</t>
  </si>
  <si>
    <t>Md Firoz</t>
  </si>
  <si>
    <t>01/01/1997</t>
  </si>
  <si>
    <t>Q003560446</t>
  </si>
  <si>
    <t>Uday Kumar Singh</t>
  </si>
  <si>
    <t>28-12-1985</t>
  </si>
  <si>
    <t>12-04-2021</t>
  </si>
  <si>
    <t>A038762856</t>
  </si>
  <si>
    <t>Rasi Biswas</t>
  </si>
  <si>
    <t>14-06-2000</t>
  </si>
  <si>
    <t>rasibiswas1406@g</t>
  </si>
  <si>
    <t>A038744366</t>
  </si>
  <si>
    <t>Sudha Kumari</t>
  </si>
  <si>
    <t>23-12-1981</t>
  </si>
  <si>
    <t>A038745128</t>
  </si>
  <si>
    <t>Mohammad Fiazan</t>
  </si>
  <si>
    <t>01-01-1994</t>
  </si>
  <si>
    <t>mdziaurjsr@g</t>
  </si>
  <si>
    <t>A038762445</t>
  </si>
  <si>
    <t>Tarsem Singh</t>
  </si>
  <si>
    <t>10-11-1956</t>
  </si>
  <si>
    <t>A038780801</t>
  </si>
  <si>
    <t>Nilofer</t>
  </si>
  <si>
    <t>08/12/1994</t>
  </si>
  <si>
    <t>13-04-2021</t>
  </si>
  <si>
    <t>10/11/1956</t>
  </si>
  <si>
    <t>A038799119</t>
  </si>
  <si>
    <t>Mantasha Perween</t>
  </si>
  <si>
    <t>02/06/2001</t>
  </si>
  <si>
    <t>14-04-2021</t>
  </si>
  <si>
    <t>A038745880</t>
  </si>
  <si>
    <t>Sekh Jiyaruddin</t>
  </si>
  <si>
    <t>27-01-1996</t>
  </si>
  <si>
    <t>Q003571827</t>
  </si>
  <si>
    <t>Vasantha Gopalakrishan</t>
  </si>
  <si>
    <t>24/10/1944</t>
  </si>
  <si>
    <t>15-04-2021</t>
  </si>
  <si>
    <t>A038828611</t>
  </si>
  <si>
    <t>Veronica Francis</t>
  </si>
  <si>
    <t>07/10/1979</t>
  </si>
  <si>
    <t>Q003574496</t>
  </si>
  <si>
    <t>Anup Gorai</t>
  </si>
  <si>
    <t>25/01/1983</t>
  </si>
  <si>
    <t>A038843458</t>
  </si>
  <si>
    <t>Anjali Mukhi</t>
  </si>
  <si>
    <t>A038847977</t>
  </si>
  <si>
    <t>Rakesh Kumar Sah</t>
  </si>
  <si>
    <t>09/03/1998</t>
  </si>
  <si>
    <t>16-04-2021</t>
  </si>
  <si>
    <t>Q003579844</t>
  </si>
  <si>
    <t>Nillam Mallick</t>
  </si>
  <si>
    <t>17-04-2021</t>
  </si>
  <si>
    <t>Q003578913</t>
  </si>
  <si>
    <t>SK Hasim</t>
  </si>
  <si>
    <t>05/02/1987</t>
  </si>
  <si>
    <t>A038869050</t>
  </si>
  <si>
    <t>Sunil Singh</t>
  </si>
  <si>
    <t>A038899186</t>
  </si>
  <si>
    <t>ROSHAN</t>
  </si>
  <si>
    <t>18/05/1978</t>
  </si>
  <si>
    <t>19-04-2021</t>
  </si>
  <si>
    <t>A0038891965</t>
  </si>
  <si>
    <t>Kahkasha Perween</t>
  </si>
  <si>
    <t>A038900282</t>
  </si>
  <si>
    <t>Priyanka Singh</t>
  </si>
  <si>
    <t>10/12/1988</t>
  </si>
  <si>
    <t>Q003591529</t>
  </si>
  <si>
    <t>Ania Gorai</t>
  </si>
  <si>
    <t>03-02-1998</t>
  </si>
  <si>
    <t>21-04-2021</t>
  </si>
  <si>
    <t>anitagorai122@g</t>
  </si>
  <si>
    <t>Q003597118</t>
  </si>
  <si>
    <t>Suresh Kumar Sonthalia</t>
  </si>
  <si>
    <t>22-04-2021</t>
  </si>
  <si>
    <t>sksonthalia196011@g</t>
  </si>
  <si>
    <t>A038965729</t>
  </si>
  <si>
    <t>Ayush Sinha</t>
  </si>
  <si>
    <t>23-03-2002</t>
  </si>
  <si>
    <t>23-04-2021</t>
  </si>
  <si>
    <t>ayushag955@gmail.</t>
  </si>
  <si>
    <t>A039015961</t>
  </si>
  <si>
    <t>Suresh Roy</t>
  </si>
  <si>
    <t>18-05-1970</t>
  </si>
  <si>
    <t>26-04-2021</t>
  </si>
  <si>
    <t>umeshroy2806@g</t>
  </si>
  <si>
    <t>A039020433</t>
  </si>
  <si>
    <t>Sanjay Lohar</t>
  </si>
  <si>
    <t>28-04-2021</t>
  </si>
  <si>
    <t>s17110191@gmail.com</t>
  </si>
  <si>
    <t>Q003616559</t>
  </si>
  <si>
    <t>07-10-1979</t>
  </si>
  <si>
    <t>30-04-2021</t>
  </si>
  <si>
    <t>veronica59598@g</t>
  </si>
  <si>
    <t>Q003619831</t>
  </si>
  <si>
    <t>31-08-1998</t>
  </si>
  <si>
    <t>02-05-2021</t>
  </si>
  <si>
    <t>A039094405</t>
  </si>
  <si>
    <t>Krishna Vijay</t>
  </si>
  <si>
    <t>17-08-2002</t>
  </si>
  <si>
    <t>A039096673</t>
  </si>
  <si>
    <t>25-05-1991</t>
  </si>
  <si>
    <t>03-05-2021</t>
  </si>
  <si>
    <t>A039117555</t>
  </si>
  <si>
    <t>Adrika Kumari</t>
  </si>
  <si>
    <t>20-07-2004</t>
  </si>
  <si>
    <t>05-05-2021</t>
  </si>
  <si>
    <t>A039117386</t>
  </si>
  <si>
    <t>Shouvik De</t>
  </si>
  <si>
    <t>03-05-2003</t>
  </si>
  <si>
    <t>A039133638</t>
  </si>
  <si>
    <t>Birju Baske</t>
  </si>
  <si>
    <t>01-08-2003</t>
  </si>
  <si>
    <t>06-05-2021</t>
  </si>
  <si>
    <t>birjubaske1@g</t>
  </si>
  <si>
    <t>Q003631690</t>
  </si>
  <si>
    <t>03/02/1963</t>
  </si>
  <si>
    <t>08-05-2021</t>
  </si>
  <si>
    <t>A039171177</t>
  </si>
  <si>
    <t>Reet Kumari</t>
  </si>
  <si>
    <t>19-07-2002</t>
  </si>
  <si>
    <t>10-05-2021</t>
  </si>
  <si>
    <t>triss1907@gmail.com</t>
  </si>
  <si>
    <t>Q003639423</t>
  </si>
  <si>
    <t>Manoj Kumar Mishra</t>
  </si>
  <si>
    <t>28-07-1970</t>
  </si>
  <si>
    <t>12-05-2021</t>
  </si>
  <si>
    <t>A039193331</t>
  </si>
  <si>
    <t>Sonal Kumari</t>
  </si>
  <si>
    <t>03-04-2003</t>
  </si>
  <si>
    <t>Q003639419</t>
  </si>
  <si>
    <t>Ranjeet Shukla</t>
  </si>
  <si>
    <t>Q003639409</t>
  </si>
  <si>
    <t>A039202883</t>
  </si>
  <si>
    <t>Rounit Tiwary</t>
  </si>
  <si>
    <t>06-01-2002</t>
  </si>
  <si>
    <t>13-5-2021</t>
  </si>
  <si>
    <t>rounit0601@gma</t>
  </si>
  <si>
    <t>A039212555</t>
  </si>
  <si>
    <t>Sahil Kumar Singh</t>
  </si>
  <si>
    <t>12/04/2003</t>
  </si>
  <si>
    <t>14-05-2021</t>
  </si>
  <si>
    <t>A039226615</t>
  </si>
  <si>
    <t>Abhishek Pandey</t>
  </si>
  <si>
    <t>10/12/2002</t>
  </si>
  <si>
    <t>16-05-2021</t>
  </si>
  <si>
    <t>abhiwhen9110066052@g</t>
  </si>
  <si>
    <t>Q003643925</t>
  </si>
  <si>
    <t>Santosh Kumar</t>
  </si>
  <si>
    <t>26/09/1977</t>
  </si>
  <si>
    <t>15/05/2021</t>
  </si>
  <si>
    <t>Q003651334</t>
  </si>
  <si>
    <t>Ram Lagan Thakur</t>
  </si>
  <si>
    <t>17/02/1945</t>
  </si>
  <si>
    <t>19-05-2021</t>
  </si>
  <si>
    <t>Q003655267</t>
  </si>
  <si>
    <t>Budheshwar Mahato</t>
  </si>
  <si>
    <t>21-05-2021</t>
  </si>
  <si>
    <t>Q003656058</t>
  </si>
  <si>
    <t>Totan Banerjee</t>
  </si>
  <si>
    <t>18/07/1985</t>
  </si>
  <si>
    <t>alokkumar1606</t>
  </si>
  <si>
    <t>Q003655935</t>
  </si>
  <si>
    <t>Gita Singh</t>
  </si>
  <si>
    <t>16/08/1972</t>
  </si>
  <si>
    <t>Q003655300</t>
  </si>
  <si>
    <t>Awadhesh Sharma</t>
  </si>
  <si>
    <t>04-05-1969</t>
  </si>
  <si>
    <t>Q003656024</t>
  </si>
  <si>
    <t>Avinash Kaur</t>
  </si>
  <si>
    <t>07-01-1986</t>
  </si>
  <si>
    <t>Q003655952</t>
  </si>
  <si>
    <t>Uma Bhowmick</t>
  </si>
  <si>
    <t>10-02-1980</t>
  </si>
  <si>
    <t>Q03653038</t>
  </si>
  <si>
    <t>Chintapalli Srinavas Rao</t>
  </si>
  <si>
    <t>06-11-1973</t>
  </si>
  <si>
    <t>Q003656048</t>
  </si>
  <si>
    <t>Ashrumochan Nayak</t>
  </si>
  <si>
    <t>15-03-1995</t>
  </si>
  <si>
    <t>A039281578</t>
  </si>
  <si>
    <t>Tushar Sharma</t>
  </si>
  <si>
    <t>08-10-1996</t>
  </si>
  <si>
    <t>A039285487</t>
  </si>
  <si>
    <t>Amir Hamza</t>
  </si>
  <si>
    <t>01/04/2003</t>
  </si>
  <si>
    <t>22-05-2021</t>
  </si>
  <si>
    <t>A039288269</t>
  </si>
  <si>
    <t>Sayandseep Ghosh</t>
  </si>
  <si>
    <t>02/07/2003</t>
  </si>
  <si>
    <t>23-05-2021</t>
  </si>
  <si>
    <t>A039438436</t>
  </si>
  <si>
    <t>10/08/1992</t>
  </si>
  <si>
    <t>01-06-2021</t>
  </si>
  <si>
    <t>Q003681622</t>
  </si>
  <si>
    <t>Dharam Machhwa</t>
  </si>
  <si>
    <t>04/10/2002</t>
  </si>
  <si>
    <t>03-06-2021</t>
  </si>
  <si>
    <t>Q003679714</t>
  </si>
  <si>
    <t>Jatinder Singh</t>
  </si>
  <si>
    <t>26-01-1991</t>
  </si>
  <si>
    <t>A039463337</t>
  </si>
  <si>
    <t>Suleskha Singh</t>
  </si>
  <si>
    <t>01-01-1993</t>
  </si>
  <si>
    <t>self add</t>
  </si>
  <si>
    <t>A039509617</t>
  </si>
  <si>
    <t>Deepak Gorai</t>
  </si>
  <si>
    <t>26/10/1998</t>
  </si>
  <si>
    <t>04-06-2021</t>
  </si>
  <si>
    <t>q003689943</t>
  </si>
  <si>
    <t>Rahul Kumar Singh</t>
  </si>
  <si>
    <t>A039600105</t>
  </si>
  <si>
    <t>Manisha mishra Shambhunath</t>
  </si>
  <si>
    <t>07/12/1996</t>
  </si>
  <si>
    <t>09-06-2021</t>
  </si>
  <si>
    <t>A039636159</t>
  </si>
  <si>
    <t>SARVESH NATH YADAV</t>
  </si>
  <si>
    <t>20-03-2002</t>
  </si>
  <si>
    <t>A039635001</t>
  </si>
  <si>
    <t>TUSHAR SHOURIE</t>
  </si>
  <si>
    <t>30/07/2002</t>
  </si>
  <si>
    <t>Q003710627</t>
  </si>
  <si>
    <t>Pandurang Ramaji Kandarkar</t>
  </si>
  <si>
    <t>11/02/1974</t>
  </si>
  <si>
    <t>10-06-2021</t>
  </si>
  <si>
    <t>Q003718193</t>
  </si>
  <si>
    <t>Uttkarsh</t>
  </si>
  <si>
    <t>04/02/1997</t>
  </si>
  <si>
    <t>12-06-2021</t>
  </si>
  <si>
    <t>A039728464</t>
  </si>
  <si>
    <t>Radhe Shyam Bandiya</t>
  </si>
  <si>
    <t>25/09/2006</t>
  </si>
  <si>
    <t>A039728583</t>
  </si>
  <si>
    <t>Prity Kumari</t>
  </si>
  <si>
    <t>31/12/1995</t>
  </si>
  <si>
    <t>Q003719998</t>
  </si>
  <si>
    <t>Budhni Birua</t>
  </si>
  <si>
    <t>28-01-2021</t>
  </si>
  <si>
    <t>MOBILE NUMBER PROBLEM</t>
  </si>
  <si>
    <t>Q003726251</t>
  </si>
  <si>
    <t>21/04/1980</t>
  </si>
  <si>
    <t>14-06-2021</t>
  </si>
  <si>
    <t>A039774789</t>
  </si>
  <si>
    <t>Durga Charan Singh Munda</t>
  </si>
  <si>
    <t>0/01/1980</t>
  </si>
  <si>
    <t>Q003729867</t>
  </si>
  <si>
    <t>Manka Tudu</t>
  </si>
  <si>
    <t>18-03-1981</t>
  </si>
  <si>
    <t>15-06-2021</t>
  </si>
  <si>
    <t>21-04-1980</t>
  </si>
  <si>
    <t>A039803596</t>
  </si>
  <si>
    <t>Rajendra Kumar</t>
  </si>
  <si>
    <t>10-02-1989</t>
  </si>
  <si>
    <t>Q003739794</t>
  </si>
  <si>
    <t>Aanchal Kumari</t>
  </si>
  <si>
    <t>05-04-1999</t>
  </si>
  <si>
    <t>17-06-2021</t>
  </si>
  <si>
    <t>Q0037340135</t>
  </si>
  <si>
    <t>Shila Singh</t>
  </si>
  <si>
    <t>A039889265</t>
  </si>
  <si>
    <t>Prinka Devi</t>
  </si>
  <si>
    <t>18-06-2021</t>
  </si>
  <si>
    <t>A039891086</t>
  </si>
  <si>
    <t>Akash Ghosh</t>
  </si>
  <si>
    <t>02/05/2003</t>
  </si>
  <si>
    <t>Q003750578</t>
  </si>
  <si>
    <t>Andula Devi</t>
  </si>
  <si>
    <t>01/02/1952</t>
  </si>
  <si>
    <t>19-06-2021</t>
  </si>
  <si>
    <t>Q003765275</t>
  </si>
  <si>
    <t>Simran Kumari</t>
  </si>
  <si>
    <t>16/02/2004</t>
  </si>
  <si>
    <t>22-06-2021</t>
  </si>
  <si>
    <t>Q003765223</t>
  </si>
  <si>
    <t>Saroj Kumar Akela</t>
  </si>
  <si>
    <t>26/01/1977</t>
  </si>
  <si>
    <t>Q003764700</t>
  </si>
  <si>
    <t>Bhuwaneshwar Mahato</t>
  </si>
  <si>
    <t>A039974186</t>
  </si>
  <si>
    <t>AnkitVerma</t>
  </si>
  <si>
    <t>01/08/2002</t>
  </si>
  <si>
    <t>A040016148</t>
  </si>
  <si>
    <t>Shagufta Naaz</t>
  </si>
  <si>
    <t>13/01/1994</t>
  </si>
  <si>
    <t>A040047561</t>
  </si>
  <si>
    <t>Sima Karmakar</t>
  </si>
  <si>
    <t>Q003771695</t>
  </si>
  <si>
    <t>Pushpa Maharana</t>
  </si>
  <si>
    <t>15/04/1986</t>
  </si>
  <si>
    <t>A040045312</t>
  </si>
  <si>
    <t>Shiv Ram Gope</t>
  </si>
  <si>
    <t>12/02/1997</t>
  </si>
  <si>
    <t>A040051373</t>
  </si>
  <si>
    <t>Rajat Tirkey</t>
  </si>
  <si>
    <t>23/08/2000</t>
  </si>
  <si>
    <t>A040087191</t>
  </si>
  <si>
    <t>Arti Patro</t>
  </si>
  <si>
    <t>25/04/1983</t>
  </si>
  <si>
    <t>24-06-2021</t>
  </si>
  <si>
    <t>Q003778106</t>
  </si>
  <si>
    <t>Anandi Prasad Singh</t>
  </si>
  <si>
    <t>01/01/1937</t>
  </si>
  <si>
    <t>A040109659</t>
  </si>
  <si>
    <t>Kabutari Devi</t>
  </si>
  <si>
    <t>31-12-1955</t>
  </si>
  <si>
    <t>25-06-2021</t>
  </si>
  <si>
    <t>r.n.pandit1949@g</t>
  </si>
  <si>
    <t>Q003790801</t>
  </si>
  <si>
    <t>Anjana Goswami</t>
  </si>
  <si>
    <t>23-10-1996</t>
  </si>
  <si>
    <t>26-06-2021</t>
  </si>
  <si>
    <t>Q003790539</t>
  </si>
  <si>
    <t>Ramharakh Prasad</t>
  </si>
  <si>
    <t>29-06-2021</t>
  </si>
  <si>
    <t>Q003746797</t>
  </si>
  <si>
    <t>Karuna Lohar</t>
  </si>
  <si>
    <t>A040247595</t>
  </si>
  <si>
    <t>Sarita Karmakar</t>
  </si>
  <si>
    <t>13-04-2005</t>
  </si>
  <si>
    <t>Q003804816</t>
  </si>
  <si>
    <t>Salman Khan</t>
  </si>
  <si>
    <t>31/07/1998</t>
  </si>
  <si>
    <t>A040293505</t>
  </si>
  <si>
    <t>GagndeepSingh</t>
  </si>
  <si>
    <t>02-01-2002</t>
  </si>
  <si>
    <t>30-06-2021</t>
  </si>
  <si>
    <t>Q003809648</t>
  </si>
  <si>
    <t>Sarita Srivastva</t>
  </si>
  <si>
    <t>31-12-1966</t>
  </si>
  <si>
    <t>Q003809983</t>
  </si>
  <si>
    <t>Mahendra Prasad Mandal</t>
  </si>
  <si>
    <t>02-07-1948</t>
  </si>
  <si>
    <t>02-07-2021</t>
  </si>
  <si>
    <t>Q003823702</t>
  </si>
  <si>
    <t>Rajmani Prasad</t>
  </si>
  <si>
    <t>13/01/1965</t>
  </si>
  <si>
    <t>Q003828566</t>
  </si>
  <si>
    <t>Md Shahanshah</t>
  </si>
  <si>
    <t>09/12/1989</t>
  </si>
  <si>
    <t>03-07-2021</t>
  </si>
  <si>
    <t>A040410461</t>
  </si>
  <si>
    <t>Anushka Chatterjee</t>
  </si>
  <si>
    <t>16/09/2000</t>
  </si>
  <si>
    <t>Q003831804</t>
  </si>
  <si>
    <t>Saswati Mitra</t>
  </si>
  <si>
    <t>12/03/1982</t>
  </si>
  <si>
    <t>Jaymala Kumari</t>
  </si>
  <si>
    <t>A040491203</t>
  </si>
  <si>
    <t>Sombari Soren</t>
  </si>
  <si>
    <t>15/03/1998</t>
  </si>
  <si>
    <t>05-07-2021</t>
  </si>
  <si>
    <t>Q003840523</t>
  </si>
  <si>
    <t>Mohammad Karim</t>
  </si>
  <si>
    <t>27/03/1954</t>
  </si>
  <si>
    <t>A040491627</t>
  </si>
  <si>
    <t>Q003840476</t>
  </si>
  <si>
    <t>Upload 0908/2021</t>
  </si>
  <si>
    <t>A040490625</t>
  </si>
  <si>
    <t>Harishvardhan Singh</t>
  </si>
  <si>
    <t>25/05/2003</t>
  </si>
  <si>
    <t>Q003845714</t>
  </si>
  <si>
    <t>Mohammad Israr Ahmed Khan</t>
  </si>
  <si>
    <t>01/09/1966</t>
  </si>
  <si>
    <t>06-07-2021</t>
  </si>
  <si>
    <t>A040507409</t>
  </si>
  <si>
    <t>Kaushik Paul</t>
  </si>
  <si>
    <t>18/05/2004</t>
  </si>
  <si>
    <t>Q003845789</t>
  </si>
  <si>
    <t>Q003855258</t>
  </si>
  <si>
    <t>Irshad Ali</t>
  </si>
  <si>
    <t>03/01/1968</t>
  </si>
  <si>
    <t>07-07-2021</t>
  </si>
  <si>
    <t>Q003855198</t>
  </si>
  <si>
    <t>Jungla Majhi</t>
  </si>
  <si>
    <t>20/03/1971</t>
  </si>
  <si>
    <t>A040594428</t>
  </si>
  <si>
    <t>Nikita Singh</t>
  </si>
  <si>
    <t>18/04/2003</t>
  </si>
  <si>
    <t>A040626462</t>
  </si>
  <si>
    <t>08-07-2021</t>
  </si>
  <si>
    <t>Q003860140</t>
  </si>
  <si>
    <t>Chhutu Gope</t>
  </si>
  <si>
    <t>18/10/1950</t>
  </si>
  <si>
    <t>A040642435</t>
  </si>
  <si>
    <t>Taskin Khatoon</t>
  </si>
  <si>
    <t>01/03/2003</t>
  </si>
  <si>
    <t>09-07-2021</t>
  </si>
  <si>
    <t>Q003883395</t>
  </si>
  <si>
    <t>Md Nayeem</t>
  </si>
  <si>
    <t>02-08-1984</t>
  </si>
  <si>
    <t>13-07-2021</t>
  </si>
  <si>
    <t>nayeemjsr1@gmail.com</t>
  </si>
  <si>
    <t>Q003887301</t>
  </si>
  <si>
    <t>Q003887269</t>
  </si>
  <si>
    <t>Urmila Maharana</t>
  </si>
  <si>
    <t>Q003887144</t>
  </si>
  <si>
    <t>Sarajit Chaki</t>
  </si>
  <si>
    <t>31/12/1976</t>
  </si>
  <si>
    <t>Q003887115</t>
  </si>
  <si>
    <t>Ramesh Gope</t>
  </si>
  <si>
    <t>15/11/1985</t>
  </si>
  <si>
    <t>Babita Kumari</t>
  </si>
  <si>
    <t>Q003887075</t>
  </si>
  <si>
    <t>Ranjeet Kumar Moharana</t>
  </si>
  <si>
    <t>28/04/1968</t>
  </si>
  <si>
    <t>Smiriti Julie Topno</t>
  </si>
  <si>
    <t>19/07/1999</t>
  </si>
  <si>
    <t>14-07-2021</t>
  </si>
  <si>
    <t>A040935482</t>
  </si>
  <si>
    <t>Jagdish Kaur</t>
  </si>
  <si>
    <t>14/02/1976</t>
  </si>
  <si>
    <t>16-07-2021</t>
  </si>
  <si>
    <t>A040863198</t>
  </si>
  <si>
    <t>Saba Yasmeen</t>
  </si>
  <si>
    <t>10-07-1991</t>
  </si>
  <si>
    <t>A040924776</t>
  </si>
  <si>
    <t>Prabhat Pandey</t>
  </si>
  <si>
    <t>Q003905778</t>
  </si>
  <si>
    <t>Iqbal Nadeem</t>
  </si>
  <si>
    <t>05/01/1980</t>
  </si>
  <si>
    <t>Q003908456</t>
  </si>
  <si>
    <t>Neha Sharma</t>
  </si>
  <si>
    <t>08/03/1998</t>
  </si>
  <si>
    <t>A040988692</t>
  </si>
  <si>
    <t>Nasihat Khatoon</t>
  </si>
  <si>
    <t>03/11/2001</t>
  </si>
  <si>
    <t>17-07-2021</t>
  </si>
  <si>
    <t>Q003913871</t>
  </si>
  <si>
    <t>Mani Kant</t>
  </si>
  <si>
    <t>25-02-1971</t>
  </si>
  <si>
    <t>aks9727kumari@gmail.com</t>
  </si>
  <si>
    <t>Q003926744</t>
  </si>
  <si>
    <t>Amik Singh Bajwa</t>
  </si>
  <si>
    <t>03-06-1970</t>
  </si>
  <si>
    <t>24-07-2021</t>
  </si>
  <si>
    <t>A041122618</t>
  </si>
  <si>
    <t>Rishu Tirkey</t>
  </si>
  <si>
    <t>31/03/2002</t>
  </si>
  <si>
    <t>21-07-2021</t>
  </si>
  <si>
    <t>Q003933004</t>
  </si>
  <si>
    <t>Bashist Kumar Mishra</t>
  </si>
  <si>
    <t>15/10/2001</t>
  </si>
  <si>
    <t>Q003927724</t>
  </si>
  <si>
    <t>Shakuntala Devi</t>
  </si>
  <si>
    <t>14/10/1967</t>
  </si>
  <si>
    <t>27-07-2021</t>
  </si>
  <si>
    <t>A041180936</t>
  </si>
  <si>
    <t>Priyanka Devi</t>
  </si>
  <si>
    <t>22-07-2021</t>
  </si>
  <si>
    <t>A041220426</t>
  </si>
  <si>
    <t>Hameed Khan</t>
  </si>
  <si>
    <t>05/09/2001</t>
  </si>
  <si>
    <t>23-07-2021</t>
  </si>
  <si>
    <t>A041221890</t>
  </si>
  <si>
    <t xml:space="preserve">Abid Khan </t>
  </si>
  <si>
    <t>22/01/2003</t>
  </si>
  <si>
    <t>A041243475</t>
  </si>
  <si>
    <t>Sarika Singh</t>
  </si>
  <si>
    <t>19/09/1988</t>
  </si>
  <si>
    <t>Q003961138</t>
  </si>
  <si>
    <t>Prabhkirath Singh</t>
  </si>
  <si>
    <t>10/01/2005</t>
  </si>
  <si>
    <t>26-07-2021</t>
  </si>
  <si>
    <t>A041305152</t>
  </si>
  <si>
    <t>Sufyan Taha</t>
  </si>
  <si>
    <t>06-12-2000</t>
  </si>
  <si>
    <t>Q003959502</t>
  </si>
  <si>
    <t>Kalyani Devi</t>
  </si>
  <si>
    <t>01/01/1946</t>
  </si>
  <si>
    <t>A041350085</t>
  </si>
  <si>
    <t>Ritu Rani Rahelu</t>
  </si>
  <si>
    <t>25/01/1998</t>
  </si>
  <si>
    <t>A041349824</t>
  </si>
  <si>
    <t>Prasanjit Sen</t>
  </si>
  <si>
    <t>A041349439</t>
  </si>
  <si>
    <t>Parvati Singh</t>
  </si>
  <si>
    <t>A041364397</t>
  </si>
  <si>
    <t>Rizwana Khatoon</t>
  </si>
  <si>
    <t>24/03/1987</t>
  </si>
  <si>
    <t>A041388450</t>
  </si>
  <si>
    <t>Harshit Kumar</t>
  </si>
  <si>
    <t>26/05/2002</t>
  </si>
  <si>
    <t>27/07/2021</t>
  </si>
  <si>
    <t>A041389304</t>
  </si>
  <si>
    <t>Vikash Kumar Singh</t>
  </si>
  <si>
    <t>06/04/2003</t>
  </si>
  <si>
    <t>28/07/2021</t>
  </si>
  <si>
    <t>Q003970669</t>
  </si>
  <si>
    <t>29-07-2021</t>
  </si>
  <si>
    <t>A041428421</t>
  </si>
  <si>
    <t>Anuradha Kumari</t>
  </si>
  <si>
    <t>29/09/1994</t>
  </si>
  <si>
    <t>A041429235</t>
  </si>
  <si>
    <t xml:space="preserve">Manisha </t>
  </si>
  <si>
    <t>Q003974776</t>
  </si>
  <si>
    <t>Q003982386</t>
  </si>
  <si>
    <t>Naresh Kumar Rajak</t>
  </si>
  <si>
    <t>26/03/1992</t>
  </si>
  <si>
    <t>30-07-2021</t>
  </si>
  <si>
    <t>A041492696</t>
  </si>
  <si>
    <t>Prisita Ghoshal</t>
  </si>
  <si>
    <t>13/12/2001</t>
  </si>
  <si>
    <t>31-07-2021</t>
  </si>
  <si>
    <t>8210211671</t>
  </si>
  <si>
    <t>A041629264</t>
  </si>
  <si>
    <t>Ganganalu Hemavati</t>
  </si>
  <si>
    <t>15/03/1949</t>
  </si>
  <si>
    <t>A041526245</t>
  </si>
  <si>
    <t>Gourav Kumar</t>
  </si>
  <si>
    <t>01/08/2003</t>
  </si>
  <si>
    <t>Q003989496</t>
  </si>
  <si>
    <t>Sachin Kumar Singh</t>
  </si>
  <si>
    <t>10/09/1998</t>
  </si>
  <si>
    <t>03-08-2021</t>
  </si>
  <si>
    <t>Q003989175</t>
  </si>
  <si>
    <t>Mahabhashyam Narsingh Rao</t>
  </si>
  <si>
    <t>16/05/1965</t>
  </si>
  <si>
    <t>02/08/2021</t>
  </si>
  <si>
    <t>Q003989310</t>
  </si>
  <si>
    <t>Mahabhashyam Shailaja</t>
  </si>
  <si>
    <t>19/07/1974</t>
  </si>
  <si>
    <t>Q003989417</t>
  </si>
  <si>
    <t>Gayatri Mahabhashyam</t>
  </si>
  <si>
    <t>30/06/2001</t>
  </si>
  <si>
    <t>A041630757</t>
  </si>
  <si>
    <t>Harkirat Singh</t>
  </si>
  <si>
    <t>17/01/2003</t>
  </si>
  <si>
    <t>A041692251</t>
  </si>
  <si>
    <t>Rinky Ghosh</t>
  </si>
  <si>
    <t>30-07-2003</t>
  </si>
  <si>
    <t>A041692122</t>
  </si>
  <si>
    <t>Ruma Acherya</t>
  </si>
  <si>
    <t>12-04-1997</t>
  </si>
  <si>
    <t>A041740264</t>
  </si>
  <si>
    <t>10-09-1998</t>
  </si>
  <si>
    <t>05-08-2021</t>
  </si>
  <si>
    <t>A041741009</t>
  </si>
  <si>
    <t>Aman Prasad</t>
  </si>
  <si>
    <t>17-07-1998</t>
  </si>
  <si>
    <t>A041813397</t>
  </si>
  <si>
    <t>Manisha Gowra</t>
  </si>
  <si>
    <t>24/07/2003</t>
  </si>
  <si>
    <t>07-08-2021</t>
  </si>
  <si>
    <t>A041814093</t>
  </si>
  <si>
    <t>Kriti Ambasta</t>
  </si>
  <si>
    <t>10-05-2003</t>
  </si>
  <si>
    <t>A041812950</t>
  </si>
  <si>
    <t>GayatriKumari</t>
  </si>
  <si>
    <t>26-10-1989</t>
  </si>
  <si>
    <t>A041814458</t>
  </si>
  <si>
    <t>Naushaba Khatoon</t>
  </si>
  <si>
    <t>31-12-1960</t>
  </si>
  <si>
    <t>Q004034185</t>
  </si>
  <si>
    <t>Prakash Das</t>
  </si>
  <si>
    <t>22/04/1997</t>
  </si>
  <si>
    <t xml:space="preserve">  </t>
  </si>
  <si>
    <t>A041840396</t>
  </si>
  <si>
    <t>Rohit Kumar Tiwary</t>
  </si>
  <si>
    <t>31/03/2001</t>
  </si>
  <si>
    <t>08-08-2021</t>
  </si>
  <si>
    <t>A041839065</t>
  </si>
  <si>
    <t>Saurav Sahu</t>
  </si>
  <si>
    <t>02-07-2003</t>
  </si>
  <si>
    <t>Q004035926</t>
  </si>
  <si>
    <t>Rekha Sethi</t>
  </si>
  <si>
    <t>25/06/1969</t>
  </si>
  <si>
    <t>Prakash Kumar Das</t>
  </si>
  <si>
    <t>A041841381</t>
  </si>
  <si>
    <t>Mohit Kumar Tiwary</t>
  </si>
  <si>
    <t>26/10/2002</t>
  </si>
  <si>
    <t>A041839503</t>
  </si>
  <si>
    <t>Rita Bhakat</t>
  </si>
  <si>
    <t>18-02-1968</t>
  </si>
  <si>
    <t>Q004046787</t>
  </si>
  <si>
    <t>Kriplani Roy</t>
  </si>
  <si>
    <t>09/02/1946</t>
  </si>
  <si>
    <t>10-08-2021</t>
  </si>
  <si>
    <t>A041974324</t>
  </si>
  <si>
    <t>11-08-2021</t>
  </si>
  <si>
    <t>Q004060732</t>
  </si>
  <si>
    <t>Digamber Singh</t>
  </si>
  <si>
    <t>15/02/1984</t>
  </si>
  <si>
    <t>12-08-2021</t>
  </si>
  <si>
    <t>digambersinghjsr77@g</t>
  </si>
  <si>
    <t>A042040416</t>
  </si>
  <si>
    <t>Saraswati Mundi</t>
  </si>
  <si>
    <t>01/05/1995</t>
  </si>
  <si>
    <t>A042039630</t>
  </si>
  <si>
    <t>Renu Hembram</t>
  </si>
  <si>
    <t>16/11/1999</t>
  </si>
  <si>
    <t>renuhembram59@g</t>
  </si>
  <si>
    <t>Q004063628</t>
  </si>
  <si>
    <t>Vibha Ranjan</t>
  </si>
  <si>
    <t>25/01/1984</t>
  </si>
  <si>
    <t>A042120448</t>
  </si>
  <si>
    <t>Abhishek Das</t>
  </si>
  <si>
    <t>03/10/2002</t>
  </si>
  <si>
    <t>14-08-2021</t>
  </si>
  <si>
    <t>abhidas977@g</t>
  </si>
  <si>
    <t>Aniket Kumar</t>
  </si>
  <si>
    <t>25-04-2003</t>
  </si>
  <si>
    <t>aniketani@g</t>
  </si>
  <si>
    <t>A042156117</t>
  </si>
  <si>
    <t>Pawandeep Singh</t>
  </si>
  <si>
    <t>rkaur1591@g</t>
  </si>
  <si>
    <t>A0421462244</t>
  </si>
  <si>
    <t>Shama Anjum</t>
  </si>
  <si>
    <t>17-04-1994</t>
  </si>
  <si>
    <t>fa0071@g</t>
  </si>
  <si>
    <t>A042172099</t>
  </si>
  <si>
    <t>Dipti Thakur</t>
  </si>
  <si>
    <t>05-04-2003</t>
  </si>
  <si>
    <t>15-08-2021</t>
  </si>
  <si>
    <t>A042269709</t>
  </si>
  <si>
    <t>Partha Sarathi Bera</t>
  </si>
  <si>
    <t>07-02-2003</t>
  </si>
  <si>
    <t>17-08-2021</t>
  </si>
  <si>
    <t>A042270419</t>
  </si>
  <si>
    <t>Antima Sahu</t>
  </si>
  <si>
    <t>27-10-1983</t>
  </si>
  <si>
    <t>A042285479</t>
  </si>
  <si>
    <t>Smriti Saxena</t>
  </si>
  <si>
    <t>24-01-2003</t>
  </si>
  <si>
    <t>A042250839</t>
  </si>
  <si>
    <t>Lochan Mahato</t>
  </si>
  <si>
    <t>02-04-2002</t>
  </si>
  <si>
    <t>A042330041</t>
  </si>
  <si>
    <t>Bibek Naik</t>
  </si>
  <si>
    <t>01/06/2004</t>
  </si>
  <si>
    <t>18-08-2021</t>
  </si>
  <si>
    <t>bibeknaik567</t>
  </si>
  <si>
    <t>Q004102195</t>
  </si>
  <si>
    <t>Shiv Rani Mishra</t>
  </si>
  <si>
    <t>11/03/1975</t>
  </si>
  <si>
    <t>21-08-2021</t>
  </si>
  <si>
    <t>A042436206</t>
  </si>
  <si>
    <t>Radha Patra</t>
  </si>
  <si>
    <t>12/01/1965</t>
  </si>
  <si>
    <t>A042436522</t>
  </si>
  <si>
    <t>Kamaljeet Kaur</t>
  </si>
  <si>
    <t>05/05/1959</t>
  </si>
  <si>
    <t>A042436851</t>
  </si>
  <si>
    <t>Sunil Lugun</t>
  </si>
  <si>
    <t>12/09/1997</t>
  </si>
  <si>
    <t>A042437054</t>
  </si>
  <si>
    <t>Deepak Singh Kumar</t>
  </si>
  <si>
    <t>25/03/203</t>
  </si>
  <si>
    <t>A042437380</t>
  </si>
  <si>
    <t>Rajmani Devi</t>
  </si>
  <si>
    <t>23/10/1963</t>
  </si>
  <si>
    <t>A042517534</t>
  </si>
  <si>
    <t>Anisha Kumari</t>
  </si>
  <si>
    <t>13/09/1997</t>
  </si>
  <si>
    <t>23-08-2021</t>
  </si>
  <si>
    <t>A042509723</t>
  </si>
  <si>
    <t>GULNAR PARWEZ</t>
  </si>
  <si>
    <t>02/02/2001</t>
  </si>
  <si>
    <t>Q004135576</t>
  </si>
  <si>
    <t>24/04/1986</t>
  </si>
  <si>
    <t>24-08-2021</t>
  </si>
  <si>
    <t>A042578530</t>
  </si>
  <si>
    <t>Suraj Kumar Dubey</t>
  </si>
  <si>
    <t>01/09/2003</t>
  </si>
  <si>
    <t>A042120559</t>
  </si>
  <si>
    <t>03/11/1942</t>
  </si>
  <si>
    <t>Q004131882</t>
  </si>
  <si>
    <t>Dharmenda Kumar Singh</t>
  </si>
  <si>
    <t>10/05/1972</t>
  </si>
  <si>
    <t>A042560349</t>
  </si>
  <si>
    <t>Sejal Singh</t>
  </si>
  <si>
    <t>A042564863</t>
  </si>
  <si>
    <t>Shakti Dhibar</t>
  </si>
  <si>
    <t>02/07/2004</t>
  </si>
  <si>
    <t>A042671255</t>
  </si>
  <si>
    <t>Masiur Rahman</t>
  </si>
  <si>
    <t>29/10/1999</t>
  </si>
  <si>
    <t>26-08-2021</t>
  </si>
  <si>
    <t>Q004148451</t>
  </si>
  <si>
    <t>Diya Ray</t>
  </si>
  <si>
    <t>01/08/2001</t>
  </si>
  <si>
    <t>A042670907</t>
  </si>
  <si>
    <t>Shaheen Perween</t>
  </si>
  <si>
    <t>10/10/2001</t>
  </si>
  <si>
    <t>A042675080</t>
  </si>
  <si>
    <t>Durga Das</t>
  </si>
  <si>
    <t>05/04/1995</t>
  </si>
  <si>
    <t>A042786825</t>
  </si>
  <si>
    <t>Rishika Sahay</t>
  </si>
  <si>
    <t>08/08/2000</t>
  </si>
  <si>
    <t>29-08-2021</t>
  </si>
  <si>
    <t>A042754510</t>
  </si>
  <si>
    <t>14/05/1997</t>
  </si>
  <si>
    <t>at local</t>
  </si>
  <si>
    <t>Delivered to party</t>
  </si>
  <si>
    <t>A042753783</t>
  </si>
  <si>
    <t>Santoshi Devi</t>
  </si>
  <si>
    <t>21/11/1991</t>
  </si>
  <si>
    <t>30-08-2021</t>
  </si>
  <si>
    <t>A042834543</t>
  </si>
  <si>
    <t>Ritik Kumar Srivastava</t>
  </si>
  <si>
    <t>13/07/2003</t>
  </si>
  <si>
    <t>A042836013</t>
  </si>
  <si>
    <t>Sabitri Sharma</t>
  </si>
  <si>
    <t>Harsh Vardhan Singh</t>
  </si>
  <si>
    <t>Q004159466</t>
  </si>
  <si>
    <t>Mohammad Irshad Ansari</t>
  </si>
  <si>
    <t>03/03/1991</t>
  </si>
  <si>
    <t>Q004176340</t>
  </si>
  <si>
    <t>07/07/1975</t>
  </si>
  <si>
    <t>02-08-2021</t>
  </si>
  <si>
    <t>A042975255</t>
  </si>
  <si>
    <t>Shikha Sharma</t>
  </si>
  <si>
    <t>02-09-2021</t>
  </si>
  <si>
    <t>A042975757</t>
  </si>
  <si>
    <t>Bharat Forai</t>
  </si>
  <si>
    <t>Q004186219</t>
  </si>
  <si>
    <t>Saiyed Tajuddin</t>
  </si>
  <si>
    <t>17/05/1966</t>
  </si>
  <si>
    <t>Q004176293</t>
  </si>
  <si>
    <t>MAHABHASHYAM NARSINGH RAO</t>
  </si>
  <si>
    <t>Q004189303</t>
  </si>
  <si>
    <t>Amzad Khan</t>
  </si>
  <si>
    <t>15/12/1980</t>
  </si>
  <si>
    <t>03-09-2021</t>
  </si>
  <si>
    <t>A042991803</t>
  </si>
  <si>
    <t>Priyanshu Mishra</t>
  </si>
  <si>
    <t>15/06/2003</t>
  </si>
  <si>
    <t>Nharat Gorai</t>
  </si>
  <si>
    <t>1/01/1973</t>
  </si>
  <si>
    <t>Q004191021</t>
  </si>
  <si>
    <t>Khursheed Mansuree</t>
  </si>
  <si>
    <t>30/07/1999</t>
  </si>
  <si>
    <t>Q004194905</t>
  </si>
  <si>
    <t>Sonali Deb</t>
  </si>
  <si>
    <t>15/01/1969</t>
  </si>
  <si>
    <t>Q004194677</t>
  </si>
  <si>
    <t>Bidhan Chandra Deb</t>
  </si>
  <si>
    <t>29/10/1958</t>
  </si>
  <si>
    <t>Q004196114</t>
  </si>
  <si>
    <t>Binod Kumar Mahanty</t>
  </si>
  <si>
    <t>10/01/1969</t>
  </si>
  <si>
    <t>04-09-2021</t>
  </si>
  <si>
    <t>Rangit Mukhi</t>
  </si>
  <si>
    <t>10/05/1995</t>
  </si>
  <si>
    <t>06-09-2021</t>
  </si>
  <si>
    <t>A043157609</t>
  </si>
  <si>
    <t>Bipu Rani Singh Sardar</t>
  </si>
  <si>
    <t>03/06/1988</t>
  </si>
  <si>
    <t>A043064161</t>
  </si>
  <si>
    <t>Neesha</t>
  </si>
  <si>
    <t>Q004215967</t>
  </si>
  <si>
    <t>10/05/1992</t>
  </si>
  <si>
    <t>A043182057</t>
  </si>
  <si>
    <t>Himanshu Kumar Gupta</t>
  </si>
  <si>
    <t>14/07/2003</t>
  </si>
  <si>
    <t>A042992004</t>
  </si>
  <si>
    <t>Abhishek Paul</t>
  </si>
  <si>
    <t>20/08/2000</t>
  </si>
  <si>
    <t>A043181124</t>
  </si>
  <si>
    <t>Sarthak Pandey</t>
  </si>
  <si>
    <t>19/12/2002</t>
  </si>
  <si>
    <t>P Padma Nair</t>
  </si>
  <si>
    <t>10/01/1988</t>
  </si>
  <si>
    <t>08-09-2021</t>
  </si>
  <si>
    <t>A043236424</t>
  </si>
  <si>
    <t>Shankar Panchabhaya</t>
  </si>
  <si>
    <t>29/08/1988</t>
  </si>
  <si>
    <t>Q004225928</t>
  </si>
  <si>
    <t>Vikram Tiwari</t>
  </si>
  <si>
    <t>17/09/1993</t>
  </si>
  <si>
    <t>A043263290</t>
  </si>
  <si>
    <t>Hema Rani Sharma</t>
  </si>
  <si>
    <t>18/11/1982</t>
  </si>
  <si>
    <t>A043263540</t>
  </si>
  <si>
    <t>Rishav Raj</t>
  </si>
  <si>
    <t>A043263820</t>
  </si>
  <si>
    <t>Ravi Abhay Kumar</t>
  </si>
  <si>
    <t>01/01/2003</t>
  </si>
  <si>
    <t>Q004225843</t>
  </si>
  <si>
    <t>Umrawati Devi</t>
  </si>
  <si>
    <t>26/06/1957</t>
  </si>
  <si>
    <t>Q004225900</t>
  </si>
  <si>
    <t>Dewanti Devi</t>
  </si>
  <si>
    <t>12/05/1963</t>
  </si>
  <si>
    <t>Q004232002</t>
  </si>
  <si>
    <t>Nand Gopal Singh</t>
  </si>
  <si>
    <t>15/12/1981</t>
  </si>
  <si>
    <t>09-09-2021</t>
  </si>
  <si>
    <t>A043235756</t>
  </si>
  <si>
    <t>Chhabi Rani mahato</t>
  </si>
  <si>
    <t>12/08/1990</t>
  </si>
  <si>
    <t>Q004232358</t>
  </si>
  <si>
    <t>Q004232586</t>
  </si>
  <si>
    <t>A043280441</t>
  </si>
  <si>
    <t>Ruby Devi</t>
  </si>
  <si>
    <t>26/01/1988</t>
  </si>
  <si>
    <t>A043263988</t>
  </si>
  <si>
    <t>Gulabi Devi</t>
  </si>
  <si>
    <t>31/12/1944</t>
  </si>
  <si>
    <t>Q004235081</t>
  </si>
  <si>
    <t>Mona Karwa</t>
  </si>
  <si>
    <t>28/03/1989</t>
  </si>
  <si>
    <t>A043338351</t>
  </si>
  <si>
    <t>Zeba Perween</t>
  </si>
  <si>
    <t>26-03-1994</t>
  </si>
  <si>
    <t>11-09-2021</t>
  </si>
  <si>
    <t>Q004244530</t>
  </si>
  <si>
    <t>Ranjit Kumar Nandi</t>
  </si>
  <si>
    <t>15/01/1968</t>
  </si>
  <si>
    <t>A043315306</t>
  </si>
  <si>
    <t>Harshit Karn</t>
  </si>
  <si>
    <t>10/08/2003</t>
  </si>
  <si>
    <t>A043317635</t>
  </si>
  <si>
    <t>Radhika Devi</t>
  </si>
  <si>
    <t>04/05/1948</t>
  </si>
  <si>
    <t>A043339098</t>
  </si>
  <si>
    <t>Ashutosh Singh</t>
  </si>
  <si>
    <t>19/11/2002</t>
  </si>
  <si>
    <t>A043339378</t>
  </si>
  <si>
    <t>Q004246447</t>
  </si>
  <si>
    <t>Ajit Kumar Singh</t>
  </si>
  <si>
    <t>07/08/1992</t>
  </si>
  <si>
    <t>A043354833</t>
  </si>
  <si>
    <t>Pinki Binet</t>
  </si>
  <si>
    <t>15/12/1983</t>
  </si>
  <si>
    <t>A043420198</t>
  </si>
  <si>
    <t>10-12-1969</t>
  </si>
  <si>
    <t>13-09-2021</t>
  </si>
  <si>
    <t>A043422213</t>
  </si>
  <si>
    <t>Md Aftab</t>
  </si>
  <si>
    <t>A043421515</t>
  </si>
  <si>
    <t>Lawrence Gabrel</t>
  </si>
  <si>
    <t>10-08-1982</t>
  </si>
  <si>
    <t>A043486181</t>
  </si>
  <si>
    <t>Aaliya Perween</t>
  </si>
  <si>
    <t>14-01-2003</t>
  </si>
  <si>
    <t>14-09-2021</t>
  </si>
  <si>
    <t>A043475522</t>
  </si>
  <si>
    <t>17-10-1987</t>
  </si>
  <si>
    <t>a043534571</t>
  </si>
  <si>
    <t>Sandhya Dutta</t>
  </si>
  <si>
    <t>17-08-1951</t>
  </si>
  <si>
    <t>15-09-2021</t>
  </si>
  <si>
    <t>A043534894</t>
  </si>
  <si>
    <t>Rani Karmakar</t>
  </si>
  <si>
    <t>15-12-1995</t>
  </si>
  <si>
    <t>16-09-2021</t>
  </si>
  <si>
    <t>Q004271746</t>
  </si>
  <si>
    <t>Jagan Kumar Das</t>
  </si>
  <si>
    <t>09-04-2001</t>
  </si>
  <si>
    <t>A043531486</t>
  </si>
  <si>
    <t>Shobha Singh</t>
  </si>
  <si>
    <t>23-06-2001</t>
  </si>
  <si>
    <t>A043535236</t>
  </si>
  <si>
    <t>Kalpana Devi</t>
  </si>
  <si>
    <t>A043531927</t>
  </si>
  <si>
    <t>Rajia Khatoon</t>
  </si>
  <si>
    <t>02/08/1982</t>
  </si>
  <si>
    <t>A043532445</t>
  </si>
  <si>
    <t>Saleha Khatoon</t>
  </si>
  <si>
    <t>A043569443</t>
  </si>
  <si>
    <t>12/12/1983</t>
  </si>
  <si>
    <t>A043569696</t>
  </si>
  <si>
    <t>Dolly Gope</t>
  </si>
  <si>
    <t>19/03/2003</t>
  </si>
  <si>
    <t>dhirendranathgope54</t>
  </si>
  <si>
    <t>A043569907</t>
  </si>
  <si>
    <t>19/05/2003</t>
  </si>
  <si>
    <t>ayushsingh8235</t>
  </si>
  <si>
    <t>Q004277857</t>
  </si>
  <si>
    <t>Raj Kumar</t>
  </si>
  <si>
    <t>31/03/1976</t>
  </si>
  <si>
    <t>Q004277591</t>
  </si>
  <si>
    <t>Ankita Bharti</t>
  </si>
  <si>
    <t>16/06/1996</t>
  </si>
  <si>
    <t>Q004276920</t>
  </si>
  <si>
    <t>Kusum Kunwar</t>
  </si>
  <si>
    <t>25/01/1978</t>
  </si>
  <si>
    <t>Q004281037</t>
  </si>
  <si>
    <t>Sandeep Jhangol</t>
  </si>
  <si>
    <t>10/02/1986</t>
  </si>
  <si>
    <t>18-09-2021</t>
  </si>
  <si>
    <t>A043648902</t>
  </si>
  <si>
    <t>Ashish Raj Singh</t>
  </si>
  <si>
    <t>22/07/2003</t>
  </si>
  <si>
    <t>a043768238</t>
  </si>
  <si>
    <t>Rishav Kumar</t>
  </si>
  <si>
    <t>05/07/1998</t>
  </si>
  <si>
    <t>21-09-2021</t>
  </si>
  <si>
    <t>A043767694</t>
  </si>
  <si>
    <t>Aman Singh</t>
  </si>
  <si>
    <t>18/09/1997</t>
  </si>
  <si>
    <t>Q004302044</t>
  </si>
  <si>
    <t>Kanaklata Devi</t>
  </si>
  <si>
    <t>18/05/1981</t>
  </si>
  <si>
    <t>A043837785</t>
  </si>
  <si>
    <t>Sanchuri Munda</t>
  </si>
  <si>
    <t>19/08/1986</t>
  </si>
  <si>
    <t>23-09-2021</t>
  </si>
  <si>
    <t>A043891659</t>
  </si>
  <si>
    <t>Naila Rahman</t>
  </si>
  <si>
    <t>01-03-1984</t>
  </si>
  <si>
    <t>Q004326111</t>
  </si>
  <si>
    <t>SUNIL KUMAR SHARMA</t>
  </si>
  <si>
    <t>20/04/1976</t>
  </si>
  <si>
    <t>24-09-2021</t>
  </si>
  <si>
    <t>A043930902</t>
  </si>
  <si>
    <t>Nabirun Nisa</t>
  </si>
  <si>
    <t>25-09-2021</t>
  </si>
  <si>
    <t>Sunil Sharma</t>
  </si>
  <si>
    <t>Q004333019</t>
  </si>
  <si>
    <t>NASRIN KHATOON</t>
  </si>
  <si>
    <t>17/08/1977</t>
  </si>
  <si>
    <t>EGFPK3527M</t>
  </si>
  <si>
    <t>Zulekha Parween</t>
  </si>
  <si>
    <t>Fathername Missing</t>
  </si>
  <si>
    <t>Q004335536</t>
  </si>
  <si>
    <t>Mohammad Adnan Akhtar</t>
  </si>
  <si>
    <t>04/03/1983</t>
  </si>
  <si>
    <t>Nasrin Khatoon</t>
  </si>
  <si>
    <t>25/09/1977</t>
  </si>
  <si>
    <t>Q004342955</t>
  </si>
  <si>
    <t>Pabir Devi</t>
  </si>
  <si>
    <t>20/06/1952</t>
  </si>
  <si>
    <t>27-09-2021</t>
  </si>
  <si>
    <t>A044041122</t>
  </si>
  <si>
    <t>Ishrat Khatoon</t>
  </si>
  <si>
    <t>14/04/1967</t>
  </si>
  <si>
    <t>A044046132</t>
  </si>
  <si>
    <t>Q004350734</t>
  </si>
  <si>
    <t>01/03/1983</t>
  </si>
  <si>
    <t>28-09-2021</t>
  </si>
  <si>
    <t>annex-?</t>
  </si>
  <si>
    <t>A044111857</t>
  </si>
  <si>
    <t>Sanju Sardar</t>
  </si>
  <si>
    <t>Q004350497</t>
  </si>
  <si>
    <t>Hassan Ahmad</t>
  </si>
  <si>
    <t>18-08-1957</t>
  </si>
  <si>
    <t>A044162789</t>
  </si>
  <si>
    <t>30-09-2021</t>
  </si>
  <si>
    <t>A044162006</t>
  </si>
  <si>
    <t>Rani Sardar</t>
  </si>
  <si>
    <t>Q044116971</t>
  </si>
  <si>
    <t>A044242587</t>
  </si>
  <si>
    <t>Shilpa Ganguly</t>
  </si>
  <si>
    <t>08/02/2002</t>
  </si>
  <si>
    <t>01-10-2021</t>
  </si>
  <si>
    <t>A044207562</t>
  </si>
  <si>
    <t>Afsana Perween</t>
  </si>
  <si>
    <t>05/10/1999</t>
  </si>
  <si>
    <t>A044206994</t>
  </si>
  <si>
    <t>Rukhsena Perween</t>
  </si>
  <si>
    <t>30/06/1998</t>
  </si>
  <si>
    <t>A044280594</t>
  </si>
  <si>
    <t>Mina Devi</t>
  </si>
  <si>
    <t>02-10-2021</t>
  </si>
  <si>
    <t>A044305540</t>
  </si>
  <si>
    <t>Keya Banerjee</t>
  </si>
  <si>
    <t>25-11-1960</t>
  </si>
  <si>
    <t>03-10-2021</t>
  </si>
  <si>
    <t>Q004387802</t>
  </si>
  <si>
    <t>Mamata Mitra</t>
  </si>
  <si>
    <t>03-01-1977</t>
  </si>
  <si>
    <t>04-10-2021</t>
  </si>
  <si>
    <t>Q004221743</t>
  </si>
  <si>
    <t>Ekram Ulla</t>
  </si>
  <si>
    <t>05-08-1975</t>
  </si>
  <si>
    <t>Q004387472</t>
  </si>
  <si>
    <t>28-04-1968</t>
  </si>
  <si>
    <t>A044438603</t>
  </si>
  <si>
    <t>Akasnsha Sinha</t>
  </si>
  <si>
    <t>03-07-2003</t>
  </si>
  <si>
    <t>akansha250311</t>
  </si>
  <si>
    <t>A044439423</t>
  </si>
  <si>
    <t>Tilottama Gorai</t>
  </si>
  <si>
    <t>01/01/1955</t>
  </si>
  <si>
    <t>Kalpana</t>
  </si>
  <si>
    <t>A044441908</t>
  </si>
  <si>
    <t>10/02/2001</t>
  </si>
  <si>
    <t>A044442667</t>
  </si>
  <si>
    <t>Priyanshu Kumar Anand</t>
  </si>
  <si>
    <t>29-10-2002</t>
  </si>
  <si>
    <t>Q004393581</t>
  </si>
  <si>
    <t>Ashish Pandey</t>
  </si>
  <si>
    <t>26-03-1985</t>
  </si>
  <si>
    <t>A044443299</t>
  </si>
  <si>
    <t>Suman Lohar</t>
  </si>
  <si>
    <t>16-05-1992</t>
  </si>
  <si>
    <t>A044513860</t>
  </si>
  <si>
    <t>Amrit Singh</t>
  </si>
  <si>
    <t>02-03-2002</t>
  </si>
  <si>
    <t>08-10-2021</t>
  </si>
  <si>
    <t>A044443772</t>
  </si>
  <si>
    <t>01-11-1977</t>
  </si>
  <si>
    <t>07-10-2021</t>
  </si>
  <si>
    <t>A044498116</t>
  </si>
  <si>
    <t>05-08-1979</t>
  </si>
  <si>
    <t>A044482139</t>
  </si>
  <si>
    <t>Shila Devi</t>
  </si>
  <si>
    <t>A044560601</t>
  </si>
  <si>
    <t>Simran Kaur Chaddha</t>
  </si>
  <si>
    <t>21-06-2001</t>
  </si>
  <si>
    <t>09-10-2021</t>
  </si>
  <si>
    <t>A044586017</t>
  </si>
  <si>
    <t>Baha Mardi</t>
  </si>
  <si>
    <t>10-10-2021</t>
  </si>
  <si>
    <t>Q004417353</t>
  </si>
  <si>
    <t>Bijay Kalundia</t>
  </si>
  <si>
    <t>05/09/1994</t>
  </si>
  <si>
    <t>Q004429138</t>
  </si>
  <si>
    <t>Sukhdev Singh</t>
  </si>
  <si>
    <t>10-01-1981</t>
  </si>
  <si>
    <t>12-10-2021</t>
  </si>
  <si>
    <t>A044713571</t>
  </si>
  <si>
    <t>Habibur Rahman</t>
  </si>
  <si>
    <t>15-03-2001</t>
  </si>
  <si>
    <t>13-10-2021</t>
  </si>
  <si>
    <t>A044714781</t>
  </si>
  <si>
    <t>01-01-1961</t>
  </si>
  <si>
    <t>A044548929</t>
  </si>
  <si>
    <t>Arshad Khan</t>
  </si>
  <si>
    <t>22-10-2001</t>
  </si>
  <si>
    <t>Q004438122</t>
  </si>
  <si>
    <t>Dharmendra Pandit</t>
  </si>
  <si>
    <t>15/07/1988</t>
  </si>
  <si>
    <t>Q004442114</t>
  </si>
  <si>
    <t>Chandra shekhar prasad srivastava</t>
  </si>
  <si>
    <t>12-03-1945</t>
  </si>
  <si>
    <t>14-10-2021</t>
  </si>
  <si>
    <t>A044829109</t>
  </si>
  <si>
    <t>shankar mukhi</t>
  </si>
  <si>
    <t>16-10-2021</t>
  </si>
  <si>
    <t>A044829459</t>
  </si>
  <si>
    <t>Laxmi Ravidas</t>
  </si>
  <si>
    <t>03-11-199</t>
  </si>
  <si>
    <t>A044838210</t>
  </si>
  <si>
    <t>Yashoda Mahato</t>
  </si>
  <si>
    <t>17-10-2021</t>
  </si>
  <si>
    <t>A044858419</t>
  </si>
  <si>
    <t>Prabhjot Kaur</t>
  </si>
  <si>
    <t>10-09-1977</t>
  </si>
  <si>
    <t>18-10-2021</t>
  </si>
  <si>
    <t>jagjeetcady2000@g</t>
  </si>
  <si>
    <t>Q004451946</t>
  </si>
  <si>
    <t>Gaytri Devi</t>
  </si>
  <si>
    <t>Q004102032</t>
  </si>
  <si>
    <t>Kalicharan Singh</t>
  </si>
  <si>
    <t>Q004460008</t>
  </si>
  <si>
    <t>Moni Bose</t>
  </si>
  <si>
    <t>06/1/1970</t>
  </si>
  <si>
    <t>A044888414</t>
  </si>
  <si>
    <t>Avinash Sharma</t>
  </si>
  <si>
    <t>30-03-2003</t>
  </si>
  <si>
    <t>A044931165</t>
  </si>
  <si>
    <t>Reshmi Parween</t>
  </si>
  <si>
    <t>19-10-2021</t>
  </si>
  <si>
    <t>adeenkhan25@g</t>
  </si>
  <si>
    <t>Q004467230</t>
  </si>
  <si>
    <t>Ipshita Gupta Bakshi</t>
  </si>
  <si>
    <t>29/02/1988</t>
  </si>
  <si>
    <t>Q004467155</t>
  </si>
  <si>
    <t>Amirn Khan</t>
  </si>
  <si>
    <t>02/02/1972</t>
  </si>
  <si>
    <t>adeenkhan2t@</t>
  </si>
  <si>
    <t>A044931094</t>
  </si>
  <si>
    <t>Devansh Tiwary</t>
  </si>
  <si>
    <t>24/09/2003</t>
  </si>
  <si>
    <t>devanshtiwary2492g</t>
  </si>
  <si>
    <t>A044931251</t>
  </si>
  <si>
    <t>Homa Naznin</t>
  </si>
  <si>
    <t>12-02-1996</t>
  </si>
  <si>
    <t>homanaznin@</t>
  </si>
  <si>
    <t>Q004467187</t>
  </si>
  <si>
    <t>Rani Devi</t>
  </si>
  <si>
    <t>santosh.hiteshrani92@</t>
  </si>
  <si>
    <t>A045002142</t>
  </si>
  <si>
    <t>Sangita Kumari</t>
  </si>
  <si>
    <t>27-12-2021</t>
  </si>
  <si>
    <t>21-10-2021</t>
  </si>
  <si>
    <t>sangitak636@g</t>
  </si>
  <si>
    <t>Q004479765</t>
  </si>
  <si>
    <t>Jerome Stephen</t>
  </si>
  <si>
    <t>30-09-1954</t>
  </si>
  <si>
    <t>22-10-201</t>
  </si>
  <si>
    <t>Q004479834</t>
  </si>
  <si>
    <t>09-09-1976</t>
  </si>
  <si>
    <t>Q004481207</t>
  </si>
  <si>
    <t>01-03-1983</t>
  </si>
  <si>
    <t>A045029776</t>
  </si>
  <si>
    <t>Paltan Soren</t>
  </si>
  <si>
    <t>07-12-1995</t>
  </si>
  <si>
    <t>A045030177</t>
  </si>
  <si>
    <t>Selina Kujur</t>
  </si>
  <si>
    <t>02-10-1993</t>
  </si>
  <si>
    <t>A045014403</t>
  </si>
  <si>
    <t>Mukush Tudu</t>
  </si>
  <si>
    <t>15-11-1996</t>
  </si>
  <si>
    <t>A045029440</t>
  </si>
  <si>
    <t>Anju Devi</t>
  </si>
  <si>
    <t>A044966062</t>
  </si>
  <si>
    <t>Anita Devi</t>
  </si>
  <si>
    <t>05-01-1971</t>
  </si>
  <si>
    <t>A044951806</t>
  </si>
  <si>
    <t>Tushar Indra</t>
  </si>
  <si>
    <t>11-09-2003</t>
  </si>
  <si>
    <t>A044930043</t>
  </si>
  <si>
    <t>Gopal Akhila</t>
  </si>
  <si>
    <t>29-09-1999</t>
  </si>
  <si>
    <t>A045122055</t>
  </si>
  <si>
    <t>Sonamoni Giri</t>
  </si>
  <si>
    <t>03-07-1998</t>
  </si>
  <si>
    <t>25-10-2021</t>
  </si>
  <si>
    <t>a045122630</t>
  </si>
  <si>
    <t>Purnima Saha</t>
  </si>
  <si>
    <t>01-01-1977</t>
  </si>
  <si>
    <t>A045122343</t>
  </si>
  <si>
    <t>Dharm Shila Devi</t>
  </si>
  <si>
    <t>06-08-1952</t>
  </si>
  <si>
    <t>A045210607</t>
  </si>
  <si>
    <t>Juhi Khanam</t>
  </si>
  <si>
    <t>15-02-1996</t>
  </si>
  <si>
    <t>27-10-2021</t>
  </si>
  <si>
    <t>Amin Khan</t>
  </si>
  <si>
    <t>02-02-1972</t>
  </si>
  <si>
    <t>Q004495901</t>
  </si>
  <si>
    <t>Deepak Sahu</t>
  </si>
  <si>
    <t>29-10-2021</t>
  </si>
  <si>
    <t>Q004517231</t>
  </si>
  <si>
    <t>Nitinkumar Prakash Patil</t>
  </si>
  <si>
    <t>12/12/1979</t>
  </si>
  <si>
    <t>Q004517221</t>
  </si>
  <si>
    <t>Sanjay Kumar Sharma</t>
  </si>
  <si>
    <t>30/05/1972</t>
  </si>
  <si>
    <t>A045258896</t>
  </si>
  <si>
    <t>03-05-1999</t>
  </si>
  <si>
    <t>Q004517224</t>
  </si>
  <si>
    <t>Shaukat Ali</t>
  </si>
  <si>
    <t>27-12-1990</t>
  </si>
  <si>
    <t>Ispshita Gupta Bakshi</t>
  </si>
  <si>
    <t>29-02-1988</t>
  </si>
  <si>
    <t>A045258934</t>
  </si>
  <si>
    <t>Divya Kumari</t>
  </si>
  <si>
    <t>30-07-2004</t>
  </si>
  <si>
    <t>A045258886</t>
  </si>
  <si>
    <t>Surbhi Singh</t>
  </si>
  <si>
    <t>A045258892</t>
  </si>
  <si>
    <t>Mahak Singh</t>
  </si>
  <si>
    <t>10-06-2003</t>
  </si>
  <si>
    <t>A045320834</t>
  </si>
  <si>
    <t>Sameer Ahmed</t>
  </si>
  <si>
    <t>07-01-2001</t>
  </si>
  <si>
    <t>30-10-2021</t>
  </si>
  <si>
    <t>A045319701</t>
  </si>
  <si>
    <t>Jyoti Raj Sinha</t>
  </si>
  <si>
    <t>17-11-2001</t>
  </si>
  <si>
    <t>A045320113</t>
  </si>
  <si>
    <t>Akriti Prasad</t>
  </si>
  <si>
    <t>15-10-2003</t>
  </si>
  <si>
    <t>Q004524650</t>
  </si>
  <si>
    <t>Sarbjeet Kour</t>
  </si>
  <si>
    <t>05-12-1974</t>
  </si>
  <si>
    <t>Q004525652</t>
  </si>
  <si>
    <t>Tapas Das</t>
  </si>
  <si>
    <t>17-03-1999</t>
  </si>
  <si>
    <t>Q004517227</t>
  </si>
  <si>
    <t>Mukesh Tudu</t>
  </si>
  <si>
    <t>A045321535</t>
  </si>
  <si>
    <t>Irfan Shadan</t>
  </si>
  <si>
    <t>08-10-2000</t>
  </si>
  <si>
    <t>A045340629</t>
  </si>
  <si>
    <t>Suman Mishra</t>
  </si>
  <si>
    <t>01/07/1985</t>
  </si>
  <si>
    <t>ajaym031974@g</t>
  </si>
  <si>
    <t>A045339908</t>
  </si>
  <si>
    <t>Sushila Lohar</t>
  </si>
  <si>
    <t>19/01/1985</t>
  </si>
  <si>
    <t>A045338648</t>
  </si>
  <si>
    <t>Reshm Ara</t>
  </si>
  <si>
    <t>29/03/2003</t>
  </si>
  <si>
    <t>araanam3@g</t>
  </si>
  <si>
    <t>A045353785</t>
  </si>
  <si>
    <t>Khiro Munda</t>
  </si>
  <si>
    <t>31-10-2021</t>
  </si>
  <si>
    <t>Q004537330</t>
  </si>
  <si>
    <t>01-11-2021</t>
  </si>
  <si>
    <t>Q004537272</t>
  </si>
  <si>
    <t>Madhabananda Mohanty</t>
  </si>
  <si>
    <t>26/01/1950</t>
  </si>
  <si>
    <t>Q004532880</t>
  </si>
  <si>
    <t>14/11/1999</t>
  </si>
  <si>
    <t>A045474096</t>
  </si>
  <si>
    <t>Puja Pramanik</t>
  </si>
  <si>
    <t>09/01/1999</t>
  </si>
  <si>
    <t>03-11-2021</t>
  </si>
  <si>
    <t>A045473675</t>
  </si>
  <si>
    <t>Gita Bivar</t>
  </si>
  <si>
    <t>13-10-1990</t>
  </si>
  <si>
    <t>A045483108</t>
  </si>
  <si>
    <t>Monika Mahato</t>
  </si>
  <si>
    <t>04-03-1990</t>
  </si>
  <si>
    <t>04-11-2021</t>
  </si>
  <si>
    <t>mahatoshailendra45@</t>
  </si>
  <si>
    <t>A045541020</t>
  </si>
  <si>
    <t>14/02/2000</t>
  </si>
  <si>
    <t>06-11-2021</t>
  </si>
  <si>
    <t>Q004559146</t>
  </si>
  <si>
    <t>Anshu Shrma</t>
  </si>
  <si>
    <t>20-09-1986</t>
  </si>
  <si>
    <t>Q004559181</t>
  </si>
  <si>
    <t>Tarak Nath Sharma</t>
  </si>
  <si>
    <t>02-01-1982</t>
  </si>
  <si>
    <t>Q004559279</t>
  </si>
  <si>
    <t>Saloni Devi</t>
  </si>
  <si>
    <t>15-01-1969</t>
  </si>
  <si>
    <t>A045548526</t>
  </si>
  <si>
    <t>Meera Devi</t>
  </si>
  <si>
    <t>01-12-1980</t>
  </si>
  <si>
    <t>Q004573472</t>
  </si>
  <si>
    <t>Laljee Prasad Sharma</t>
  </si>
  <si>
    <t>12-10-1963</t>
  </si>
  <si>
    <t>09-11-2021</t>
  </si>
  <si>
    <t>laljeeprasad59@gma</t>
  </si>
  <si>
    <t>A045626857</t>
  </si>
  <si>
    <t>Durga Roy</t>
  </si>
  <si>
    <t>11-04-1956</t>
  </si>
  <si>
    <t>A045627671</t>
  </si>
  <si>
    <t>Hewanti Singh</t>
  </si>
  <si>
    <t>hewantisingh1957</t>
  </si>
  <si>
    <t>A045637976</t>
  </si>
  <si>
    <t>Shankar Majhi</t>
  </si>
  <si>
    <t>A045648311</t>
  </si>
  <si>
    <t>Veer Sandil</t>
  </si>
  <si>
    <t>27-03-2003</t>
  </si>
  <si>
    <t>Q004575182</t>
  </si>
  <si>
    <t>Basmato Devi</t>
  </si>
  <si>
    <t>25-04-1940</t>
  </si>
  <si>
    <t>A045737972</t>
  </si>
  <si>
    <t>Pooja Mahato</t>
  </si>
  <si>
    <t>03-02-2003</t>
  </si>
  <si>
    <t>12-11-2021</t>
  </si>
  <si>
    <t>A04566258</t>
  </si>
  <si>
    <t>Nidhi Gandhi</t>
  </si>
  <si>
    <t>17-02-1985</t>
  </si>
  <si>
    <t>10-11-2021</t>
  </si>
  <si>
    <t>gandhitml332@g</t>
  </si>
  <si>
    <t>A045654974</t>
  </si>
  <si>
    <t>Rajan Samad</t>
  </si>
  <si>
    <t>18-11-1997</t>
  </si>
  <si>
    <t>A045818911</t>
  </si>
  <si>
    <t>Nishant Kumar</t>
  </si>
  <si>
    <t>09-09-1999</t>
  </si>
  <si>
    <t>14-11-2021</t>
  </si>
  <si>
    <t>A045821645</t>
  </si>
  <si>
    <t>Pitambar Mahato</t>
  </si>
  <si>
    <t>A045821992</t>
  </si>
  <si>
    <t>Tarani Mahato</t>
  </si>
  <si>
    <t>12/09/1995</t>
  </si>
  <si>
    <t>A045905906</t>
  </si>
  <si>
    <t>Sohana Begum</t>
  </si>
  <si>
    <t>11-07-1994</t>
  </si>
  <si>
    <t>16-11-2021</t>
  </si>
  <si>
    <t>emailed</t>
  </si>
  <si>
    <t>sohanabegum96@gma</t>
  </si>
  <si>
    <t>Q004614059</t>
  </si>
  <si>
    <t>Akhilesh Kumar</t>
  </si>
  <si>
    <t>07-07-1986</t>
  </si>
  <si>
    <t>17-11-2021</t>
  </si>
  <si>
    <t>bemneinfinity@re</t>
  </si>
  <si>
    <t>Q004614751</t>
  </si>
  <si>
    <t>Mirza Siddique Ali beg</t>
  </si>
  <si>
    <t>25-03-1978</t>
  </si>
  <si>
    <t>mirzaalibeg758@g</t>
  </si>
  <si>
    <t>Q004619268</t>
  </si>
  <si>
    <t>mohammad Shahab Khalid Quasmi</t>
  </si>
  <si>
    <t>25-01-1961</t>
  </si>
  <si>
    <t>s.khalid268973@g</t>
  </si>
  <si>
    <t>A045892903</t>
  </si>
  <si>
    <t>Ranjeet Kaur</t>
  </si>
  <si>
    <t>05-08-1976</t>
  </si>
  <si>
    <t>rkaur1591@gma</t>
  </si>
  <si>
    <t>Q004612682</t>
  </si>
  <si>
    <t>sanjoymitra1977@g</t>
  </si>
  <si>
    <t>A045987071</t>
  </si>
  <si>
    <t>Deep Das</t>
  </si>
  <si>
    <t>26-10-2003</t>
  </si>
  <si>
    <t>18-11-2021</t>
  </si>
  <si>
    <t>deep26102003@</t>
  </si>
  <si>
    <t>Q004619521</t>
  </si>
  <si>
    <t>Bijan Kumar Dutta</t>
  </si>
  <si>
    <t>18-05-1954</t>
  </si>
  <si>
    <t>bkduttatelco@g</t>
  </si>
  <si>
    <t>A045886957</t>
  </si>
  <si>
    <t>Manish Kumar Sharma</t>
  </si>
  <si>
    <t>15-02-2000</t>
  </si>
  <si>
    <t>15-11-2021</t>
  </si>
  <si>
    <t>manishsharma22456</t>
  </si>
  <si>
    <t>Q004619483</t>
  </si>
  <si>
    <t>Subasish Ghosh</t>
  </si>
  <si>
    <t>28-01-1982</t>
  </si>
  <si>
    <t>Q004619590</t>
  </si>
  <si>
    <t>Sabitry Munda</t>
  </si>
  <si>
    <t>A045995186</t>
  </si>
  <si>
    <t>Sampato Devi</t>
  </si>
  <si>
    <t>01-01-1949</t>
  </si>
  <si>
    <t>jitendray978@g</t>
  </si>
  <si>
    <t>Q004620961</t>
  </si>
  <si>
    <t>Arindam mitra</t>
  </si>
  <si>
    <t>29-10-1964</t>
  </si>
  <si>
    <t>arindammitra497@g</t>
  </si>
  <si>
    <t>A045996949</t>
  </si>
  <si>
    <t>Sneha Kumari</t>
  </si>
  <si>
    <t>13-02-2003</t>
  </si>
  <si>
    <t>A046029369</t>
  </si>
  <si>
    <t>Arup Pramanik</t>
  </si>
  <si>
    <t>24-05-1992</t>
  </si>
  <si>
    <t>19-11-2021</t>
  </si>
  <si>
    <t>sanjay1@g</t>
  </si>
  <si>
    <t>Q004630968</t>
  </si>
  <si>
    <t>Q004653224</t>
  </si>
  <si>
    <t>Harihar Sharma</t>
  </si>
  <si>
    <t>20-04-1945</t>
  </si>
  <si>
    <t>23-11-2021</t>
  </si>
  <si>
    <t>A046173530</t>
  </si>
  <si>
    <t>Chabi Rani Ghosh</t>
  </si>
  <si>
    <t>A046174647</t>
  </si>
  <si>
    <t>Zoya Khan</t>
  </si>
  <si>
    <t>12-12-1996</t>
  </si>
  <si>
    <t>fatehalamkhan2@g</t>
  </si>
  <si>
    <t>A046176654</t>
  </si>
  <si>
    <t>Kuili Mardi</t>
  </si>
  <si>
    <t>Q004646892</t>
  </si>
  <si>
    <t>Rajendra kumar mishra</t>
  </si>
  <si>
    <t>24-03-1973</t>
  </si>
  <si>
    <t>rajendrakm41@f</t>
  </si>
  <si>
    <t>A046182868</t>
  </si>
  <si>
    <t>01-09-1985</t>
  </si>
  <si>
    <t>pintupremshrama@g</t>
  </si>
  <si>
    <t>881035295173891</t>
  </si>
  <si>
    <t>Dimple Mishra</t>
  </si>
  <si>
    <t>A046249502</t>
  </si>
  <si>
    <t>Shamima  Khatoon</t>
  </si>
  <si>
    <t>29/12/1987</t>
  </si>
  <si>
    <t>24-11-2021</t>
  </si>
  <si>
    <t>Q004662666</t>
  </si>
  <si>
    <t>Kamal Sardar</t>
  </si>
  <si>
    <t>12/06/1987</t>
  </si>
  <si>
    <t>A046338035</t>
  </si>
  <si>
    <t>Renuka Mahato</t>
  </si>
  <si>
    <t>27-11-2021</t>
  </si>
  <si>
    <t>A046338421</t>
  </si>
  <si>
    <t>Rima Devi</t>
  </si>
  <si>
    <t>07/12/1976</t>
  </si>
  <si>
    <t>Q004674900</t>
  </si>
  <si>
    <t>Kundan Kumar</t>
  </si>
  <si>
    <t>A046339384</t>
  </si>
  <si>
    <t>Shamsha Khatoon</t>
  </si>
  <si>
    <t>A046368599</t>
  </si>
  <si>
    <t>Ankit Kumar</t>
  </si>
  <si>
    <t>03-07-1993</t>
  </si>
  <si>
    <t>28-11-2021</t>
  </si>
  <si>
    <t>ankitkumar3071994@g</t>
  </si>
  <si>
    <t>A044116971</t>
  </si>
  <si>
    <t>SHIV NATH SAH</t>
  </si>
  <si>
    <t>01-08-1941</t>
  </si>
  <si>
    <t>A046463364</t>
  </si>
  <si>
    <t>Soni Sahu</t>
  </si>
  <si>
    <t>10/03/2001</t>
  </si>
  <si>
    <t>30/11/2021</t>
  </si>
  <si>
    <t>A046464038</t>
  </si>
  <si>
    <t>Sunita Mahato</t>
  </si>
  <si>
    <t>01/08/1988</t>
  </si>
  <si>
    <t>A046473787</t>
  </si>
  <si>
    <t>Priti Sinha</t>
  </si>
  <si>
    <t>11/01/1988</t>
  </si>
  <si>
    <t>A046472322</t>
  </si>
  <si>
    <t>Lalu Sandil</t>
  </si>
  <si>
    <t>Ganesh Lohra</t>
  </si>
  <si>
    <t>Q004724117</t>
  </si>
  <si>
    <t>Aman Kumar</t>
  </si>
  <si>
    <t>23/10/1996</t>
  </si>
  <si>
    <t>08-12-2021</t>
  </si>
  <si>
    <t>hardweepkaur@</t>
  </si>
  <si>
    <t>Q004713399</t>
  </si>
  <si>
    <t xml:space="preserve">Bikash Kumar Yadav </t>
  </si>
  <si>
    <t>04/12/2021</t>
  </si>
  <si>
    <t>A046612833</t>
  </si>
  <si>
    <t>Nilam Kumari</t>
  </si>
  <si>
    <t>05/03/1988</t>
  </si>
  <si>
    <t>A046679639</t>
  </si>
  <si>
    <t>Shva Gounder</t>
  </si>
  <si>
    <t>19-04-2003</t>
  </si>
  <si>
    <t>shivagounder6@g</t>
  </si>
  <si>
    <t>A046696439</t>
  </si>
  <si>
    <t>Rohit Pal</t>
  </si>
  <si>
    <t>24-09-2003</t>
  </si>
  <si>
    <t>rjpaljsr123@g</t>
  </si>
  <si>
    <t>A046696446</t>
  </si>
  <si>
    <t>Prahiad Kundu</t>
  </si>
  <si>
    <t>Deepak Kumar Singh</t>
  </si>
  <si>
    <t>A046696428</t>
  </si>
  <si>
    <t>07-02-1985</t>
  </si>
  <si>
    <t>sanjay1@</t>
  </si>
  <si>
    <t>Q004727931</t>
  </si>
  <si>
    <t>Sushil Verma</t>
  </si>
  <si>
    <t>01-08-1979</t>
  </si>
  <si>
    <t>sv3017371@</t>
  </si>
  <si>
    <t>A046730867</t>
  </si>
  <si>
    <t>Mansidh Barla</t>
  </si>
  <si>
    <t>07-10-1967</t>
  </si>
  <si>
    <t>10-12-2021</t>
  </si>
  <si>
    <t>asimbarla221@g</t>
  </si>
  <si>
    <t>A046730833</t>
  </si>
  <si>
    <t>Snigdha Singh</t>
  </si>
  <si>
    <t>19-10-2003</t>
  </si>
  <si>
    <t>A046730845</t>
  </si>
  <si>
    <t xml:space="preserve">Shriti Kumari </t>
  </si>
  <si>
    <t>08-11-2002</t>
  </si>
  <si>
    <t>shriti0802@g</t>
  </si>
  <si>
    <t>Q004749330</t>
  </si>
  <si>
    <t>Suresh Sharma</t>
  </si>
  <si>
    <t>10-07-1979</t>
  </si>
  <si>
    <t>Q004749322</t>
  </si>
  <si>
    <t>Sadique Siddique</t>
  </si>
  <si>
    <t>18-12-2021</t>
  </si>
  <si>
    <t>A047053418</t>
  </si>
  <si>
    <t>Loso Hansda</t>
  </si>
  <si>
    <t>17/03/1985</t>
  </si>
  <si>
    <t>Q004749327</t>
  </si>
  <si>
    <t>Prabir Kumar Das</t>
  </si>
  <si>
    <t>15-03-1956</t>
  </si>
  <si>
    <t>not applied because of DOB</t>
  </si>
  <si>
    <t>A046826462</t>
  </si>
  <si>
    <t>Muskan Kumari</t>
  </si>
  <si>
    <t>25-03-2003</t>
  </si>
  <si>
    <t>14-12-2021</t>
  </si>
  <si>
    <t>15-12-2021</t>
  </si>
  <si>
    <t>A046826453</t>
  </si>
  <si>
    <t>Rahul Deep</t>
  </si>
  <si>
    <t>03-06-202</t>
  </si>
  <si>
    <t>05-07-1998</t>
  </si>
  <si>
    <t>A046826440</t>
  </si>
  <si>
    <t xml:space="preserve">Shailendra Kumar Sharma </t>
  </si>
  <si>
    <t>05-07-2003</t>
  </si>
  <si>
    <t xml:space="preserve"> A046826416</t>
  </si>
  <si>
    <t xml:space="preserve">Sahil Kumar </t>
  </si>
  <si>
    <t>09-12-2003</t>
  </si>
  <si>
    <t>Q004749332</t>
  </si>
  <si>
    <t xml:space="preserve">Moni Kumari </t>
  </si>
  <si>
    <t>A046826428</t>
  </si>
  <si>
    <t>Kamaldeep</t>
  </si>
  <si>
    <t>21-11-2003</t>
  </si>
  <si>
    <t>A0468264487</t>
  </si>
  <si>
    <t>Mamata Mandal</t>
  </si>
  <si>
    <t>13-10-1995</t>
  </si>
  <si>
    <t>A046826465</t>
  </si>
  <si>
    <t xml:space="preserve">Pallavi Joshi </t>
  </si>
  <si>
    <t>20-07-2001</t>
  </si>
  <si>
    <t>Prabhas Kumar Das</t>
  </si>
  <si>
    <t>15/03/1956</t>
  </si>
  <si>
    <t>A046762255</t>
  </si>
  <si>
    <t>Jhalki Devi</t>
  </si>
  <si>
    <t>01/01/1967</t>
  </si>
  <si>
    <t>A046826500</t>
  </si>
  <si>
    <t>Girish Sharma</t>
  </si>
  <si>
    <t>12/03/1986</t>
  </si>
  <si>
    <t>A046826476</t>
  </si>
  <si>
    <t>Mangal Machhuwa</t>
  </si>
  <si>
    <t>01/01/1961</t>
  </si>
  <si>
    <t>A049944671</t>
  </si>
  <si>
    <t>Ritu Giri</t>
  </si>
  <si>
    <t>02-10-2001</t>
  </si>
  <si>
    <t>A046944034</t>
  </si>
  <si>
    <t>Farahana</t>
  </si>
  <si>
    <t>01-01-1988</t>
  </si>
  <si>
    <t>A046943703</t>
  </si>
  <si>
    <t>Laltika Bhakat</t>
  </si>
  <si>
    <t>16-12-2021</t>
  </si>
  <si>
    <t>A046943473</t>
  </si>
  <si>
    <t>Jyotsna Bhagat</t>
  </si>
  <si>
    <t>31/12/1959</t>
  </si>
  <si>
    <t>A046943091</t>
  </si>
  <si>
    <t>Binita Gorai</t>
  </si>
  <si>
    <t>Q004772595</t>
  </si>
  <si>
    <t>Ajay  Kumar</t>
  </si>
  <si>
    <t>31-10-1968</t>
  </si>
  <si>
    <t>A046991598</t>
  </si>
  <si>
    <t xml:space="preserve">Punam Devi </t>
  </si>
  <si>
    <t>05-09-1985</t>
  </si>
  <si>
    <t>17-12-2021</t>
  </si>
  <si>
    <t>A047001547</t>
  </si>
  <si>
    <t>Bikash  Sahu</t>
  </si>
  <si>
    <t>11-11-2003</t>
  </si>
  <si>
    <t>A047002319</t>
  </si>
  <si>
    <t>Anurag  Mishra</t>
  </si>
  <si>
    <t>03-09-2003</t>
  </si>
  <si>
    <t>paid</t>
  </si>
  <si>
    <t>Goutam Prasad Banerjee</t>
  </si>
  <si>
    <t>Voter</t>
  </si>
  <si>
    <t>A047049851</t>
  </si>
  <si>
    <t>Shilpa Laha</t>
  </si>
  <si>
    <t>04-08-1999</t>
  </si>
  <si>
    <t>19-12-2021</t>
  </si>
  <si>
    <t>Ajay kumar Giri</t>
  </si>
  <si>
    <t>04-04-1974</t>
  </si>
  <si>
    <t>Loso  Hansda</t>
  </si>
  <si>
    <t>20-12-2021</t>
  </si>
  <si>
    <t>A047049633</t>
  </si>
  <si>
    <t>Sarita Kumari</t>
  </si>
  <si>
    <t>05-07-1997</t>
  </si>
  <si>
    <t>A047048679</t>
  </si>
  <si>
    <t>sourav kumar das</t>
  </si>
  <si>
    <t>28-11-2000</t>
  </si>
  <si>
    <t>A047050001</t>
  </si>
  <si>
    <t>Prabhat Barik</t>
  </si>
  <si>
    <t>03-03-1999</t>
  </si>
  <si>
    <t>Q004792279</t>
  </si>
  <si>
    <t>Satendra Kumar Choudhary</t>
  </si>
  <si>
    <t>05-01-1976</t>
  </si>
  <si>
    <t>22-10-2021</t>
  </si>
  <si>
    <t>A047140292</t>
  </si>
  <si>
    <t>Anurag Kumar</t>
  </si>
  <si>
    <t>10-08-2006</t>
  </si>
  <si>
    <t>A047135053</t>
  </si>
  <si>
    <t>Sayan Bhadra</t>
  </si>
  <si>
    <t>14-05-2000</t>
  </si>
  <si>
    <t>A047135859</t>
  </si>
  <si>
    <t>Zulekha Khatoon</t>
  </si>
  <si>
    <t>04-01-1992</t>
  </si>
  <si>
    <t>Q004792633</t>
  </si>
  <si>
    <t>Mantu Mahato</t>
  </si>
  <si>
    <t>10-04-1989</t>
  </si>
  <si>
    <t>A047141352</t>
  </si>
  <si>
    <t>15-11-1986</t>
  </si>
  <si>
    <t>A047140924</t>
  </si>
  <si>
    <t>Munmun Sahu</t>
  </si>
  <si>
    <t>15-05-1993</t>
  </si>
  <si>
    <t>Q004814696</t>
  </si>
  <si>
    <t>Binay Kumra Singh</t>
  </si>
  <si>
    <t>25-10-1983</t>
  </si>
  <si>
    <t>24-12-2021</t>
  </si>
  <si>
    <t>Q004824327</t>
  </si>
  <si>
    <t>Anuradha Singh</t>
  </si>
  <si>
    <t>18-10-1996</t>
  </si>
  <si>
    <t>26-12-2021</t>
  </si>
  <si>
    <t>jsranu0000@g</t>
  </si>
  <si>
    <t>A047386596</t>
  </si>
  <si>
    <t>Bharti Mahato</t>
  </si>
  <si>
    <t>10-08-1991</t>
  </si>
  <si>
    <t>A047385367</t>
  </si>
  <si>
    <t>Binita Singh</t>
  </si>
  <si>
    <t>16-07-1984</t>
  </si>
  <si>
    <t>A047380990</t>
  </si>
  <si>
    <t>Rochita Sharma</t>
  </si>
  <si>
    <t>rochitasharma1@g</t>
  </si>
  <si>
    <t>A047387116</t>
  </si>
  <si>
    <t>Naghma Perween</t>
  </si>
  <si>
    <t>01-01-1998</t>
  </si>
  <si>
    <t>atharkhan10009@gmail.com</t>
  </si>
  <si>
    <t>A047311933</t>
  </si>
  <si>
    <t>Mohammad Tabish Hayat</t>
  </si>
  <si>
    <t>20-05-2005</t>
  </si>
  <si>
    <t>mohammadhayat35352@g</t>
  </si>
  <si>
    <t>A047476285</t>
  </si>
  <si>
    <t>Aliza Neha Tirkey</t>
  </si>
  <si>
    <t>10/10/1999</t>
  </si>
  <si>
    <t>28-12-2021</t>
  </si>
  <si>
    <t>A047474918</t>
  </si>
  <si>
    <t>Singomani Saren</t>
  </si>
  <si>
    <t>01/01/1962</t>
  </si>
  <si>
    <t>A047474035</t>
  </si>
  <si>
    <t>Priyanaka Kumari</t>
  </si>
  <si>
    <t>23/12/2000</t>
  </si>
  <si>
    <t>A047500586</t>
  </si>
  <si>
    <t xml:space="preserve">Natwar  Munda </t>
  </si>
  <si>
    <t>20/03/1976</t>
  </si>
  <si>
    <t>A047501815</t>
  </si>
  <si>
    <t xml:space="preserve">Satish  Sardar </t>
  </si>
  <si>
    <t>10/02/1985</t>
  </si>
  <si>
    <t>A047501043</t>
  </si>
  <si>
    <t>Sarita  Mahato</t>
  </si>
  <si>
    <t>15/12/2002</t>
  </si>
  <si>
    <t>self adress</t>
  </si>
  <si>
    <t>A047524498</t>
  </si>
  <si>
    <t>Jaleshwari Nayak</t>
  </si>
  <si>
    <t>29-12-2021</t>
  </si>
  <si>
    <t>Q004845118</t>
  </si>
  <si>
    <t>Prashant Kumar barik</t>
  </si>
  <si>
    <t>28-12-1964</t>
  </si>
  <si>
    <t>A047555803</t>
  </si>
  <si>
    <t>Prya Kumari</t>
  </si>
  <si>
    <t>23/04/2002</t>
  </si>
  <si>
    <t>31-12-2021</t>
  </si>
  <si>
    <t>A047618039</t>
  </si>
  <si>
    <t>Krishna Kant Singh</t>
  </si>
  <si>
    <t>11/07/1942</t>
  </si>
  <si>
    <t>Q004858716</t>
  </si>
  <si>
    <t>PROBIR BAGCHI</t>
  </si>
  <si>
    <t>11/07/1998</t>
  </si>
  <si>
    <t>A047617495</t>
  </si>
  <si>
    <t>Sourav Kumar</t>
  </si>
  <si>
    <t>Q004848992</t>
  </si>
  <si>
    <t>Amarnath Tiwary</t>
  </si>
  <si>
    <t>15/01/1991</t>
  </si>
  <si>
    <t>A047548777</t>
  </si>
  <si>
    <t>03-03-2001</t>
  </si>
  <si>
    <t>monugorai2001@gmail.com</t>
  </si>
  <si>
    <t>A047692180</t>
  </si>
  <si>
    <t>Akshat Raj Singh</t>
  </si>
  <si>
    <t>25-12-2003</t>
  </si>
  <si>
    <t>Q004865794</t>
  </si>
  <si>
    <t>FIROZ ALAM</t>
  </si>
  <si>
    <t>Q004870573</t>
  </si>
  <si>
    <t>Vandana Verma</t>
  </si>
  <si>
    <t>03-03-1990</t>
  </si>
  <si>
    <t>03-01-2022</t>
  </si>
  <si>
    <t>Q004872403</t>
  </si>
  <si>
    <t>Manok Kumar</t>
  </si>
  <si>
    <t>10-08-1975</t>
  </si>
  <si>
    <t>A047742768</t>
  </si>
  <si>
    <t>06-12-2003</t>
  </si>
  <si>
    <t>A047741755</t>
  </si>
  <si>
    <t>Apurva Das</t>
  </si>
  <si>
    <t>A047740218</t>
  </si>
  <si>
    <t>Narendra Pandey</t>
  </si>
  <si>
    <t>A047865166</t>
  </si>
  <si>
    <t>Naina Devi</t>
  </si>
  <si>
    <t>06/10/1984</t>
  </si>
  <si>
    <t>04-01-2022</t>
  </si>
  <si>
    <t>05-01-2022</t>
  </si>
  <si>
    <t>A047741117</t>
  </si>
  <si>
    <t>AAFIA PERWEEN</t>
  </si>
  <si>
    <t>25-02-2002</t>
  </si>
  <si>
    <t>A047827365</t>
  </si>
  <si>
    <t>Sabita Devi</t>
  </si>
  <si>
    <t>A047823551</t>
  </si>
  <si>
    <t>Anju Singh Modak</t>
  </si>
  <si>
    <t>15-05-1994</t>
  </si>
  <si>
    <t>A047860427</t>
  </si>
  <si>
    <t>Nehal Kumar Pandey</t>
  </si>
  <si>
    <t>19/06/2003</t>
  </si>
  <si>
    <t>Q004897027</t>
  </si>
  <si>
    <t>Mamta Tiwari</t>
  </si>
  <si>
    <t>11-06-1979</t>
  </si>
  <si>
    <t>07-01-2022</t>
  </si>
  <si>
    <t>Q004896918</t>
  </si>
  <si>
    <t>Abhishek Tiwary</t>
  </si>
  <si>
    <t>16-08-2000</t>
  </si>
  <si>
    <t>Q004885781</t>
  </si>
  <si>
    <t>Kiran Kour</t>
  </si>
  <si>
    <t>24-01-1994</t>
  </si>
  <si>
    <t>A048050540</t>
  </si>
  <si>
    <t>Anamika Kumari</t>
  </si>
  <si>
    <t>18-11-2002</t>
  </si>
  <si>
    <t>A048052787</t>
  </si>
  <si>
    <t>Bandana Devi</t>
  </si>
  <si>
    <t>03-01-1986</t>
  </si>
  <si>
    <t>A048074585</t>
  </si>
  <si>
    <t>Gourav Kumar Das</t>
  </si>
  <si>
    <t>29-01-2003</t>
  </si>
  <si>
    <t>08-01-2022</t>
  </si>
  <si>
    <t>A048069456</t>
  </si>
  <si>
    <t>Jyoti Pathak</t>
  </si>
  <si>
    <t>10-08-2000</t>
  </si>
  <si>
    <t>A048075946</t>
  </si>
  <si>
    <t>Shoaib Alam</t>
  </si>
  <si>
    <t>20-12-2002</t>
  </si>
  <si>
    <t>a048089981</t>
  </si>
  <si>
    <t>Humaira Shoaib</t>
  </si>
  <si>
    <t>10-12-1982</t>
  </si>
  <si>
    <t>humairashoaib@g</t>
  </si>
  <si>
    <t>Q004912161</t>
  </si>
  <si>
    <t>Supriya</t>
  </si>
  <si>
    <t>12-01-1963</t>
  </si>
  <si>
    <t>Q004908578</t>
  </si>
  <si>
    <t>Ankita Prasad</t>
  </si>
  <si>
    <t>10-11-1991</t>
  </si>
  <si>
    <t>09-01-2022</t>
  </si>
  <si>
    <t>A048387006</t>
  </si>
  <si>
    <t>12-12-1994</t>
  </si>
  <si>
    <t>12-01-2022</t>
  </si>
  <si>
    <t>A048386641</t>
  </si>
  <si>
    <t>01-01-192</t>
  </si>
  <si>
    <t>A048408671</t>
  </si>
  <si>
    <t>Mono Sandil</t>
  </si>
  <si>
    <t>05-05-2002</t>
  </si>
  <si>
    <t>13-01-2022</t>
  </si>
  <si>
    <t>sonysandil993@g</t>
  </si>
  <si>
    <t>A048463903</t>
  </si>
  <si>
    <t>Zainab Imtyaz</t>
  </si>
  <si>
    <t>29-04-1997</t>
  </si>
  <si>
    <t>14-01-2022</t>
  </si>
  <si>
    <t>zainab.imtyaz@g</t>
  </si>
  <si>
    <t>Q004953486</t>
  </si>
  <si>
    <t>Mamta Singh</t>
  </si>
  <si>
    <t>06-05-1977</t>
  </si>
  <si>
    <t>A048503193</t>
  </si>
  <si>
    <t>Mita Guru</t>
  </si>
  <si>
    <t>A048518452</t>
  </si>
  <si>
    <t>Meenu Kumari</t>
  </si>
  <si>
    <t>07-10-1994</t>
  </si>
  <si>
    <t>15-01-2022</t>
  </si>
  <si>
    <t>sandeepgaur68@g</t>
  </si>
  <si>
    <t>Q004953904</t>
  </si>
  <si>
    <t>Pieu Mallick</t>
  </si>
  <si>
    <t>15-01-1987</t>
  </si>
  <si>
    <t>kunduravi42@g</t>
  </si>
  <si>
    <t>Q004965612</t>
  </si>
  <si>
    <t>Gouri Devi</t>
  </si>
  <si>
    <t>06-05-1975</t>
  </si>
  <si>
    <t>16-01-2022</t>
  </si>
  <si>
    <t>narayan.kumar@g</t>
  </si>
  <si>
    <t>A048575751</t>
  </si>
  <si>
    <t>Prashant Gupta</t>
  </si>
  <si>
    <t>A048637193</t>
  </si>
  <si>
    <t>Kumar Satyam</t>
  </si>
  <si>
    <t>11-10-2007</t>
  </si>
  <si>
    <t>17-01-2022</t>
  </si>
  <si>
    <t>A048638877</t>
  </si>
  <si>
    <t>Abhinav Kumar</t>
  </si>
  <si>
    <t>17-12-2001</t>
  </si>
  <si>
    <t>abkr1712@g</t>
  </si>
  <si>
    <t>A048640429</t>
  </si>
  <si>
    <t>Sudhir Kumar</t>
  </si>
  <si>
    <t>01-01-2002</t>
  </si>
  <si>
    <t>sudhirkumar787027@g</t>
  </si>
  <si>
    <t>Q004975838</t>
  </si>
  <si>
    <t>23-12-2000</t>
  </si>
  <si>
    <t>archanakumari0657@g</t>
  </si>
  <si>
    <t>A048631033</t>
  </si>
  <si>
    <t>Dulali Manjhi</t>
  </si>
  <si>
    <t>A048686494</t>
  </si>
  <si>
    <t>Ravi Kumar</t>
  </si>
  <si>
    <t>27-02-2002</t>
  </si>
  <si>
    <t>18-01-2022</t>
  </si>
  <si>
    <t>A048735751</t>
  </si>
  <si>
    <t>Kishlay Verma</t>
  </si>
  <si>
    <t>15-06-1999</t>
  </si>
  <si>
    <t>19-01-2022</t>
  </si>
  <si>
    <t>kishlayverma1234@g</t>
  </si>
  <si>
    <t>A048750367</t>
  </si>
  <si>
    <t>Kanti Devi</t>
  </si>
  <si>
    <t>30-05-1966</t>
  </si>
  <si>
    <t>A048808026</t>
  </si>
  <si>
    <t>Reshma bano</t>
  </si>
  <si>
    <t>16-07-1987</t>
  </si>
  <si>
    <t>20-01-2022</t>
  </si>
  <si>
    <t>A048858359</t>
  </si>
  <si>
    <t>Pankaj Kumar Mahato</t>
  </si>
  <si>
    <t>04-08-1993</t>
  </si>
  <si>
    <t>21-01-2022</t>
  </si>
  <si>
    <t>A048852586</t>
  </si>
  <si>
    <t>Sourav Mazumdar</t>
  </si>
  <si>
    <t>20-04-2000</t>
  </si>
  <si>
    <t>Q005001862</t>
  </si>
  <si>
    <t>Rinky Kumari</t>
  </si>
  <si>
    <t>09-07-1987</t>
  </si>
  <si>
    <t>Q005002301</t>
  </si>
  <si>
    <t>Firdousi Begum</t>
  </si>
  <si>
    <t>15-10-1978</t>
  </si>
  <si>
    <t>A048920718</t>
  </si>
  <si>
    <t>Rohit Kumar</t>
  </si>
  <si>
    <t>30-12-2003</t>
  </si>
  <si>
    <t>22-01-2022</t>
  </si>
  <si>
    <t>rohit.choudhary.jsr15@g</t>
  </si>
  <si>
    <t>Q004917088</t>
  </si>
  <si>
    <t>06-04-2003</t>
  </si>
  <si>
    <t>Q004953846</t>
  </si>
  <si>
    <t>A049007581</t>
  </si>
  <si>
    <t>Rahul Barua</t>
  </si>
  <si>
    <t>15-05-2002</t>
  </si>
  <si>
    <t>24-01-2022</t>
  </si>
  <si>
    <t>due 20</t>
  </si>
  <si>
    <t>A049008721</t>
  </si>
  <si>
    <t>Ajay Sabar</t>
  </si>
  <si>
    <t>01-01-1999</t>
  </si>
  <si>
    <t>A049009426</t>
  </si>
  <si>
    <t>Anju Pandey</t>
  </si>
  <si>
    <t>22-11-1999</t>
  </si>
  <si>
    <t>A49076394</t>
  </si>
  <si>
    <t>Jaibun Nisha</t>
  </si>
  <si>
    <t>01-07-1964</t>
  </si>
  <si>
    <t>26-01-2022</t>
  </si>
  <si>
    <t>Q005034439</t>
  </si>
  <si>
    <t>Shrabani Gorai</t>
  </si>
  <si>
    <t>09-08-1994</t>
  </si>
  <si>
    <t>Q005052550</t>
  </si>
  <si>
    <t>Sanjay Kumar</t>
  </si>
  <si>
    <t>25-10-1979</t>
  </si>
  <si>
    <t>28-01-2022</t>
  </si>
  <si>
    <t>A049205555</t>
  </si>
  <si>
    <t>Joy Shalu</t>
  </si>
  <si>
    <t>16-09-2002</t>
  </si>
  <si>
    <t>A049206366</t>
  </si>
  <si>
    <t>13-05-1981</t>
  </si>
  <si>
    <t>A049228115</t>
  </si>
  <si>
    <t>31-12-2003</t>
  </si>
  <si>
    <t>A049283600</t>
  </si>
  <si>
    <t>Yash Kamal</t>
  </si>
  <si>
    <t>21-11-2002</t>
  </si>
  <si>
    <t>29-01-2022</t>
  </si>
  <si>
    <t>Q004737788</t>
  </si>
  <si>
    <t>ANDRIAS AIND</t>
  </si>
  <si>
    <t>11-12-2021</t>
  </si>
  <si>
    <t>A049345055</t>
  </si>
  <si>
    <t>Joba Purti</t>
  </si>
  <si>
    <t>31-01-20222</t>
  </si>
  <si>
    <t>A049398479</t>
  </si>
  <si>
    <t>Nitu Mukhi</t>
  </si>
  <si>
    <t>15-10-1992</t>
  </si>
  <si>
    <t>01-02-2022</t>
  </si>
  <si>
    <t>A049488627</t>
  </si>
  <si>
    <t>Mangura Gorai</t>
  </si>
  <si>
    <t>01-01-1991</t>
  </si>
  <si>
    <t>02-02-2022</t>
  </si>
  <si>
    <t>DUBPG5419K</t>
  </si>
  <si>
    <t>A049494239</t>
  </si>
  <si>
    <t>Manprit Kour</t>
  </si>
  <si>
    <t>26-10-1993</t>
  </si>
  <si>
    <t>A049588833</t>
  </si>
  <si>
    <t>Basanati Lakra</t>
  </si>
  <si>
    <t>20-12-1991</t>
  </si>
  <si>
    <t>04-02-2022</t>
  </si>
  <si>
    <t>A049650589</t>
  </si>
  <si>
    <t>Soni Gupta</t>
  </si>
  <si>
    <t>18-07-2003</t>
  </si>
  <si>
    <t>06-02-2022</t>
  </si>
  <si>
    <t>AT comport</t>
  </si>
  <si>
    <t>A049692818</t>
  </si>
  <si>
    <t>19-06-1998</t>
  </si>
  <si>
    <t>07-02-2022</t>
  </si>
  <si>
    <t>A049822361</t>
  </si>
  <si>
    <t>Richa Kumari</t>
  </si>
  <si>
    <t>19-04-2001</t>
  </si>
  <si>
    <t>09-02-2022</t>
  </si>
  <si>
    <t>Q005148859</t>
  </si>
  <si>
    <t>Rama Kanta Sahoo</t>
  </si>
  <si>
    <t>22-11-1963</t>
  </si>
  <si>
    <t>10-02-2022</t>
  </si>
  <si>
    <t>10-00-2022</t>
  </si>
  <si>
    <t>A049840131</t>
  </si>
  <si>
    <t>Biraj Purti</t>
  </si>
  <si>
    <t>10-12-2000</t>
  </si>
  <si>
    <t>A049834320</t>
  </si>
  <si>
    <t>jayanti sahoo</t>
  </si>
  <si>
    <t>05-07-1974</t>
  </si>
  <si>
    <t>A049831847</t>
  </si>
  <si>
    <t>Bijeta Kumari</t>
  </si>
  <si>
    <t>02-01-1997</t>
  </si>
  <si>
    <t>A049871081</t>
  </si>
  <si>
    <t>Rohit kumar Singh</t>
  </si>
  <si>
    <t>03-05-2002</t>
  </si>
  <si>
    <t>A049897540</t>
  </si>
  <si>
    <t>Puja Kumari</t>
  </si>
  <si>
    <t>11-02-2022</t>
  </si>
  <si>
    <t>Q005161006</t>
  </si>
  <si>
    <t>Raju Kumar Singh</t>
  </si>
  <si>
    <t>06-02-1986</t>
  </si>
  <si>
    <t>Q005161350</t>
  </si>
  <si>
    <t>anil Murmu</t>
  </si>
  <si>
    <t>21-01-1991</t>
  </si>
  <si>
    <t>A049981771</t>
  </si>
  <si>
    <t>Manas Kumar Singh</t>
  </si>
  <si>
    <t>23-09-2002</t>
  </si>
  <si>
    <t>12-02-2022</t>
  </si>
  <si>
    <t>A050032341</t>
  </si>
  <si>
    <t>Basanti Suren</t>
  </si>
  <si>
    <t>05-08-1995</t>
  </si>
  <si>
    <t>14-02-2022</t>
  </si>
  <si>
    <t>A050044278</t>
  </si>
  <si>
    <t>Urmila Solanki</t>
  </si>
  <si>
    <t>01-09-1990</t>
  </si>
  <si>
    <t>Q005179722</t>
  </si>
  <si>
    <t>Anjali Singh</t>
  </si>
  <si>
    <t>07-02-2002</t>
  </si>
  <si>
    <t>Q005183778</t>
  </si>
  <si>
    <t>Sukhbir Singh Mandal</t>
  </si>
  <si>
    <t>15-02-2022</t>
  </si>
  <si>
    <t>A050091776</t>
  </si>
  <si>
    <t>Rohit Kumar Singh</t>
  </si>
  <si>
    <t>05-06-2003</t>
  </si>
  <si>
    <t>Q005185264</t>
  </si>
  <si>
    <t>Rajesh Kumar Updhyay</t>
  </si>
  <si>
    <t>12-11-1987</t>
  </si>
  <si>
    <t>A050113264</t>
  </si>
  <si>
    <t>Shruti Kumari</t>
  </si>
  <si>
    <t>Q005190735</t>
  </si>
  <si>
    <t>Tileshwari Devi</t>
  </si>
  <si>
    <t>04-03-1951</t>
  </si>
  <si>
    <t>16-02-2022</t>
  </si>
  <si>
    <t>A050182571</t>
  </si>
  <si>
    <t>Edupilli Soumya</t>
  </si>
  <si>
    <t>09-07-2002</t>
  </si>
  <si>
    <t>17-02-2022</t>
  </si>
  <si>
    <t>A050192686</t>
  </si>
  <si>
    <t>Sunil Kumar</t>
  </si>
  <si>
    <t>15-06-1987</t>
  </si>
  <si>
    <t>A050200908</t>
  </si>
  <si>
    <t>Hena Naaz</t>
  </si>
  <si>
    <t>A050222636</t>
  </si>
  <si>
    <t>Ashman Karmakar</t>
  </si>
  <si>
    <t>03-04-1998</t>
  </si>
  <si>
    <t>Q050220842</t>
  </si>
  <si>
    <t>Sundara Mahato</t>
  </si>
  <si>
    <t>28-06-1974</t>
  </si>
  <si>
    <t>18-02-2022</t>
  </si>
  <si>
    <t>sanjay2</t>
  </si>
  <si>
    <t>A050245034</t>
  </si>
  <si>
    <t>12-04-2003</t>
  </si>
  <si>
    <t>Q005208835</t>
  </si>
  <si>
    <t>Manoj Sahoo</t>
  </si>
  <si>
    <t>23-03-1997</t>
  </si>
  <si>
    <t>A050262570</t>
  </si>
  <si>
    <t>Rachit Sharma</t>
  </si>
  <si>
    <t>18-11-2003</t>
  </si>
  <si>
    <t>A050269618</t>
  </si>
  <si>
    <t>Ramesh Vishwakarma</t>
  </si>
  <si>
    <t>03-03-1976</t>
  </si>
  <si>
    <t>A050268957</t>
  </si>
  <si>
    <t>Pammi Devi</t>
  </si>
  <si>
    <t>A050307163</t>
  </si>
  <si>
    <t>Babita Devi</t>
  </si>
  <si>
    <t>19-02-2022</t>
  </si>
  <si>
    <t>Q005193361</t>
  </si>
  <si>
    <t>19-01-1968</t>
  </si>
  <si>
    <t>20-02-2022</t>
  </si>
  <si>
    <t>Q005225831</t>
  </si>
  <si>
    <t>Babita Kumari Singh</t>
  </si>
  <si>
    <t>05-01-1978</t>
  </si>
  <si>
    <t>A050427835</t>
  </si>
  <si>
    <t>31-01-2004</t>
  </si>
  <si>
    <t>22-02-2022</t>
  </si>
  <si>
    <t>A050452570</t>
  </si>
  <si>
    <t>Momina Parveen</t>
  </si>
  <si>
    <t>23-11-1962</t>
  </si>
  <si>
    <t>23-02-2022</t>
  </si>
  <si>
    <t>A050479460</t>
  </si>
  <si>
    <t>08-03-2001</t>
  </si>
  <si>
    <t>A050494262</t>
  </si>
  <si>
    <t>Ajoy Kumar Giri</t>
  </si>
  <si>
    <t>24-02-2022</t>
  </si>
  <si>
    <t>A050524825</t>
  </si>
  <si>
    <t>Nitu Devi</t>
  </si>
  <si>
    <t>A050526557</t>
  </si>
  <si>
    <t>Bharti Munda</t>
  </si>
  <si>
    <t>A050529491</t>
  </si>
  <si>
    <t>Vidyawati Devi</t>
  </si>
  <si>
    <t>01-01-1966</t>
  </si>
  <si>
    <t>Q005253334</t>
  </si>
  <si>
    <t>Rina Dey</t>
  </si>
  <si>
    <t>25-02-2022</t>
  </si>
  <si>
    <t>Q005261618</t>
  </si>
  <si>
    <t>Balahari Das</t>
  </si>
  <si>
    <t>01-01-1951</t>
  </si>
  <si>
    <t>26-02-2022</t>
  </si>
  <si>
    <t>A050633294</t>
  </si>
  <si>
    <t>Bhimsen Karmakar</t>
  </si>
  <si>
    <t>18-07-1966</t>
  </si>
  <si>
    <t>Q005264959</t>
  </si>
  <si>
    <t>09-02-1992</t>
  </si>
  <si>
    <t>Q005267453</t>
  </si>
  <si>
    <t>Majid Equbal Akhtar</t>
  </si>
  <si>
    <t>26-07-1995</t>
  </si>
  <si>
    <t>27-02-2022</t>
  </si>
  <si>
    <t>Q005268153</t>
  </si>
  <si>
    <t>Musarrat Bano</t>
  </si>
  <si>
    <t>22-03-1976</t>
  </si>
  <si>
    <t>A050654542</t>
  </si>
  <si>
    <t>Abdul Quadir</t>
  </si>
  <si>
    <t>13-05-2001</t>
  </si>
  <si>
    <t>A050668687</t>
  </si>
  <si>
    <t>Nikhil Kumar Soni</t>
  </si>
  <si>
    <t>17-12-2003</t>
  </si>
  <si>
    <t>A050850927</t>
  </si>
  <si>
    <t>Meena Gorai</t>
  </si>
  <si>
    <t>13-03-1990</t>
  </si>
  <si>
    <t>03-04-2022</t>
  </si>
  <si>
    <t>A050895488</t>
  </si>
  <si>
    <t>Ashfiya Zubair</t>
  </si>
  <si>
    <t>08-05-2003</t>
  </si>
  <si>
    <t>04-03-2022</t>
  </si>
  <si>
    <t>Q005303183</t>
  </si>
  <si>
    <t>Zuber Alam</t>
  </si>
  <si>
    <t>13-12-1969</t>
  </si>
  <si>
    <t>Q005307299</t>
  </si>
  <si>
    <t>Roselin Toppo</t>
  </si>
  <si>
    <t>01-04-1972</t>
  </si>
  <si>
    <t>05-03-2022</t>
  </si>
  <si>
    <t>A051008487</t>
  </si>
  <si>
    <t>Kamla Devi</t>
  </si>
  <si>
    <t>01-01-1972</t>
  </si>
  <si>
    <t>07-03-2022</t>
  </si>
  <si>
    <t>A051026768</t>
  </si>
  <si>
    <t>Jyoti Verma</t>
  </si>
  <si>
    <t>25-07-2000</t>
  </si>
  <si>
    <t>Q005308390</t>
  </si>
  <si>
    <t>Dennis Sharang Willam</t>
  </si>
  <si>
    <t>27-02-1995</t>
  </si>
  <si>
    <t>08-03-2022</t>
  </si>
  <si>
    <t>A051076838</t>
  </si>
  <si>
    <t>Priyam Mani</t>
  </si>
  <si>
    <t>03-10-2003</t>
  </si>
  <si>
    <t>A051051891</t>
  </si>
  <si>
    <t>Kakuli Bhakat</t>
  </si>
  <si>
    <t>17-08-2000</t>
  </si>
  <si>
    <t>Q005334303</t>
  </si>
  <si>
    <t>Awdhesh kumar Bharti</t>
  </si>
  <si>
    <t>05-05-1979</t>
  </si>
  <si>
    <t>09-03-2022</t>
  </si>
  <si>
    <t>A051128162</t>
  </si>
  <si>
    <t>Kalyani Mishra</t>
  </si>
  <si>
    <t>Q005349841</t>
  </si>
  <si>
    <t>Pradeep Kumar Sharma</t>
  </si>
  <si>
    <t>16-04-1981</t>
  </si>
  <si>
    <t>11-03-2022</t>
  </si>
  <si>
    <t>A051206873</t>
  </si>
  <si>
    <t>Rashmi</t>
  </si>
  <si>
    <t>22-02-1980</t>
  </si>
  <si>
    <t>A051185801</t>
  </si>
  <si>
    <t>Saida Khatun</t>
  </si>
  <si>
    <t>15-06-1972</t>
  </si>
  <si>
    <t>10-03-2022</t>
  </si>
  <si>
    <t>Q005339588</t>
  </si>
  <si>
    <t>Maloy Kumar Dey</t>
  </si>
  <si>
    <t>17-11-1973</t>
  </si>
  <si>
    <t>A051341391</t>
  </si>
  <si>
    <t>Shvam Kumar</t>
  </si>
  <si>
    <t>14-05-2004</t>
  </si>
  <si>
    <t>14-03-2022</t>
  </si>
  <si>
    <t>A051323110</t>
  </si>
  <si>
    <t>Aman Verma</t>
  </si>
  <si>
    <t>16-09-2003</t>
  </si>
  <si>
    <t>A051290298</t>
  </si>
  <si>
    <t>Abhinav Nishith</t>
  </si>
  <si>
    <t>06-07-2003</t>
  </si>
  <si>
    <t>A051342787</t>
  </si>
  <si>
    <t>Nazneen Khanam</t>
  </si>
  <si>
    <t>10-09-2002</t>
  </si>
  <si>
    <t>A051359165</t>
  </si>
  <si>
    <t>Krishna Bahadur</t>
  </si>
  <si>
    <t>30-06-1992</t>
  </si>
  <si>
    <t>A051362718</t>
  </si>
  <si>
    <t>Suchitra Mahato</t>
  </si>
  <si>
    <t>20-12-1989</t>
  </si>
  <si>
    <t>A051515236</t>
  </si>
  <si>
    <t>Ashish Singh</t>
  </si>
  <si>
    <t>11-11-2002</t>
  </si>
  <si>
    <t>18-03-2022</t>
  </si>
  <si>
    <t>A051611525</t>
  </si>
  <si>
    <t>Nitu Kumari Singh</t>
  </si>
  <si>
    <t>05-12-2001</t>
  </si>
  <si>
    <t>21-03-2022</t>
  </si>
  <si>
    <t>A051614030</t>
  </si>
  <si>
    <t>Manpreet Behal</t>
  </si>
  <si>
    <t>21-112002</t>
  </si>
  <si>
    <t>22-03-2022</t>
  </si>
  <si>
    <t>Q005399629</t>
  </si>
  <si>
    <t>Sucharita Sarangi</t>
  </si>
  <si>
    <t>21-06-1960</t>
  </si>
  <si>
    <t>Q005399683</t>
  </si>
  <si>
    <t>Kumar Sagar</t>
  </si>
  <si>
    <t>06-05-1998</t>
  </si>
  <si>
    <t>New</t>
  </si>
  <si>
    <t>pic</t>
  </si>
  <si>
    <t>Aditya Raj</t>
  </si>
  <si>
    <t>DOB</t>
  </si>
  <si>
    <t>new</t>
  </si>
  <si>
    <t>NEW</t>
  </si>
  <si>
    <t>Prabhat Kumar</t>
  </si>
  <si>
    <t>Prem Lata Kumari</t>
  </si>
  <si>
    <t>Bivas Roy Karmakar</t>
  </si>
  <si>
    <t>NAME</t>
  </si>
  <si>
    <t>self</t>
  </si>
  <si>
    <t>Name</t>
  </si>
  <si>
    <t>Barun Kumar Singh</t>
  </si>
  <si>
    <t>Sai Sunny Prasad</t>
  </si>
  <si>
    <t>Sita Devi</t>
  </si>
  <si>
    <t>Jay Prakash Singh</t>
  </si>
  <si>
    <t>Seema Devi</t>
  </si>
  <si>
    <t>Diksha Kumari</t>
  </si>
  <si>
    <t>Shubham Kumar Verma</t>
  </si>
  <si>
    <t>Dhrub Lal Puri</t>
  </si>
  <si>
    <t>Kuldeep Kaur</t>
  </si>
  <si>
    <t>Laxmi Gorai</t>
  </si>
  <si>
    <t>Mypass@2019</t>
  </si>
  <si>
    <t>Faislus Saud Quadri</t>
  </si>
  <si>
    <t>Kalyani Mahato</t>
  </si>
  <si>
    <t>Seikh Iqbal Ali</t>
  </si>
  <si>
    <t>Paid</t>
  </si>
  <si>
    <t>Takbirul Hasan</t>
  </si>
  <si>
    <t>NFD</t>
  </si>
  <si>
    <t>Mypass@19</t>
  </si>
  <si>
    <t>Md Salim</t>
  </si>
  <si>
    <t>F</t>
  </si>
  <si>
    <t>Delivered</t>
  </si>
  <si>
    <t>Farzana Khatoon</t>
  </si>
  <si>
    <t>DUE</t>
  </si>
  <si>
    <t>Md Samim</t>
  </si>
  <si>
    <t>Abdul Sattar</t>
  </si>
  <si>
    <t>Mohammad Anwarul Haque</t>
  </si>
  <si>
    <t>Mohammad Afridi</t>
  </si>
  <si>
    <t>Ashfia Haidry</t>
  </si>
  <si>
    <t>Urvita Sharma</t>
  </si>
  <si>
    <t>linking</t>
  </si>
  <si>
    <t>Nitish Kumar</t>
  </si>
  <si>
    <t>Mypass@20</t>
  </si>
  <si>
    <t>N+F</t>
  </si>
  <si>
    <t>Tatkal</t>
  </si>
  <si>
    <t>Transfer</t>
  </si>
  <si>
    <t>reprint</t>
  </si>
  <si>
    <t>Mypass@2021</t>
  </si>
  <si>
    <t>Manoj Kumar</t>
  </si>
  <si>
    <t>Shobha Sharma</t>
  </si>
  <si>
    <t>Ashish Kumar</t>
  </si>
  <si>
    <t>Punam Devi</t>
  </si>
  <si>
    <t>Manjit Singh</t>
  </si>
  <si>
    <t>Alka Kumari</t>
  </si>
  <si>
    <t>Sabnam Khatoon</t>
  </si>
  <si>
    <t>Sumitra Gorai</t>
  </si>
  <si>
    <t>Dhananjay Sawashi</t>
  </si>
  <si>
    <t>Rita Tiwary</t>
  </si>
  <si>
    <t>Simran Bansal</t>
  </si>
  <si>
    <t>n+d</t>
  </si>
  <si>
    <t>Shabana Bano</t>
  </si>
  <si>
    <t>Deepti</t>
  </si>
  <si>
    <t>Rinku Devi</t>
  </si>
  <si>
    <t>Dipesh Rai</t>
  </si>
  <si>
    <t>Akash Nanda</t>
  </si>
  <si>
    <t>Vinita Mishra</t>
  </si>
  <si>
    <t>Kanhaiya Mishra</t>
  </si>
  <si>
    <t>pass</t>
  </si>
  <si>
    <t>Saroj Devi</t>
  </si>
  <si>
    <t>Sarita Devi</t>
  </si>
  <si>
    <t>Annu Pandey</t>
  </si>
  <si>
    <t>Sunita Singh</t>
  </si>
  <si>
    <t>Barnali Dutta</t>
  </si>
  <si>
    <t>Ajay Kumar Jha</t>
  </si>
  <si>
    <t>Sanjay Mahato</t>
  </si>
  <si>
    <t>Laxmi Singh</t>
  </si>
  <si>
    <t>Meena Sinha</t>
  </si>
  <si>
    <t>Durga Pada Maity</t>
  </si>
  <si>
    <t>Ashok Kumar Sahu</t>
  </si>
  <si>
    <t>Jugal Kishore Verma</t>
  </si>
  <si>
    <t>Suren Prasad Saw</t>
  </si>
  <si>
    <t>Mamta Gorai</t>
  </si>
  <si>
    <t>Rajesh Giri</t>
  </si>
  <si>
    <t>Jawaid Alam</t>
  </si>
  <si>
    <t>Jayanti Rani Das</t>
  </si>
  <si>
    <t>Shabana Perween</t>
  </si>
  <si>
    <t>G N Parida</t>
  </si>
  <si>
    <t>Sadhan Patra</t>
  </si>
  <si>
    <t>Asghar Ali</t>
  </si>
  <si>
    <t>sl</t>
  </si>
  <si>
    <t>Mobile</t>
  </si>
  <si>
    <t>User Id</t>
  </si>
  <si>
    <t>Pass</t>
  </si>
  <si>
    <t>pmt sta</t>
  </si>
  <si>
    <t>NO OF APP</t>
  </si>
  <si>
    <t>File No</t>
  </si>
  <si>
    <t>Abhishek Verma</t>
  </si>
  <si>
    <t>Abhishek_nweb</t>
  </si>
  <si>
    <t>Mypass@18</t>
  </si>
  <si>
    <t>No</t>
  </si>
  <si>
    <t>Amit Kumar Sharma</t>
  </si>
  <si>
    <t>Nisa</t>
  </si>
  <si>
    <t>Nand Kishore Prasad</t>
  </si>
  <si>
    <t>nand_nweb</t>
  </si>
  <si>
    <t>Chintamani Prasad</t>
  </si>
  <si>
    <t>Parvez Ahmad</t>
  </si>
  <si>
    <t>Ashraf Ansari</t>
  </si>
  <si>
    <t>ansari_nweb</t>
  </si>
  <si>
    <t>Aliya Surayya</t>
  </si>
  <si>
    <t>Bharat Tiwary</t>
  </si>
  <si>
    <t>KANTI Tiwary</t>
  </si>
  <si>
    <t>Bablu Kumar</t>
  </si>
  <si>
    <t>PCC</t>
  </si>
  <si>
    <t>Firoz Khan</t>
  </si>
  <si>
    <t>pcc</t>
  </si>
  <si>
    <t>firoz_nweb</t>
  </si>
  <si>
    <t>Ajitesh Chaudhury</t>
  </si>
  <si>
    <t>canc</t>
  </si>
  <si>
    <t>R/N</t>
  </si>
  <si>
    <t>Sunny_Mazumdar</t>
  </si>
  <si>
    <t>Abhinav Mridha</t>
  </si>
  <si>
    <t>Abhinav_csc</t>
  </si>
  <si>
    <t>ALI MUSTAFA</t>
  </si>
  <si>
    <t>SHEIKH JUNAID</t>
  </si>
  <si>
    <t>JAMIRUDDIN SAHA</t>
  </si>
  <si>
    <t>SARAJUN BIBI</t>
  </si>
  <si>
    <t>Lalin Dhal</t>
  </si>
  <si>
    <t>ldhal_nweb</t>
  </si>
  <si>
    <t>MANJU KUMARI SINGH</t>
  </si>
  <si>
    <t>manju_nweb</t>
  </si>
  <si>
    <t>ROUNAK CHAKRABORTY</t>
  </si>
  <si>
    <t>SABRA KHATOON</t>
  </si>
  <si>
    <t>ALI PARVEZ AKHTAR</t>
  </si>
  <si>
    <t>Ismotara Khatun</t>
  </si>
  <si>
    <t>renew</t>
  </si>
  <si>
    <t>Radha Kant Gorai</t>
  </si>
  <si>
    <t>K Goutami</t>
  </si>
  <si>
    <t>19-0012588768</t>
  </si>
  <si>
    <t>seikh_nweb</t>
  </si>
  <si>
    <t>Gayatri Chakraborty</t>
  </si>
  <si>
    <t>Priyanka Dutta</t>
  </si>
  <si>
    <t>Anil Kumar Jha</t>
  </si>
  <si>
    <t>Fasi Ahmad</t>
  </si>
  <si>
    <t>fasi_nweb</t>
  </si>
  <si>
    <t>19-0013471740</t>
  </si>
  <si>
    <t>afridi_nweb</t>
  </si>
  <si>
    <t>19-0013902136</t>
  </si>
  <si>
    <t>Rakesh Negi</t>
  </si>
  <si>
    <t>Kausik</t>
  </si>
  <si>
    <t>Ajay Kumar Ram</t>
  </si>
  <si>
    <t>ajay_csc</t>
  </si>
  <si>
    <t>Munni Devi</t>
  </si>
  <si>
    <t>x Gupta</t>
  </si>
  <si>
    <t>nagir_csc</t>
  </si>
  <si>
    <t>Irfan Bag</t>
  </si>
  <si>
    <t>Syed meraj</t>
  </si>
  <si>
    <t>19-0015175914</t>
  </si>
  <si>
    <t>Mohammad Asif ali</t>
  </si>
  <si>
    <t>asif_nweb</t>
  </si>
  <si>
    <t xml:space="preserve">19-0015805136 </t>
  </si>
  <si>
    <t>Mahtab Hussain</t>
  </si>
  <si>
    <t>kamal_csc</t>
  </si>
  <si>
    <t>mYPASS@19</t>
  </si>
  <si>
    <t>sai_csc</t>
  </si>
  <si>
    <t>19-0016450222</t>
  </si>
  <si>
    <t>Anupriya Soumitra</t>
  </si>
  <si>
    <t>19-0017547170</t>
  </si>
  <si>
    <t>Jagadish Banerjee</t>
  </si>
  <si>
    <t>Mohammed Zara Mir</t>
  </si>
  <si>
    <t>New-M</t>
  </si>
  <si>
    <t>zara_nweb</t>
  </si>
  <si>
    <t>19-0017851164</t>
  </si>
  <si>
    <t>Shraddha Gupta</t>
  </si>
  <si>
    <t>Wrong Entry</t>
  </si>
  <si>
    <t>Patna</t>
  </si>
  <si>
    <t>Amit Kumar Mishra</t>
  </si>
  <si>
    <t>AKUMAR_nweb</t>
  </si>
  <si>
    <t>ranchi</t>
  </si>
  <si>
    <t>Prasanta Kumar Nandy</t>
  </si>
  <si>
    <t>nandy_csc</t>
  </si>
  <si>
    <t>SAMPITA NANDY</t>
  </si>
  <si>
    <t>RACHAITA BHATTACHARJEE</t>
  </si>
  <si>
    <t>AMIRA MOHAMMAD KAMAL</t>
  </si>
  <si>
    <t>AYASA KHATOON</t>
  </si>
  <si>
    <t>Md Irsad Alam</t>
  </si>
  <si>
    <t>IRSAD_nweb</t>
  </si>
  <si>
    <t>Zara_nweb</t>
  </si>
  <si>
    <t>Sourav Kumar Mahanty</t>
  </si>
  <si>
    <t>Rajesh Mishra</t>
  </si>
  <si>
    <t>20-0002286144</t>
  </si>
  <si>
    <t>deep_nweb</t>
  </si>
  <si>
    <t>20-0003518252</t>
  </si>
  <si>
    <t>Jamshedpur</t>
  </si>
  <si>
    <t>Nagma Rahman</t>
  </si>
  <si>
    <t>20-0003573774</t>
  </si>
  <si>
    <t>Ranchi</t>
  </si>
  <si>
    <t>Sohail Khan</t>
  </si>
  <si>
    <t>sk6474972@gmail.com</t>
  </si>
  <si>
    <t>tamojit_nweb</t>
  </si>
  <si>
    <t>20-0004376900</t>
  </si>
  <si>
    <t>SK Raj</t>
  </si>
  <si>
    <t>20-0005562488</t>
  </si>
  <si>
    <t>shubham55_nweb</t>
  </si>
  <si>
    <t>beena_nweb</t>
  </si>
  <si>
    <t>1700paid</t>
  </si>
  <si>
    <t>Reena Mahato</t>
  </si>
  <si>
    <t>Mohammad Saiyad</t>
  </si>
  <si>
    <t>Renewal</t>
  </si>
  <si>
    <t>saiyad_nweb</t>
  </si>
  <si>
    <t>Oshi Akhtar</t>
  </si>
  <si>
    <t>alamnweb</t>
  </si>
  <si>
    <t>Enagula hari har nath</t>
  </si>
  <si>
    <t>kakoli sarkar</t>
  </si>
  <si>
    <t>Rahul Sakar</t>
  </si>
  <si>
    <t>Dhirendra Kumar Panday</t>
  </si>
  <si>
    <t>dhirendra_nweb</t>
  </si>
  <si>
    <t>Anup Kaur</t>
  </si>
  <si>
    <t>sukh_nweb</t>
  </si>
  <si>
    <t xml:space="preserve">20-0007935892 </t>
  </si>
  <si>
    <t>20-0007936350</t>
  </si>
  <si>
    <t>Md Sayeed Khan</t>
  </si>
  <si>
    <t>20-0008130226</t>
  </si>
  <si>
    <t>som_nweb</t>
  </si>
  <si>
    <t>21-0000029638</t>
  </si>
  <si>
    <t>nothing paid</t>
  </si>
  <si>
    <t>Md Rashid Afzal</t>
  </si>
  <si>
    <t>Md Israfeel</t>
  </si>
  <si>
    <t>israfeel_nweb</t>
  </si>
  <si>
    <t>21-0001585280</t>
  </si>
  <si>
    <t>Md SERAJUDDIN</t>
  </si>
  <si>
    <t>21-0001585480</t>
  </si>
  <si>
    <t>Rahil Iqbal</t>
  </si>
  <si>
    <t xml:space="preserve">    </t>
  </si>
  <si>
    <t>21-0001704358</t>
  </si>
  <si>
    <t>Susreeta Kundu</t>
  </si>
  <si>
    <t>priyanka_nweb1</t>
  </si>
  <si>
    <t>Chaibaa</t>
  </si>
  <si>
    <t>Sourav Shukla</t>
  </si>
  <si>
    <t>sourav_nweb</t>
  </si>
  <si>
    <t>K Radhika</t>
  </si>
  <si>
    <t>21-0002950458</t>
  </si>
  <si>
    <t>Sarika</t>
  </si>
  <si>
    <t>Anabia Haque</t>
  </si>
  <si>
    <t>anabia_nweb1</t>
  </si>
  <si>
    <t>Chaibasa</t>
  </si>
  <si>
    <t>Priyanka Tiwari</t>
  </si>
  <si>
    <t>Devita Sengupta</t>
  </si>
  <si>
    <t>Telco</t>
  </si>
  <si>
    <t>Shamim Sajjad</t>
  </si>
  <si>
    <t>sajjad_nweb</t>
  </si>
  <si>
    <t>Pass@2021</t>
  </si>
  <si>
    <t>sajjadshamim786@gmail.com</t>
  </si>
  <si>
    <t>Souvik Dutta</t>
  </si>
  <si>
    <t>chaibasa</t>
  </si>
  <si>
    <t>Sumi Kar</t>
  </si>
  <si>
    <t>sumi_nweb</t>
  </si>
  <si>
    <t>Nayonika Bhattacharjee</t>
  </si>
  <si>
    <t>T DEEP</t>
  </si>
  <si>
    <t>DEEPNWEB</t>
  </si>
  <si>
    <t>Sarfaaraz Akhtar</t>
  </si>
  <si>
    <t>21-0004581616</t>
  </si>
  <si>
    <t>Ranjeet Kumar Sukhla</t>
  </si>
  <si>
    <t>iqbal_nweb</t>
  </si>
  <si>
    <t>Santosh Kumar Singh</t>
  </si>
  <si>
    <t>Isha Chanda</t>
  </si>
  <si>
    <t>isha_nweb</t>
  </si>
  <si>
    <t>tushar_nweb</t>
  </si>
  <si>
    <t>Bhim Mahato</t>
  </si>
  <si>
    <t>bhim_nweb</t>
  </si>
  <si>
    <t>Mypass@2002</t>
  </si>
  <si>
    <t>Avinash</t>
  </si>
  <si>
    <t>Avinash_nweb</t>
  </si>
  <si>
    <t>Mypass@21</t>
  </si>
  <si>
    <t>new pass set</t>
  </si>
  <si>
    <t>nisha_nweb</t>
  </si>
  <si>
    <t>JAMSHEDPUR</t>
  </si>
  <si>
    <t>Subrata Dutta</t>
  </si>
  <si>
    <t>subrata_nweb</t>
  </si>
  <si>
    <t>Manali Dey Dutta</t>
  </si>
  <si>
    <t>Smyan Dutta</t>
  </si>
  <si>
    <t>sahil_nweb</t>
  </si>
  <si>
    <t>Mypass@2022</t>
  </si>
  <si>
    <t>ankit_nweb</t>
  </si>
  <si>
    <t>ashish_nweb</t>
  </si>
  <si>
    <t>Sajan Verma</t>
  </si>
  <si>
    <t>sajan_nweb</t>
  </si>
  <si>
    <t>nweb.hub@gmail.com</t>
  </si>
  <si>
    <t>Vishal Verma</t>
  </si>
  <si>
    <t>Ishpal Singh Marwah</t>
  </si>
  <si>
    <t>ishpal_nweb</t>
  </si>
  <si>
    <t>dhirendra_nweb1</t>
  </si>
  <si>
    <t>Likhit Varma M</t>
  </si>
  <si>
    <t>nweb_likhit</t>
  </si>
  <si>
    <t>Md Akhlakh Mansuri</t>
  </si>
  <si>
    <t>Akhlakh_nweb</t>
  </si>
  <si>
    <t>Shivendu Kumar Tiwari</t>
  </si>
  <si>
    <t>shivendu_nweb</t>
  </si>
  <si>
    <t>mew</t>
  </si>
  <si>
    <t>debasish_nweb</t>
  </si>
  <si>
    <t>priyanka_nweb2</t>
  </si>
  <si>
    <t>ashish-nweb</t>
  </si>
  <si>
    <t>suruchi Kumari</t>
  </si>
  <si>
    <t>suruchi_nweb</t>
  </si>
  <si>
    <t>Aparupa Bagchi</t>
  </si>
  <si>
    <t>CHAIBASA</t>
  </si>
  <si>
    <t>aparupa_nweb</t>
  </si>
  <si>
    <t>kamal_nweb</t>
  </si>
  <si>
    <t xml:space="preserve">Bavana Pasupati </t>
  </si>
  <si>
    <t>bavana_nweb</t>
  </si>
  <si>
    <t>ANKITA BHADURI</t>
  </si>
  <si>
    <t>Ankitab_nweb</t>
  </si>
  <si>
    <t>Sharabjeet Sinah</t>
  </si>
  <si>
    <t>sarabjeet_nweb</t>
  </si>
  <si>
    <t>Rishav Mishra</t>
  </si>
  <si>
    <t>200 Paid</t>
  </si>
  <si>
    <t>antu_nweb</t>
  </si>
  <si>
    <t>Inderjit Choudhery</t>
  </si>
  <si>
    <t>Parvinder Singh Jikky</t>
  </si>
  <si>
    <t>jikky_nweb</t>
  </si>
  <si>
    <t>Pass@2022</t>
  </si>
  <si>
    <t>Kirandeep Kaur</t>
  </si>
  <si>
    <t>sagar_nweb</t>
  </si>
  <si>
    <t>Syed Tanweer Alam</t>
  </si>
  <si>
    <t>attaul_nweh</t>
  </si>
  <si>
    <t>Umair Attaul Haque</t>
  </si>
  <si>
    <t>Mobile Number</t>
  </si>
  <si>
    <t>uid</t>
  </si>
  <si>
    <t>GSOPS6448Q</t>
  </si>
  <si>
    <t>Arati Singh</t>
  </si>
  <si>
    <t>Ar@ti1970</t>
  </si>
  <si>
    <t>ABBPA6972F</t>
  </si>
  <si>
    <t>Aleem Akhtar</t>
  </si>
  <si>
    <t>Akht@r1953</t>
  </si>
  <si>
    <t>30-12-1953</t>
  </si>
  <si>
    <t>ABMPG9732E</t>
  </si>
  <si>
    <t>Rudra nath Ghosh</t>
  </si>
  <si>
    <t>Rudr@1957</t>
  </si>
  <si>
    <t>DMMPK1554A</t>
  </si>
  <si>
    <t>Pritpal Kaur</t>
  </si>
  <si>
    <t>Pritp@l62</t>
  </si>
  <si>
    <t>14-09-1962</t>
  </si>
  <si>
    <t>IEGPS9464J</t>
  </si>
  <si>
    <t>Sanedeep Sahu</t>
  </si>
  <si>
    <t>S@ndeep96</t>
  </si>
  <si>
    <t>FNWPS6909E</t>
  </si>
  <si>
    <t>Ranjeet Kumar Sinha</t>
  </si>
  <si>
    <t>Ranjeet@2021</t>
  </si>
  <si>
    <t>BLQPS6102R</t>
  </si>
  <si>
    <t>Mina Sinha</t>
  </si>
  <si>
    <t>Min@1964</t>
  </si>
  <si>
    <t>AYCPD8148C</t>
  </si>
  <si>
    <t>Sagar Dutta</t>
  </si>
  <si>
    <t>Mahab1r##</t>
  </si>
  <si>
    <t>AQJPK7565K</t>
  </si>
  <si>
    <t>Anup Kumar</t>
  </si>
  <si>
    <t>Bipin@78</t>
  </si>
  <si>
    <t>CLNPS6089R</t>
  </si>
  <si>
    <t>Sunita@82</t>
  </si>
  <si>
    <t>AANPV8255B</t>
  </si>
  <si>
    <t>Jugal@1951</t>
  </si>
  <si>
    <t>AEXPV8975J</t>
  </si>
  <si>
    <t>Saroj Verma</t>
  </si>
  <si>
    <t>Saroj@1960</t>
  </si>
  <si>
    <t>AGVPD4353N</t>
  </si>
  <si>
    <t>KAKOLI DUTTA</t>
  </si>
  <si>
    <t>Kakoli@60</t>
  </si>
  <si>
    <t>CWKPS9058N</t>
  </si>
  <si>
    <t>MUTHUSAMY SIVA</t>
  </si>
  <si>
    <t>Muthusamy@89</t>
  </si>
  <si>
    <t>masterjee</t>
  </si>
  <si>
    <t>AVOPA3987H</t>
  </si>
  <si>
    <t>Mohammad Zia Alam</t>
  </si>
  <si>
    <t>Zia@alam80</t>
  </si>
  <si>
    <t>ANJPP0484D</t>
  </si>
  <si>
    <t>Pranaba Nanda Paul</t>
  </si>
  <si>
    <t>AFTPD5310E</t>
  </si>
  <si>
    <t>Kalyani Das</t>
  </si>
  <si>
    <t>Kalyani@61</t>
  </si>
  <si>
    <t>BWDPK7679D</t>
  </si>
  <si>
    <t>Durga@1992</t>
  </si>
  <si>
    <t>Binod@1973</t>
  </si>
  <si>
    <t>AKJPT1860E</t>
  </si>
  <si>
    <t>UDAY KUMAR THAPA</t>
  </si>
  <si>
    <t>Uday@1971</t>
  </si>
  <si>
    <t>EIWPM0791L</t>
  </si>
  <si>
    <t>P@nkaj1978</t>
  </si>
  <si>
    <t>EIXPM7038H</t>
  </si>
  <si>
    <t>Riba Mahato</t>
  </si>
  <si>
    <t>M@hato77</t>
  </si>
  <si>
    <t>CMJPP4511N</t>
  </si>
  <si>
    <t>mYPASS@95</t>
  </si>
  <si>
    <t>AIAPV4335R</t>
  </si>
  <si>
    <t>Sushant Kumar Verma</t>
  </si>
  <si>
    <t>Sushant@20</t>
  </si>
  <si>
    <t>IMQPS6601K</t>
  </si>
  <si>
    <t>Binod Kumar Sahu</t>
  </si>
  <si>
    <t>AGCPA4264C</t>
  </si>
  <si>
    <t>Nadim Akhtar Ansari</t>
  </si>
  <si>
    <t>nadim@1976</t>
  </si>
  <si>
    <t>AACPU1462G</t>
  </si>
  <si>
    <t>Bani Mahadeo Upadhyay</t>
  </si>
  <si>
    <t>Bani@1965</t>
  </si>
  <si>
    <t>AOAPR6741R</t>
  </si>
  <si>
    <t>Munna Rai</t>
  </si>
  <si>
    <t>Munna@1963</t>
  </si>
  <si>
    <t>BPOPK6301N</t>
  </si>
  <si>
    <t>Shahabuddin Khan</t>
  </si>
  <si>
    <t>kHAN@1980</t>
  </si>
  <si>
    <t>ABBPA6871F</t>
  </si>
  <si>
    <t>Bahadur@20</t>
  </si>
  <si>
    <t>DBXPS9986N</t>
  </si>
  <si>
    <t>Rajesh Kumar Soni</t>
  </si>
  <si>
    <t>R@jesh1976</t>
  </si>
  <si>
    <t>ABKPB3991J</t>
  </si>
  <si>
    <t>MOTI LAL BHAGAT</t>
  </si>
  <si>
    <t>Bhagat@20</t>
  </si>
  <si>
    <t>ARMPJ1925G</t>
  </si>
  <si>
    <t>Punit</t>
  </si>
  <si>
    <t>Punit@1992</t>
  </si>
  <si>
    <t>AEVPH3300R</t>
  </si>
  <si>
    <t>Shahnawaz Hussain</t>
  </si>
  <si>
    <t>Hussain@20</t>
  </si>
  <si>
    <t>AENPS6818P</t>
  </si>
  <si>
    <t>Arvind Kumar Sinha</t>
  </si>
  <si>
    <t>Sinha@1953</t>
  </si>
  <si>
    <t>AEIPS6517E</t>
  </si>
  <si>
    <t>Jerome@1954</t>
  </si>
  <si>
    <t>30-0-1954</t>
  </si>
  <si>
    <t>ASWPB4065E</t>
  </si>
  <si>
    <t>bHAKAT@2021</t>
  </si>
  <si>
    <t>BKSPS0670R</t>
  </si>
  <si>
    <t>Upendra Singh</t>
  </si>
  <si>
    <t>Singh@1973</t>
  </si>
  <si>
    <t>BXQPK1484C</t>
  </si>
  <si>
    <t>Gauam Kumar</t>
  </si>
  <si>
    <t>Gautam@2021</t>
  </si>
  <si>
    <t>AKRPM0321M</t>
  </si>
  <si>
    <t>Ranjit Kumar Mahato</t>
  </si>
  <si>
    <t>Mahato@2021</t>
  </si>
  <si>
    <t>AKCPD6628F</t>
  </si>
  <si>
    <t>Amal Kumar Das</t>
  </si>
  <si>
    <t>Amal@1965</t>
  </si>
  <si>
    <t>BIWPS5227E</t>
  </si>
  <si>
    <t>Saroj Kumar Singh</t>
  </si>
  <si>
    <t>AHEPT4864C</t>
  </si>
  <si>
    <t>Bageshwar Tiwari</t>
  </si>
  <si>
    <t>Tiwari@1951</t>
  </si>
  <si>
    <t>AHYPD1473F</t>
  </si>
  <si>
    <t>Subhadeep Das</t>
  </si>
  <si>
    <t>Deep@1975</t>
  </si>
  <si>
    <t>ANQPJ9827R</t>
  </si>
  <si>
    <t>Birendra Kumar Jha</t>
  </si>
  <si>
    <t>Kumar@1970</t>
  </si>
  <si>
    <t>CCIPD1992E</t>
  </si>
  <si>
    <t>Abhijit Das</t>
  </si>
  <si>
    <t>Abhijit@1996</t>
  </si>
  <si>
    <t>ABUPM5565H</t>
  </si>
  <si>
    <t>Mani@1971</t>
  </si>
  <si>
    <t>Jitendra nath Mahato</t>
  </si>
  <si>
    <t>Nath@1973</t>
  </si>
  <si>
    <t>AEIPS3362M</t>
  </si>
  <si>
    <t>Harinder Singh</t>
  </si>
  <si>
    <t>BBTPG1518E</t>
  </si>
  <si>
    <t>Sujata Gorai</t>
  </si>
  <si>
    <t>Sujata@1988</t>
  </si>
  <si>
    <t>ABCPR7212G</t>
  </si>
  <si>
    <t>Pawitra Ram</t>
  </si>
  <si>
    <t>Pawitra@1959</t>
  </si>
  <si>
    <t>ARDPR0720L</t>
  </si>
  <si>
    <t>Naresh@1972</t>
  </si>
  <si>
    <t>AEUPG5564R</t>
  </si>
  <si>
    <t>Jogen Kumar Gorai</t>
  </si>
  <si>
    <t>Jogen@1976</t>
  </si>
  <si>
    <t>appl dt</t>
  </si>
  <si>
    <t>Appl NO.</t>
  </si>
  <si>
    <t>C Status</t>
  </si>
  <si>
    <t>DL APPL</t>
  </si>
  <si>
    <t>LL NO.</t>
  </si>
  <si>
    <t>RFCustomer</t>
  </si>
  <si>
    <t>Due frm cust</t>
  </si>
  <si>
    <t>chaged</t>
  </si>
  <si>
    <t>pd 2 tap</t>
  </si>
  <si>
    <t>Due 2 Tap</t>
  </si>
  <si>
    <t xml:space="preserve">JH05 /0009008/2018 </t>
  </si>
  <si>
    <t>CHARGE</t>
  </si>
  <si>
    <t>Sadia Aman</t>
  </si>
  <si>
    <t>DELIVERED</t>
  </si>
  <si>
    <t>JH05 /0004917/2019</t>
  </si>
  <si>
    <t> 628091719</t>
  </si>
  <si>
    <t>Harihar Choudhary</t>
  </si>
  <si>
    <t>JH05 /0013736/2019</t>
  </si>
  <si>
    <t>Anjan Kumar Sinha</t>
  </si>
  <si>
    <t>DL RENEW</t>
  </si>
  <si>
    <t>DL</t>
  </si>
  <si>
    <t>slot booked by me</t>
  </si>
  <si>
    <t>Md Mahibul</t>
  </si>
  <si>
    <t>new dl</t>
  </si>
  <si>
    <t>4107604719  2563496819</t>
  </si>
  <si>
    <t>Rakhi Kumari</t>
  </si>
  <si>
    <t>Supriya Dey</t>
  </si>
  <si>
    <t>Abdul bari Khan</t>
  </si>
  <si>
    <t>Sudip Bhadra</t>
  </si>
  <si>
    <t>Bishwajit Prusty</t>
  </si>
  <si>
    <t>601705820,  2824057319</t>
  </si>
  <si>
    <t>AB+</t>
  </si>
  <si>
    <t>Chandra Shekhar</t>
  </si>
  <si>
    <t>Md Shabbir Ahmad</t>
  </si>
  <si>
    <t>Md Wasim</t>
  </si>
  <si>
    <t>Md Rafi Anwar</t>
  </si>
  <si>
    <t>SK RAFIQUDDIN</t>
  </si>
  <si>
    <t>Sneha Banra</t>
  </si>
  <si>
    <t>Kunal Kumar Gupta</t>
  </si>
  <si>
    <t>Jay Kishan Keshori</t>
  </si>
  <si>
    <t>Nazeeb Ahmed</t>
  </si>
  <si>
    <t>SHYAMCHAND SWANSI</t>
  </si>
  <si>
    <t>swansinweb@</t>
  </si>
  <si>
    <t>fail</t>
  </si>
  <si>
    <t>re</t>
  </si>
  <si>
    <t>GOPINATH GORAI</t>
  </si>
  <si>
    <t>gopi.nweb</t>
  </si>
  <si>
    <t xml:space="preserve">new dl </t>
  </si>
  <si>
    <t>Deepak Tantubai</t>
  </si>
  <si>
    <t>deepaktantubairs</t>
  </si>
  <si>
    <t>sadhannweb@g</t>
  </si>
  <si>
    <t>Sandeep Kaur</t>
  </si>
  <si>
    <t>sandeepnweb129@gmail.com</t>
  </si>
  <si>
    <t>Gurdeet Singh</t>
  </si>
  <si>
    <t>gurdeetnweb@gmail.com</t>
  </si>
  <si>
    <t>RC renew</t>
  </si>
  <si>
    <t>Mahendra Munda</t>
  </si>
  <si>
    <t>New dl</t>
  </si>
  <si>
    <t>sumeth thakur</t>
  </si>
  <si>
    <t>Mahip Kumar Singh</t>
  </si>
  <si>
    <t>renewal</t>
  </si>
  <si>
    <t>Gurudeet Singh</t>
  </si>
  <si>
    <t>LL ISSUED</t>
  </si>
  <si>
    <t>Vishnu Pado Ruhidas</t>
  </si>
  <si>
    <t>new dl 2w</t>
  </si>
  <si>
    <t>Gunadhar Sahis</t>
  </si>
  <si>
    <t>new24</t>
  </si>
  <si>
    <t>Gurudayal Singh</t>
  </si>
  <si>
    <t>Syed  Iftakhar Hussain</t>
  </si>
  <si>
    <t>Amrik Singh</t>
  </si>
  <si>
    <t>Del 23-09-2020</t>
  </si>
  <si>
    <t>Sujat Ali</t>
  </si>
  <si>
    <t>Del 24-09-2020</t>
  </si>
  <si>
    <t>D k Choudhary</t>
  </si>
  <si>
    <t>Pravin Kumar</t>
  </si>
  <si>
    <t>Nagalu Lakshman</t>
  </si>
  <si>
    <t>Chhatu Sardar</t>
  </si>
  <si>
    <t>Suchita Ghoshal</t>
  </si>
  <si>
    <t>Dup RC</t>
  </si>
  <si>
    <t>Deven singh sardar</t>
  </si>
  <si>
    <t>trans</t>
  </si>
  <si>
    <t>Ganapati Mishra</t>
  </si>
  <si>
    <t>2to4</t>
  </si>
  <si>
    <t>Rezwana Tabassum</t>
  </si>
  <si>
    <t>doc diven for LL</t>
  </si>
  <si>
    <t>S M Altamash Madni</t>
  </si>
  <si>
    <t>DL appont 15-03-21</t>
  </si>
  <si>
    <t>Tapas Kumar Das</t>
  </si>
  <si>
    <t>Md Asif Jamal</t>
  </si>
  <si>
    <t>learning rcvd</t>
  </si>
  <si>
    <t>Katapadi Gopi Krishna Rao</t>
  </si>
  <si>
    <t>Parasnath prasad</t>
  </si>
  <si>
    <t>Pankaj Kumar Sinha</t>
  </si>
  <si>
    <t>2+4</t>
  </si>
  <si>
    <t>Nand Kumar Singh</t>
  </si>
  <si>
    <t>hp+ot</t>
  </si>
  <si>
    <t>S Vadivelu</t>
  </si>
  <si>
    <t>given for LL</t>
  </si>
  <si>
    <t>JH0520070012015</t>
  </si>
  <si>
    <t>Noushine Fatama</t>
  </si>
  <si>
    <t>twoGL</t>
  </si>
  <si>
    <t>Shahid Perwez</t>
  </si>
  <si>
    <t>renuew</t>
  </si>
  <si>
    <t>Sharique Raza Anwar</t>
  </si>
  <si>
    <t>Rina Devi</t>
  </si>
  <si>
    <t>Deven Munda</t>
  </si>
  <si>
    <t>Shwetamberr Kumar</t>
  </si>
  <si>
    <t>12-03-2021 given for LL</t>
  </si>
  <si>
    <t>Ram Prasad Sahu</t>
  </si>
  <si>
    <t>Photo done</t>
  </si>
  <si>
    <t>12-03-2021 given to tpn</t>
  </si>
  <si>
    <t>Neena Sharma</t>
  </si>
  <si>
    <t>RC Trasfer</t>
  </si>
  <si>
    <t>Bhavna</t>
  </si>
  <si>
    <t>given for LL-12-03-2021</t>
  </si>
  <si>
    <t>Ram Chandra Pandey</t>
  </si>
  <si>
    <t>CARD RECVD</t>
  </si>
  <si>
    <t>Sujay Kumar mahato</t>
  </si>
  <si>
    <t>given for main</t>
  </si>
  <si>
    <t>Anshu Kumari</t>
  </si>
  <si>
    <t>given for main06/02/22</t>
  </si>
  <si>
    <t>Laxmi Saha</t>
  </si>
  <si>
    <t>reewal</t>
  </si>
  <si>
    <t>Laxmi Hansdah</t>
  </si>
  <si>
    <t>MCWOG</t>
  </si>
  <si>
    <t>Rajesh Tantubai</t>
  </si>
  <si>
    <t>given for scrutni</t>
  </si>
  <si>
    <t>MCWG</t>
  </si>
  <si>
    <t>given for final 25-12-21</t>
  </si>
  <si>
    <t>Naresh Kumar Tanti</t>
  </si>
  <si>
    <t>Sanjay Pandey</t>
  </si>
  <si>
    <t>refunded 1400</t>
  </si>
  <si>
    <t>md tamim</t>
  </si>
  <si>
    <t>SFML-04-10-21</t>
  </si>
  <si>
    <t>Vaibhav Mishra</t>
  </si>
  <si>
    <t>Rakesh Gope</t>
  </si>
  <si>
    <t>Deepaarnita biswas</t>
  </si>
  <si>
    <t>Subal Chandra Paul</t>
  </si>
  <si>
    <t>Yadavilli Rama Murty</t>
  </si>
  <si>
    <t>Krishna Kumar</t>
  </si>
  <si>
    <t>card rcvd</t>
  </si>
  <si>
    <t>JH05 20210027880</t>
  </si>
  <si>
    <t>Joyraj Paul</t>
  </si>
  <si>
    <t>09-0-1964</t>
  </si>
  <si>
    <t>Shankhanil Basu</t>
  </si>
  <si>
    <t>Dhiraj Kr srivastava</t>
  </si>
  <si>
    <t>Shyam Kumar Singh</t>
  </si>
  <si>
    <t>Praveen Sharma</t>
  </si>
  <si>
    <t>2to 4</t>
  </si>
  <si>
    <t>Nurul Hakim</t>
  </si>
  <si>
    <t>Bhavya Tiwary</t>
  </si>
  <si>
    <t>card delivered</t>
  </si>
  <si>
    <t>Mangal Gope</t>
  </si>
  <si>
    <t>Sujoy Panda</t>
  </si>
  <si>
    <t>Delivered on 19-02-22</t>
  </si>
  <si>
    <t>Bijay Kumar Singh</t>
  </si>
  <si>
    <t>Bishwajeet Dhibar</t>
  </si>
  <si>
    <t>Lost</t>
  </si>
  <si>
    <t>Sanjeeb Kumar Mahanty</t>
  </si>
  <si>
    <t>lost</t>
  </si>
  <si>
    <t>2 to 4</t>
  </si>
  <si>
    <t>mani Kant(7909044681)</t>
  </si>
  <si>
    <t>Bhrigu Nath Sharma</t>
  </si>
  <si>
    <t>Md Sadiq Hussain</t>
  </si>
  <si>
    <t>Monisha Singh</t>
  </si>
  <si>
    <t>Kumar Shubham</t>
  </si>
  <si>
    <t>Tata Sandep</t>
  </si>
  <si>
    <t>Manoj Kumar Mahato</t>
  </si>
  <si>
    <t>Delivered on 24-02-22</t>
  </si>
  <si>
    <t>Dilbag Singh</t>
  </si>
  <si>
    <t>Shambhu nath Bhagat</t>
  </si>
  <si>
    <t>HP Rem</t>
  </si>
  <si>
    <t>10-12--2021</t>
  </si>
  <si>
    <t>Sahil Kumar</t>
  </si>
  <si>
    <t>Satyanarayan Das</t>
  </si>
  <si>
    <t>re-registration</t>
  </si>
  <si>
    <t>Mohini Mohan Gope</t>
  </si>
  <si>
    <t>given for main on 22-02-22</t>
  </si>
  <si>
    <t>Madan Mohan prasad</t>
  </si>
  <si>
    <t>Binod Kumar Sinha</t>
  </si>
  <si>
    <t>Barun Kumar Chauhan</t>
  </si>
  <si>
    <t>Re+addrs</t>
  </si>
  <si>
    <t>Rohit Pandey</t>
  </si>
  <si>
    <t>Ashutosh Gautam</t>
  </si>
  <si>
    <t>Md Seraj Hussain</t>
  </si>
  <si>
    <t>Goutam Mondal</t>
  </si>
  <si>
    <t>JH055351</t>
  </si>
  <si>
    <t>re-register</t>
  </si>
  <si>
    <t>Bhojay Soren</t>
  </si>
  <si>
    <t>Kiran Devi</t>
  </si>
  <si>
    <t>A051691136</t>
  </si>
  <si>
    <t>Abdul Wahab</t>
  </si>
  <si>
    <t>11-09-2002</t>
  </si>
  <si>
    <t>A051723259</t>
  </si>
  <si>
    <t>Neelam Devi</t>
  </si>
  <si>
    <t>23-03-2022</t>
  </si>
  <si>
    <t>09-03-2000</t>
  </si>
  <si>
    <t>Sapna Kumari</t>
  </si>
  <si>
    <t>A051724597</t>
  </si>
  <si>
    <t>A051749949</t>
  </si>
  <si>
    <t>Payal Das</t>
  </si>
  <si>
    <t>10-05-2002</t>
  </si>
  <si>
    <t>Jitendra Srivastava</t>
  </si>
  <si>
    <t>23-10-1984</t>
  </si>
  <si>
    <t>sanjay2(self add)</t>
  </si>
  <si>
    <t>Devanti Devi</t>
  </si>
  <si>
    <t>24-03-2022</t>
  </si>
  <si>
    <t>A051766558</t>
  </si>
  <si>
    <t>A051757475</t>
  </si>
  <si>
    <t>Q005443332</t>
  </si>
  <si>
    <t>14-01-1981</t>
  </si>
  <si>
    <t>A051848231</t>
  </si>
  <si>
    <t>jasvinder Kour</t>
  </si>
  <si>
    <t>26-12-1997</t>
  </si>
  <si>
    <t>25-03-2022</t>
  </si>
  <si>
    <t>Ashok Kumar Upadhayay</t>
  </si>
  <si>
    <t>Q005453247</t>
  </si>
  <si>
    <t>Anjali Sarkar</t>
  </si>
  <si>
    <t>26-03-2022</t>
  </si>
  <si>
    <t>15-06-1948</t>
  </si>
  <si>
    <t> 22-0004343506</t>
  </si>
  <si>
    <t>rani_nweb</t>
  </si>
  <si>
    <t>Rani Dey</t>
  </si>
  <si>
    <t>A051875141</t>
  </si>
  <si>
    <t>Nazreen Tabassom</t>
  </si>
  <si>
    <t>15-09-1994</t>
  </si>
  <si>
    <t>A051898926</t>
  </si>
  <si>
    <t>Hemangini Bhakat</t>
  </si>
  <si>
    <t>15-04-1975</t>
  </si>
  <si>
    <t>Q005464674</t>
  </si>
  <si>
    <t>Bhuvan Bhaskar</t>
  </si>
  <si>
    <t>31-01-1981</t>
  </si>
  <si>
    <t>27-03-2022</t>
  </si>
  <si>
    <t>Akhilesh Kr singh</t>
  </si>
  <si>
    <t>200paid</t>
  </si>
  <si>
    <t>Uzma Afreen</t>
  </si>
  <si>
    <t>13-01-2001</t>
  </si>
  <si>
    <t>28-03-2022</t>
  </si>
  <si>
    <t>Q005477083</t>
  </si>
  <si>
    <t>A051944880</t>
  </si>
  <si>
    <t>29-03-2022</t>
  </si>
  <si>
    <t>Q005474224</t>
  </si>
  <si>
    <t>Nikhil majumdar</t>
  </si>
  <si>
    <t>31-12-1953</t>
  </si>
  <si>
    <t>Q005477221</t>
  </si>
  <si>
    <t>12-12-1969</t>
  </si>
  <si>
    <t>A052001317</t>
  </si>
  <si>
    <t>Sankar Kumar</t>
  </si>
  <si>
    <t>28-01-2006</t>
  </si>
  <si>
    <t>A051999680</t>
  </si>
  <si>
    <t>Aarti Devi</t>
  </si>
  <si>
    <t>A052000996</t>
  </si>
  <si>
    <t>Saloni Kumari</t>
  </si>
  <si>
    <t>15/11/2008</t>
  </si>
  <si>
    <t>Q005498394</t>
  </si>
  <si>
    <t>Ram Naresh Tiwari</t>
  </si>
  <si>
    <t>01/09/1975</t>
  </si>
  <si>
    <t>31-03-2022</t>
  </si>
  <si>
    <t>ashish_nweb22</t>
  </si>
  <si>
    <t>A052194434</t>
  </si>
  <si>
    <t>Surbhi Kumari Pandey</t>
  </si>
  <si>
    <t>25-07-2001</t>
  </si>
  <si>
    <t>A052190383</t>
  </si>
  <si>
    <t>Aaditya Shome</t>
  </si>
  <si>
    <t>25-05-2006</t>
  </si>
  <si>
    <t>A052210053</t>
  </si>
  <si>
    <t>A052259138</t>
  </si>
  <si>
    <t>Sabi Devi</t>
  </si>
  <si>
    <t>04-04-2022</t>
  </si>
  <si>
    <t>1-01-1977</t>
  </si>
  <si>
    <t>01-01-1982</t>
  </si>
  <si>
    <t>Gurdeet</t>
  </si>
  <si>
    <t>A052263373</t>
  </si>
  <si>
    <t>14-02-1995</t>
  </si>
  <si>
    <t>25-03-2004</t>
  </si>
  <si>
    <t>Spandan Dutaa</t>
  </si>
  <si>
    <t>A052263941</t>
  </si>
  <si>
    <t>A052305856</t>
  </si>
  <si>
    <t>Anita Tanti</t>
  </si>
  <si>
    <t>10-02-2000</t>
  </si>
  <si>
    <t>05-04-2022</t>
  </si>
  <si>
    <t>A052353975</t>
  </si>
  <si>
    <t>Hritika</t>
  </si>
  <si>
    <t>12-09-2002</t>
  </si>
  <si>
    <t>06-04-2022</t>
  </si>
  <si>
    <t>at comport</t>
  </si>
  <si>
    <t>Sarabjeet Singh</t>
  </si>
  <si>
    <t>A052386464</t>
  </si>
  <si>
    <t>Keshab Kumar</t>
  </si>
  <si>
    <t>15-07-1998</t>
  </si>
  <si>
    <t>08-04-2022</t>
  </si>
  <si>
    <t>A052426614</t>
  </si>
  <si>
    <t>24/08/2000</t>
  </si>
  <si>
    <t>???????</t>
  </si>
  <si>
    <t>HTRPD3464C</t>
  </si>
  <si>
    <t>A052488263</t>
  </si>
  <si>
    <t>Bholenath Das</t>
  </si>
  <si>
    <t>13-03-1998</t>
  </si>
  <si>
    <t>10-04-2022</t>
  </si>
  <si>
    <t>13-04-2022</t>
  </si>
  <si>
    <t>Q005515495</t>
  </si>
  <si>
    <t>01-03-2004</t>
  </si>
  <si>
    <t>A052713742</t>
  </si>
  <si>
    <t>Akbar Ali</t>
  </si>
  <si>
    <t>30-11-1980</t>
  </si>
  <si>
    <t>16-04-2022</t>
  </si>
  <si>
    <t>Rohit Shukla</t>
  </si>
  <si>
    <t>A052721286</t>
  </si>
  <si>
    <t>16-05-2002</t>
  </si>
  <si>
    <t>Rajib Chakraborty</t>
  </si>
  <si>
    <t>A052795387</t>
  </si>
  <si>
    <t>Soumendu Bhattcharjee</t>
  </si>
  <si>
    <t>16-07-1979</t>
  </si>
  <si>
    <t>18-04-2022</t>
  </si>
  <si>
    <t>A052884298</t>
  </si>
  <si>
    <t>26-02-1995</t>
  </si>
  <si>
    <t>V Usha</t>
  </si>
  <si>
    <t>A053019441</t>
  </si>
  <si>
    <t>indu Ray</t>
  </si>
  <si>
    <t>09-02-1963</t>
  </si>
  <si>
    <t>23-04-2022</t>
  </si>
  <si>
    <t>26-04-2022</t>
  </si>
  <si>
    <t>Ritu Choudhary</t>
  </si>
  <si>
    <t>A053127790</t>
  </si>
  <si>
    <t>28-02-1991</t>
  </si>
  <si>
    <t>Anupama Pathak</t>
  </si>
  <si>
    <t>A053177258</t>
  </si>
  <si>
    <t>11-01-2003</t>
  </si>
  <si>
    <t>28-04-2022</t>
  </si>
  <si>
    <t>Asha Pandey</t>
  </si>
  <si>
    <t>07-10-1957</t>
  </si>
  <si>
    <t>29-04-2022</t>
  </si>
  <si>
    <t>A053258189</t>
  </si>
  <si>
    <t>A053272311</t>
  </si>
  <si>
    <t>Subham Karmakar</t>
  </si>
  <si>
    <t>11/04/2004</t>
  </si>
  <si>
    <t>30-04-2022</t>
  </si>
  <si>
    <t>Renew</t>
  </si>
  <si>
    <t>918092231804</t>
  </si>
  <si>
    <t>919110186831</t>
  </si>
  <si>
    <t>918873555140</t>
  </si>
  <si>
    <t>917004404619</t>
  </si>
  <si>
    <t>917488275033</t>
  </si>
  <si>
    <t>919708669563</t>
  </si>
  <si>
    <t>919234131348</t>
  </si>
  <si>
    <t>919204221901</t>
  </si>
  <si>
    <t>919204311494</t>
  </si>
  <si>
    <t>916200266828</t>
  </si>
  <si>
    <t>919835189579</t>
  </si>
  <si>
    <t>919709210887</t>
  </si>
  <si>
    <t>919431569365</t>
  </si>
  <si>
    <t>917209413452</t>
  </si>
  <si>
    <t>917903948659</t>
  </si>
  <si>
    <t>918092161676</t>
  </si>
  <si>
    <t>919279148348</t>
  </si>
  <si>
    <t>918797826254</t>
  </si>
  <si>
    <t>918092496665</t>
  </si>
  <si>
    <t>919835477685</t>
  </si>
  <si>
    <t>917209950221</t>
  </si>
  <si>
    <t>919716966254</t>
  </si>
  <si>
    <t>917258879451</t>
  </si>
  <si>
    <t>916203668967</t>
  </si>
  <si>
    <t>917070095589</t>
  </si>
  <si>
    <t>918709533979</t>
  </si>
  <si>
    <t>918092206717</t>
  </si>
  <si>
    <t>918210564677</t>
  </si>
  <si>
    <t>917366919425</t>
  </si>
  <si>
    <t>918603251790</t>
  </si>
  <si>
    <t>916201941775</t>
  </si>
  <si>
    <t>918709705340</t>
  </si>
  <si>
    <t>917488948181</t>
  </si>
  <si>
    <t>919162141596</t>
  </si>
  <si>
    <t>919608931932</t>
  </si>
  <si>
    <t>918660255932</t>
  </si>
  <si>
    <t>919781759278</t>
  </si>
  <si>
    <t>917370891032</t>
  </si>
  <si>
    <t>919801375687</t>
  </si>
  <si>
    <t>918002484625</t>
  </si>
  <si>
    <t>91</t>
  </si>
  <si>
    <t>919661125755</t>
  </si>
  <si>
    <t>918825340143</t>
  </si>
  <si>
    <t>916206382425</t>
  </si>
  <si>
    <t>918340619383</t>
  </si>
  <si>
    <t>918797675277</t>
  </si>
  <si>
    <t>917209152003</t>
  </si>
  <si>
    <t>919304534774</t>
  </si>
  <si>
    <t>919031989594</t>
  </si>
  <si>
    <t>919931321832</t>
  </si>
  <si>
    <t>919113112064</t>
  </si>
  <si>
    <t>919835760251</t>
  </si>
  <si>
    <t>918709357819</t>
  </si>
  <si>
    <t>919031038399</t>
  </si>
  <si>
    <t>919771078319</t>
  </si>
  <si>
    <t>916200609264</t>
  </si>
  <si>
    <t>919955844105</t>
  </si>
  <si>
    <t>918271312110</t>
  </si>
  <si>
    <t>919572923483</t>
  </si>
  <si>
    <t>916205266370</t>
  </si>
  <si>
    <t>919031708341</t>
  </si>
  <si>
    <t>916205191685</t>
  </si>
  <si>
    <t>918603873458</t>
  </si>
  <si>
    <t>919204976811</t>
  </si>
  <si>
    <t>919573395115</t>
  </si>
  <si>
    <t>919800461568</t>
  </si>
  <si>
    <t>918083631050</t>
  </si>
  <si>
    <t>917739044155</t>
  </si>
  <si>
    <t>918092577946</t>
  </si>
  <si>
    <t>919308457927</t>
  </si>
  <si>
    <t>917543917665</t>
  </si>
  <si>
    <t>918797574708</t>
  </si>
  <si>
    <t>919031907108</t>
  </si>
  <si>
    <t>917209799520</t>
  </si>
  <si>
    <t>919431167008</t>
  </si>
  <si>
    <t>917319732731</t>
  </si>
  <si>
    <t>917619362586</t>
  </si>
  <si>
    <t>919534014105</t>
  </si>
  <si>
    <t>918210640569</t>
  </si>
  <si>
    <t>917033627737</t>
  </si>
  <si>
    <t>917004864934</t>
  </si>
  <si>
    <t>919546001099</t>
  </si>
  <si>
    <t>918210237201</t>
  </si>
  <si>
    <t>919031271967</t>
  </si>
  <si>
    <t>918210523941</t>
  </si>
  <si>
    <t>917992344716</t>
  </si>
  <si>
    <t>918534700235</t>
  </si>
  <si>
    <t>918987864098</t>
  </si>
  <si>
    <t>919304750779</t>
  </si>
  <si>
    <t>919472315294</t>
  </si>
  <si>
    <t>919102370595</t>
  </si>
  <si>
    <t>918709102483</t>
  </si>
  <si>
    <t>917011152603</t>
  </si>
  <si>
    <t>917004036221</t>
  </si>
  <si>
    <t>918969153202</t>
  </si>
  <si>
    <t>917091556451</t>
  </si>
  <si>
    <t>919931145822</t>
  </si>
  <si>
    <t>919835537202</t>
  </si>
  <si>
    <t>917209946815</t>
  </si>
  <si>
    <t>919711146659</t>
  </si>
  <si>
    <t>918272990701</t>
  </si>
  <si>
    <t>919431345961</t>
  </si>
  <si>
    <t>919065733224</t>
  </si>
  <si>
    <t>917004939998</t>
  </si>
  <si>
    <t>918076886229</t>
  </si>
  <si>
    <t>918603319592</t>
  </si>
  <si>
    <t>916202909827</t>
  </si>
  <si>
    <t>919065339731</t>
  </si>
  <si>
    <t>916203157028</t>
  </si>
  <si>
    <t>917903010419</t>
  </si>
  <si>
    <t>916202186630</t>
  </si>
  <si>
    <t>919304033860</t>
  </si>
  <si>
    <t>918409949983</t>
  </si>
  <si>
    <t>918653845274</t>
  </si>
  <si>
    <t>919835356289</t>
  </si>
  <si>
    <t>916201105757</t>
  </si>
  <si>
    <t>917209198771</t>
  </si>
  <si>
    <t>919899267972</t>
  </si>
  <si>
    <t>918789868750</t>
  </si>
  <si>
    <t>917209994300</t>
  </si>
  <si>
    <t>919798159111</t>
  </si>
  <si>
    <t>919386818489</t>
  </si>
  <si>
    <t>919199299448</t>
  </si>
  <si>
    <t>918235010195</t>
  </si>
  <si>
    <t>918603190548</t>
  </si>
  <si>
    <t>917209000816</t>
  </si>
  <si>
    <t>919386297857</t>
  </si>
  <si>
    <t>919631049704</t>
  </si>
  <si>
    <t>918084871616</t>
  </si>
  <si>
    <t>919835313039</t>
  </si>
  <si>
    <t>919835566462</t>
  </si>
  <si>
    <t>918873382821</t>
  </si>
  <si>
    <t>919975578467</t>
  </si>
  <si>
    <t>916202827901</t>
  </si>
  <si>
    <t>919108589779</t>
  </si>
  <si>
    <t>917258957104</t>
  </si>
  <si>
    <t>917209943400</t>
  </si>
  <si>
    <t>916201325313</t>
  </si>
  <si>
    <t>919576211749</t>
  </si>
  <si>
    <t>918092116186</t>
  </si>
  <si>
    <t>918789799863</t>
  </si>
  <si>
    <t>917209491924</t>
  </si>
  <si>
    <t>919934587315</t>
  </si>
  <si>
    <t>pstd on 01-05-2022</t>
  </si>
  <si>
    <t>Shreya Majumdar</t>
  </si>
  <si>
    <t>A053344361</t>
  </si>
  <si>
    <t>Arindam Chandra</t>
  </si>
  <si>
    <t>02/05/2004</t>
  </si>
  <si>
    <t>02-05-2022</t>
  </si>
  <si>
    <t>A053348927</t>
  </si>
  <si>
    <t>Majindar Lohar</t>
  </si>
  <si>
    <t>A053374512</t>
  </si>
  <si>
    <t>Rajni Das</t>
  </si>
  <si>
    <t>shreya_nweb</t>
  </si>
  <si>
    <t>Binder_nweb</t>
  </si>
  <si>
    <t>A053424075</t>
  </si>
  <si>
    <t>Priyanka Ranjan</t>
  </si>
  <si>
    <t>01-12-1999</t>
  </si>
  <si>
    <t>04-05-2022</t>
  </si>
  <si>
    <t>A053512672</t>
  </si>
  <si>
    <t>Sumanti Devi</t>
  </si>
  <si>
    <t>06-05-2022</t>
  </si>
  <si>
    <t>Q005546913</t>
  </si>
  <si>
    <t>Jhuma Ghosh</t>
  </si>
  <si>
    <t>25-08-1977</t>
  </si>
  <si>
    <t>17-04-2022</t>
  </si>
  <si>
    <t>Q005665835</t>
  </si>
  <si>
    <t>Kiran Sinha</t>
  </si>
  <si>
    <t>11-08-1974</t>
  </si>
  <si>
    <t>09-05-2022</t>
  </si>
  <si>
    <t>A053661266</t>
  </si>
  <si>
    <t>Khushi Singh</t>
  </si>
  <si>
    <t>20-03-2004</t>
  </si>
  <si>
    <t>10-05-2022</t>
  </si>
  <si>
    <t>Biswajit Dutta</t>
  </si>
  <si>
    <t>13-05-2022</t>
  </si>
  <si>
    <t>16-01-1946</t>
  </si>
  <si>
    <t>Q005686865</t>
  </si>
  <si>
    <t>Sachida Nanda Tewary</t>
  </si>
  <si>
    <t>A053743702</t>
  </si>
  <si>
    <t>Milan Srivastava</t>
  </si>
  <si>
    <t>A053825260</t>
  </si>
  <si>
    <t>Rohit Sharma</t>
  </si>
  <si>
    <t>24-01-2004</t>
  </si>
  <si>
    <t>08-12-1976</t>
  </si>
  <si>
    <t>Awadhesh Kumar</t>
  </si>
  <si>
    <t>Mahesh Munda</t>
  </si>
  <si>
    <t>A053777003</t>
  </si>
  <si>
    <t>21-10-2003</t>
  </si>
  <si>
    <t>12-05-2022</t>
  </si>
  <si>
    <t>A053879969</t>
  </si>
  <si>
    <t>Rashi Khan</t>
  </si>
  <si>
    <t>30-07-2002</t>
  </si>
  <si>
    <t>15-05-2022</t>
  </si>
  <si>
    <t>Q005697543</t>
  </si>
  <si>
    <t>15-06-1996</t>
  </si>
  <si>
    <t>A053931660</t>
  </si>
  <si>
    <t>Rajesh Lohar</t>
  </si>
  <si>
    <t>16-05-2022</t>
  </si>
  <si>
    <t>A053998721</t>
  </si>
  <si>
    <t>29-03-1978</t>
  </si>
  <si>
    <t>18-05-2022</t>
  </si>
  <si>
    <t>A054027172</t>
  </si>
  <si>
    <t>Md Fahad Jawed</t>
  </si>
  <si>
    <t>19-01-2003</t>
  </si>
  <si>
    <t>A054112871</t>
  </si>
  <si>
    <t>Anamika Mazumdar</t>
  </si>
  <si>
    <t>09-02-1996</t>
  </si>
  <si>
    <t>20-05-2022</t>
  </si>
  <si>
    <t>A054179202</t>
  </si>
  <si>
    <t>Roshni Munda</t>
  </si>
  <si>
    <t>19-10-2001</t>
  </si>
  <si>
    <t>22-05-2022</t>
  </si>
  <si>
    <t>A054172966</t>
  </si>
  <si>
    <t>Samit Paira</t>
  </si>
  <si>
    <t>Q005741037</t>
  </si>
  <si>
    <t>30-01-1990</t>
  </si>
  <si>
    <t>23-05-2022</t>
  </si>
  <si>
    <t>A054283638</t>
  </si>
  <si>
    <t>kayari Purty</t>
  </si>
  <si>
    <t>15-081970</t>
  </si>
  <si>
    <t>24-05-2022</t>
  </si>
  <si>
    <t>A054292934</t>
  </si>
  <si>
    <t>ShayakGhosh</t>
  </si>
  <si>
    <t>22-03-2004</t>
  </si>
  <si>
    <t>Q005748904</t>
  </si>
  <si>
    <t>18-05-2004</t>
  </si>
  <si>
    <t>25-05-2022</t>
  </si>
  <si>
    <t>Q005748834</t>
  </si>
  <si>
    <t>Manisa</t>
  </si>
  <si>
    <t>16-04-1991</t>
  </si>
  <si>
    <t>A054337314</t>
  </si>
  <si>
    <t>Ishika singh</t>
  </si>
  <si>
    <t>28-12-2000</t>
  </si>
  <si>
    <t>Sonu Karmakar</t>
  </si>
  <si>
    <t>A054394529</t>
  </si>
  <si>
    <t>Kalpana Mahato</t>
  </si>
  <si>
    <t>03-07-1971</t>
  </si>
  <si>
    <t>27-05-2022</t>
  </si>
  <si>
    <t>Savita Sharma</t>
  </si>
  <si>
    <t>19-06-2003</t>
  </si>
  <si>
    <t>25-12-1969</t>
  </si>
  <si>
    <t>Gayatri Sharma</t>
  </si>
  <si>
    <t>A054436263</t>
  </si>
  <si>
    <t>A054444318</t>
  </si>
  <si>
    <t>28-05-2022</t>
  </si>
  <si>
    <t>A054460942</t>
  </si>
  <si>
    <t>23-07-2002</t>
  </si>
  <si>
    <t>A054475431</t>
  </si>
  <si>
    <t>Roshni Bodra</t>
  </si>
  <si>
    <t>29-05-2022</t>
  </si>
  <si>
    <t>A054474209</t>
  </si>
  <si>
    <t>Gayatri Devi</t>
  </si>
  <si>
    <t>30-05-2022</t>
  </si>
  <si>
    <t>A054585488</t>
  </si>
  <si>
    <t>Chaitan Singh Munda</t>
  </si>
  <si>
    <t>12-08-2000</t>
  </si>
  <si>
    <t>01-06-2022</t>
  </si>
  <si>
    <t>Q005787398</t>
  </si>
  <si>
    <t xml:space="preserve">Ranjay Rajbhar </t>
  </si>
  <si>
    <t>01-02-2002</t>
  </si>
  <si>
    <t>02-06-2022</t>
  </si>
  <si>
    <t>A054656163</t>
  </si>
  <si>
    <t>Rupa Das</t>
  </si>
  <si>
    <t>Q005791792</t>
  </si>
  <si>
    <t>Bibek naik</t>
  </si>
  <si>
    <t>01-06-2004</t>
  </si>
  <si>
    <t>at cmprt</t>
  </si>
  <si>
    <t>Kumari Manisha</t>
  </si>
  <si>
    <t>Anushka Mitra</t>
  </si>
  <si>
    <t>anusha_nweb</t>
  </si>
  <si>
    <t>25-09-1972</t>
  </si>
  <si>
    <t>05-06-2022</t>
  </si>
  <si>
    <t>Q005806781</t>
  </si>
  <si>
    <t>Satya Prakash</t>
  </si>
  <si>
    <t>06-06-2022</t>
  </si>
  <si>
    <t>Q005808305</t>
  </si>
  <si>
    <t>Dlvrd on 08-05-2022</t>
  </si>
  <si>
    <t>Q005826413</t>
  </si>
  <si>
    <t>Suman Sourabh Kumar</t>
  </si>
  <si>
    <t>10-01-1994</t>
  </si>
  <si>
    <t>09-06-2022</t>
  </si>
  <si>
    <t>Prem Chand Kumar Singh</t>
  </si>
  <si>
    <t>15-08-1963</t>
  </si>
  <si>
    <t>Q005826600</t>
  </si>
  <si>
    <t>12-08-1989</t>
  </si>
  <si>
    <t>CARD dlvred</t>
  </si>
  <si>
    <t>A054873588</t>
  </si>
  <si>
    <t>Saleha Perween</t>
  </si>
  <si>
    <t>07-06-2022</t>
  </si>
  <si>
    <t>10-06-2022</t>
  </si>
  <si>
    <t>A055014691</t>
  </si>
  <si>
    <t>A055014194</t>
  </si>
  <si>
    <t>Anima Srivastava</t>
  </si>
  <si>
    <t>12-02-1984</t>
  </si>
  <si>
    <t>A055084168</t>
  </si>
  <si>
    <t>16-07-1997</t>
  </si>
  <si>
    <t>11-06-2022</t>
  </si>
  <si>
    <t>Q005847425</t>
  </si>
  <si>
    <t>22-04-1990</t>
  </si>
  <si>
    <t>13-06-2022</t>
  </si>
  <si>
    <t>Sushant Ganguly</t>
  </si>
  <si>
    <t>17-08-1997</t>
  </si>
  <si>
    <t>10/11/1997</t>
  </si>
  <si>
    <t>05/11/1985</t>
  </si>
  <si>
    <t>Anuradha Jha</t>
  </si>
  <si>
    <t>Laxmi Narayan Saw</t>
  </si>
  <si>
    <t>14-06-2022</t>
  </si>
  <si>
    <t>Prathibha Singh</t>
  </si>
  <si>
    <t>Q005853653</t>
  </si>
  <si>
    <t>06-06-1979</t>
  </si>
  <si>
    <t>A055214140</t>
  </si>
  <si>
    <t>Kavita Biswas</t>
  </si>
  <si>
    <t>Ramlal Pandey</t>
  </si>
  <si>
    <t>11-02-1971</t>
  </si>
  <si>
    <t>Dhanjay kumar Roy</t>
  </si>
  <si>
    <t>15-06-2022</t>
  </si>
  <si>
    <t>A055271127</t>
  </si>
  <si>
    <t>SUNITA TANTI</t>
  </si>
  <si>
    <t>07/06/1998</t>
  </si>
  <si>
    <t>881036289139926</t>
  </si>
  <si>
    <t>Ashok Kumar Gope</t>
  </si>
  <si>
    <t>18-12-1991</t>
  </si>
  <si>
    <t>16-06-2022</t>
  </si>
  <si>
    <t>ekyc</t>
  </si>
  <si>
    <t>Anil Kumar</t>
  </si>
  <si>
    <t>Kumar@1979</t>
  </si>
  <si>
    <t>CFEPK9848D</t>
  </si>
  <si>
    <t>A055398157</t>
  </si>
  <si>
    <t>Md Zulfaquar</t>
  </si>
  <si>
    <t>18-06-2022</t>
  </si>
  <si>
    <t>A055397781</t>
  </si>
  <si>
    <t>Rubina Khatoon</t>
  </si>
  <si>
    <t>04-07-1994</t>
  </si>
  <si>
    <t>881036288460016</t>
  </si>
  <si>
    <t>881036287596920</t>
  </si>
  <si>
    <t>881036288162214</t>
  </si>
  <si>
    <t>A055429684</t>
  </si>
  <si>
    <t>Swati Priya</t>
  </si>
  <si>
    <t>22-08-1999</t>
  </si>
  <si>
    <t>19-06-2022</t>
  </si>
  <si>
    <t>18-16-2022</t>
  </si>
  <si>
    <t>Sheela Devi</t>
  </si>
  <si>
    <t>Q005878566</t>
  </si>
  <si>
    <t>01-06-1974</t>
  </si>
  <si>
    <t>Ridhi Kumari</t>
  </si>
  <si>
    <t>04-07-2003</t>
  </si>
  <si>
    <t>20-06-2022</t>
  </si>
  <si>
    <t>A055451993</t>
  </si>
  <si>
    <t>A055453238</t>
  </si>
  <si>
    <t>2-01-2004</t>
  </si>
  <si>
    <t>881036288419630</t>
  </si>
  <si>
    <t>Mohammad Saif</t>
  </si>
  <si>
    <t>Soma Dey</t>
  </si>
  <si>
    <t>Soma_nweb</t>
  </si>
  <si>
    <t>Singh@1972</t>
  </si>
  <si>
    <t>JH-05201770202919</t>
  </si>
  <si>
    <t>Q005896452</t>
  </si>
  <si>
    <t>Rasha Khan</t>
  </si>
  <si>
    <t>21-06-2022</t>
  </si>
  <si>
    <t>26-09-1997</t>
  </si>
  <si>
    <t>Aman Kumar Patel</t>
  </si>
  <si>
    <t>Q005896768</t>
  </si>
  <si>
    <t>santosh Kumar</t>
  </si>
  <si>
    <t>Manoj Kumar Tiwary</t>
  </si>
  <si>
    <t>A055579012</t>
  </si>
  <si>
    <t>Rashmi Rekha Rout</t>
  </si>
  <si>
    <t>09-07-1982</t>
  </si>
  <si>
    <t>22-06-2022</t>
  </si>
  <si>
    <t>Khalid Raza</t>
  </si>
  <si>
    <t>18/06/2004</t>
  </si>
  <si>
    <t>Prakash Kr Srivastava</t>
  </si>
  <si>
    <t>25-04-1974</t>
  </si>
  <si>
    <t>881036291822864</t>
  </si>
  <si>
    <t>AAPPT8292C</t>
  </si>
  <si>
    <t>AIOPS7783A</t>
  </si>
  <si>
    <t>A055733297</t>
  </si>
  <si>
    <t>Kana Ghosh</t>
  </si>
  <si>
    <t>08-12-1954</t>
  </si>
  <si>
    <t>25-06-2022</t>
  </si>
  <si>
    <t>A055799144</t>
  </si>
  <si>
    <t>Sunny Sunani</t>
  </si>
  <si>
    <t>21-03-2002</t>
  </si>
  <si>
    <t>26-06-2022</t>
  </si>
  <si>
    <t>A055809411</t>
  </si>
  <si>
    <t>Kalyani Gope</t>
  </si>
  <si>
    <t>01-04-1978</t>
  </si>
  <si>
    <t>27-06-2022</t>
  </si>
  <si>
    <t>AJSPR5772P</t>
  </si>
  <si>
    <t>Raju Ratha</t>
  </si>
  <si>
    <t>Ratha@2022</t>
  </si>
  <si>
    <t>Last filed</t>
  </si>
  <si>
    <t>Shreyash Mishra</t>
  </si>
  <si>
    <t>A055953725</t>
  </si>
  <si>
    <t>Rimi Mishra</t>
  </si>
  <si>
    <t>02-05-2004</t>
  </si>
  <si>
    <t>29-06-2022</t>
  </si>
  <si>
    <t>A055952835</t>
  </si>
  <si>
    <t>21-9-2001</t>
  </si>
  <si>
    <t>dispatched</t>
  </si>
  <si>
    <t>A055966237</t>
  </si>
  <si>
    <t>05-01-2004</t>
  </si>
  <si>
    <t>30-06-2022</t>
  </si>
  <si>
    <t>Q005974744</t>
  </si>
  <si>
    <t>Ashvin Peter ambruce</t>
  </si>
  <si>
    <t>23-12-2003</t>
  </si>
  <si>
    <t>Aashish Kumar Shukla</t>
  </si>
  <si>
    <t>shukla_nweb</t>
  </si>
  <si>
    <t>Shukla_nweb</t>
  </si>
  <si>
    <t>Q005977021</t>
  </si>
  <si>
    <t>02-01-1976</t>
  </si>
  <si>
    <t>Sanjeev Kumar</t>
  </si>
  <si>
    <t>Ravindra Prasad</t>
  </si>
  <si>
    <t>25-07-1964</t>
  </si>
  <si>
    <t>Singh@2022</t>
  </si>
  <si>
    <t>DAQPS5076B</t>
  </si>
  <si>
    <t>Sohom Dasgupta</t>
  </si>
  <si>
    <t>sohom_nweb</t>
  </si>
  <si>
    <t>Q005978703</t>
  </si>
  <si>
    <t>A056019542</t>
  </si>
  <si>
    <t>29-08-2003</t>
  </si>
  <si>
    <t>01-07-2022</t>
  </si>
  <si>
    <t>A056013707</t>
  </si>
  <si>
    <t>Sundaram Kumar</t>
  </si>
  <si>
    <t>A056012108</t>
  </si>
  <si>
    <t>Shiwam Kumar</t>
  </si>
  <si>
    <t>14-06-1999</t>
  </si>
  <si>
    <t>Amit Kumar Ranjan</t>
  </si>
  <si>
    <t>BJCPR2351B</t>
  </si>
  <si>
    <t>Naesh@2022</t>
  </si>
  <si>
    <t>Swastika Kumari</t>
  </si>
  <si>
    <t>14-08-2003</t>
  </si>
  <si>
    <t>02-07-2022</t>
  </si>
  <si>
    <t>A056050333</t>
  </si>
  <si>
    <t>Q005986097</t>
  </si>
  <si>
    <t>PAN ALRADY EXIST</t>
  </si>
  <si>
    <t>09-10-1963</t>
  </si>
  <si>
    <t>881036295506931</t>
  </si>
  <si>
    <t>EKYC</t>
  </si>
  <si>
    <t xml:space="preserve">At itd </t>
  </si>
  <si>
    <t>At nsdl</t>
  </si>
  <si>
    <t>A056121634</t>
  </si>
  <si>
    <t>Debanjan Sen</t>
  </si>
  <si>
    <t>13-01-2002</t>
  </si>
  <si>
    <t>03-07-2022</t>
  </si>
  <si>
    <t>Shyam babu</t>
  </si>
  <si>
    <t>APMPB4212Q</t>
  </si>
  <si>
    <t>Somnath banerjee</t>
  </si>
  <si>
    <t>n@TH1962</t>
  </si>
  <si>
    <t>AMFPB6511Q</t>
  </si>
  <si>
    <t>Q006009076</t>
  </si>
  <si>
    <t>Mohammad Abu Obaida Farooqui</t>
  </si>
  <si>
    <t>08-11-1983</t>
  </si>
  <si>
    <t>04-07-2022</t>
  </si>
  <si>
    <t>881036296949126</t>
  </si>
  <si>
    <t>MIRZA SAWKAT ALI BEG</t>
  </si>
  <si>
    <t>06-07-2022</t>
  </si>
  <si>
    <t>05-07-1942</t>
  </si>
  <si>
    <t>A056272800</t>
  </si>
  <si>
    <t>Sabita Kumari</t>
  </si>
  <si>
    <t>15-08-2004</t>
  </si>
  <si>
    <t>A056322621</t>
  </si>
  <si>
    <t>Sagar Karwa</t>
  </si>
  <si>
    <t>01-09-1995</t>
  </si>
  <si>
    <t>08-07-2022</t>
  </si>
  <si>
    <t>A056318575</t>
  </si>
  <si>
    <t>Diya Kumari</t>
  </si>
  <si>
    <t>15-06-2005</t>
  </si>
  <si>
    <t>Ashvin Peter Ambruce</t>
  </si>
  <si>
    <t>Q006042281</t>
  </si>
  <si>
    <t>Munmun Tewary</t>
  </si>
  <si>
    <t>07-05-1992</t>
  </si>
  <si>
    <t>25-01-1974</t>
  </si>
  <si>
    <t>keyc</t>
  </si>
  <si>
    <t>also pd 600 for link</t>
  </si>
  <si>
    <t>09-07-2022</t>
  </si>
  <si>
    <t>A056484968</t>
  </si>
  <si>
    <t>21-01-2004</t>
  </si>
  <si>
    <t>11-07-2022</t>
  </si>
  <si>
    <t>Suraj</t>
  </si>
  <si>
    <t>suraj_nweb</t>
  </si>
  <si>
    <t>A056577030</t>
  </si>
  <si>
    <t>Ashim Sardar</t>
  </si>
  <si>
    <t>12-07-2022</t>
  </si>
  <si>
    <t>aplied fo rmain</t>
  </si>
  <si>
    <t>DFOPS8574H</t>
  </si>
  <si>
    <t>Soni Srivastava</t>
  </si>
  <si>
    <t>Soni@1234</t>
  </si>
  <si>
    <t>ATSPK3469J</t>
  </si>
  <si>
    <t>Kum@41968</t>
  </si>
  <si>
    <t>A056612272</t>
  </si>
  <si>
    <t>Sujay Dash</t>
  </si>
  <si>
    <t>17-03-2004</t>
  </si>
  <si>
    <t>15-07-2022</t>
  </si>
  <si>
    <t>12-03-2001</t>
  </si>
  <si>
    <t>A056701143</t>
  </si>
  <si>
    <t>A056786087</t>
  </si>
  <si>
    <t>Sumitra Gounder</t>
  </si>
  <si>
    <t>07-01-1985</t>
  </si>
  <si>
    <t>16-07-2022</t>
  </si>
  <si>
    <t>Paritosh Mahato</t>
  </si>
  <si>
    <t>A056853870</t>
  </si>
  <si>
    <t>Subi Khatoon</t>
  </si>
  <si>
    <t>25-08-1999</t>
  </si>
  <si>
    <t>18-07-2022</t>
  </si>
  <si>
    <t>ANNEXTURE REQUIRED</t>
  </si>
  <si>
    <t>A056842863</t>
  </si>
  <si>
    <t>Nadia Alam</t>
  </si>
  <si>
    <t>12-04-2001</t>
  </si>
  <si>
    <t>Pan</t>
  </si>
  <si>
    <t>AATPI7607J</t>
  </si>
  <si>
    <t>Mohammad Mustafa</t>
  </si>
  <si>
    <t>Mustafa@1971</t>
  </si>
  <si>
    <t>AZTPB0148A</t>
  </si>
  <si>
    <t>Kanchan Bharti</t>
  </si>
  <si>
    <t>ishan@0404</t>
  </si>
  <si>
    <t>BKPPS4462Q</t>
  </si>
  <si>
    <t>Surendra Prasad Sinha</t>
  </si>
  <si>
    <t>Sinha@2022</t>
  </si>
  <si>
    <t>Aditi</t>
  </si>
  <si>
    <t>A056981529</t>
  </si>
  <si>
    <t>22-10-2002</t>
  </si>
  <si>
    <t>20-07-2022</t>
  </si>
  <si>
    <t>Akash</t>
  </si>
  <si>
    <t>A056982038</t>
  </si>
  <si>
    <t>A056982694</t>
  </si>
  <si>
    <t>Navaneetham</t>
  </si>
  <si>
    <t>10-03-1979</t>
  </si>
  <si>
    <t>05-11-2003</t>
  </si>
  <si>
    <t>Imam Quraishi</t>
  </si>
  <si>
    <t>A056984033</t>
  </si>
  <si>
    <t>A056983561</t>
  </si>
  <si>
    <t>Monika Sahu</t>
  </si>
  <si>
    <t>03-05-1998</t>
  </si>
  <si>
    <t>Q006149557</t>
  </si>
  <si>
    <t>Tabassum Perveen</t>
  </si>
  <si>
    <t>01-07-1990</t>
  </si>
  <si>
    <t>21-07-2022</t>
  </si>
  <si>
    <t>A057049610</t>
  </si>
  <si>
    <t>Huma Musarrat</t>
  </si>
  <si>
    <t>19-04-1979</t>
  </si>
  <si>
    <t>03-01-1975</t>
  </si>
  <si>
    <t>A057081458</t>
  </si>
  <si>
    <t>Rajsi Mishra</t>
  </si>
  <si>
    <t>Q006155605</t>
  </si>
  <si>
    <t>Mahesh Kumar Tiwary</t>
  </si>
  <si>
    <t>16-11-1964</t>
  </si>
  <si>
    <t>A057049234</t>
  </si>
  <si>
    <t>Sameer Gorai</t>
  </si>
  <si>
    <t>26-06-2003</t>
  </si>
  <si>
    <t>Q006155696</t>
  </si>
  <si>
    <t>Bablu kar</t>
  </si>
  <si>
    <t>07-05-1971</t>
  </si>
  <si>
    <t>AYXPS6721P</t>
  </si>
  <si>
    <t>Sh@rma2022</t>
  </si>
  <si>
    <t>AVWPK1918J</t>
  </si>
  <si>
    <t>CHKPM0638K</t>
  </si>
  <si>
    <t>kumari manisha</t>
  </si>
  <si>
    <t>Manish@2022</t>
  </si>
  <si>
    <t>Q006169086</t>
  </si>
  <si>
    <t>Rani Singh</t>
  </si>
  <si>
    <t>07-08-1983</t>
  </si>
  <si>
    <t>23-07-2022</t>
  </si>
  <si>
    <t>A057157127</t>
  </si>
  <si>
    <t>balvir Kaur Mndley</t>
  </si>
  <si>
    <t>29-05-2004</t>
  </si>
  <si>
    <t>CFTPD3163B</t>
  </si>
  <si>
    <t>TAMOJIT DUTTA</t>
  </si>
  <si>
    <t>BiNOD KUMAR SINGH</t>
  </si>
  <si>
    <t>A057183225</t>
  </si>
  <si>
    <t>Ajay Sandil</t>
  </si>
  <si>
    <t>03-08-2003</t>
  </si>
  <si>
    <t>Sonali Sarkar</t>
  </si>
  <si>
    <t>28-04-1974</t>
  </si>
  <si>
    <t>Q006174286</t>
  </si>
  <si>
    <t>DUNPS4151J</t>
  </si>
  <si>
    <t>A057205317</t>
  </si>
  <si>
    <t>Omkar Mahanta</t>
  </si>
  <si>
    <t>14-10-2003</t>
  </si>
  <si>
    <t>24-07-2022</t>
  </si>
  <si>
    <t>Prashant Bhakat</t>
  </si>
  <si>
    <t>Bh@kat2022</t>
  </si>
  <si>
    <t>Kum@r2022</t>
  </si>
  <si>
    <t>abqpc6852p</t>
  </si>
  <si>
    <t>Stanley Cooke</t>
  </si>
  <si>
    <t>P@wan2022</t>
  </si>
  <si>
    <t>Singh@1956</t>
  </si>
  <si>
    <t>Nikhil Raju Satpute</t>
  </si>
  <si>
    <t>CMVPS9522A</t>
  </si>
  <si>
    <t>Nikhil@1991</t>
  </si>
  <si>
    <t>ALQPB8512K</t>
  </si>
  <si>
    <t>AHOPC8193R</t>
  </si>
  <si>
    <t>Somenath Choudhury</t>
  </si>
  <si>
    <t>AFYPH58661</t>
  </si>
  <si>
    <t>Sita Rani Hessa</t>
  </si>
  <si>
    <t>CRUPS3000H</t>
  </si>
  <si>
    <t>Rajesh Prasad Singh</t>
  </si>
  <si>
    <t>A057326171</t>
  </si>
  <si>
    <t>Prabhjeet Kour</t>
  </si>
  <si>
    <t>BEXPS2096Q</t>
  </si>
  <si>
    <t>PRAB SINGH</t>
  </si>
  <si>
    <t>ACXPS7674K</t>
  </si>
  <si>
    <t>AJAY KUMAR SINGH</t>
  </si>
  <si>
    <t>AVCPD1663K</t>
  </si>
  <si>
    <t>SUKUMAR DAS</t>
  </si>
  <si>
    <t>Pratibha Devi</t>
  </si>
  <si>
    <t>BDLPM4710L</t>
  </si>
  <si>
    <t>SAGAR KUMAR MAITY</t>
  </si>
  <si>
    <t>ADVPL8292R</t>
  </si>
  <si>
    <t>Rajan Lakra</t>
  </si>
  <si>
    <t>rfnd</t>
  </si>
  <si>
    <t>AADPI0686D</t>
  </si>
  <si>
    <t>Manzar Imam</t>
  </si>
  <si>
    <t>APXPM2237D</t>
  </si>
  <si>
    <t>Alexander Theresa Mery</t>
  </si>
  <si>
    <t>A057353099</t>
  </si>
  <si>
    <t>A057394440</t>
  </si>
  <si>
    <t>Shomya Singh</t>
  </si>
  <si>
    <t>A057394282</t>
  </si>
  <si>
    <t>Shruti Singh</t>
  </si>
  <si>
    <t>A057394097</t>
  </si>
  <si>
    <t>Syed Akbar Ali</t>
  </si>
  <si>
    <t>ATHPK4133C</t>
  </si>
  <si>
    <t>Kantesh@82</t>
  </si>
  <si>
    <t>Kantesh Kumar</t>
  </si>
  <si>
    <t>CSQPS6094E</t>
  </si>
  <si>
    <t>Shankar Sharma</t>
  </si>
  <si>
    <t>linked</t>
  </si>
  <si>
    <t>BGCPM1821R</t>
  </si>
  <si>
    <t>Sanjay Kumar Mishra</t>
  </si>
  <si>
    <t>challan</t>
  </si>
  <si>
    <t>BLFPS7208P</t>
  </si>
  <si>
    <t>Avinash kumar singh</t>
  </si>
  <si>
    <t>Prasad@1963</t>
  </si>
  <si>
    <t>CRIPS5555H</t>
  </si>
  <si>
    <t>Angad Kumar Singh</t>
  </si>
  <si>
    <t>Tesh@1944</t>
  </si>
  <si>
    <t>AATPC5890K</t>
  </si>
  <si>
    <t>Tesh Lal Choudhury</t>
  </si>
  <si>
    <t>ADBPP9999F</t>
  </si>
  <si>
    <t>Parida@2022</t>
  </si>
  <si>
    <t>Arati Parida</t>
  </si>
  <si>
    <t>Arati@1968</t>
  </si>
  <si>
    <t>Q006225659</t>
  </si>
  <si>
    <t>THOMAS Sebastian</t>
  </si>
  <si>
    <t>Q006225416</t>
  </si>
  <si>
    <t>Ajay Kumar</t>
  </si>
  <si>
    <t>A057477637</t>
  </si>
  <si>
    <t>Tanya Sharma</t>
  </si>
  <si>
    <t>FXMPK1680L</t>
  </si>
  <si>
    <t>Pieu@1987</t>
  </si>
  <si>
    <t>EFRPS0481D</t>
  </si>
  <si>
    <t>Sarwan Kumar</t>
  </si>
  <si>
    <t>Sarwan#1993</t>
  </si>
  <si>
    <t>P bhagat</t>
  </si>
  <si>
    <t>Binod@1991</t>
  </si>
  <si>
    <t>Q006236189</t>
  </si>
  <si>
    <t>ACUPP9885C</t>
  </si>
  <si>
    <t>Awadh Bihari Pandit</t>
  </si>
  <si>
    <t>Bihari@2022</t>
  </si>
  <si>
    <t>ALJPA7196D</t>
  </si>
  <si>
    <t>Mohammad Ali</t>
  </si>
  <si>
    <t>Mohammad@2022</t>
  </si>
  <si>
    <t>AXDPM3187E</t>
  </si>
  <si>
    <t>Bharat Bhushanb Mishra</t>
  </si>
  <si>
    <t>17000+</t>
  </si>
  <si>
    <t>15000+</t>
  </si>
  <si>
    <t>CKYPS1769N</t>
  </si>
  <si>
    <t>RASHMI RANJAN SAHOO</t>
  </si>
  <si>
    <t>LINKING</t>
  </si>
  <si>
    <t>CRPPS9588D</t>
  </si>
  <si>
    <t>Q006276543</t>
  </si>
  <si>
    <t>Linked</t>
  </si>
  <si>
    <t>Q006279399</t>
  </si>
  <si>
    <t>Sujit Kumar Bera</t>
  </si>
  <si>
    <t>A057784627</t>
  </si>
  <si>
    <t>Nanini Talari</t>
  </si>
  <si>
    <t>A057773187</t>
  </si>
  <si>
    <t>Deliverd 05-08-22</t>
  </si>
  <si>
    <t>Q006292646</t>
  </si>
  <si>
    <t>A057835433</t>
  </si>
  <si>
    <t>Anu Dan</t>
  </si>
  <si>
    <t>Supriyo Barua</t>
  </si>
  <si>
    <t>Q006304782</t>
  </si>
  <si>
    <t>Shervin Anser Joseph</t>
  </si>
  <si>
    <t>shervin_nweb</t>
  </si>
  <si>
    <t>A057946753</t>
  </si>
  <si>
    <t>Kahkashan Eqbal</t>
  </si>
  <si>
    <t>Q006318004</t>
  </si>
  <si>
    <t>Ajeet Kumar</t>
  </si>
  <si>
    <t>A057996044</t>
  </si>
  <si>
    <t>Subojit Ghosh</t>
  </si>
  <si>
    <t>A058024000</t>
  </si>
  <si>
    <t>Sonika Shukla</t>
  </si>
  <si>
    <t>Q006334943</t>
  </si>
  <si>
    <t>Maheshwar Ahir</t>
  </si>
  <si>
    <t>Q006334802</t>
  </si>
  <si>
    <t>Kalawati Ahir</t>
  </si>
  <si>
    <t>A058052119</t>
  </si>
  <si>
    <t>Shiva Lohar</t>
  </si>
  <si>
    <t>A058088502</t>
  </si>
  <si>
    <t>binod Kumar Singh</t>
  </si>
  <si>
    <t>A058068739</t>
  </si>
  <si>
    <t>Mohammed Sajjad</t>
  </si>
  <si>
    <t>A058069564</t>
  </si>
  <si>
    <t>Naseera khatun</t>
  </si>
  <si>
    <t>A058153007</t>
  </si>
  <si>
    <t>Sahil Sharma</t>
  </si>
  <si>
    <t>ALGPG0003J</t>
  </si>
  <si>
    <t>Mohini@2022</t>
  </si>
  <si>
    <t>A058266000</t>
  </si>
  <si>
    <t xml:space="preserve">Mohammad Tabish </t>
  </si>
  <si>
    <t>A058295385</t>
  </si>
  <si>
    <t>Isita Gorai</t>
  </si>
  <si>
    <t>Pradip Kumar mazumdar</t>
  </si>
  <si>
    <t>rergb</t>
  </si>
  <si>
    <t>jh05u0496</t>
  </si>
  <si>
    <t>Q006393091</t>
  </si>
  <si>
    <t>Yaduvansh Pd Sinha</t>
  </si>
  <si>
    <t>Pawan Kumar Barua</t>
  </si>
  <si>
    <t>peri_nweb</t>
  </si>
  <si>
    <t>Peri Seetamma</t>
  </si>
  <si>
    <t>Peri Nagmani</t>
  </si>
  <si>
    <t>Pomangi Madhusudhan</t>
  </si>
  <si>
    <t>Peri Durga Prasad</t>
  </si>
  <si>
    <t>resheduled</t>
  </si>
  <si>
    <t>A058324068</t>
  </si>
  <si>
    <t>PUTUL GHOSH</t>
  </si>
  <si>
    <t>Keshav_nweb</t>
  </si>
  <si>
    <t>Keshav Kumar Thakur</t>
  </si>
  <si>
    <t>at Comport</t>
  </si>
  <si>
    <t>A058394943</t>
  </si>
  <si>
    <t>Q006412988</t>
  </si>
  <si>
    <t>Shweta Kumari</t>
  </si>
  <si>
    <t>A058401889</t>
  </si>
  <si>
    <t>Raisa Parween</t>
  </si>
  <si>
    <t>Q006417935</t>
  </si>
  <si>
    <t>Shivani Kumari</t>
  </si>
  <si>
    <t>A058402343</t>
  </si>
  <si>
    <t>Q006417725</t>
  </si>
  <si>
    <t>AZSPM7811Q</t>
  </si>
  <si>
    <t>Narayan Singh Munda</t>
  </si>
  <si>
    <t>Munda@1976</t>
  </si>
  <si>
    <t>A058575921</t>
  </si>
  <si>
    <t>Izarul Haque</t>
  </si>
  <si>
    <t>A058603496</t>
  </si>
  <si>
    <t>Saziya Anjum</t>
  </si>
  <si>
    <t>MAYANK PRANJAL</t>
  </si>
  <si>
    <t>A058606886</t>
  </si>
  <si>
    <t>Snigdha Princy</t>
  </si>
  <si>
    <t>Devansh Kaushik</t>
  </si>
  <si>
    <t>Minta Devi</t>
  </si>
  <si>
    <t>Santi Kaur</t>
  </si>
  <si>
    <t>Q006467233</t>
  </si>
  <si>
    <t>A058728766</t>
  </si>
  <si>
    <t>A058728229</t>
  </si>
  <si>
    <t>Ankit Srivastava</t>
  </si>
  <si>
    <t>a058727675</t>
  </si>
  <si>
    <t>A058727106</t>
  </si>
  <si>
    <t>A058726225</t>
  </si>
  <si>
    <t>Q006467294</t>
  </si>
  <si>
    <t>A058745757</t>
  </si>
  <si>
    <t>Naima Khatoon</t>
  </si>
  <si>
    <t>Q006473118</t>
  </si>
  <si>
    <t>Balwinder Kour</t>
  </si>
  <si>
    <t>Q006473312</t>
  </si>
  <si>
    <t>Binod Kumar Sharma</t>
  </si>
  <si>
    <t>Q006473225</t>
  </si>
  <si>
    <t>Arvind Kumar</t>
  </si>
  <si>
    <t>A058810095</t>
  </si>
  <si>
    <t>Sujata Roy</t>
  </si>
  <si>
    <t>sujata_nweb</t>
  </si>
  <si>
    <t>Parween shahin</t>
  </si>
  <si>
    <t>A058926532</t>
  </si>
  <si>
    <t>2whlr</t>
  </si>
  <si>
    <t>Q006507629</t>
  </si>
  <si>
    <t>Khurshida Bano</t>
  </si>
  <si>
    <t>Rakhi Pandey</t>
  </si>
  <si>
    <t>A059033139</t>
  </si>
  <si>
    <t>Tushar Kumar</t>
  </si>
  <si>
    <t>Savita Devi</t>
  </si>
  <si>
    <t>A059047920</t>
  </si>
  <si>
    <t>Q006520639</t>
  </si>
  <si>
    <t>Aftab Alam</t>
  </si>
  <si>
    <t>Mohan Mujhi</t>
  </si>
  <si>
    <t>Vara Noka Lakshmi Dadi</t>
  </si>
  <si>
    <t>vara_nweb</t>
  </si>
  <si>
    <t>Q006537338</t>
  </si>
  <si>
    <t>A059177050</t>
  </si>
  <si>
    <t>Noor jhan Begum</t>
  </si>
  <si>
    <t>A059168920</t>
  </si>
  <si>
    <t>Hurlung Lamps Limited</t>
  </si>
  <si>
    <t>SHOP WALA PAN</t>
  </si>
  <si>
    <t>A059180085</t>
  </si>
  <si>
    <t>Mamta Tiwary</t>
  </si>
  <si>
    <t>Q006541142</t>
  </si>
  <si>
    <t>Md Alam Dilshad</t>
  </si>
  <si>
    <t>Q006544890</t>
  </si>
  <si>
    <t>Chittranjan Prasad</t>
  </si>
  <si>
    <t>sunnykumar_nweb</t>
  </si>
  <si>
    <t>Sunny Kumar Singh</t>
  </si>
  <si>
    <t>Q006558592</t>
  </si>
  <si>
    <t>Kavita sharma</t>
  </si>
  <si>
    <t>A059308833</t>
  </si>
  <si>
    <t>A059285383</t>
  </si>
  <si>
    <t>Janhavi Sharma</t>
  </si>
  <si>
    <t>A059309306</t>
  </si>
  <si>
    <t>Poonam Sharma</t>
  </si>
  <si>
    <t>Q006558833</t>
  </si>
  <si>
    <t>Ashish Kumar Mridha</t>
  </si>
  <si>
    <t>Q006558754</t>
  </si>
  <si>
    <t>Q006566445</t>
  </si>
  <si>
    <t>Abu Shoaib</t>
  </si>
  <si>
    <t>A059429436</t>
  </si>
  <si>
    <t>Raju Gounder</t>
  </si>
  <si>
    <t>A059454740</t>
  </si>
  <si>
    <t>Sharmistha Mahato</t>
  </si>
  <si>
    <t>A059445323</t>
  </si>
  <si>
    <t>Dolly Kumari</t>
  </si>
  <si>
    <t>Puja Sharma</t>
  </si>
  <si>
    <t>CAROL MARKAS TOPNO</t>
  </si>
  <si>
    <t>A059528636</t>
  </si>
  <si>
    <t>Ankur Kumarr Tiwary</t>
  </si>
  <si>
    <t>A059511515</t>
  </si>
  <si>
    <t>Shubham Giri</t>
  </si>
  <si>
    <t>Q006604222</t>
  </si>
  <si>
    <t>Babita Singh</t>
  </si>
  <si>
    <t>Pratik Ranjan</t>
  </si>
  <si>
    <t>CSC</t>
  </si>
  <si>
    <t>Rajrani Mukhi</t>
  </si>
  <si>
    <t>Q006613356</t>
  </si>
  <si>
    <t>Mayank Pranjal</t>
  </si>
  <si>
    <t>Nandlal Gorai</t>
  </si>
  <si>
    <t>A059591497</t>
  </si>
  <si>
    <t>Anil Mahato</t>
  </si>
  <si>
    <t>Q006628439</t>
  </si>
  <si>
    <t>Anupama Bagchi</t>
  </si>
  <si>
    <t>Q006628381</t>
  </si>
  <si>
    <t>Prabir Bagchi</t>
  </si>
  <si>
    <t>Raj@2014</t>
  </si>
  <si>
    <t>Q006632337</t>
  </si>
  <si>
    <t>Sufal Mahato</t>
  </si>
  <si>
    <t>Bharti Chakraborty</t>
  </si>
  <si>
    <t>A059808376</t>
  </si>
  <si>
    <t>GIVEN FOR MAIN</t>
  </si>
  <si>
    <t>Md Zahir</t>
  </si>
  <si>
    <t>Deepak Kumar Prasad</t>
  </si>
  <si>
    <t>activated on 17-09-22</t>
  </si>
  <si>
    <t>Arsh Shahid</t>
  </si>
  <si>
    <t>A059861334</t>
  </si>
  <si>
    <t>Q006689638</t>
  </si>
  <si>
    <t>Nusrat Ali</t>
  </si>
  <si>
    <t>Sayon Kundu</t>
  </si>
  <si>
    <t>Q006698791</t>
  </si>
  <si>
    <t>Q006698861</t>
  </si>
  <si>
    <t>Mir Sirajul Ali</t>
  </si>
  <si>
    <t>A060118407</t>
  </si>
  <si>
    <t>Nirupama Hembram</t>
  </si>
  <si>
    <t>Q006721716</t>
  </si>
  <si>
    <t>Amal Kumar Mahato</t>
  </si>
  <si>
    <t>Q006721839</t>
  </si>
  <si>
    <t>Sumit Dutta</t>
  </si>
  <si>
    <t>A060336419</t>
  </si>
  <si>
    <t>Lakshmi Hansda</t>
  </si>
  <si>
    <t>A060461138</t>
  </si>
  <si>
    <t>Niyoti Mahato</t>
  </si>
  <si>
    <t>A060454712</t>
  </si>
  <si>
    <t>Mohammad Motallib</t>
  </si>
  <si>
    <t>A060473077</t>
  </si>
  <si>
    <t>A060487379</t>
  </si>
  <si>
    <t>Soina Sahu</t>
  </si>
  <si>
    <t>Nitu Kumari</t>
  </si>
  <si>
    <t>Pankaj Kumar Singh</t>
  </si>
  <si>
    <t>Q006767457</t>
  </si>
  <si>
    <t>A060511597</t>
  </si>
  <si>
    <t>A060561889</t>
  </si>
  <si>
    <t>A060597486</t>
  </si>
  <si>
    <t>Mugli Hansda</t>
  </si>
  <si>
    <t>Q006783224</t>
  </si>
  <si>
    <t>Mudrika Mani Mishra</t>
  </si>
  <si>
    <t>A060616943</t>
  </si>
  <si>
    <t>Ajit Karmakar</t>
  </si>
  <si>
    <t>Nayonica Bhattacharya</t>
  </si>
  <si>
    <t>Rajeev Singh Sardar</t>
  </si>
  <si>
    <t>Q006810064</t>
  </si>
  <si>
    <t>Jitendra Kumar</t>
  </si>
  <si>
    <t>Nadim Ansari</t>
  </si>
  <si>
    <t>A060752704</t>
  </si>
  <si>
    <t>A060836854</t>
  </si>
  <si>
    <t>Bawana Jaya</t>
  </si>
  <si>
    <t>Ananta Ghosh</t>
  </si>
  <si>
    <t>Sislta Shravani</t>
  </si>
  <si>
    <t>Ghosh_nweb</t>
  </si>
  <si>
    <t>A060912521</t>
  </si>
  <si>
    <t>A060894689</t>
  </si>
  <si>
    <t>A060965486</t>
  </si>
  <si>
    <t>Aditya Singh</t>
  </si>
  <si>
    <t>A060972262</t>
  </si>
  <si>
    <t>Rohit Singh</t>
  </si>
  <si>
    <t>A061089978</t>
  </si>
  <si>
    <t>Shakuntala Mahato</t>
  </si>
  <si>
    <t>A061051254</t>
  </si>
  <si>
    <t>Lakhicharan Mahato</t>
  </si>
  <si>
    <t>Q006885885</t>
  </si>
  <si>
    <t>Pasuplate Ravi Kumar</t>
  </si>
  <si>
    <t>Farhan Ashraf</t>
  </si>
  <si>
    <t>BNSPA0021P</t>
  </si>
  <si>
    <t>Photo in wp</t>
  </si>
  <si>
    <t>Q006888790</t>
  </si>
  <si>
    <t>A061197079</t>
  </si>
  <si>
    <t>Nagha Naaz</t>
  </si>
  <si>
    <t>Barun@1971</t>
  </si>
  <si>
    <t>AOGPS6688L</t>
  </si>
  <si>
    <t>A061369909</t>
  </si>
  <si>
    <t>Naziya Fateya</t>
  </si>
  <si>
    <t>VICTOR BHATTACHARYA</t>
  </si>
  <si>
    <t>Sujit Mahato</t>
  </si>
  <si>
    <t>A061408404</t>
  </si>
  <si>
    <t>A061409405</t>
  </si>
  <si>
    <t>A061480715</t>
  </si>
  <si>
    <t>Arman Kumar</t>
  </si>
  <si>
    <t>A061545079</t>
  </si>
  <si>
    <t>Md Shahnawaz Ansari</t>
  </si>
  <si>
    <t>A061564424</t>
  </si>
  <si>
    <t>Ayush Prabhat</t>
  </si>
  <si>
    <t>A061566269</t>
  </si>
  <si>
    <t>Shibani Karmakar</t>
  </si>
  <si>
    <t>Ved Prakash Puri</t>
  </si>
  <si>
    <t>A061585683</t>
  </si>
  <si>
    <t>Budhram Singh Munda</t>
  </si>
  <si>
    <t>Minu Bose</t>
  </si>
  <si>
    <t>rn+A</t>
  </si>
  <si>
    <t>Q006965049</t>
  </si>
  <si>
    <t>Snjay Mondal</t>
  </si>
  <si>
    <t>Naureen Fatma</t>
  </si>
  <si>
    <t>pASSs@2022</t>
  </si>
  <si>
    <t>A061726630</t>
  </si>
  <si>
    <t>akshansh</t>
  </si>
  <si>
    <t>Q006998112</t>
  </si>
  <si>
    <t>Q006998054</t>
  </si>
  <si>
    <t>Latika Mandal</t>
  </si>
  <si>
    <t>JH05 /0027779/2022</t>
  </si>
  <si>
    <t>Q007013719</t>
  </si>
  <si>
    <t>Sarita Joshi</t>
  </si>
  <si>
    <t>A061867464</t>
  </si>
  <si>
    <t>Kahish Manker</t>
  </si>
  <si>
    <t>A061904206</t>
  </si>
  <si>
    <t>Laiba Amash</t>
  </si>
  <si>
    <t>A061921208</t>
  </si>
  <si>
    <t>Karan Sharma</t>
  </si>
  <si>
    <t>A061986201</t>
  </si>
  <si>
    <t>Rounit Singh</t>
  </si>
  <si>
    <t>A061998134</t>
  </si>
  <si>
    <t>Subhankar Mahato</t>
  </si>
  <si>
    <t>at us</t>
  </si>
  <si>
    <t>A062079215</t>
  </si>
  <si>
    <t>Devanand Bandra</t>
  </si>
  <si>
    <t>Q007056913</t>
  </si>
  <si>
    <t>Baliram Singh</t>
  </si>
  <si>
    <t>Q007058570</t>
  </si>
  <si>
    <t>Ashraf Ali</t>
  </si>
  <si>
    <t>Q007063523</t>
  </si>
  <si>
    <t>A062083592</t>
  </si>
  <si>
    <t>Ganti Devi</t>
  </si>
  <si>
    <t>A062144575</t>
  </si>
  <si>
    <t>Manisha Kumari</t>
  </si>
  <si>
    <t>Q007069917</t>
  </si>
  <si>
    <t>Q007058451</t>
  </si>
  <si>
    <t>Satish Sen</t>
  </si>
  <si>
    <t>A062180029</t>
  </si>
  <si>
    <t>Parmeshwari Sardar</t>
  </si>
  <si>
    <t>Q007058154</t>
  </si>
  <si>
    <t>Meena Sen</t>
  </si>
  <si>
    <t>A062226603</t>
  </si>
  <si>
    <t>A062245856</t>
  </si>
  <si>
    <t>Jasbir Kaur Bhumra</t>
  </si>
  <si>
    <t>Q007094395</t>
  </si>
  <si>
    <t>Rinki Rani Gupta</t>
  </si>
  <si>
    <t>A062292741</t>
  </si>
  <si>
    <t>Raju Dhara</t>
  </si>
  <si>
    <t>A062457794</t>
  </si>
  <si>
    <t>Q007126933</t>
  </si>
  <si>
    <t>Ajay Kumar Verma</t>
  </si>
  <si>
    <t>Q007133528</t>
  </si>
  <si>
    <t>Joy Sen Gupta</t>
  </si>
  <si>
    <t>Q007142703</t>
  </si>
  <si>
    <t>Samarpit Roychakrabotry</t>
  </si>
  <si>
    <t>A062550466</t>
  </si>
  <si>
    <t>Pallavi Kumari</t>
  </si>
  <si>
    <t>AP NOT LINKED</t>
  </si>
  <si>
    <t>Tanti@1974$</t>
  </si>
  <si>
    <t>AKNPT9407B</t>
  </si>
  <si>
    <t>Jagdish Tanti</t>
  </si>
  <si>
    <t>Q007169786</t>
  </si>
  <si>
    <t>Brajesh Kumar Singh</t>
  </si>
  <si>
    <t>Q007171182</t>
  </si>
  <si>
    <t>Md Mushtaque Alam</t>
  </si>
  <si>
    <t>Shobha Kiran</t>
  </si>
  <si>
    <t>shobha_nweb</t>
  </si>
  <si>
    <t>A062752428</t>
  </si>
  <si>
    <t>Hritik Kumar</t>
  </si>
  <si>
    <t>Q007197815</t>
  </si>
  <si>
    <t>Amit Murmu</t>
  </si>
  <si>
    <t>Q007198822</t>
  </si>
  <si>
    <t>AIEPC6313L</t>
  </si>
  <si>
    <t>Sanjev Kumar Choudhary</t>
  </si>
  <si>
    <t>Sanjev@1975</t>
  </si>
  <si>
    <t>LL 17-12-2022</t>
  </si>
  <si>
    <t>HNRPK0325P</t>
  </si>
  <si>
    <t>Jy@ti1980</t>
  </si>
  <si>
    <t>LL 26-11-2022</t>
  </si>
  <si>
    <t>Akshay_nweb</t>
  </si>
  <si>
    <t>Akshay Tiwari</t>
  </si>
  <si>
    <t>Payment Due</t>
  </si>
  <si>
    <t>A062946227</t>
  </si>
  <si>
    <t>Ayaan Iqbal</t>
  </si>
  <si>
    <t>A062958119</t>
  </si>
  <si>
    <t>Mohammad Rayyan Shoaib</t>
  </si>
  <si>
    <t>Q007220331</t>
  </si>
  <si>
    <t>Mohinder Kaur</t>
  </si>
  <si>
    <t>A062957693</t>
  </si>
  <si>
    <t>Md Zishan Khan</t>
  </si>
  <si>
    <t>At cmprt</t>
  </si>
  <si>
    <t>A063120553</t>
  </si>
  <si>
    <t>Md Saquib hussain khan</t>
  </si>
  <si>
    <t>Karan_nweb</t>
  </si>
  <si>
    <t>Q007265243</t>
  </si>
  <si>
    <t>Gulam Haider</t>
  </si>
  <si>
    <t>Q007269954</t>
  </si>
  <si>
    <t>Shiva Kumar Pillay</t>
  </si>
  <si>
    <t>No document</t>
  </si>
  <si>
    <t>Q007283338</t>
  </si>
  <si>
    <t>Jitendra Kumar Tiwary</t>
  </si>
  <si>
    <t>Q007283416</t>
  </si>
  <si>
    <t>Shashi Bala Devi</t>
  </si>
  <si>
    <t>A063312651</t>
  </si>
  <si>
    <t>Md Sabir Khan</t>
  </si>
  <si>
    <t>A063407329</t>
  </si>
  <si>
    <t>A063415981</t>
  </si>
  <si>
    <t>Sanju Sinha</t>
  </si>
  <si>
    <t>Ambiya Khan</t>
  </si>
  <si>
    <t>ambiya_nweb</t>
  </si>
  <si>
    <t>A063502114</t>
  </si>
  <si>
    <t>Sanjana Shree</t>
  </si>
  <si>
    <t>A063618043</t>
  </si>
  <si>
    <t>Lupika Guha</t>
  </si>
  <si>
    <t>A063695897</t>
  </si>
  <si>
    <t>Jyotika Sona</t>
  </si>
  <si>
    <t>Q007356198</t>
  </si>
  <si>
    <t>Hira Lal</t>
  </si>
  <si>
    <t>Mypass@2023</t>
  </si>
  <si>
    <t>Arvind Kr Tiwary</t>
  </si>
  <si>
    <t>RNW</t>
  </si>
  <si>
    <t>A063884331</t>
  </si>
  <si>
    <t>akash23_nweb</t>
  </si>
  <si>
    <t>A063903080</t>
  </si>
  <si>
    <t>Manu Gorai</t>
  </si>
  <si>
    <t>A063907015</t>
  </si>
  <si>
    <t>Farhan Khan</t>
  </si>
  <si>
    <t>Sabiha Khatoon</t>
  </si>
  <si>
    <t>A063934130</t>
  </si>
  <si>
    <t>A063934579</t>
  </si>
  <si>
    <t>Sinu Reddy</t>
  </si>
  <si>
    <t>Md Saquib Hussain Khan</t>
  </si>
  <si>
    <t>Ritu Kumari Rahelu</t>
  </si>
  <si>
    <t>ritu_nweb</t>
  </si>
  <si>
    <t>A064053629</t>
  </si>
  <si>
    <t>Farah Naaz</t>
  </si>
  <si>
    <t>Q007425818</t>
  </si>
  <si>
    <t>Anurag Sharan</t>
  </si>
  <si>
    <t>A064168159</t>
  </si>
  <si>
    <t>Sabita Mahato</t>
  </si>
  <si>
    <t>A064289766</t>
  </si>
  <si>
    <t>Q007454027</t>
  </si>
  <si>
    <t>Sumona Bhattchrjee</t>
  </si>
  <si>
    <t>BPLPK9545P</t>
  </si>
  <si>
    <t>Babita@1974</t>
  </si>
  <si>
    <t>A064323988</t>
  </si>
  <si>
    <t>Md Sharique</t>
  </si>
  <si>
    <t>A064291491</t>
  </si>
  <si>
    <t>A064334354</t>
  </si>
  <si>
    <t>Varsha Gupta</t>
  </si>
  <si>
    <t>A064430024</t>
  </si>
  <si>
    <t>Mira Devi</t>
  </si>
  <si>
    <t>Ao64901945</t>
  </si>
  <si>
    <t>Suraj Gorai</t>
  </si>
  <si>
    <t>A064902423</t>
  </si>
  <si>
    <t>Nazia Firdos</t>
  </si>
  <si>
    <t>Surinder Kaur</t>
  </si>
  <si>
    <t>A064916379</t>
  </si>
  <si>
    <t>A064971881</t>
  </si>
  <si>
    <t>Amisha Kumari</t>
  </si>
  <si>
    <t>Q007583956</t>
  </si>
  <si>
    <t>Suresh Kumar Sharma</t>
  </si>
  <si>
    <t>A064971561</t>
  </si>
  <si>
    <t>Khushi Mahato</t>
  </si>
  <si>
    <t>A065086098</t>
  </si>
  <si>
    <t>Sharda Kumari</t>
  </si>
  <si>
    <t>Q007602368</t>
  </si>
  <si>
    <t>Manzoor Khan</t>
  </si>
  <si>
    <t>Q007604128</t>
  </si>
  <si>
    <t>Rohit Loar</t>
  </si>
  <si>
    <t>A065080738</t>
  </si>
  <si>
    <t xml:space="preserve">wrong photo Uploaded </t>
  </si>
  <si>
    <t>Sangeeta Mahanta</t>
  </si>
  <si>
    <t>A065166783</t>
  </si>
  <si>
    <t>Q007618032</t>
  </si>
  <si>
    <t>A065216620</t>
  </si>
  <si>
    <t>Pinky Singh</t>
  </si>
  <si>
    <t>Q007631210</t>
  </si>
  <si>
    <t>Neralla Krishna Murty</t>
  </si>
  <si>
    <t>Dulal Mahato</t>
  </si>
  <si>
    <t>Mani MalaTiwary</t>
  </si>
  <si>
    <t>Soma Rani Mitra</t>
  </si>
  <si>
    <t>Q007638998</t>
  </si>
  <si>
    <t>Q007638905</t>
  </si>
  <si>
    <t>Tarak Nath Mitra</t>
  </si>
  <si>
    <t>Nilima Tudu</t>
  </si>
  <si>
    <t>A065298993</t>
  </si>
  <si>
    <t>Amar Nath Chanda</t>
  </si>
  <si>
    <t>renew+r</t>
  </si>
  <si>
    <t>four</t>
  </si>
  <si>
    <t>Mohammad Naushad</t>
  </si>
  <si>
    <t>Q007692955</t>
  </si>
  <si>
    <t>Rahul Birnat</t>
  </si>
  <si>
    <t>Q007673900</t>
  </si>
  <si>
    <t>A065652034</t>
  </si>
  <si>
    <t>photo done</t>
  </si>
  <si>
    <t>A065852347</t>
  </si>
  <si>
    <t>A065803808</t>
  </si>
  <si>
    <t>Q007724480</t>
  </si>
  <si>
    <t>Najare Imam</t>
  </si>
  <si>
    <t>Mallika Gorai</t>
  </si>
  <si>
    <t>Ravikant Singh</t>
  </si>
  <si>
    <t>A065980867</t>
  </si>
  <si>
    <t>Usha Verma</t>
  </si>
  <si>
    <t>Abhay Kumar Mishra</t>
  </si>
  <si>
    <t>Rahul</t>
  </si>
  <si>
    <t>Q007780978</t>
  </si>
  <si>
    <t>Q007795689</t>
  </si>
  <si>
    <t>A066191171</t>
  </si>
  <si>
    <t>Siddhartha Sharma</t>
  </si>
  <si>
    <t>A066349469</t>
  </si>
  <si>
    <t>Sayra Khatoon</t>
  </si>
  <si>
    <t>Q007835293</t>
  </si>
  <si>
    <t>transfer</t>
  </si>
  <si>
    <t>Sukra Mahato</t>
  </si>
  <si>
    <t>rcpt</t>
  </si>
  <si>
    <t>Mohammad Salamat Uddin</t>
  </si>
  <si>
    <t>salamat_nweb</t>
  </si>
  <si>
    <t>Priyojoy Mahato</t>
  </si>
  <si>
    <t>A066507615</t>
  </si>
  <si>
    <t>Aisha Naaz</t>
  </si>
  <si>
    <t>Q007868159</t>
  </si>
  <si>
    <t>Sunny Bharti</t>
  </si>
  <si>
    <t>Mohammad Akhtar</t>
  </si>
  <si>
    <t>akhtar_nweb</t>
  </si>
  <si>
    <t>Bharat Kumar Thakur</t>
  </si>
  <si>
    <t>A066579124</t>
  </si>
  <si>
    <t>Subhadra Mahato</t>
  </si>
  <si>
    <t>Q007887101</t>
  </si>
  <si>
    <t>Usha Rani Bhagat</t>
  </si>
  <si>
    <t>Shwet Kumar</t>
  </si>
  <si>
    <t>Q007890770</t>
  </si>
  <si>
    <t>Sanjay Kamat</t>
  </si>
  <si>
    <t>Bijay Choudhary</t>
  </si>
  <si>
    <t>A066740197</t>
  </si>
  <si>
    <t>Kanchen Bhagat Rani</t>
  </si>
  <si>
    <t>A066762458</t>
  </si>
  <si>
    <t>Sushma Devi</t>
  </si>
  <si>
    <t>NISE COMPORT Adress</t>
  </si>
  <si>
    <t>Lata Srivastav</t>
  </si>
  <si>
    <t>AloK Bhiya</t>
  </si>
  <si>
    <t>A066910027</t>
  </si>
  <si>
    <t>Ananya Sarkar</t>
  </si>
  <si>
    <t>A066909114</t>
  </si>
  <si>
    <t>Jharna Sarkar</t>
  </si>
  <si>
    <t>A066979831</t>
  </si>
  <si>
    <t>Seema Munda</t>
  </si>
  <si>
    <t>APPLIED FOR MAIN</t>
  </si>
  <si>
    <t>Q007974069</t>
  </si>
  <si>
    <t>Sudhangshu Sekhar Sen</t>
  </si>
  <si>
    <t>Sajda Quamar</t>
  </si>
  <si>
    <t>Rahila Khanam</t>
  </si>
  <si>
    <t>A067195139</t>
  </si>
  <si>
    <t>A067266393</t>
  </si>
  <si>
    <t>Sadhan Gorai</t>
  </si>
  <si>
    <t>Rabia Hassan Khan</t>
  </si>
  <si>
    <t>Sohail Ahmad Khan</t>
  </si>
  <si>
    <t>Danish Ahmad Khan</t>
  </si>
  <si>
    <t>Mubashir ahmad khan</t>
  </si>
  <si>
    <t>Furqan Ahmad Khan</t>
  </si>
  <si>
    <t>Q008028767</t>
  </si>
  <si>
    <t>Pratima Majhi</t>
  </si>
  <si>
    <t>Q008029788</t>
  </si>
  <si>
    <t>A067345647</t>
  </si>
  <si>
    <t>Saima Perween</t>
  </si>
  <si>
    <t>Q008072621</t>
  </si>
  <si>
    <t>Jasbinder Singh</t>
  </si>
  <si>
    <t>Q008074566</t>
  </si>
  <si>
    <t>Sab_nweb</t>
  </si>
  <si>
    <t>Sabreen Perveen</t>
  </si>
  <si>
    <t>Q008101866</t>
  </si>
  <si>
    <t>A067705115</t>
  </si>
  <si>
    <t>Shakuntala Garain</t>
  </si>
  <si>
    <t>A067699866</t>
  </si>
  <si>
    <t>A067728426</t>
  </si>
  <si>
    <t>Reshma Parveen</t>
  </si>
  <si>
    <t>A067830157</t>
  </si>
  <si>
    <t>Afreen Praveen</t>
  </si>
  <si>
    <t>A067910657</t>
  </si>
  <si>
    <t>Vinita Devi</t>
  </si>
  <si>
    <t>A067934669</t>
  </si>
  <si>
    <t>Lakkhi Gorai</t>
  </si>
  <si>
    <t>Q008140976</t>
  </si>
  <si>
    <t>Nasina Raju</t>
  </si>
  <si>
    <t>A067997066</t>
  </si>
  <si>
    <t>Riya Srivastava</t>
  </si>
  <si>
    <t>A067997694</t>
  </si>
  <si>
    <t>Indronil Biswas</t>
  </si>
  <si>
    <t xml:space="preserve">Arindam </t>
  </si>
  <si>
    <t>A067995831</t>
  </si>
  <si>
    <t>Q008151578</t>
  </si>
  <si>
    <t>ZAHID EQUBAL AKHTAR</t>
  </si>
  <si>
    <t>Q007996993</t>
  </si>
  <si>
    <t>A068277944</t>
  </si>
  <si>
    <t>Ritu Rani Mahato</t>
  </si>
  <si>
    <t>fiven for main</t>
  </si>
  <si>
    <t>A068299671</t>
  </si>
  <si>
    <t>Sonu Tantubai</t>
  </si>
  <si>
    <t>a068330633</t>
  </si>
  <si>
    <t>Tripti Mallick</t>
  </si>
  <si>
    <t>A068331294</t>
  </si>
  <si>
    <t>Tayyaba Khatoon</t>
  </si>
  <si>
    <t>A068360497</t>
  </si>
  <si>
    <t>Q008251361</t>
  </si>
  <si>
    <t>Md Jiyarul Ali Ansari</t>
  </si>
  <si>
    <t>Alok Nath Saha</t>
  </si>
  <si>
    <t>Q008250722</t>
  </si>
  <si>
    <t>A068422337</t>
  </si>
  <si>
    <t>Ritik Kumar</t>
  </si>
  <si>
    <t>Ojayfa Tanbir</t>
  </si>
  <si>
    <t>A068424528</t>
  </si>
  <si>
    <t>Q008258018</t>
  </si>
  <si>
    <t>Md Islam</t>
  </si>
  <si>
    <t>Q008264602</t>
  </si>
  <si>
    <t>Nirmal Dey</t>
  </si>
  <si>
    <t>Q008275788</t>
  </si>
  <si>
    <t>Q008273643</t>
  </si>
  <si>
    <t>Ramkishun Yadav</t>
  </si>
  <si>
    <t>Q008318217</t>
  </si>
  <si>
    <t>Md Azad</t>
  </si>
  <si>
    <t>A068696082</t>
  </si>
  <si>
    <t>Narun Nisha</t>
  </si>
  <si>
    <t>Q008331401</t>
  </si>
  <si>
    <t>Sumit Kumar Maity</t>
  </si>
  <si>
    <t>Q008334473</t>
  </si>
  <si>
    <t>Rizwan Ahmad Khan</t>
  </si>
  <si>
    <t>Laljee prasad sharma</t>
  </si>
  <si>
    <t>Aaradhya prasad</t>
  </si>
  <si>
    <t>prasad_nweb</t>
  </si>
  <si>
    <t>Q008343373</t>
  </si>
  <si>
    <t>Aanchal Anand</t>
  </si>
  <si>
    <t>Kabita Mahato</t>
  </si>
  <si>
    <t>A068728716</t>
  </si>
  <si>
    <t>Q008372169</t>
  </si>
  <si>
    <t>Rani Hansda</t>
  </si>
  <si>
    <t>Sarnestha Ghanty</t>
  </si>
  <si>
    <t>Q008370264</t>
  </si>
  <si>
    <t>Q008389221</t>
  </si>
  <si>
    <t>Q008391559</t>
  </si>
  <si>
    <t>Gurdev Singh</t>
  </si>
  <si>
    <t>A068872825</t>
  </si>
  <si>
    <t>Bijendra Sharma</t>
  </si>
  <si>
    <t>Q008416713</t>
  </si>
  <si>
    <t>Abu Zohra</t>
  </si>
  <si>
    <t>Q008421818</t>
  </si>
  <si>
    <t>Simrat Kaur</t>
  </si>
  <si>
    <t>Q008445098</t>
  </si>
  <si>
    <t>Raju Biswas</t>
  </si>
  <si>
    <t>Tanuja Jha</t>
  </si>
  <si>
    <t>A069078754</t>
  </si>
  <si>
    <t>Bubun Mahapatra</t>
  </si>
  <si>
    <t>Q008468136</t>
  </si>
  <si>
    <t>Shabnam Parween</t>
  </si>
  <si>
    <t>A069170480</t>
  </si>
  <si>
    <t>Jamuna Thakur</t>
  </si>
  <si>
    <t>Q008505175</t>
  </si>
  <si>
    <t>JyotiR Moy Das</t>
  </si>
  <si>
    <t>Q008531017</t>
  </si>
  <si>
    <t>Madhu Sudan Tiwary</t>
  </si>
  <si>
    <t>Q008531054</t>
  </si>
  <si>
    <t>Polamarasetti Ashwini</t>
  </si>
  <si>
    <t>Q008528628</t>
  </si>
  <si>
    <t>imtiaz Akhtar</t>
  </si>
  <si>
    <t>A069263383</t>
  </si>
  <si>
    <t>Juni Sardar</t>
  </si>
  <si>
    <t>Q008536914</t>
  </si>
  <si>
    <t>Ramesh Thakur</t>
  </si>
  <si>
    <t>Q008538523</t>
  </si>
  <si>
    <t>Q008532100</t>
  </si>
  <si>
    <t>Shankar Bhadra</t>
  </si>
  <si>
    <t>A069292017</t>
  </si>
  <si>
    <t>Sunita Sharma</t>
  </si>
  <si>
    <t>ADITYA_NWEB23</t>
  </si>
  <si>
    <t>jamshedpur</t>
  </si>
  <si>
    <t>Q008553946</t>
  </si>
  <si>
    <t>Antima Kumari</t>
  </si>
  <si>
    <t>Q008581018</t>
  </si>
  <si>
    <t>Q008573838</t>
  </si>
  <si>
    <t>Kamala Devi</t>
  </si>
  <si>
    <t>Merajuddin Khan</t>
  </si>
  <si>
    <t>Q008571639</t>
  </si>
  <si>
    <t>A069374383</t>
  </si>
  <si>
    <t>Arpita Tiwary</t>
  </si>
  <si>
    <t>A069394553</t>
  </si>
  <si>
    <t>Q008580946</t>
  </si>
  <si>
    <t>Abhilash Mahato</t>
  </si>
  <si>
    <t>Sandhya Ghoshal</t>
  </si>
  <si>
    <t>Q008580683</t>
  </si>
  <si>
    <t>Q008574555</t>
  </si>
  <si>
    <t>Suresh Ram</t>
  </si>
  <si>
    <t>A069454061</t>
  </si>
  <si>
    <t>Bisseshwer Sharma</t>
  </si>
  <si>
    <t>A069540630</t>
  </si>
  <si>
    <t>Arind Kumar Pandey</t>
  </si>
  <si>
    <t>Shashi Dhar Mouli Karan</t>
  </si>
  <si>
    <t>Q008641615</t>
  </si>
  <si>
    <t>A069523914</t>
  </si>
  <si>
    <t>Aatish Verma</t>
  </si>
  <si>
    <t>Rajendra Prasad Gupta</t>
  </si>
  <si>
    <t>Q008647142</t>
  </si>
  <si>
    <t>A069491836</t>
  </si>
  <si>
    <t>Bela Pramanik</t>
  </si>
  <si>
    <t>A069629738</t>
  </si>
  <si>
    <t>Mohammad Affan</t>
  </si>
  <si>
    <t>A069642188</t>
  </si>
  <si>
    <t>A069690820</t>
  </si>
  <si>
    <t>Simran Sahu</t>
  </si>
  <si>
    <t>Q008671477</t>
  </si>
  <si>
    <t>Rajashree Biswas</t>
  </si>
  <si>
    <t>Q008723199</t>
  </si>
  <si>
    <t>Ashok Mahato</t>
  </si>
  <si>
    <t>Q008723509</t>
  </si>
  <si>
    <t>Q008720082</t>
  </si>
  <si>
    <t>Rupesh Rout</t>
  </si>
  <si>
    <t>Q008724717</t>
  </si>
  <si>
    <t>Harish Chandra bera</t>
  </si>
  <si>
    <t>Mohammad Anishur Rahman</t>
  </si>
  <si>
    <t>Q008735276</t>
  </si>
  <si>
    <t>Md Shahnawaz Aamir</t>
  </si>
  <si>
    <t>Q008731246</t>
  </si>
  <si>
    <t>Q008764998</t>
  </si>
  <si>
    <t>A069887714</t>
  </si>
  <si>
    <t>Menka Dhibar</t>
  </si>
  <si>
    <t>Q008774266</t>
  </si>
  <si>
    <t>Q008781786</t>
  </si>
  <si>
    <t>Mohammad Ziaur Rahman</t>
  </si>
  <si>
    <t>Q008782678</t>
  </si>
  <si>
    <t>Q008791386</t>
  </si>
  <si>
    <t>Q008792540</t>
  </si>
  <si>
    <t>Sajda Khatoon</t>
  </si>
  <si>
    <t>A069711726</t>
  </si>
  <si>
    <t>Q008825346</t>
  </si>
  <si>
    <t>Arbind Kumar Bharti</t>
  </si>
  <si>
    <t>A070080745</t>
  </si>
  <si>
    <t>A070084697</t>
  </si>
  <si>
    <t>Sandhya Rani Giri</t>
  </si>
  <si>
    <t>endorse</t>
  </si>
  <si>
    <t>Pranab Nand Paul</t>
  </si>
  <si>
    <t>dup RC</t>
  </si>
  <si>
    <t>orignl pan + uid</t>
  </si>
  <si>
    <t>Q008832970</t>
  </si>
  <si>
    <t>Baljeet Kaur</t>
  </si>
  <si>
    <t>Q008846122</t>
  </si>
  <si>
    <t>Arpita Chandra</t>
  </si>
  <si>
    <t>Q008870143</t>
  </si>
  <si>
    <t>Vikash Kumar Bhagat</t>
  </si>
  <si>
    <t>A070256335</t>
  </si>
  <si>
    <t>Wajda Mehboob Ansari</t>
  </si>
  <si>
    <t>nweb_ANSARI</t>
  </si>
  <si>
    <t>Mohammad Mehboob Ansari</t>
  </si>
  <si>
    <t>Sukanta Kumar Dutta</t>
  </si>
  <si>
    <t>reneal _removal</t>
  </si>
  <si>
    <t>Ram Bhaju Sah</t>
  </si>
  <si>
    <t>Q008893225</t>
  </si>
  <si>
    <t>A070376652</t>
  </si>
  <si>
    <t>kavita thakur</t>
  </si>
  <si>
    <t>Q008905336</t>
  </si>
  <si>
    <t>Manoj Prasad</t>
  </si>
  <si>
    <t>Q008905165</t>
  </si>
  <si>
    <t>delivered 07-04-2023</t>
  </si>
  <si>
    <t>Md Mumtaz Ansari</t>
  </si>
  <si>
    <t>mumtaz_nweb</t>
  </si>
  <si>
    <t>JAMSHED ALI ANSARI</t>
  </si>
  <si>
    <t>dl recvd</t>
  </si>
  <si>
    <t>deliverd 08-04-2023</t>
  </si>
  <si>
    <t>A070519998</t>
  </si>
  <si>
    <t>Lakhi Mani Lohar</t>
  </si>
  <si>
    <t>Q008941883</t>
  </si>
  <si>
    <t>Jamuna Biswas</t>
  </si>
  <si>
    <t>Q008941369</t>
  </si>
  <si>
    <t>Randhir Singh</t>
  </si>
  <si>
    <t>A070544359</t>
  </si>
  <si>
    <t>Ayush Kumar Sharma</t>
  </si>
  <si>
    <t>Q008963241</t>
  </si>
  <si>
    <t>Sushanta Sahu</t>
  </si>
  <si>
    <t>A070682875</t>
  </si>
  <si>
    <t>Shanti Munda</t>
  </si>
  <si>
    <t>A070687004</t>
  </si>
  <si>
    <t>Q008995519</t>
  </si>
  <si>
    <t>MONDAKINI TRIPATHY</t>
  </si>
  <si>
    <t>Q009004805</t>
  </si>
  <si>
    <t>Bidhan Chandra Sarkar</t>
  </si>
  <si>
    <t>Q009013456</t>
  </si>
  <si>
    <t>Jema Melgandi</t>
  </si>
  <si>
    <t>Q009013706</t>
  </si>
  <si>
    <t>Suranjeet Kumar Singh</t>
  </si>
  <si>
    <t>A070883399</t>
  </si>
  <si>
    <t>Q009041354</t>
  </si>
  <si>
    <t>Damodar Thakur</t>
  </si>
  <si>
    <t>Q009053659</t>
  </si>
  <si>
    <t>Shaikh Wasim</t>
  </si>
  <si>
    <t>A070939115</t>
  </si>
  <si>
    <t>Subham Pal</t>
  </si>
  <si>
    <t>RN</t>
  </si>
  <si>
    <t>Q009062334</t>
  </si>
  <si>
    <t>Sachikant Sahoo</t>
  </si>
  <si>
    <t>A071001505</t>
  </si>
  <si>
    <t>Putul Adak</t>
  </si>
  <si>
    <t>Q009069226</t>
  </si>
  <si>
    <t>Lal Babu Sah</t>
  </si>
  <si>
    <t>Q009068948</t>
  </si>
  <si>
    <t>Pronob Kumar Ghanty</t>
  </si>
  <si>
    <t>A070999016</t>
  </si>
  <si>
    <t>A071021282</t>
  </si>
  <si>
    <t>Gita Patro</t>
  </si>
  <si>
    <t>A071052190</t>
  </si>
  <si>
    <t>Abhishek Ranjan</t>
  </si>
  <si>
    <t>Vishnavi Kumari</t>
  </si>
  <si>
    <t>Q009090537</t>
  </si>
  <si>
    <t>Ashish Kumar Mondal</t>
  </si>
  <si>
    <t>A071127710</t>
  </si>
  <si>
    <t>Q009101205</t>
  </si>
  <si>
    <t>Shiv Kumar</t>
  </si>
  <si>
    <t>A071093931</t>
  </si>
  <si>
    <t>Robbari Singh</t>
  </si>
  <si>
    <t>Q009120290</t>
  </si>
  <si>
    <t>Rajesh Kumar Ojha</t>
  </si>
  <si>
    <t>Q009121364</t>
  </si>
  <si>
    <t>Sanjeev Kumar Das</t>
  </si>
  <si>
    <t>Rajat Kanti Biswas</t>
  </si>
  <si>
    <t>rn</t>
  </si>
  <si>
    <t>A071417249</t>
  </si>
  <si>
    <t>Piyushi Das</t>
  </si>
  <si>
    <t>Q009172722</t>
  </si>
  <si>
    <t>A071378835</t>
  </si>
  <si>
    <t>Sohan Pan</t>
  </si>
  <si>
    <t>A071506290</t>
  </si>
  <si>
    <t>A071512282</t>
  </si>
  <si>
    <t>Saraswati Mukhi</t>
  </si>
  <si>
    <t>Q009196325</t>
  </si>
  <si>
    <t>A071610842</t>
  </si>
  <si>
    <t>Vivek Kuri</t>
  </si>
  <si>
    <t>A071607457</t>
  </si>
  <si>
    <t>Noorain Khatoon</t>
  </si>
  <si>
    <t>A071770195</t>
  </si>
  <si>
    <t>Jahan Ara</t>
  </si>
  <si>
    <t>A071755249</t>
  </si>
  <si>
    <t>Tausif Alam</t>
  </si>
  <si>
    <t>A071745671</t>
  </si>
  <si>
    <t>Q009257845</t>
  </si>
  <si>
    <t>Binod Kumra Singh</t>
  </si>
  <si>
    <t>Irteza Karim Ansari</t>
  </si>
  <si>
    <t>A071883088</t>
  </si>
  <si>
    <t>Srijan Bhattacharya</t>
  </si>
  <si>
    <t>Nupur bhandari</t>
  </si>
  <si>
    <t>A071819146</t>
  </si>
  <si>
    <t>Sakti pada Nandi</t>
  </si>
  <si>
    <t>A071904598</t>
  </si>
  <si>
    <t>Q009297447</t>
  </si>
  <si>
    <t>Q009308461</t>
  </si>
  <si>
    <t>A071988764</t>
  </si>
  <si>
    <t>ANURAG BOSE</t>
  </si>
  <si>
    <t>q009315004</t>
  </si>
  <si>
    <t>Margina Khatoon</t>
  </si>
  <si>
    <t>Q009310189</t>
  </si>
  <si>
    <t>Sandeep Singh</t>
  </si>
  <si>
    <t>Q009321110</t>
  </si>
  <si>
    <t>Shamsher Khan</t>
  </si>
  <si>
    <t>Q009321951</t>
  </si>
  <si>
    <t>Sarbani Das Gupta</t>
  </si>
  <si>
    <t>Brihaspati Gorai</t>
  </si>
  <si>
    <t>A072040813</t>
  </si>
  <si>
    <t>Aditi Sharma</t>
  </si>
  <si>
    <t>A072041906</t>
  </si>
  <si>
    <t>Shyam Pada Pani</t>
  </si>
  <si>
    <t>Q009326325</t>
  </si>
  <si>
    <t>Q009314346</t>
  </si>
  <si>
    <t>Q009335710</t>
  </si>
  <si>
    <t>Dhananjay Kumar Giri</t>
  </si>
  <si>
    <t>Q009349604</t>
  </si>
  <si>
    <t>Q009359480</t>
  </si>
  <si>
    <t>Parwez Akhtar</t>
  </si>
  <si>
    <t>Q009358497</t>
  </si>
  <si>
    <t>Arun Kumar Sharma</t>
  </si>
  <si>
    <t>Q009361151</t>
  </si>
  <si>
    <t>Q009360565</t>
  </si>
  <si>
    <t>A072205054</t>
  </si>
  <si>
    <t>Shreya Vashist</t>
  </si>
  <si>
    <t>A072227439</t>
  </si>
  <si>
    <t>Prachi Kumari</t>
  </si>
  <si>
    <t>A072256376</t>
  </si>
  <si>
    <t>Arnav Mal</t>
  </si>
  <si>
    <t>Nilam Choudhary</t>
  </si>
  <si>
    <t>Q00934496</t>
  </si>
  <si>
    <t>A072281399</t>
  </si>
  <si>
    <t>Ashit Raj</t>
  </si>
  <si>
    <t>Sanjay kumar srivastava</t>
  </si>
  <si>
    <t>Q009381143</t>
  </si>
  <si>
    <t>Q009381450</t>
  </si>
  <si>
    <t>Ruhi Kumari</t>
  </si>
  <si>
    <t>Q009385649</t>
  </si>
  <si>
    <t>Q009396765</t>
  </si>
  <si>
    <t>Sanjay Kumar Das</t>
  </si>
  <si>
    <t>A072360594</t>
  </si>
  <si>
    <t>Sayandeep Das</t>
  </si>
  <si>
    <t>Santosh Kumar Giri</t>
  </si>
  <si>
    <t>Q009405064</t>
  </si>
  <si>
    <t>Anurag Mishra</t>
  </si>
  <si>
    <t>A072432332</t>
  </si>
  <si>
    <t>Kartikey Gupta</t>
  </si>
  <si>
    <t>Q009422179</t>
  </si>
  <si>
    <t>Mukesh Kumar Gupta</t>
  </si>
  <si>
    <t>Q009180775</t>
  </si>
  <si>
    <t>Sujit kumar kar</t>
  </si>
  <si>
    <t>Q009437709</t>
  </si>
  <si>
    <t>Sarada Devi</t>
  </si>
  <si>
    <t>Q009442328</t>
  </si>
  <si>
    <t>Sahil Prasad</t>
  </si>
  <si>
    <t>A072584010</t>
  </si>
  <si>
    <t>Q009450393</t>
  </si>
  <si>
    <t>Ka,ona Kanjilal</t>
  </si>
  <si>
    <t>Q009456604</t>
  </si>
  <si>
    <t>A072601651</t>
  </si>
  <si>
    <t>Md Modassir Khan</t>
  </si>
  <si>
    <t>Q009457047</t>
  </si>
  <si>
    <t>NIMAI KANTI GHOSH</t>
  </si>
  <si>
    <t>Q009463924</t>
  </si>
  <si>
    <t>Tapeshwar Kumar Singh</t>
  </si>
  <si>
    <t>Q009464039</t>
  </si>
  <si>
    <t>Kamlesh Devi</t>
  </si>
  <si>
    <t>Q009467805</t>
  </si>
  <si>
    <t>Maya Sagar Thapa</t>
  </si>
  <si>
    <t>A072684314</t>
  </si>
  <si>
    <t>Priyanka Mahato</t>
  </si>
  <si>
    <t>Shayak Ghosh</t>
  </si>
  <si>
    <t>shayak_nweb</t>
  </si>
  <si>
    <t>Mypass@23</t>
  </si>
  <si>
    <t>Q009485018</t>
  </si>
  <si>
    <t>Md Nushad</t>
  </si>
  <si>
    <t>A072712623</t>
  </si>
  <si>
    <t>Saheb Singh Sandhu</t>
  </si>
  <si>
    <t>Q009467022</t>
  </si>
  <si>
    <t>Ram Naresh Singh</t>
  </si>
  <si>
    <t>Q009489680</t>
  </si>
  <si>
    <t>Q009490742</t>
  </si>
  <si>
    <t>Ranbir Kumar</t>
  </si>
  <si>
    <t>shantanu chowdhury</t>
  </si>
  <si>
    <t>A072794439</t>
  </si>
  <si>
    <t>Mina Ugursandi</t>
  </si>
  <si>
    <t>Q009500509</t>
  </si>
  <si>
    <t>Sudipta Karmakar</t>
  </si>
  <si>
    <t>A072821819</t>
  </si>
  <si>
    <t>Aasma Tabassum</t>
  </si>
  <si>
    <t>Prachi Singh</t>
  </si>
  <si>
    <t>Q009509511</t>
  </si>
  <si>
    <t>Rajnish Dwivedi</t>
  </si>
  <si>
    <t>Vikash Kumar Ram</t>
  </si>
  <si>
    <t>Q009522002</t>
  </si>
  <si>
    <t>Md Naseem</t>
  </si>
  <si>
    <t>A072891076</t>
  </si>
  <si>
    <t>Khusbu Mahato</t>
  </si>
  <si>
    <t>A072916173</t>
  </si>
  <si>
    <t>Q009534102</t>
  </si>
  <si>
    <t>Shree Krishna Sharma</t>
  </si>
  <si>
    <t>A072952038</t>
  </si>
  <si>
    <t>Aditya Kumar Sharma</t>
  </si>
  <si>
    <t>A072957106</t>
  </si>
  <si>
    <t>Khusboo Bindhani</t>
  </si>
  <si>
    <t>A073007105</t>
  </si>
  <si>
    <t>Owais Ahmad Sharfi</t>
  </si>
  <si>
    <t>Sanjay Raj Bhar</t>
  </si>
  <si>
    <t>Q009563714</t>
  </si>
  <si>
    <t>Q009563884</t>
  </si>
  <si>
    <t>Bennuri Suresh</t>
  </si>
  <si>
    <t>Q009564963</t>
  </si>
  <si>
    <t>Umesh Chandra Patel</t>
  </si>
  <si>
    <t>A073096218</t>
  </si>
  <si>
    <t>Subendu Gorai</t>
  </si>
  <si>
    <t>Shahnaz khatoon</t>
  </si>
  <si>
    <t>Q009578883</t>
  </si>
  <si>
    <t>Naiyar Rahman Khan</t>
  </si>
  <si>
    <t>Q009582417</t>
  </si>
  <si>
    <t>Q009582597</t>
  </si>
  <si>
    <t>Rabindra Kumar Kamat</t>
  </si>
  <si>
    <t>A073175230</t>
  </si>
  <si>
    <t>Muhammad Hamza</t>
  </si>
  <si>
    <t>Q009604245</t>
  </si>
  <si>
    <t>Sajal Sahu Kumar</t>
  </si>
  <si>
    <t>Tapas Chakraborty</t>
  </si>
  <si>
    <t>A073319750</t>
  </si>
  <si>
    <t>Apurva</t>
  </si>
  <si>
    <t>Q009629945</t>
  </si>
  <si>
    <t>Sanjeev Ojha</t>
  </si>
  <si>
    <t>Chanchal Anand</t>
  </si>
  <si>
    <t>Q009631439</t>
  </si>
  <si>
    <t>Manisha Hansda</t>
  </si>
  <si>
    <t>A073390532</t>
  </si>
  <si>
    <t>Ganesh Hembram</t>
  </si>
  <si>
    <t>Saradendu Mahata</t>
  </si>
  <si>
    <t>Given main</t>
  </si>
  <si>
    <t>Pranab kumar majumdar</t>
  </si>
  <si>
    <t>Q009643451</t>
  </si>
  <si>
    <t>Ravinder Singh</t>
  </si>
  <si>
    <t>Q009647026</t>
  </si>
  <si>
    <t>Subash Chandr Senapaty</t>
  </si>
  <si>
    <t>Q009649831</t>
  </si>
  <si>
    <t>Jyoti Ailine Hemrom</t>
  </si>
  <si>
    <t>BOMPS8083N</t>
  </si>
  <si>
    <t>MANOJ SINGH</t>
  </si>
  <si>
    <t>Man@j1983</t>
  </si>
  <si>
    <t>Q009666076</t>
  </si>
  <si>
    <t>Shailendra Kumar</t>
  </si>
  <si>
    <t>Ashok Kumar Pathak</t>
  </si>
  <si>
    <t>Q009590520</t>
  </si>
  <si>
    <t>Kiran_nweb</t>
  </si>
  <si>
    <t>Q009686769</t>
  </si>
  <si>
    <t>A073692849</t>
  </si>
  <si>
    <t>Mahrush Rezwan</t>
  </si>
  <si>
    <t>Ritu Mukhi</t>
  </si>
  <si>
    <t>Bijay Lal Sachdev</t>
  </si>
  <si>
    <t>A073742585</t>
  </si>
  <si>
    <t>Kanchan Sharma</t>
  </si>
  <si>
    <t>Q009709519</t>
  </si>
  <si>
    <t>Q009712222</t>
  </si>
  <si>
    <t>Bansal_nweb</t>
  </si>
  <si>
    <t>Gude Vani Mahalakshmi</t>
  </si>
  <si>
    <t>Arun Kumar Singh</t>
  </si>
  <si>
    <t>Q009712658</t>
  </si>
  <si>
    <t>A073801771</t>
  </si>
  <si>
    <t>Madhusudan Guru</t>
  </si>
  <si>
    <t>A073798761</t>
  </si>
  <si>
    <t>Ashwarya Gupta</t>
  </si>
  <si>
    <t>ARGPT4073K</t>
  </si>
  <si>
    <t>Mukesh Kumar Tiwary</t>
  </si>
  <si>
    <t>Tiwary@2023</t>
  </si>
  <si>
    <t>Q009733714</t>
  </si>
  <si>
    <t>Surajit Guha</t>
  </si>
  <si>
    <t>Sayon Sengupta</t>
  </si>
  <si>
    <t>Somnath Bhattacharjee</t>
  </si>
  <si>
    <t>Q009745974</t>
  </si>
  <si>
    <t>Rajkumari Devi</t>
  </si>
  <si>
    <t>A073917040</t>
  </si>
  <si>
    <t>sanjay2@</t>
  </si>
  <si>
    <t>rohan_nweb</t>
  </si>
  <si>
    <t>Naitik Verma</t>
  </si>
  <si>
    <t>Om Kiran Singh</t>
  </si>
  <si>
    <t>Prabhat Kiran Singh</t>
  </si>
  <si>
    <t>0-11-1971</t>
  </si>
  <si>
    <t>Mahesh Prasad Singh</t>
  </si>
  <si>
    <t>Sabnam_nweb</t>
  </si>
  <si>
    <t>appointment</t>
  </si>
  <si>
    <t>Shifan Alam Raza</t>
  </si>
  <si>
    <t>Aafreen Parween</t>
  </si>
  <si>
    <t>Shartaz Alam Raza</t>
  </si>
  <si>
    <t>A074019239</t>
  </si>
  <si>
    <t>Himansu Kumar</t>
  </si>
  <si>
    <t>A074023306</t>
  </si>
  <si>
    <t>Suruchi Ojha</t>
  </si>
  <si>
    <t>Q009767142</t>
  </si>
  <si>
    <t>Munmun Kumari</t>
  </si>
  <si>
    <t>A074025753</t>
  </si>
  <si>
    <t>Digvijay Singh</t>
  </si>
  <si>
    <t>Due-60</t>
  </si>
  <si>
    <t>Q009770713</t>
  </si>
  <si>
    <t>Harjeet Kaur</t>
  </si>
  <si>
    <t>ABSPM0970E</t>
  </si>
  <si>
    <t>Challapilla Srirama Chandra Murty</t>
  </si>
  <si>
    <t>abspm0970e*</t>
  </si>
  <si>
    <t>AVAPB8819K</t>
  </si>
  <si>
    <t>Asit Kumar Barua</t>
  </si>
  <si>
    <t>CYIPS7104M</t>
  </si>
  <si>
    <t>Singh@23</t>
  </si>
  <si>
    <t>Q009777764</t>
  </si>
  <si>
    <t>kUMAR@2023</t>
  </si>
  <si>
    <t>BKJPK1311G</t>
  </si>
  <si>
    <t>Mahanand Kumar</t>
  </si>
  <si>
    <t>AGFPB0167N</t>
  </si>
  <si>
    <t>Somnath@23</t>
  </si>
  <si>
    <t>sah</t>
  </si>
  <si>
    <t>given for photo to custoerm</t>
  </si>
  <si>
    <t>A074110679</t>
  </si>
  <si>
    <t>Rohit Karwa</t>
  </si>
  <si>
    <t>Q009800044</t>
  </si>
  <si>
    <t>Md Shakil</t>
  </si>
  <si>
    <t>refund</t>
  </si>
  <si>
    <t>Q009806587</t>
  </si>
  <si>
    <t>Swpna Mihir Dash</t>
  </si>
  <si>
    <t>AKPPD7933C</t>
  </si>
  <si>
    <t>Das23Das#</t>
  </si>
  <si>
    <t>purpuse</t>
  </si>
  <si>
    <t>AAVPO2292B</t>
  </si>
  <si>
    <t>Ojha@1975</t>
  </si>
  <si>
    <t>ojhar8675@gmail.com</t>
  </si>
  <si>
    <t>30034369758/sbin5301</t>
  </si>
  <si>
    <t>Tiwary@1964</t>
  </si>
  <si>
    <t>Dinesh@1974</t>
  </si>
  <si>
    <t>CFGPS6190J</t>
  </si>
  <si>
    <t>Q009865317</t>
  </si>
  <si>
    <t>Wajda Khatoon</t>
  </si>
  <si>
    <t>Q009865050</t>
  </si>
  <si>
    <t>Tosh@2023</t>
  </si>
  <si>
    <t>BCEPK8832P</t>
  </si>
  <si>
    <t>Kumar@2023</t>
  </si>
  <si>
    <t>CFBPS0534P</t>
  </si>
  <si>
    <t>Ragini#2023</t>
  </si>
  <si>
    <t>Nashina Parvin</t>
  </si>
  <si>
    <t>Lakra@1968</t>
  </si>
  <si>
    <t>Ragini Sharma</t>
  </si>
  <si>
    <t>ADSPS3975M</t>
  </si>
  <si>
    <t>Gorti Ram Krishna Sharma</t>
  </si>
  <si>
    <t>Krishna@2023</t>
  </si>
  <si>
    <t>Q009897504</t>
  </si>
  <si>
    <t>Champa Mahato</t>
  </si>
  <si>
    <t>Q009912838</t>
  </si>
  <si>
    <t>Baisakhi Dutta</t>
  </si>
  <si>
    <t>AAKPL9778Q</t>
  </si>
  <si>
    <t>Ajit Kumar Labh</t>
  </si>
  <si>
    <t>Ajit@2</t>
  </si>
  <si>
    <t>Nibha Labh</t>
  </si>
  <si>
    <t>ACVPL7603D</t>
  </si>
  <si>
    <t>AASPI7033B</t>
  </si>
  <si>
    <t>Islam@2023</t>
  </si>
  <si>
    <t>Q009933465</t>
  </si>
  <si>
    <t>Kishor Kumar Mishra</t>
  </si>
  <si>
    <t>Q009933603</t>
  </si>
  <si>
    <t>Charanjit Kaur Panesar</t>
  </si>
  <si>
    <t>Q009933231</t>
  </si>
  <si>
    <t>Bhupender pal Singh</t>
  </si>
  <si>
    <t>Q009933343</t>
  </si>
  <si>
    <t>Rajendra Rai</t>
  </si>
  <si>
    <t>Q009932932</t>
  </si>
  <si>
    <t>Manager Singh</t>
  </si>
  <si>
    <t>APEPM7519M</t>
  </si>
  <si>
    <t>LAL@2023</t>
  </si>
  <si>
    <t>Nand Lal Mahato</t>
  </si>
  <si>
    <t>Q009938120</t>
  </si>
  <si>
    <t>Swapna Kundu</t>
  </si>
  <si>
    <t>Q009957000</t>
  </si>
  <si>
    <t>A074820548</t>
  </si>
  <si>
    <t>A074795427</t>
  </si>
  <si>
    <t>Ruby kumari verma</t>
  </si>
  <si>
    <t>Q009957298</t>
  </si>
  <si>
    <t>Dheeraj Kumar</t>
  </si>
  <si>
    <t>Q009957547</t>
  </si>
  <si>
    <t>Q009960247</t>
  </si>
  <si>
    <t>Satish Kumar Sharma</t>
  </si>
  <si>
    <t>Sahil Goswami</t>
  </si>
  <si>
    <t>Q009965696</t>
  </si>
  <si>
    <t>Laxmi Priya Nayak</t>
  </si>
  <si>
    <t>Mahima Kumari</t>
  </si>
  <si>
    <t>Somnath Biswas</t>
  </si>
  <si>
    <t>Putul Poddar</t>
  </si>
  <si>
    <t>A074874675</t>
  </si>
  <si>
    <t>Mohammad Azam Khan</t>
  </si>
  <si>
    <t>A075007806</t>
  </si>
  <si>
    <t>Suraj Munda</t>
  </si>
  <si>
    <t>BZYPS0591J</t>
  </si>
  <si>
    <t>Shashi Shekhar Singh</t>
  </si>
  <si>
    <t>Singh@2023</t>
  </si>
  <si>
    <t>AAFPW5892b</t>
  </si>
  <si>
    <t>Faithful Eric William</t>
  </si>
  <si>
    <t>Eric@2023</t>
  </si>
  <si>
    <t>Aditi  Sarkar</t>
  </si>
  <si>
    <t>Q010034231</t>
  </si>
  <si>
    <t>Om Prakash Verma</t>
  </si>
  <si>
    <t>Q010034055</t>
  </si>
  <si>
    <t>Sonajhri Devi</t>
  </si>
  <si>
    <t>A075109114</t>
  </si>
  <si>
    <t>Parmjeet Kaur</t>
  </si>
  <si>
    <t>Q010051616</t>
  </si>
  <si>
    <t>Sivadas Anu Nair</t>
  </si>
  <si>
    <t>Q010065653</t>
  </si>
  <si>
    <t>Sanjay Das</t>
  </si>
  <si>
    <t>Surinder Singh</t>
  </si>
  <si>
    <t>Q010051103</t>
  </si>
  <si>
    <t>Q010085129</t>
  </si>
  <si>
    <t>Jai Prakash Gorai</t>
  </si>
  <si>
    <t>Q010082949</t>
  </si>
  <si>
    <t>A075222699</t>
  </si>
  <si>
    <t>Rasmunna Devi</t>
  </si>
  <si>
    <t>Q010110264</t>
  </si>
  <si>
    <t>Himanshu Sekhar Das</t>
  </si>
  <si>
    <t>Q010115786</t>
  </si>
  <si>
    <t>Kemidi Nag</t>
  </si>
  <si>
    <t>Q010115638</t>
  </si>
  <si>
    <t>Rajeshwari Devi</t>
  </si>
  <si>
    <t>A075311246</t>
  </si>
  <si>
    <t>Ratan Gorai</t>
  </si>
  <si>
    <t>A075317537</t>
  </si>
  <si>
    <t>Manju Singh</t>
  </si>
  <si>
    <t>Q010123504</t>
  </si>
  <si>
    <t>Q010123692</t>
  </si>
  <si>
    <t>Mohammad Alim</t>
  </si>
  <si>
    <t>Jagan Nath Oja</t>
  </si>
  <si>
    <t>Given to customrer</t>
  </si>
  <si>
    <t>Q010178359</t>
  </si>
  <si>
    <t>Binod Kumar Shrivastava</t>
  </si>
  <si>
    <t>Md Suhail</t>
  </si>
  <si>
    <t>Q010179014</t>
  </si>
  <si>
    <t>A075518241</t>
  </si>
  <si>
    <t>Manisha Tripathy</t>
  </si>
  <si>
    <t>Gazatee</t>
  </si>
  <si>
    <t>Q010197207</t>
  </si>
  <si>
    <t>Lokesh Chandra Prasad</t>
  </si>
  <si>
    <t>Q010197909</t>
  </si>
  <si>
    <t>Md Ashif Iqbal</t>
  </si>
  <si>
    <t>Kamal Kant Singh</t>
  </si>
  <si>
    <t>Q010198292</t>
  </si>
  <si>
    <t>Q010196958</t>
  </si>
  <si>
    <t>Ramesh Kumar Dubey</t>
  </si>
  <si>
    <t>Q010225450</t>
  </si>
  <si>
    <t>Munna lal Sah</t>
  </si>
  <si>
    <t>AGEPM2659P</t>
  </si>
  <si>
    <t>Q010235750</t>
  </si>
  <si>
    <t>Mohammand sahan sah</t>
  </si>
  <si>
    <t>P K Mazumdar</t>
  </si>
  <si>
    <t>A075807764</t>
  </si>
  <si>
    <t>Aasiya hejab</t>
  </si>
  <si>
    <t>Anuradha Gupta</t>
  </si>
  <si>
    <t>ASAPA8429P</t>
  </si>
  <si>
    <t>Khurshid Alam</t>
  </si>
  <si>
    <t>aLAM@2023</t>
  </si>
  <si>
    <t>Savitri Kumari Singh</t>
  </si>
  <si>
    <t>Navin Kumar</t>
  </si>
  <si>
    <t>BGAPK2834D</t>
  </si>
  <si>
    <t>Gulab Dhar Padey</t>
  </si>
  <si>
    <t>AYKPP2294F</t>
  </si>
  <si>
    <t>Dhar@1979</t>
  </si>
  <si>
    <t>FCOPK7710Q</t>
  </si>
  <si>
    <t>ANKIT KUMAR</t>
  </si>
  <si>
    <t>Ankit@02051999</t>
  </si>
  <si>
    <t>nAvin1974@</t>
  </si>
  <si>
    <t>Gh@sh12utpal</t>
  </si>
  <si>
    <t>AGKPG1271D</t>
  </si>
  <si>
    <t>Utpal Kumar Ghosh</t>
  </si>
  <si>
    <t>ASKPP3569M</t>
  </si>
  <si>
    <t>A075917398</t>
  </si>
  <si>
    <t>Q010269671</t>
  </si>
  <si>
    <t>A075875557</t>
  </si>
  <si>
    <t>Tahseen Yusuf Zai</t>
  </si>
  <si>
    <t>Q010269314</t>
  </si>
  <si>
    <t>Dabburi Rajeshwari</t>
  </si>
  <si>
    <t>A075907162</t>
  </si>
  <si>
    <t>Akansha Singh</t>
  </si>
  <si>
    <t>Divyanshi Srivastava</t>
  </si>
  <si>
    <t>A075939624</t>
  </si>
  <si>
    <t>Biky Lohar</t>
  </si>
  <si>
    <t>deli on 12-07-2023</t>
  </si>
  <si>
    <t>Manz@r1969</t>
  </si>
  <si>
    <t>A076014135</t>
  </si>
  <si>
    <t>FEE</t>
  </si>
  <si>
    <t>ACUPW1293R</t>
  </si>
  <si>
    <t>Anna Garima</t>
  </si>
  <si>
    <t>Anna@2023</t>
  </si>
  <si>
    <t>ACXPW6906G</t>
  </si>
  <si>
    <t>Dennis Sharang William</t>
  </si>
  <si>
    <t>Denn#s1995</t>
  </si>
  <si>
    <t>CHVPK5920K</t>
  </si>
  <si>
    <t>MD MATIN KHAN</t>
  </si>
  <si>
    <t>Matin@2109</t>
  </si>
  <si>
    <t>AEIPS5415F</t>
  </si>
  <si>
    <t>Vivek@1962</t>
  </si>
  <si>
    <t>Vivek Kumar Sinha</t>
  </si>
  <si>
    <t>Q010306281</t>
  </si>
  <si>
    <t>Swetalika Samantray</t>
  </si>
  <si>
    <t>Q010309262</t>
  </si>
  <si>
    <t>Sudish Prasad</t>
  </si>
  <si>
    <t>Q010309574</t>
  </si>
  <si>
    <t>Rama Shankar Pandey</t>
  </si>
  <si>
    <t>Q010319777</t>
  </si>
  <si>
    <t>Q010321849</t>
  </si>
  <si>
    <t>rpring</t>
  </si>
  <si>
    <t>Aash Mohammed</t>
  </si>
  <si>
    <t>BNVPS8162E</t>
  </si>
  <si>
    <t>LAL BABU SAH</t>
  </si>
  <si>
    <t>B@bu72sah</t>
  </si>
  <si>
    <t>HP</t>
  </si>
  <si>
    <t>CARD RCVD</t>
  </si>
  <si>
    <t>DELVERED</t>
  </si>
  <si>
    <t>mansI4455@</t>
  </si>
  <si>
    <t>S#ngh1961</t>
  </si>
  <si>
    <t>AADPY2262K</t>
  </si>
  <si>
    <t>Birendra Singh Yadav</t>
  </si>
  <si>
    <t>ASYPK7172R</t>
  </si>
  <si>
    <t>Abhay Kumar</t>
  </si>
  <si>
    <t>Abhay89066#</t>
  </si>
  <si>
    <t>Q010335702</t>
  </si>
  <si>
    <t>Girija Devi</t>
  </si>
  <si>
    <t>A076181850</t>
  </si>
  <si>
    <t>Jamuna Gope</t>
  </si>
  <si>
    <t>A076182712</t>
  </si>
  <si>
    <t>Shahnaj Perween</t>
  </si>
  <si>
    <t>Q010341816</t>
  </si>
  <si>
    <t>Ranjan Kumar Singh</t>
  </si>
  <si>
    <t>Q01034324</t>
  </si>
  <si>
    <t>f+d</t>
  </si>
  <si>
    <t>Q010344713</t>
  </si>
  <si>
    <t>fn</t>
  </si>
  <si>
    <t>Ashik Hossain</t>
  </si>
  <si>
    <t>Q010346255</t>
  </si>
  <si>
    <t>Adil Rashid</t>
  </si>
  <si>
    <t>AAZPD6805H</t>
  </si>
  <si>
    <t>Mummy@2023</t>
  </si>
  <si>
    <t>Shyam pada dutta</t>
  </si>
  <si>
    <t>Mukul Dutta</t>
  </si>
  <si>
    <t>AJVPD8911F</t>
  </si>
  <si>
    <t>ajvpd8911f@</t>
  </si>
  <si>
    <t>Md Tausim</t>
  </si>
  <si>
    <t>KABITA SEN</t>
  </si>
  <si>
    <t>CHXPS6508K</t>
  </si>
  <si>
    <t>Kab#ta1979</t>
  </si>
  <si>
    <t>Tausim_nweb</t>
  </si>
  <si>
    <t>Neelam Kumari</t>
  </si>
  <si>
    <t>A076287546</t>
  </si>
  <si>
    <t>Reena Devi</t>
  </si>
  <si>
    <t>A076290873</t>
  </si>
  <si>
    <t>Momina Begum</t>
  </si>
  <si>
    <t>Shaira Bano</t>
  </si>
  <si>
    <t>Ajmeri Khatoon</t>
  </si>
  <si>
    <t>Sania Yasmin</t>
  </si>
  <si>
    <t>Shahanaz Khatun</t>
  </si>
  <si>
    <t>Saira Khatun</t>
  </si>
  <si>
    <t>Jane Alam</t>
  </si>
  <si>
    <t>Q010376912</t>
  </si>
  <si>
    <t>Malay Goswami</t>
  </si>
  <si>
    <t>AUHPK9554C</t>
  </si>
  <si>
    <t>Kum@r1983</t>
  </si>
  <si>
    <t>BHMPS8308B</t>
  </si>
  <si>
    <t>Shambhu Nath Singh</t>
  </si>
  <si>
    <t>Nath@2023</t>
  </si>
  <si>
    <t>ABEPD4014G</t>
  </si>
  <si>
    <t>Dubey@2023</t>
  </si>
  <si>
    <t>Q010395661</t>
  </si>
  <si>
    <t>A076406450</t>
  </si>
  <si>
    <t>Sabita Biswas</t>
  </si>
  <si>
    <t>Q010395356</t>
  </si>
  <si>
    <t>A076422514</t>
  </si>
  <si>
    <t>S@m#2023</t>
  </si>
  <si>
    <t>A076424400</t>
  </si>
  <si>
    <t>after photo given to TP</t>
  </si>
  <si>
    <t>phto done</t>
  </si>
  <si>
    <t>ACHPH2477H</t>
  </si>
  <si>
    <t>mohammad Anwarul Haque</t>
  </si>
  <si>
    <t>Haque@0103</t>
  </si>
  <si>
    <t>BMQPK2623G</t>
  </si>
  <si>
    <t>Cummins@1234</t>
  </si>
  <si>
    <t>A076435757</t>
  </si>
  <si>
    <t>A076435762</t>
  </si>
  <si>
    <t>A076435767</t>
  </si>
  <si>
    <t>Sudha Jyoti Kumari</t>
  </si>
  <si>
    <t>Nath196@</t>
  </si>
  <si>
    <t>AHMPA9043J</t>
  </si>
  <si>
    <t>Mohammad Aslam</t>
  </si>
  <si>
    <t>Aslam@1205</t>
  </si>
  <si>
    <t>Shanti Jha</t>
  </si>
  <si>
    <t>BWNPB7362N</t>
  </si>
  <si>
    <t>Satyajit Banerjee</t>
  </si>
  <si>
    <t>Nerjee@23</t>
  </si>
  <si>
    <t>Md Aslam</t>
  </si>
  <si>
    <t>Q010414337</t>
  </si>
  <si>
    <t>Ndob</t>
  </si>
  <si>
    <t>Q01041624</t>
  </si>
  <si>
    <t>Md Mumtaz</t>
  </si>
  <si>
    <t>A076529129</t>
  </si>
  <si>
    <t>uid linked with other</t>
  </si>
  <si>
    <t>AGHPB2051M</t>
  </si>
  <si>
    <t>Shantanu Biswas</t>
  </si>
  <si>
    <t>Biswas@23</t>
  </si>
  <si>
    <t>Nitu Atey</t>
  </si>
  <si>
    <t>atey_nweb</t>
  </si>
  <si>
    <t>AQSPP3694B</t>
  </si>
  <si>
    <t>vinAy91533@</t>
  </si>
  <si>
    <t>A076720810</t>
  </si>
  <si>
    <t>Arif Afsar Khan</t>
  </si>
  <si>
    <t>Ranjit Gorai</t>
  </si>
  <si>
    <t>A076762674</t>
  </si>
  <si>
    <t>Sunny Kumar</t>
  </si>
  <si>
    <t>Tamojit@23</t>
  </si>
  <si>
    <t>Q010481232</t>
  </si>
  <si>
    <t>BQBPS1748H</t>
  </si>
  <si>
    <t>PAN@A</t>
  </si>
  <si>
    <t>ALUPP8983A</t>
  </si>
  <si>
    <t>Pitambar</t>
  </si>
  <si>
    <t>DJYPS1369L</t>
  </si>
  <si>
    <t>Manjit@1978</t>
  </si>
  <si>
    <t>Jeet@1975</t>
  </si>
  <si>
    <t>CYDPK1756J</t>
  </si>
  <si>
    <t>neha pandey</t>
  </si>
  <si>
    <t>Neha2000@</t>
  </si>
  <si>
    <t>BSGPP3058J</t>
  </si>
  <si>
    <t>A077032399</t>
  </si>
  <si>
    <t>A077040849</t>
  </si>
  <si>
    <t>Rahul Kumar Patra</t>
  </si>
  <si>
    <t>Q010518456</t>
  </si>
  <si>
    <t>Jagdish Prasad</t>
  </si>
  <si>
    <t>Q010520481</t>
  </si>
  <si>
    <t>Dhiren Pramanik</t>
  </si>
  <si>
    <t>Q010521524</t>
  </si>
  <si>
    <t>Md Aadil</t>
  </si>
  <si>
    <t>Paresh Mukhi</t>
  </si>
  <si>
    <t>AEIPS3416E</t>
  </si>
  <si>
    <t>Shiv Shambhu Singh</t>
  </si>
  <si>
    <t>Singh@1967</t>
  </si>
  <si>
    <t>A077089796</t>
  </si>
  <si>
    <t>Dipali Jana</t>
  </si>
  <si>
    <t>01-01-197</t>
  </si>
  <si>
    <t>BIHPR9069J</t>
  </si>
  <si>
    <t>Shriya@092</t>
  </si>
  <si>
    <t>Arghya Roy</t>
  </si>
  <si>
    <t>A077182259</t>
  </si>
  <si>
    <t>AWMPA1657K</t>
  </si>
  <si>
    <t>Akhtar Ali</t>
  </si>
  <si>
    <t>Tar@1657</t>
  </si>
  <si>
    <t>AENPA6276R</t>
  </si>
  <si>
    <t>Mumtaz@2023</t>
  </si>
  <si>
    <t>Mohammad mumtaz ahmad</t>
  </si>
  <si>
    <t>A077238528</t>
  </si>
  <si>
    <t>Subrojeet Sahu</t>
  </si>
  <si>
    <t>DEEPRAJ_nweb</t>
  </si>
  <si>
    <t>Deep Raj Bera</t>
  </si>
  <si>
    <t>Md Natique</t>
  </si>
  <si>
    <t>Rishu Raj</t>
  </si>
  <si>
    <t>AYCPS0841D</t>
  </si>
  <si>
    <t>Rajni Kant Sinha</t>
  </si>
  <si>
    <t>Sinha@841D</t>
  </si>
  <si>
    <t>Q010596441</t>
  </si>
  <si>
    <t>Amul Kumar</t>
  </si>
  <si>
    <t>A077359070</t>
  </si>
  <si>
    <t>Home</t>
  </si>
  <si>
    <t>ABBPA6939N</t>
  </si>
  <si>
    <t>Damian Anthony</t>
  </si>
  <si>
    <t>Q010605679</t>
  </si>
  <si>
    <t>Q010616556</t>
  </si>
  <si>
    <t>laleshwar Singh</t>
  </si>
  <si>
    <t>Mohan Singh</t>
  </si>
  <si>
    <t>fname</t>
  </si>
  <si>
    <t>Q010617273</t>
  </si>
  <si>
    <t>Imamul Haque</t>
  </si>
  <si>
    <t>Vishal Kumar Upadhyay</t>
  </si>
  <si>
    <t>A077534005</t>
  </si>
  <si>
    <t>Sharda Devi</t>
  </si>
  <si>
    <t>Sushanta Mahato</t>
  </si>
  <si>
    <t>Q010642190</t>
  </si>
  <si>
    <t>Anand Vivek</t>
  </si>
  <si>
    <t>A077557158</t>
  </si>
  <si>
    <t>Nidhi Tiwary</t>
  </si>
  <si>
    <t>A077559688</t>
  </si>
  <si>
    <t>A077618500</t>
  </si>
  <si>
    <t>Sujata Jana</t>
  </si>
  <si>
    <t>Putul Jana</t>
  </si>
  <si>
    <t>A077619519</t>
  </si>
  <si>
    <t>A077616799</t>
  </si>
  <si>
    <t>Kumari Aarti Singh</t>
  </si>
  <si>
    <t>Q010663908</t>
  </si>
  <si>
    <t>kumud singh</t>
  </si>
  <si>
    <t>A077657892</t>
  </si>
  <si>
    <t>Naureen Khan</t>
  </si>
  <si>
    <t>A076602420</t>
  </si>
  <si>
    <t>Chandra Wati Devi</t>
  </si>
  <si>
    <t>Ticket creted</t>
  </si>
  <si>
    <t>A077743008</t>
  </si>
  <si>
    <t>A077743583</t>
  </si>
  <si>
    <t>Sujal Kumar</t>
  </si>
  <si>
    <t>Q010683168</t>
  </si>
  <si>
    <t>Asaph Purty</t>
  </si>
  <si>
    <t>Q010688964</t>
  </si>
  <si>
    <t>Ramakrishna Nagamal</t>
  </si>
  <si>
    <t>Gandhi Biruli</t>
  </si>
  <si>
    <t>prabhat_nweb</t>
  </si>
  <si>
    <t>Prakash Soren</t>
  </si>
  <si>
    <t>Q010759227</t>
  </si>
  <si>
    <t>Banashree Nayak</t>
  </si>
  <si>
    <t>Q010759478</t>
  </si>
  <si>
    <t>Bhabataran Khan</t>
  </si>
  <si>
    <t>Sajal Kumar Munda</t>
  </si>
  <si>
    <t>Q010759362</t>
  </si>
  <si>
    <t>Q010774099</t>
  </si>
  <si>
    <t>Sujay Das</t>
  </si>
  <si>
    <t>Neeru Verma</t>
  </si>
  <si>
    <t>Q010777195</t>
  </si>
  <si>
    <t>BHSPS4224G</t>
  </si>
  <si>
    <t>Birendra Kumar Sah</t>
  </si>
  <si>
    <t>Sah@23Sah</t>
  </si>
  <si>
    <t>Q010813771</t>
  </si>
  <si>
    <t>A078339190</t>
  </si>
  <si>
    <t>AGXPS5916N</t>
  </si>
  <si>
    <t>Vijay@1956</t>
  </si>
  <si>
    <t>A078732930</t>
  </si>
  <si>
    <t>Sabina Bano</t>
  </si>
  <si>
    <t>Q010902798</t>
  </si>
  <si>
    <t>Sijut Patro</t>
  </si>
  <si>
    <t>Q010905902</t>
  </si>
  <si>
    <t>Ankur Kumar Tiwary</t>
  </si>
  <si>
    <t>AZQPD7762H</t>
  </si>
  <si>
    <t>Sunita@2023</t>
  </si>
  <si>
    <t>Q010969789</t>
  </si>
  <si>
    <t>Pramila Singh</t>
  </si>
  <si>
    <t>Q010917712</t>
  </si>
  <si>
    <t>Jaya Sahu Arokya</t>
  </si>
  <si>
    <t>A078797628</t>
  </si>
  <si>
    <t>Poojitha Eluru</t>
  </si>
  <si>
    <t>A079079438</t>
  </si>
  <si>
    <t>Shek Kashij</t>
  </si>
  <si>
    <t>A079112929</t>
  </si>
  <si>
    <t>Subham Kumar Singh</t>
  </si>
  <si>
    <t>A079118523</t>
  </si>
  <si>
    <t>Q010981166</t>
  </si>
  <si>
    <t>Hamida Khatoon</t>
  </si>
  <si>
    <t>A079156497</t>
  </si>
  <si>
    <t>A079163254</t>
  </si>
  <si>
    <t>Riya Chauhan</t>
  </si>
  <si>
    <t>Jogender Karmakar</t>
  </si>
  <si>
    <t>A079168126</t>
  </si>
  <si>
    <t>Q011004371</t>
  </si>
  <si>
    <t>Lalti Gorai</t>
  </si>
  <si>
    <t>Q011020010</t>
  </si>
  <si>
    <t>Sheo Shankar Lal</t>
  </si>
  <si>
    <t>Q011019879</t>
  </si>
  <si>
    <t>Q011028063</t>
  </si>
  <si>
    <t>Shaista Shamim</t>
  </si>
  <si>
    <t>Q011034086</t>
  </si>
  <si>
    <t>Sanjeev Kumar Singh</t>
  </si>
  <si>
    <t>Ranjeet Gorai</t>
  </si>
  <si>
    <t>A079426265</t>
  </si>
  <si>
    <t>A079425352</t>
  </si>
  <si>
    <t>Basanti Jana</t>
  </si>
  <si>
    <t>Q011039229</t>
  </si>
  <si>
    <t>Q011053235</t>
  </si>
  <si>
    <t>Swapan Kumar Bhattacharjee</t>
  </si>
  <si>
    <t>Q011053161</t>
  </si>
  <si>
    <t>Shamsul Arfien</t>
  </si>
  <si>
    <t>Sourav</t>
  </si>
  <si>
    <t>A079462980</t>
  </si>
  <si>
    <t>Q011060251</t>
  </si>
  <si>
    <t>Gopi Kumar Mishra</t>
  </si>
  <si>
    <t>Md Kalim Rahi</t>
  </si>
  <si>
    <t>Q011055488</t>
  </si>
  <si>
    <t>A079573727</t>
  </si>
  <si>
    <t>Adarsh Kumar</t>
  </si>
  <si>
    <t>A079932069</t>
  </si>
  <si>
    <t>Dimpal Kaur</t>
  </si>
  <si>
    <t>ARFIEN SHAMSUL</t>
  </si>
  <si>
    <t>Sanjib Kumar Ghosh</t>
  </si>
  <si>
    <t>Q011185536</t>
  </si>
  <si>
    <t>Q011185302</t>
  </si>
  <si>
    <t>Sudhakar Sahu</t>
  </si>
  <si>
    <t>Father name</t>
  </si>
  <si>
    <t>Ravindra Kumar Mandal</t>
  </si>
  <si>
    <t>Q011203093</t>
  </si>
  <si>
    <t>Reeta Yadav</t>
  </si>
  <si>
    <t>Q011286637</t>
  </si>
  <si>
    <t>Dinesh Kumar</t>
  </si>
  <si>
    <t>A080280223</t>
  </si>
  <si>
    <t>Q011292272</t>
  </si>
  <si>
    <t>Ehsan Ahmad</t>
  </si>
  <si>
    <t>Q011347699</t>
  </si>
  <si>
    <t>Bijaya Choudhury</t>
  </si>
  <si>
    <t>Darakshan Naaz</t>
  </si>
  <si>
    <t>naaz@2023</t>
  </si>
  <si>
    <t>JOSEPH George</t>
  </si>
  <si>
    <t>Arghya Ghosh</t>
  </si>
  <si>
    <t>NOC</t>
  </si>
  <si>
    <t>Jitesh Kumar Bhagat</t>
  </si>
  <si>
    <t>A080926426</t>
  </si>
  <si>
    <t>Sweta Kumari</t>
  </si>
  <si>
    <t>Q011401669</t>
  </si>
  <si>
    <t>Munazerul Islam</t>
  </si>
  <si>
    <t>Q0114403424</t>
  </si>
  <si>
    <t>reissue</t>
  </si>
  <si>
    <t>rennew</t>
  </si>
  <si>
    <t>given to tapan</t>
  </si>
  <si>
    <t>Q011427848</t>
  </si>
  <si>
    <t>Shinu Kumari</t>
  </si>
  <si>
    <t>Q011435976</t>
  </si>
  <si>
    <t>Manjeet Kaur</t>
  </si>
  <si>
    <t>Q011439385</t>
  </si>
  <si>
    <t>Purnasish Sinha</t>
  </si>
  <si>
    <t>A081224112</t>
  </si>
  <si>
    <t>Airum Nushi</t>
  </si>
  <si>
    <t>A081258011</t>
  </si>
  <si>
    <t>Ayushka</t>
  </si>
  <si>
    <t>A081257039</t>
  </si>
  <si>
    <t>Smita Pradhan</t>
  </si>
  <si>
    <t>Q011461445</t>
  </si>
  <si>
    <t>f+dob</t>
  </si>
  <si>
    <t>Subodh Kumar Mishra</t>
  </si>
  <si>
    <t>Ahmad_nweb</t>
  </si>
  <si>
    <t>Shahin Ahmad Sharfi</t>
  </si>
  <si>
    <t>LL on 26-10-23</t>
  </si>
  <si>
    <t>Kajal Singh</t>
  </si>
  <si>
    <t>A081340950</t>
  </si>
  <si>
    <t>N+dob</t>
  </si>
  <si>
    <t>Q011478000</t>
  </si>
  <si>
    <t>Pritimai</t>
  </si>
  <si>
    <t>Jayanti sengupta</t>
  </si>
  <si>
    <t>Q011485324</t>
  </si>
  <si>
    <t>Q011494647</t>
  </si>
  <si>
    <t>Tumpa Gorai</t>
  </si>
  <si>
    <t>A081563452</t>
  </si>
  <si>
    <t>A081606942</t>
  </si>
  <si>
    <t>A081603407</t>
  </si>
  <si>
    <t>Simran Deepti Kujur</t>
  </si>
  <si>
    <t>not uploaded</t>
  </si>
  <si>
    <t>Sistla nageswara sarma</t>
  </si>
  <si>
    <t>Q011555713</t>
  </si>
  <si>
    <t>Manish kumar bharti</t>
  </si>
  <si>
    <t>DL Received</t>
  </si>
  <si>
    <t>A081907271</t>
  </si>
  <si>
    <t>Savbra Khatoon</t>
  </si>
  <si>
    <t>Sisla_nweb</t>
  </si>
  <si>
    <t>Subba Laxmi Sistla</t>
  </si>
  <si>
    <t>Kabita Banarjee</t>
  </si>
  <si>
    <t>A082063936</t>
  </si>
  <si>
    <t>Q011639763</t>
  </si>
  <si>
    <t>Ankit Ranjan Mishra</t>
  </si>
  <si>
    <t>ANIRBAN GUPTA</t>
  </si>
  <si>
    <t>B K SHARMA</t>
  </si>
  <si>
    <t>RENEW</t>
  </si>
  <si>
    <t>Q011639967</t>
  </si>
  <si>
    <t>Q011644979</t>
  </si>
  <si>
    <t>Devendra Kumar</t>
  </si>
  <si>
    <t>Q011645474</t>
  </si>
  <si>
    <t>A082134565</t>
  </si>
  <si>
    <t>ASCPD9449G</t>
  </si>
  <si>
    <t>Sushila Dubey</t>
  </si>
  <si>
    <t>rergn</t>
  </si>
  <si>
    <t>Mirza siddique ali beg</t>
  </si>
  <si>
    <t>Q011677852</t>
  </si>
  <si>
    <t>Annu Pathak</t>
  </si>
  <si>
    <t>bijay_nweb</t>
  </si>
  <si>
    <t>A082391957</t>
  </si>
  <si>
    <t>Imad Majid</t>
  </si>
  <si>
    <t>app pending</t>
  </si>
  <si>
    <t>given form main</t>
  </si>
  <si>
    <t>Q011723202</t>
  </si>
  <si>
    <t>Swapna Sethi</t>
  </si>
  <si>
    <t>A082458463</t>
  </si>
  <si>
    <t>Kamrun Nisha</t>
  </si>
  <si>
    <t>JSR</t>
  </si>
  <si>
    <t>Q011736039</t>
  </si>
  <si>
    <t>Tanya</t>
  </si>
  <si>
    <t>fnm</t>
  </si>
  <si>
    <t>A082757315</t>
  </si>
  <si>
    <t>Nutan Kumar</t>
  </si>
  <si>
    <t>Q011816595</t>
  </si>
  <si>
    <t>Subrata Sahu</t>
  </si>
  <si>
    <t>Vimla Devi</t>
  </si>
  <si>
    <t>Ajit Gorai</t>
  </si>
  <si>
    <t>LL rcvd</t>
  </si>
  <si>
    <t>L L rcvd</t>
  </si>
  <si>
    <t>A082855321</t>
  </si>
  <si>
    <t>A08285441</t>
  </si>
  <si>
    <t>Singh@1975</t>
  </si>
  <si>
    <t>BWZPS1940K</t>
  </si>
  <si>
    <t>Q011820612</t>
  </si>
  <si>
    <t>Ramesh Kumar Singh</t>
  </si>
  <si>
    <t>Gour Hari Khan</t>
  </si>
  <si>
    <t>Q011821256</t>
  </si>
  <si>
    <t>A082992334</t>
  </si>
  <si>
    <t>Md Nasir Sharjeel</t>
  </si>
  <si>
    <t>Yashmin Firdos</t>
  </si>
  <si>
    <t>DIYPM8249C</t>
  </si>
  <si>
    <t>RANJIT MAHATO</t>
  </si>
  <si>
    <t>mAHATO@0303</t>
  </si>
  <si>
    <t>Firdos_nweb</t>
  </si>
  <si>
    <t>Mypass@1123</t>
  </si>
  <si>
    <t>Q011893635</t>
  </si>
  <si>
    <t>KULDEEP SINGH</t>
  </si>
  <si>
    <t>A083162209</t>
  </si>
  <si>
    <t>Nargis Bano</t>
  </si>
  <si>
    <t>Q011934295</t>
  </si>
  <si>
    <t>Ramjee Jee</t>
  </si>
  <si>
    <t>Q011936559</t>
  </si>
  <si>
    <t>Yunus Alam</t>
  </si>
  <si>
    <t>Q011951475</t>
  </si>
  <si>
    <t>Binod Kumar Srivastava</t>
  </si>
  <si>
    <t>Anmola Tiwari</t>
  </si>
  <si>
    <t>Q011963707</t>
  </si>
  <si>
    <t>A083443576</t>
  </si>
  <si>
    <t>rn+add</t>
  </si>
  <si>
    <t>A083516915</t>
  </si>
  <si>
    <t>Praveer Kumar Ravidas</t>
  </si>
  <si>
    <t>Saba Parveen</t>
  </si>
  <si>
    <t>A083665439</t>
  </si>
  <si>
    <t>q012026785</t>
  </si>
  <si>
    <t>SHAKUNTALA DEVI</t>
  </si>
  <si>
    <t>Q012040117</t>
  </si>
  <si>
    <t>Rajendra Singh Mahato</t>
  </si>
  <si>
    <t>G Vishal</t>
  </si>
  <si>
    <t>A083889016</t>
  </si>
  <si>
    <t>Saquib Ali</t>
  </si>
  <si>
    <t>Sajid Ali</t>
  </si>
  <si>
    <t>A083888563</t>
  </si>
  <si>
    <t>A083921496</t>
  </si>
  <si>
    <t>Dubraj Lahari</t>
  </si>
  <si>
    <t>Q012097861</t>
  </si>
  <si>
    <t>N B</t>
  </si>
  <si>
    <t>Binit Kumar Singh</t>
  </si>
  <si>
    <t>Sanjay Mishra</t>
  </si>
  <si>
    <t>Q012122128</t>
  </si>
  <si>
    <t>Tanuja Afrin</t>
  </si>
  <si>
    <t>tanuja_nweb</t>
  </si>
  <si>
    <t>A084146051</t>
  </si>
  <si>
    <t>A084220806</t>
  </si>
  <si>
    <t>A084219699</t>
  </si>
  <si>
    <t>Saina Begum</t>
  </si>
  <si>
    <t>Nazim Khan</t>
  </si>
  <si>
    <t>Q012140417</t>
  </si>
  <si>
    <t>A084223843</t>
  </si>
  <si>
    <t>A084253214</t>
  </si>
  <si>
    <t>A084291458</t>
  </si>
  <si>
    <t>Mohit Gorai</t>
  </si>
  <si>
    <t>Q012152007</t>
  </si>
  <si>
    <t>Ujjal Dutta</t>
  </si>
  <si>
    <t>Q012158463</t>
  </si>
  <si>
    <t>Urmila Pandey</t>
  </si>
  <si>
    <t>A084330802</t>
  </si>
  <si>
    <t>Akansha</t>
  </si>
  <si>
    <t>Q012168412</t>
  </si>
  <si>
    <t>Abhishek Kumar Verma</t>
  </si>
  <si>
    <t>A084408266</t>
  </si>
  <si>
    <t>Rinku Sahu</t>
  </si>
  <si>
    <t>Q012180643</t>
  </si>
  <si>
    <t>Ashok Kumar thapa</t>
  </si>
  <si>
    <t>A084491327</t>
  </si>
  <si>
    <t>Dipankar Mahato</t>
  </si>
  <si>
    <t>Q012192013</t>
  </si>
  <si>
    <t>Afsana Khatoon</t>
  </si>
  <si>
    <t>Q012198379</t>
  </si>
  <si>
    <t>Shatakshi Kumar</t>
  </si>
  <si>
    <t>Sname</t>
  </si>
  <si>
    <t>Q012198570</t>
  </si>
  <si>
    <t>Dipak Ojha</t>
  </si>
  <si>
    <t>Sukhu Gorai</t>
  </si>
  <si>
    <t>Firoz Alam</t>
  </si>
  <si>
    <t>A084547154</t>
  </si>
  <si>
    <t>Ankit Kumar Singh</t>
  </si>
  <si>
    <t>Shama Praween</t>
  </si>
  <si>
    <t>A084755356</t>
  </si>
  <si>
    <t>UTIITSL</t>
  </si>
  <si>
    <t>Ankit Mahato</t>
  </si>
  <si>
    <t>Rimpa Pandit</t>
  </si>
  <si>
    <t>rimpa_nweb</t>
  </si>
  <si>
    <t>Kakali Pandit</t>
  </si>
  <si>
    <t>Ranjit Pandit</t>
  </si>
  <si>
    <t>Update</t>
  </si>
  <si>
    <t>Arvinder Singh Sokhi</t>
  </si>
  <si>
    <t>APPONT DUE 22LATER</t>
  </si>
  <si>
    <t>full paid</t>
  </si>
  <si>
    <t>A085000108</t>
  </si>
  <si>
    <t>Abhijeet Banerjee</t>
  </si>
  <si>
    <t>Q012318975</t>
  </si>
  <si>
    <t>RE</t>
  </si>
  <si>
    <t>Q012326694</t>
  </si>
  <si>
    <t>dfdfd  alam</t>
  </si>
  <si>
    <t>Q012333866</t>
  </si>
  <si>
    <t>Mohammad Rajjak</t>
  </si>
  <si>
    <t>Q012338511</t>
  </si>
  <si>
    <t>Q012346063</t>
  </si>
  <si>
    <t>Rashmi Gupta</t>
  </si>
  <si>
    <t>Q012375081</t>
  </si>
  <si>
    <t>A085241109</t>
  </si>
  <si>
    <t>Ashana kaur</t>
  </si>
  <si>
    <t>naila_nweb</t>
  </si>
  <si>
    <t>Upendra singh</t>
  </si>
  <si>
    <t>R. Priya</t>
  </si>
  <si>
    <t>rpriya_nweb</t>
  </si>
  <si>
    <t>JAMSHEPDUR</t>
  </si>
  <si>
    <t>A085338543</t>
  </si>
  <si>
    <t>Hasina Perween</t>
  </si>
  <si>
    <t>Q012411716</t>
  </si>
  <si>
    <t>Q012411843</t>
  </si>
  <si>
    <t>Rajesh Kumar Gandhi</t>
  </si>
  <si>
    <t>Jyoti Gandhi</t>
  </si>
  <si>
    <t>Mypass@2024</t>
  </si>
  <si>
    <t>A085496472</t>
  </si>
  <si>
    <t>given to tapan to main</t>
  </si>
  <si>
    <t>Rajat Barori</t>
  </si>
  <si>
    <t>Q012450744</t>
  </si>
  <si>
    <t>Bahadur Mukhi</t>
  </si>
  <si>
    <t>A085534812</t>
  </si>
  <si>
    <t>Sushila Mahato</t>
  </si>
  <si>
    <t>Q012462526</t>
  </si>
  <si>
    <t>A085709202</t>
  </si>
  <si>
    <t>Noor Saba</t>
  </si>
  <si>
    <t>Ramesh Jee</t>
  </si>
  <si>
    <t>Kiran Chhada</t>
  </si>
  <si>
    <t>Q012499295</t>
  </si>
  <si>
    <t>Q012509467</t>
  </si>
  <si>
    <t>AKLPT1942K</t>
  </si>
  <si>
    <t>LAXMI SUNDI</t>
  </si>
  <si>
    <t>Sundi@1234</t>
  </si>
  <si>
    <t>A085866710</t>
  </si>
  <si>
    <t>Sireen Khalid</t>
  </si>
  <si>
    <t>A085913516</t>
  </si>
  <si>
    <t>Joyotri Nandy</t>
  </si>
  <si>
    <t>Q012537257</t>
  </si>
  <si>
    <t>Basant Kumar Pal</t>
  </si>
  <si>
    <t>Q012537333</t>
  </si>
  <si>
    <t>Govind Kumar Singh</t>
  </si>
  <si>
    <t>Jay Kumar Chaudhary</t>
  </si>
  <si>
    <t>Q012537465</t>
  </si>
  <si>
    <t>Simerpreet Kaur</t>
  </si>
  <si>
    <t>simerpreet_nweb</t>
  </si>
  <si>
    <t>Q012549324</t>
  </si>
  <si>
    <t>Md Samiullah</t>
  </si>
  <si>
    <t>Shashi Kumar Jha</t>
  </si>
  <si>
    <t>A086136194</t>
  </si>
  <si>
    <t>Shyama Devi</t>
  </si>
  <si>
    <t>Q012587613</t>
  </si>
  <si>
    <t>Badrun Nisha</t>
  </si>
  <si>
    <t>A086161386</t>
  </si>
  <si>
    <t>Naaz Perween</t>
  </si>
  <si>
    <t>BBPPD6623P</t>
  </si>
  <si>
    <t>BINOD DUTTA</t>
  </si>
  <si>
    <t>Dutta@2023</t>
  </si>
  <si>
    <t>A086402034</t>
  </si>
  <si>
    <t>Harsh Kumra</t>
  </si>
  <si>
    <t>A086400524</t>
  </si>
  <si>
    <t>A086467400</t>
  </si>
  <si>
    <t>Ara Anjum</t>
  </si>
  <si>
    <t>A086466167</t>
  </si>
  <si>
    <t>Deepa Kumari</t>
  </si>
  <si>
    <t>A086501965</t>
  </si>
  <si>
    <t>Manish Pandey</t>
  </si>
  <si>
    <t>A086566185</t>
  </si>
  <si>
    <t>Q012692401</t>
  </si>
  <si>
    <t>Parbati Lohar</t>
  </si>
  <si>
    <t>noT Picking Phone 07-01-2024</t>
  </si>
  <si>
    <t>A086588533</t>
  </si>
  <si>
    <t>A086601027</t>
  </si>
  <si>
    <t>Anjalee Kumari</t>
  </si>
  <si>
    <t>Prem Sharma</t>
  </si>
  <si>
    <t>Q012699615</t>
  </si>
  <si>
    <t>Simran Solomon</t>
  </si>
  <si>
    <t>Q012713355</t>
  </si>
  <si>
    <t>A086620245</t>
  </si>
  <si>
    <t>A086633511</t>
  </si>
  <si>
    <t>Aditya Patro</t>
  </si>
  <si>
    <t>Bawana Sharda</t>
  </si>
  <si>
    <t>Bawana Venket Saibaba</t>
  </si>
  <si>
    <t>Q012713438</t>
  </si>
  <si>
    <t>A086670148</t>
  </si>
  <si>
    <t>Asmit Sharma</t>
  </si>
  <si>
    <t>Q012716222</t>
  </si>
  <si>
    <t>Shamshun Nihar Khanam</t>
  </si>
  <si>
    <t>Q012731421</t>
  </si>
  <si>
    <t>A086772146</t>
  </si>
  <si>
    <t>Rytisha sengupta</t>
  </si>
  <si>
    <t>Shiv Shankar Prasad</t>
  </si>
  <si>
    <t>A086828908</t>
  </si>
  <si>
    <t>RAHUL_NWEB</t>
  </si>
  <si>
    <t>A087039138</t>
  </si>
  <si>
    <t>Nahid Parween</t>
  </si>
  <si>
    <t>Q012813571</t>
  </si>
  <si>
    <t>Md Rafique Hussain</t>
  </si>
  <si>
    <t>Delivered on 20-01-2024</t>
  </si>
  <si>
    <t>A087327320</t>
  </si>
  <si>
    <t>Dinanath Bhagat</t>
  </si>
  <si>
    <t>20-01-024</t>
  </si>
  <si>
    <t>A087404625</t>
  </si>
  <si>
    <t>Shaikh Sohail</t>
  </si>
  <si>
    <t>Q012896613</t>
  </si>
  <si>
    <t>A087497027</t>
  </si>
  <si>
    <t>Sakeena Afreen</t>
  </si>
  <si>
    <t>Abdul Afroz</t>
  </si>
  <si>
    <t>Q012920021</t>
  </si>
  <si>
    <t>Q012979204</t>
  </si>
  <si>
    <t>Rakesh Kumar</t>
  </si>
  <si>
    <t>A087729528</t>
  </si>
  <si>
    <t>Lakshmi Baskey</t>
  </si>
  <si>
    <t>A087803507</t>
  </si>
  <si>
    <t>Shreya Chakraborty</t>
  </si>
  <si>
    <t>Aarti Mardi</t>
  </si>
  <si>
    <t>A087808179</t>
  </si>
  <si>
    <t>A087821619</t>
  </si>
  <si>
    <t>Nazra Khtoon</t>
  </si>
  <si>
    <t>A087866598</t>
  </si>
  <si>
    <t>Amit Shukla</t>
  </si>
  <si>
    <t>A087884656</t>
  </si>
  <si>
    <t>Tasmiya Nawaz</t>
  </si>
  <si>
    <t>Samsen Lakra</t>
  </si>
  <si>
    <t>Q013020443</t>
  </si>
  <si>
    <t>Deepa Oraon</t>
  </si>
  <si>
    <t>A087924267</t>
  </si>
  <si>
    <t>A087938118</t>
  </si>
  <si>
    <t>Simranjeet Kaur</t>
  </si>
  <si>
    <t>Rayudu Venkat Srinivas</t>
  </si>
  <si>
    <t>A088018333</t>
  </si>
  <si>
    <t>Suklal Soren</t>
  </si>
  <si>
    <t>Shyamali Singha</t>
  </si>
  <si>
    <t>A088029400</t>
  </si>
  <si>
    <t>A088117370</t>
  </si>
  <si>
    <t>Aaisha Perween</t>
  </si>
  <si>
    <t>Q013080777</t>
  </si>
  <si>
    <t>Shashi Bhushan Tiwary</t>
  </si>
  <si>
    <t>uploaded</t>
  </si>
  <si>
    <t>Punam Mishra</t>
  </si>
  <si>
    <t>A088297318</t>
  </si>
  <si>
    <t>Q013106615</t>
  </si>
  <si>
    <t>Shajuntala Devi</t>
  </si>
  <si>
    <t>Q013106165</t>
  </si>
  <si>
    <t>Braj Mohan Mahato</t>
  </si>
  <si>
    <t>Q013122181</t>
  </si>
  <si>
    <t>Sudhir Kumar Singh</t>
  </si>
  <si>
    <t>Q013125790</t>
  </si>
  <si>
    <t>Swapna Thapa</t>
  </si>
  <si>
    <t>Shanvi Choudhary</t>
  </si>
  <si>
    <t>Shahid Ali</t>
  </si>
  <si>
    <t>re-register2</t>
  </si>
  <si>
    <t>Q013155316</t>
  </si>
  <si>
    <t>Soumen Pal</t>
  </si>
  <si>
    <t>Kaushalya Pramanik</t>
  </si>
  <si>
    <t>A088522240</t>
  </si>
  <si>
    <t>Geeta Kalsi</t>
  </si>
  <si>
    <t>Balraj Singh Kalsi</t>
  </si>
  <si>
    <t>Q088513832</t>
  </si>
  <si>
    <t>Q013171034</t>
  </si>
  <si>
    <t>Nilima Chakaborty</t>
  </si>
  <si>
    <t>Manoj Kumar Gupta</t>
  </si>
  <si>
    <t>Manoj_nweb</t>
  </si>
  <si>
    <t>Sanchaita Bhattacharjee</t>
  </si>
  <si>
    <t>Q013180233</t>
  </si>
  <si>
    <t>Jagmohan Singh</t>
  </si>
  <si>
    <t>A088610663</t>
  </si>
  <si>
    <t>Ayush Mahato</t>
  </si>
  <si>
    <t>Q013182210</t>
  </si>
  <si>
    <t>Pranab Sen</t>
  </si>
  <si>
    <t>A088672151</t>
  </si>
  <si>
    <t>Sayan Das</t>
  </si>
  <si>
    <t>slot booked</t>
  </si>
  <si>
    <t>Kasmir Singh</t>
  </si>
  <si>
    <t>Main applied</t>
  </si>
  <si>
    <t>Q013229335</t>
  </si>
  <si>
    <t>Belmani Chandra Shekhar</t>
  </si>
  <si>
    <t>Q013228633</t>
  </si>
  <si>
    <t>Pushpam Singh</t>
  </si>
  <si>
    <t>Q013233998</t>
  </si>
  <si>
    <t>Nasreen Parveen</t>
  </si>
  <si>
    <t>A088924989</t>
  </si>
  <si>
    <t>Geetika Maity</t>
  </si>
  <si>
    <t>Q013255936</t>
  </si>
  <si>
    <t>Suchita Sharma</t>
  </si>
  <si>
    <t>Q013272215</t>
  </si>
  <si>
    <t>Bina Das</t>
  </si>
  <si>
    <t>Dinesh Prasad</t>
  </si>
  <si>
    <t>Q013271973</t>
  </si>
  <si>
    <t>full paid2000+3500</t>
  </si>
  <si>
    <t>Bipin Mahato</t>
  </si>
  <si>
    <t>Bashirul Mustafa</t>
  </si>
  <si>
    <t>Abdul Mustafa</t>
  </si>
  <si>
    <t>A089300212</t>
  </si>
  <si>
    <t>Basanti Patra</t>
  </si>
  <si>
    <t>Q013324102</t>
  </si>
  <si>
    <t>dob, fname</t>
  </si>
  <si>
    <t>deo narayan prasad</t>
  </si>
  <si>
    <t>Q013339762</t>
  </si>
  <si>
    <t>Rukhsana Bano</t>
  </si>
  <si>
    <t>A089428429</t>
  </si>
  <si>
    <t>Shazmeen Khatoon</t>
  </si>
  <si>
    <t>Mala Tripathy</t>
  </si>
  <si>
    <t>Q013361935</t>
  </si>
  <si>
    <t>Need to Reupload</t>
  </si>
  <si>
    <t>A089504682</t>
  </si>
  <si>
    <t>Q013384513</t>
  </si>
  <si>
    <t>Amardeep Singh</t>
  </si>
  <si>
    <t>amardeep_nweb</t>
  </si>
  <si>
    <t>A089533119</t>
  </si>
  <si>
    <t>Q013389860</t>
  </si>
  <si>
    <t>A089529729</t>
  </si>
  <si>
    <t>Jhunu Gorai</t>
  </si>
  <si>
    <t>A089540230</t>
  </si>
  <si>
    <t>Jaran Raj</t>
  </si>
  <si>
    <t>A089541041</t>
  </si>
  <si>
    <t>Prajawal Pratap</t>
  </si>
  <si>
    <t>A089584966</t>
  </si>
  <si>
    <t>Sanchita Sen</t>
  </si>
  <si>
    <t>Q013401586</t>
  </si>
  <si>
    <t>Ruma Adhikari</t>
  </si>
  <si>
    <t>Q013410524</t>
  </si>
  <si>
    <t>Srikanta Adhikari</t>
  </si>
  <si>
    <t>A089689563</t>
  </si>
  <si>
    <t>Jatin Kumar Mallick</t>
  </si>
  <si>
    <t>Q013426239</t>
  </si>
  <si>
    <t>A089715482</t>
  </si>
  <si>
    <t>Deboshree Guha</t>
  </si>
  <si>
    <t>Q013441888</t>
  </si>
  <si>
    <t>Radha Choudhery</t>
  </si>
  <si>
    <t>Q013442054</t>
  </si>
  <si>
    <t>Devesh Prasad Verma</t>
  </si>
  <si>
    <t>Harsh Kumar</t>
  </si>
  <si>
    <t>major</t>
  </si>
  <si>
    <t>Q013442327</t>
  </si>
  <si>
    <t>Q013442423</t>
  </si>
  <si>
    <t>Q013447077</t>
  </si>
  <si>
    <t>A089725215</t>
  </si>
  <si>
    <t>Md Sakur Hawari</t>
  </si>
  <si>
    <t>Q013450267</t>
  </si>
  <si>
    <t>Dadi Vara Nola Lakshmi</t>
  </si>
  <si>
    <t>Mohamad Imran Khan</t>
  </si>
  <si>
    <t>Q013450459</t>
  </si>
  <si>
    <t>Original Given on 04/03/2024</t>
  </si>
  <si>
    <t>A089918950</t>
  </si>
  <si>
    <t>Rinku Das</t>
  </si>
  <si>
    <t>Souvk Dan</t>
  </si>
  <si>
    <t>A089919424</t>
  </si>
  <si>
    <t>A089899193</t>
  </si>
  <si>
    <t>Abhya Devi</t>
  </si>
  <si>
    <t>pic nd sign</t>
  </si>
  <si>
    <t>Apurba Mal</t>
  </si>
  <si>
    <t>reneu</t>
  </si>
  <si>
    <t>q013503598</t>
  </si>
  <si>
    <t>Manik Verma</t>
  </si>
  <si>
    <t>Q013522761</t>
  </si>
  <si>
    <t>A090076680</t>
  </si>
  <si>
    <t>Mantasha Mumtaz</t>
  </si>
  <si>
    <t>Shakila Khatun</t>
  </si>
  <si>
    <t>A090114801</t>
  </si>
  <si>
    <t>Q013542879</t>
  </si>
  <si>
    <t>Rahul Mishra</t>
  </si>
  <si>
    <t>Q013556777</t>
  </si>
  <si>
    <t>Q013560442</t>
  </si>
  <si>
    <t>A090225172</t>
  </si>
  <si>
    <t>Bhagyashree Maity</t>
  </si>
  <si>
    <t>A090241678</t>
  </si>
  <si>
    <t>Afiya Firdous</t>
  </si>
  <si>
    <t>A090375426</t>
  </si>
  <si>
    <t>Sarathi karmakar</t>
  </si>
  <si>
    <t>A090323755</t>
  </si>
  <si>
    <t>Vijay Sandil</t>
  </si>
  <si>
    <t>Q013593309</t>
  </si>
  <si>
    <t>Tejender Singh</t>
  </si>
  <si>
    <t>Q013594501</t>
  </si>
  <si>
    <t>Basobi Chakraborty</t>
  </si>
  <si>
    <t>A090396477</t>
  </si>
  <si>
    <t>Shiuli Banerjee</t>
  </si>
  <si>
    <t>SHAMSHAD KHATOON</t>
  </si>
  <si>
    <t>A087811841</t>
  </si>
  <si>
    <t>Mohammad Modassar Alam</t>
  </si>
  <si>
    <t>Modassar_nweb</t>
  </si>
  <si>
    <t>deliverd05-03-2024</t>
  </si>
  <si>
    <t>A090580924</t>
  </si>
  <si>
    <t>Chhaya Gorai</t>
  </si>
  <si>
    <t>A090581183</t>
  </si>
  <si>
    <t>Ashish Kumar Chandra</t>
  </si>
  <si>
    <t>Yusra Yashfeen</t>
  </si>
  <si>
    <t>A090590406</t>
  </si>
  <si>
    <t>A090647798</t>
  </si>
  <si>
    <t>Harsita Kumari</t>
  </si>
  <si>
    <t>Q013677623</t>
  </si>
  <si>
    <t>A090824252</t>
  </si>
  <si>
    <t>Prayash Singh</t>
  </si>
  <si>
    <t>Prasenjit Indra</t>
  </si>
  <si>
    <t>Q013708215</t>
  </si>
  <si>
    <t>(Customer Gorai said given 2000</t>
  </si>
  <si>
    <t>A091023798</t>
  </si>
  <si>
    <t>Monalisha Adhikari</t>
  </si>
  <si>
    <t>Hasrat Rahmani</t>
  </si>
  <si>
    <t>ABHISHEK</t>
  </si>
  <si>
    <t>Parvati Tudu</t>
  </si>
  <si>
    <t>A091254111</t>
  </si>
  <si>
    <t>Sukama Singha Roy</t>
  </si>
  <si>
    <t>Q013821595</t>
  </si>
  <si>
    <t>q13825892</t>
  </si>
  <si>
    <t>Vivekanand Pal</t>
  </si>
  <si>
    <t>Shama Perween</t>
  </si>
  <si>
    <t>shama_nweb</t>
  </si>
  <si>
    <t>nweb_uzma</t>
  </si>
  <si>
    <t>Shahama Uzma</t>
  </si>
  <si>
    <t>Waris Quadri</t>
  </si>
  <si>
    <t>Shaheqa uzma</t>
  </si>
  <si>
    <t>A091471637</t>
  </si>
  <si>
    <t>Shilpi Sarkar</t>
  </si>
  <si>
    <t>Basanti Sabar</t>
  </si>
  <si>
    <t>A091498663</t>
  </si>
  <si>
    <t>Manoranjan Patro</t>
  </si>
  <si>
    <t>Q013872563</t>
  </si>
  <si>
    <t>A091516059</t>
  </si>
  <si>
    <t>Lakhi Sabar</t>
  </si>
  <si>
    <t>Payment Sent To Shubham-23-12-2023, 2500-02-04-24</t>
  </si>
  <si>
    <t>Q013882241</t>
  </si>
  <si>
    <t>Q013882348</t>
  </si>
  <si>
    <t>A091595154</t>
  </si>
  <si>
    <t>Aroti Roy</t>
  </si>
  <si>
    <t>Q013904375</t>
  </si>
  <si>
    <t>Shio Nandan Kamat</t>
  </si>
  <si>
    <t>A091615014</t>
  </si>
  <si>
    <t>Q013902761</t>
  </si>
  <si>
    <t>Jagdish Banerjee</t>
  </si>
  <si>
    <t>A091648081</t>
  </si>
  <si>
    <t>Phool Kumari</t>
  </si>
  <si>
    <t>A091649045</t>
  </si>
  <si>
    <t>Suraj Gupta</t>
  </si>
  <si>
    <t>A091659100</t>
  </si>
  <si>
    <t>Kavita Kumari</t>
  </si>
  <si>
    <t>Arati Dey</t>
  </si>
  <si>
    <t>A091664184</t>
  </si>
  <si>
    <t>Q013905443</t>
  </si>
  <si>
    <t>delivered on 05/04/24</t>
  </si>
  <si>
    <t>deliveredon 05/04/24</t>
  </si>
  <si>
    <t>Q013924609</t>
  </si>
  <si>
    <t>Meena Vardhan</t>
  </si>
  <si>
    <t>Q013929550</t>
  </si>
  <si>
    <t>Q013940806</t>
  </si>
  <si>
    <t>n+fn</t>
  </si>
  <si>
    <t>Shaikh Sabir</t>
  </si>
  <si>
    <t>A091785919</t>
  </si>
  <si>
    <t>Aniket Pandey</t>
  </si>
  <si>
    <t>A091795637</t>
  </si>
  <si>
    <t>Suman Devi</t>
  </si>
  <si>
    <t>Q013920328</t>
  </si>
  <si>
    <t>Digital Dhobi Private Limited</t>
  </si>
  <si>
    <t>Q013971718</t>
  </si>
  <si>
    <t>Jagdish Lohar</t>
  </si>
  <si>
    <t>Upendar Upadhyay</t>
  </si>
  <si>
    <t>Q013971958</t>
  </si>
  <si>
    <t>A091888375</t>
  </si>
  <si>
    <t>F name</t>
  </si>
  <si>
    <t>0-04-2024</t>
  </si>
  <si>
    <t>nweb_punam</t>
  </si>
  <si>
    <t>Ritesh Mukhi</t>
  </si>
  <si>
    <t>A091936285</t>
  </si>
  <si>
    <t>Afeeque ahmad quadri</t>
  </si>
  <si>
    <t>Baijnath Prasad Verma</t>
  </si>
  <si>
    <t>Kiran Verma</t>
  </si>
  <si>
    <t>Q014009309</t>
  </si>
  <si>
    <t>Q014008916</t>
  </si>
  <si>
    <t>A092026630</t>
  </si>
  <si>
    <t>Rahul Pal</t>
  </si>
  <si>
    <t>Q092038535</t>
  </si>
  <si>
    <t>Afeefa Bano</t>
  </si>
  <si>
    <t>Pratima Barik</t>
  </si>
  <si>
    <t>Q014015177</t>
  </si>
  <si>
    <t>A092167025</t>
  </si>
  <si>
    <t>Ronak Sharma</t>
  </si>
  <si>
    <t>A092187179</t>
  </si>
  <si>
    <t>Hablu Ali</t>
  </si>
  <si>
    <t>A092188376</t>
  </si>
  <si>
    <t>apply for main</t>
  </si>
  <si>
    <t>200 pain</t>
  </si>
  <si>
    <t>A092270416</t>
  </si>
  <si>
    <t>Kahkashan Khatoon</t>
  </si>
  <si>
    <t>applied for main</t>
  </si>
  <si>
    <t xml:space="preserve"> Again rcvd 2800. on 20-04-2024</t>
  </si>
  <si>
    <t>70 DUE FOR PF WITHDRAWAL</t>
  </si>
  <si>
    <t>Bina Dey</t>
  </si>
  <si>
    <t>Q014104394</t>
  </si>
  <si>
    <t>Q014104272</t>
  </si>
  <si>
    <t>Ajit Kumar Yadav</t>
  </si>
  <si>
    <t>A092512326</t>
  </si>
  <si>
    <t>Farhana Khatoon</t>
  </si>
  <si>
    <t>anju_nweb</t>
  </si>
  <si>
    <t>Anju Prasad</t>
  </si>
  <si>
    <t>namkum</t>
  </si>
  <si>
    <t>Arya Raj</t>
  </si>
  <si>
    <t>Q014168585</t>
  </si>
  <si>
    <t>Q014169420</t>
  </si>
  <si>
    <t>Madan Prajapati</t>
  </si>
  <si>
    <t>Q014170525</t>
  </si>
  <si>
    <t>Jai Prakash Singh</t>
  </si>
  <si>
    <t>A092621667</t>
  </si>
  <si>
    <t>Resham</t>
  </si>
  <si>
    <t>Q014196911</t>
  </si>
  <si>
    <t>Purnima Dutta</t>
  </si>
  <si>
    <t>A092684704</t>
  </si>
  <si>
    <t>1000 Paid 02-05-2024</t>
  </si>
  <si>
    <t>kahkeshan Khatoon</t>
  </si>
  <si>
    <t>Q014248855</t>
  </si>
  <si>
    <t>Anita karmakar</t>
  </si>
  <si>
    <t>A092881997</t>
  </si>
  <si>
    <t>A092946939</t>
  </si>
  <si>
    <t>Dev Kumar Mahto</t>
  </si>
  <si>
    <t>A092947176</t>
  </si>
  <si>
    <t>Q014280957</t>
  </si>
  <si>
    <t>Q014280825</t>
  </si>
  <si>
    <t>Kalawati Mishra</t>
  </si>
  <si>
    <t>A093013276</t>
  </si>
  <si>
    <t>Nabiha Mansoor</t>
  </si>
  <si>
    <t>A093065138</t>
  </si>
  <si>
    <t>Shreya Sen</t>
  </si>
  <si>
    <t>Sudip Chel</t>
  </si>
  <si>
    <t>Q014296670</t>
  </si>
  <si>
    <t>A093076076</t>
  </si>
  <si>
    <t>Reshma Parween</t>
  </si>
  <si>
    <t>A093100965</t>
  </si>
  <si>
    <t>Santosh Gorai</t>
  </si>
  <si>
    <t>Nayab Hussain</t>
  </si>
  <si>
    <t>A093162472</t>
  </si>
  <si>
    <t>A093156008</t>
  </si>
  <si>
    <t>Annu Kumari</t>
  </si>
  <si>
    <t>2800 on 09-05-2024</t>
  </si>
  <si>
    <t>Q014334991</t>
  </si>
  <si>
    <t>Jamuna Gorai</t>
  </si>
  <si>
    <t>Q014335160</t>
  </si>
  <si>
    <t>Q014381091</t>
  </si>
  <si>
    <t>Q014381350</t>
  </si>
  <si>
    <t>Pitam Singh</t>
  </si>
  <si>
    <t>Babli kaur</t>
  </si>
  <si>
    <t>A093391948</t>
  </si>
  <si>
    <t>Keshavi Upadhyay</t>
  </si>
  <si>
    <t>Aadya</t>
  </si>
  <si>
    <t>BAWPD0996D</t>
  </si>
  <si>
    <t>MEERA DEVI</t>
  </si>
  <si>
    <t>A093441220</t>
  </si>
  <si>
    <t>q014416347</t>
  </si>
  <si>
    <t>Sevanand Larokar</t>
  </si>
  <si>
    <t>A093441791</t>
  </si>
  <si>
    <t>BPEPB6288R</t>
  </si>
  <si>
    <t>A093677786</t>
  </si>
  <si>
    <t>Nabin Das</t>
  </si>
  <si>
    <t>A093693720</t>
  </si>
  <si>
    <t>Mohammad Illyas Ansari</t>
  </si>
  <si>
    <t>Begum@1992@</t>
  </si>
  <si>
    <t>Devi@2024#</t>
  </si>
  <si>
    <t>Luckshmi Govind Rajan</t>
  </si>
  <si>
    <t>A093731475</t>
  </si>
  <si>
    <t>Divyam Singh</t>
  </si>
  <si>
    <t>Samyuktaa Fashions</t>
  </si>
  <si>
    <t>A093739882</t>
  </si>
  <si>
    <t>A093790538</t>
  </si>
  <si>
    <t>Supriya Das</t>
  </si>
  <si>
    <t>A093795766</t>
  </si>
  <si>
    <t>AKSHAYA G RAJAN</t>
  </si>
  <si>
    <t>Aditi G Rajan</t>
  </si>
  <si>
    <t>Q014503808</t>
  </si>
  <si>
    <t>A093832177</t>
  </si>
  <si>
    <t>Tara Sahu</t>
  </si>
  <si>
    <t>Q014508699</t>
  </si>
  <si>
    <t>Shanti Guriya</t>
  </si>
  <si>
    <t>Q014510634</t>
  </si>
  <si>
    <t>Imran Khan</t>
  </si>
  <si>
    <t>A093901529</t>
  </si>
  <si>
    <t>Aditya Srivastava</t>
  </si>
  <si>
    <t>Sukla Modak</t>
  </si>
  <si>
    <t>A093907573</t>
  </si>
  <si>
    <t>Yogesh Kumar</t>
  </si>
  <si>
    <t>A093912559</t>
  </si>
  <si>
    <t>A094092057</t>
  </si>
  <si>
    <t>Mohit Raj</t>
  </si>
  <si>
    <t>Tanisha Sen</t>
  </si>
  <si>
    <t>A094092291</t>
  </si>
  <si>
    <t>Kakoli Sahu</t>
  </si>
  <si>
    <t>Q014551316</t>
  </si>
  <si>
    <t>A094091525</t>
  </si>
  <si>
    <t>Q014588352</t>
  </si>
  <si>
    <t>Sumawati Devi</t>
  </si>
  <si>
    <t>Pratima Kumari</t>
  </si>
  <si>
    <t>Manoj Kumar Prasad</t>
  </si>
  <si>
    <t>Osrenewal</t>
  </si>
  <si>
    <t>Prema Mishra</t>
  </si>
  <si>
    <t>Q014626875</t>
  </si>
  <si>
    <t>A094230432</t>
  </si>
  <si>
    <t>Zanira Siddiquee</t>
  </si>
  <si>
    <t>A094241297</t>
  </si>
  <si>
    <t>Sunidhi Ojha</t>
  </si>
  <si>
    <t>A094262976</t>
  </si>
  <si>
    <t>Rimjhim Sharma</t>
  </si>
  <si>
    <t>A094325519</t>
  </si>
  <si>
    <t>Ashish Modak</t>
  </si>
  <si>
    <t>Q014667925</t>
  </si>
  <si>
    <t>A094343621</t>
  </si>
  <si>
    <t>Neha Das</t>
  </si>
  <si>
    <t>ADWPB2726M</t>
  </si>
  <si>
    <t>Binod@0900</t>
  </si>
  <si>
    <t>A094401016</t>
  </si>
  <si>
    <t>Mohammad Kaif</t>
  </si>
  <si>
    <t>Q014687400</t>
  </si>
  <si>
    <t>A094428776</t>
  </si>
  <si>
    <t>DZRPS9261Q</t>
  </si>
  <si>
    <t>Mala Srivastava</t>
  </si>
  <si>
    <t>Mala@1990</t>
  </si>
  <si>
    <t>Kamal Kishore Singh</t>
  </si>
  <si>
    <t>Shubham Singh</t>
  </si>
  <si>
    <t>A904532450</t>
  </si>
  <si>
    <t>Vineet Singh</t>
  </si>
  <si>
    <t>Q014781148</t>
  </si>
  <si>
    <t>Md Hassan</t>
  </si>
  <si>
    <t>name/fname</t>
  </si>
  <si>
    <t>ACKPK5984B</t>
  </si>
  <si>
    <t>Kumar@2024</t>
  </si>
  <si>
    <t>ACPPK0782L</t>
  </si>
  <si>
    <t>AHKPC9700G</t>
  </si>
  <si>
    <t>Sanjay chakraborty</t>
  </si>
  <si>
    <t>Sanjay@1973</t>
  </si>
  <si>
    <t>Kamat@1944</t>
  </si>
  <si>
    <t>Arjun Verma</t>
  </si>
  <si>
    <t>Kakoli@1960</t>
  </si>
  <si>
    <t>Babu@062024</t>
  </si>
  <si>
    <t>nweb_sahu</t>
  </si>
  <si>
    <t>Annupurna Sahu</t>
  </si>
  <si>
    <t>A094884645</t>
  </si>
  <si>
    <t>Jaya Singh</t>
  </si>
  <si>
    <t>A094884932</t>
  </si>
  <si>
    <t>Q014827344</t>
  </si>
  <si>
    <t>Q014827464</t>
  </si>
  <si>
    <t>Q014826862</t>
  </si>
  <si>
    <t>APMPS1017E</t>
  </si>
  <si>
    <t>Sashi Bhushan kr Singh</t>
  </si>
  <si>
    <t>Bhushan@2024</t>
  </si>
  <si>
    <t>AXDPP9306J</t>
  </si>
  <si>
    <t>Kajal Pakrashi</t>
  </si>
  <si>
    <t>K@jal8665</t>
  </si>
  <si>
    <t>A094816184</t>
  </si>
  <si>
    <t>Balaweer Kaur</t>
  </si>
  <si>
    <t>Q014879633</t>
  </si>
  <si>
    <t>Anita Kumari</t>
  </si>
  <si>
    <t>Q014875778</t>
  </si>
  <si>
    <t>Sushanto Mandal</t>
  </si>
  <si>
    <t>A095078851</t>
  </si>
  <si>
    <t>Shabnam Kumari</t>
  </si>
  <si>
    <t>A095078494</t>
  </si>
  <si>
    <t>Mansi Das</t>
  </si>
  <si>
    <t>Q014885521</t>
  </si>
  <si>
    <t>Anmol Singh</t>
  </si>
  <si>
    <t>rregn</t>
  </si>
  <si>
    <t>BPMPK0433F</t>
  </si>
  <si>
    <t>Narendra Kumar</t>
  </si>
  <si>
    <t>Kumar@2024#</t>
  </si>
  <si>
    <t>Chiku@23032016</t>
  </si>
  <si>
    <t>BMQPK2614H</t>
  </si>
  <si>
    <t>Jainuddin Khan</t>
  </si>
  <si>
    <t>Khan@2024#</t>
  </si>
  <si>
    <t>VEDAINA SRIVASTAVA</t>
  </si>
  <si>
    <t>Q014908917</t>
  </si>
  <si>
    <t>Sanjay Kumar Sunwar</t>
  </si>
  <si>
    <t>Q014915058</t>
  </si>
  <si>
    <t>Panatala Nilesh</t>
  </si>
  <si>
    <t>Nilesh_nweb</t>
  </si>
  <si>
    <t>ABCPU3527F</t>
  </si>
  <si>
    <t>Manoj Kumar Upadhyay</t>
  </si>
  <si>
    <t>Manoj@2024#</t>
  </si>
  <si>
    <t>AUMPB5013C</t>
  </si>
  <si>
    <t>PURUSOTTAM BERA</t>
  </si>
  <si>
    <t>Bera@2024#</t>
  </si>
  <si>
    <t>AHVPJ5045J</t>
  </si>
  <si>
    <t>Naveen Kumar Jha</t>
  </si>
  <si>
    <t>Navin@2024jha</t>
  </si>
  <si>
    <t>A095261833</t>
  </si>
  <si>
    <t>Pitho Soren</t>
  </si>
  <si>
    <t>A095297031</t>
  </si>
  <si>
    <t>Karishma Ho</t>
  </si>
  <si>
    <t>Siddhartha Singh</t>
  </si>
  <si>
    <t>A095333070</t>
  </si>
  <si>
    <t>Abhishek Rana</t>
  </si>
  <si>
    <t>A095302030</t>
  </si>
  <si>
    <t>Mohammad Ashfaque Ali</t>
  </si>
  <si>
    <t>Solanki@2024#</t>
  </si>
  <si>
    <t>Dutta@2024</t>
  </si>
  <si>
    <t>AEIPS4509L</t>
  </si>
  <si>
    <t>Singh@1962#</t>
  </si>
  <si>
    <t>Hari Shankar Choubey</t>
  </si>
  <si>
    <t>Q014959941</t>
  </si>
  <si>
    <t>AOGPS4022J</t>
  </si>
  <si>
    <t>Sattar@2024#</t>
  </si>
  <si>
    <t>Kala@2002#</t>
  </si>
  <si>
    <t>chandrakala</t>
  </si>
  <si>
    <t>BGBPD9441C</t>
  </si>
  <si>
    <t>SAROJ SINGH</t>
  </si>
  <si>
    <t>Q014967717</t>
  </si>
  <si>
    <t>Puja Patra</t>
  </si>
  <si>
    <t>A095453157</t>
  </si>
  <si>
    <t>Shubham</t>
  </si>
  <si>
    <t>Raj@1995#</t>
  </si>
  <si>
    <t>Saiful Islam</t>
  </si>
  <si>
    <t>Q014980209</t>
  </si>
  <si>
    <t>Soumya Suman</t>
  </si>
  <si>
    <t>web_chakra</t>
  </si>
  <si>
    <t>Barnali Chakraborty</t>
  </si>
  <si>
    <t>Sardindu chakraborty</t>
  </si>
  <si>
    <t>A095539416</t>
  </si>
  <si>
    <t>Sanil Shagufta</t>
  </si>
  <si>
    <t>BCVPA9231M</t>
  </si>
  <si>
    <t>Acharjee@2024</t>
  </si>
  <si>
    <t>Chaiten Kumar Acharjee</t>
  </si>
  <si>
    <t>A095623259</t>
  </si>
  <si>
    <t>Ashutosh Prasad Singh</t>
  </si>
  <si>
    <t>Q015012228</t>
  </si>
  <si>
    <t>Shubham Tiwary</t>
  </si>
  <si>
    <t>Q015020783</t>
  </si>
  <si>
    <t>sname</t>
  </si>
  <si>
    <t>Tanushree Das</t>
  </si>
  <si>
    <t>22-09-989</t>
  </si>
  <si>
    <t>A095730711</t>
  </si>
  <si>
    <t>Raju Bhagat</t>
  </si>
  <si>
    <t>old</t>
  </si>
  <si>
    <t>AAPPP9750P</t>
  </si>
  <si>
    <t>Subal Chanda Paul</t>
  </si>
  <si>
    <t>Subal@2024#</t>
  </si>
  <si>
    <t>BDEPA1861P</t>
  </si>
  <si>
    <t>Taiyyaba Akhtar</t>
  </si>
  <si>
    <t>BPAPK1032E</t>
  </si>
  <si>
    <t>Ranjan Kumar</t>
  </si>
  <si>
    <t>kUMAR@2024#</t>
  </si>
  <si>
    <t>Q015059271</t>
  </si>
  <si>
    <t>A095851375</t>
  </si>
  <si>
    <t>Belmati Ho</t>
  </si>
  <si>
    <t>Sujib Kumar Mondal</t>
  </si>
  <si>
    <t>Q015069477</t>
  </si>
  <si>
    <t>ASOPG3242N</t>
  </si>
  <si>
    <t>DEBASISH GHOSH</t>
  </si>
  <si>
    <t>Ghosh@2024</t>
  </si>
  <si>
    <t>Hussain@2024#</t>
  </si>
  <si>
    <t>Keshav Mahato</t>
  </si>
  <si>
    <t>A096001666</t>
  </si>
  <si>
    <t>A095985373</t>
  </si>
  <si>
    <t>Gudia Kumari</t>
  </si>
  <si>
    <t>A095985941</t>
  </si>
  <si>
    <t>Arshjit Singh</t>
  </si>
  <si>
    <t>A095986431</t>
  </si>
  <si>
    <t>Jyoti Bala Singh</t>
  </si>
  <si>
    <t>Q015098734</t>
  </si>
  <si>
    <t>A096032107</t>
  </si>
  <si>
    <t>A096086616</t>
  </si>
  <si>
    <t>Riya Kumari</t>
  </si>
  <si>
    <t>JHIC/2024/1069680</t>
  </si>
  <si>
    <t>AAHPH8321C</t>
  </si>
  <si>
    <t>Shyam@2024#</t>
  </si>
  <si>
    <t>Shyam chambra hembram</t>
  </si>
  <si>
    <t>Anna Garima Fatthful william</t>
  </si>
  <si>
    <t>Anna@8892</t>
  </si>
  <si>
    <t>Q015141536</t>
  </si>
  <si>
    <t>CFEPG3738L</t>
  </si>
  <si>
    <t>Gouri Govander</t>
  </si>
  <si>
    <t>Aakash Kumar</t>
  </si>
  <si>
    <t>A096183854</t>
  </si>
  <si>
    <t>Q01544803</t>
  </si>
  <si>
    <t>BSLPS8644G</t>
  </si>
  <si>
    <t>Santosh Kumar Srivastava</t>
  </si>
  <si>
    <t>BNVPS8217E</t>
  </si>
  <si>
    <t>Rewati Ram Singh</t>
  </si>
  <si>
    <t>Raman@2024#</t>
  </si>
  <si>
    <t>A096299939</t>
  </si>
  <si>
    <t>Anjali Sahu</t>
  </si>
  <si>
    <t>Q015175709</t>
  </si>
  <si>
    <t>Indrajit Kumar Chandel</t>
  </si>
  <si>
    <t>Q015168171</t>
  </si>
  <si>
    <t>Q015168300</t>
  </si>
  <si>
    <t>Md Saddamuddin</t>
  </si>
  <si>
    <t>Musarat Yashmin</t>
  </si>
  <si>
    <t>A096325409</t>
  </si>
  <si>
    <t>A096302860</t>
  </si>
  <si>
    <t>Utsav Kumar Singh</t>
  </si>
  <si>
    <t>A096433893</t>
  </si>
  <si>
    <t>Nigar Perween</t>
  </si>
  <si>
    <t>Q015197735</t>
  </si>
  <si>
    <t>Shagufta Perween</t>
  </si>
  <si>
    <t>A096435315</t>
  </si>
  <si>
    <t>Shumaila Shamshad</t>
  </si>
  <si>
    <t>Q015204988</t>
  </si>
  <si>
    <t>Goutam Banerjee</t>
  </si>
  <si>
    <t>Q015207332</t>
  </si>
  <si>
    <t>Shaista Fatma</t>
  </si>
  <si>
    <t>Riktesh Sahu</t>
  </si>
  <si>
    <t>Dibakar Mahato</t>
  </si>
  <si>
    <t>Vikash Gorai</t>
  </si>
  <si>
    <t>Antara Routh</t>
  </si>
  <si>
    <t>Q015214657</t>
  </si>
  <si>
    <t>Harish Mahato</t>
  </si>
  <si>
    <t>Q015214721</t>
  </si>
  <si>
    <t>Birsingh Kalundia</t>
  </si>
  <si>
    <t>A096481936</t>
  </si>
  <si>
    <t>Sapna Tudu</t>
  </si>
  <si>
    <t>A096481728</t>
  </si>
  <si>
    <t>Paramjeet Singh</t>
  </si>
  <si>
    <t>A096481317</t>
  </si>
  <si>
    <t>A096479810</t>
  </si>
  <si>
    <t>A096476546</t>
  </si>
  <si>
    <t>A096476117</t>
  </si>
  <si>
    <t>A096475841</t>
  </si>
  <si>
    <t>A096474665</t>
  </si>
  <si>
    <t>Q015221782</t>
  </si>
  <si>
    <t>Subhankar Pani</t>
  </si>
  <si>
    <t>Delivered on 12-07-2024</t>
  </si>
  <si>
    <t>nil</t>
  </si>
  <si>
    <t>BSCPR3173G</t>
  </si>
  <si>
    <t>Dennis@1995</t>
  </si>
  <si>
    <t>AMPPB1840E</t>
  </si>
  <si>
    <t>Debjit Biswas</t>
  </si>
  <si>
    <t>Kumar@1970#</t>
  </si>
  <si>
    <t>Biswas@2024#</t>
  </si>
  <si>
    <t>AFWPV4604E</t>
  </si>
  <si>
    <t>Awdhesh Kumar Verma</t>
  </si>
  <si>
    <t>Verma@2024#</t>
  </si>
  <si>
    <t>BSDPJ2966A</t>
  </si>
  <si>
    <t>Namanjha10@</t>
  </si>
  <si>
    <t>Singh@</t>
  </si>
  <si>
    <t>LCTPS4470C</t>
  </si>
  <si>
    <t>OLD</t>
  </si>
  <si>
    <t>Gautam@2024#</t>
  </si>
  <si>
    <t>Masudin Nisa</t>
  </si>
  <si>
    <t>Q015242254</t>
  </si>
  <si>
    <t>A096578020</t>
  </si>
  <si>
    <t>Om Prakash Mahato</t>
  </si>
  <si>
    <t>Q015239436</t>
  </si>
  <si>
    <t>Sarvesh Kumar Pandey</t>
  </si>
  <si>
    <t>A096602654</t>
  </si>
  <si>
    <t>Durga Moni Sardar</t>
  </si>
  <si>
    <t>A096588851</t>
  </si>
  <si>
    <t>Renu Munda</t>
  </si>
  <si>
    <t>Tumpa Tudu</t>
  </si>
  <si>
    <t>A096650932</t>
  </si>
  <si>
    <t>A096371801</t>
  </si>
  <si>
    <t>Rahul Rai</t>
  </si>
  <si>
    <t>Dasrath Ravi Das</t>
  </si>
  <si>
    <t>A096674601</t>
  </si>
  <si>
    <t>Durga Nayak</t>
  </si>
  <si>
    <t>A096672799</t>
  </si>
  <si>
    <t>Riya Das</t>
  </si>
  <si>
    <t>A096673741</t>
  </si>
  <si>
    <t>Ranjay Saw</t>
  </si>
  <si>
    <t>Aditya Bose</t>
  </si>
  <si>
    <t>A096672472</t>
  </si>
  <si>
    <t>A096673034</t>
  </si>
  <si>
    <t>Nisha Gorai</t>
  </si>
  <si>
    <t>Mithila Gope</t>
  </si>
  <si>
    <t>A096732779</t>
  </si>
  <si>
    <t>A096738350</t>
  </si>
  <si>
    <t>ABRPW6730F</t>
  </si>
  <si>
    <t>Mohammad Wasim</t>
  </si>
  <si>
    <t>Wasim@2024#</t>
  </si>
  <si>
    <t>ELMPS4659J</t>
  </si>
  <si>
    <t>AMAR JYOTI SINGH</t>
  </si>
  <si>
    <t>ASTPP6017H</t>
  </si>
  <si>
    <t>Nagendra Prasad</t>
  </si>
  <si>
    <t>Prasad@2024#</t>
  </si>
  <si>
    <t>Q015285976</t>
  </si>
  <si>
    <t>Monika Lakra</t>
  </si>
  <si>
    <t>A096760719</t>
  </si>
  <si>
    <t>Singh#2024@@</t>
  </si>
  <si>
    <t>A096798846</t>
  </si>
  <si>
    <t>Ritika</t>
  </si>
  <si>
    <t>Q015296445</t>
  </si>
  <si>
    <t>sumant kumar tiwary</t>
  </si>
  <si>
    <t>Rajashree Ghosh</t>
  </si>
  <si>
    <t>A096806781</t>
  </si>
  <si>
    <t>AWAPK7428C</t>
  </si>
  <si>
    <t>NIRAJ KUMAR</t>
  </si>
  <si>
    <t>Aquib Wasim</t>
  </si>
  <si>
    <t>8000+</t>
  </si>
  <si>
    <t>A096855762</t>
  </si>
  <si>
    <t>Chand Gorai</t>
  </si>
  <si>
    <t>A096854674</t>
  </si>
  <si>
    <t>A096854338</t>
  </si>
  <si>
    <t>A096865054</t>
  </si>
  <si>
    <t>Pm Prakash Singh</t>
  </si>
  <si>
    <t>Ram Kumari Pandey</t>
  </si>
  <si>
    <t>A096937391</t>
  </si>
  <si>
    <t>Roshni Kumari</t>
  </si>
  <si>
    <t>A096993569</t>
  </si>
  <si>
    <t>Biswas@23##</t>
  </si>
  <si>
    <t>CFSPD8692C</t>
  </si>
  <si>
    <t>Dutta@@2024#</t>
  </si>
  <si>
    <t>Naman Jha</t>
  </si>
  <si>
    <t>A097050920</t>
  </si>
  <si>
    <t>Manu Goswami</t>
  </si>
  <si>
    <t>Kuntal Paul</t>
  </si>
  <si>
    <t>Shilpi Jaiswal</t>
  </si>
  <si>
    <t>A097082745</t>
  </si>
  <si>
    <t>A097082291</t>
  </si>
  <si>
    <t>Q015373420</t>
  </si>
  <si>
    <t>Kant@2024$$</t>
  </si>
  <si>
    <t>AKXPA8409L</t>
  </si>
  <si>
    <t>Sneha Agarwal</t>
  </si>
  <si>
    <t>Wal$wal2024</t>
  </si>
  <si>
    <t>adsps5492h</t>
  </si>
  <si>
    <t>Q015392789</t>
  </si>
  <si>
    <t>A097137561</t>
  </si>
  <si>
    <t>Rinki Devi</t>
  </si>
  <si>
    <t>A097137021</t>
  </si>
  <si>
    <t>Tarannum Parween</t>
  </si>
  <si>
    <t>BNVPS8141P</t>
  </si>
  <si>
    <t>Singh@2024$$</t>
  </si>
  <si>
    <t>BUOPS2029A</t>
  </si>
  <si>
    <t>Pramod Kumar Singh</t>
  </si>
  <si>
    <t>A097217692</t>
  </si>
  <si>
    <t>Basira Khatun</t>
  </si>
  <si>
    <t>A097299076</t>
  </si>
  <si>
    <t>Umang Srivastava</t>
  </si>
  <si>
    <t>sri krishna store</t>
  </si>
  <si>
    <t>A097233579</t>
  </si>
  <si>
    <t>Namita Bhader</t>
  </si>
  <si>
    <t>Q015446955</t>
  </si>
  <si>
    <t>Sudama Singh</t>
  </si>
  <si>
    <t>axdpb4555d</t>
  </si>
  <si>
    <t>Suvendu Banerjee</t>
  </si>
  <si>
    <t>Vendu@4555#</t>
  </si>
  <si>
    <t>Ajit@2024$$</t>
  </si>
  <si>
    <t>Ajit@2023</t>
  </si>
  <si>
    <t>CCDPK1502N</t>
  </si>
  <si>
    <t>Kanchan Kumari</t>
  </si>
  <si>
    <t>Pandey@2024#</t>
  </si>
  <si>
    <t>AHGPR3575G</t>
  </si>
  <si>
    <t>Vanapalli srinivas rao</t>
  </si>
  <si>
    <t>Nivas@2024#</t>
  </si>
  <si>
    <t>Faha&amp;~6574</t>
  </si>
  <si>
    <t>ACEPG4183G</t>
  </si>
  <si>
    <t>TRILOCHAN SINGH GILL</t>
  </si>
  <si>
    <t>Mishra@1973#</t>
  </si>
  <si>
    <t>Singh@2024#</t>
  </si>
  <si>
    <t>IAEPK6508K</t>
  </si>
  <si>
    <t>Akansha Kumari</t>
  </si>
  <si>
    <t>Kumari@2024##</t>
  </si>
  <si>
    <t>A097400918</t>
  </si>
  <si>
    <t>Sahnaj Khatoon</t>
  </si>
  <si>
    <t>Kajal Pandey</t>
  </si>
  <si>
    <t>Q015467455</t>
  </si>
  <si>
    <t>A097418159</t>
  </si>
  <si>
    <t>Sarika Kumari</t>
  </si>
  <si>
    <t>A097417858</t>
  </si>
  <si>
    <t>Sanjib Mukherjee</t>
  </si>
  <si>
    <t>A097417233</t>
  </si>
  <si>
    <t>Imtiyaz Ahmad</t>
  </si>
  <si>
    <t>A097468902</t>
  </si>
  <si>
    <t>Sanjay Purti</t>
  </si>
  <si>
    <t>A097462392</t>
  </si>
  <si>
    <t>Arjun Soren</t>
  </si>
  <si>
    <t>A097460275</t>
  </si>
  <si>
    <t>Amit Kumar Soren</t>
  </si>
  <si>
    <t>A097461693</t>
  </si>
  <si>
    <t>Samu Purty</t>
  </si>
  <si>
    <t>A097463792</t>
  </si>
  <si>
    <t>Krisn Bodra</t>
  </si>
  <si>
    <t>A097463373</t>
  </si>
  <si>
    <t>Selay Honhaga</t>
  </si>
  <si>
    <t>A097461388</t>
  </si>
  <si>
    <t>Vivekananad Bhuinya</t>
  </si>
  <si>
    <t>A097418397</t>
  </si>
  <si>
    <t>Karishma Mohanty</t>
  </si>
  <si>
    <t>Sandeep Mohanty</t>
  </si>
  <si>
    <t>Q015469589</t>
  </si>
  <si>
    <t>Q015469571</t>
  </si>
  <si>
    <t>Ankita Kumari</t>
  </si>
  <si>
    <t>Dhananjay Mahato</t>
  </si>
  <si>
    <t>Q015469579</t>
  </si>
  <si>
    <t>A097474749</t>
  </si>
  <si>
    <t>Sumita Sarangi</t>
  </si>
  <si>
    <t>Q015488806</t>
  </si>
  <si>
    <t>Amresh Kumar Sinha</t>
  </si>
  <si>
    <t>08-011-1982</t>
  </si>
  <si>
    <t>AUAPB6962G</t>
  </si>
  <si>
    <t>Mamali@143</t>
  </si>
  <si>
    <t>Q015491437</t>
  </si>
  <si>
    <t>Harsh Kumar Jha</t>
  </si>
  <si>
    <t>with bs</t>
  </si>
  <si>
    <t>Das@2024##</t>
  </si>
  <si>
    <t>Lalit@2024##</t>
  </si>
  <si>
    <t>Kumar@2024##</t>
  </si>
  <si>
    <t>ITR2</t>
  </si>
  <si>
    <t>Old</t>
  </si>
  <si>
    <t>AKGPV1452M</t>
  </si>
  <si>
    <t>Satish Vishwakarma</t>
  </si>
  <si>
    <t>Satish@2024##</t>
  </si>
  <si>
    <t>BRNPS8992Q</t>
  </si>
  <si>
    <t>Dhirendra Kumar Samal</t>
  </si>
  <si>
    <t>Samal@2024##</t>
  </si>
  <si>
    <t>Sahu@2024##</t>
  </si>
  <si>
    <t>Inderpal Singh</t>
  </si>
  <si>
    <t>Singh@2024##</t>
  </si>
  <si>
    <t>EVJPS7779N</t>
  </si>
  <si>
    <t>A097675959</t>
  </si>
  <si>
    <t>A097631766</t>
  </si>
  <si>
    <t>Kahkashan Parween</t>
  </si>
  <si>
    <t>A097706744</t>
  </si>
  <si>
    <t>Hena Perveen</t>
  </si>
  <si>
    <t>A097748868</t>
  </si>
  <si>
    <t>Warisha Perween</t>
  </si>
  <si>
    <t>A097726566</t>
  </si>
  <si>
    <t>A097824268</t>
  </si>
  <si>
    <t>Kauser Nishat</t>
  </si>
  <si>
    <t>Chandmani Lohar</t>
  </si>
  <si>
    <t>Nasima Khatoon</t>
  </si>
  <si>
    <t>A097879176</t>
  </si>
  <si>
    <t>A097876524</t>
  </si>
  <si>
    <t>Rozina Perween</t>
  </si>
  <si>
    <t>A097833977</t>
  </si>
  <si>
    <t>Babita Mahato</t>
  </si>
  <si>
    <t>A097845591</t>
  </si>
  <si>
    <t>Jitni Devi</t>
  </si>
  <si>
    <t>A097854652</t>
  </si>
  <si>
    <t>SHREYA PRAMANICK</t>
  </si>
  <si>
    <t>A097855303</t>
  </si>
  <si>
    <t>SITAL SAMAD</t>
  </si>
  <si>
    <t>A097855645</t>
  </si>
  <si>
    <t>PAPALI GORAI</t>
  </si>
  <si>
    <t>A097855937</t>
  </si>
  <si>
    <t>SUSHMA KARWA</t>
  </si>
  <si>
    <t>A097856359</t>
  </si>
  <si>
    <t>SAIBA PERWEEN</t>
  </si>
  <si>
    <t>A097856665</t>
  </si>
  <si>
    <t>SARSWATI DEVI</t>
  </si>
  <si>
    <t>Q015589771</t>
  </si>
  <si>
    <t>Mohammad Asif Raza</t>
  </si>
  <si>
    <t>A097905154</t>
  </si>
  <si>
    <t>A097903131</t>
  </si>
  <si>
    <t>Gulnar Jaha</t>
  </si>
  <si>
    <t>Dipanakar Rana</t>
  </si>
  <si>
    <t>A097927417</t>
  </si>
  <si>
    <t>Chhanda Singh</t>
  </si>
  <si>
    <t>A097925323</t>
  </si>
  <si>
    <t>Anshika Chandra</t>
  </si>
  <si>
    <t>Q015621363</t>
  </si>
  <si>
    <t>Sridhar Deep</t>
  </si>
  <si>
    <t>Anjali Devi</t>
  </si>
  <si>
    <t>Q015621195</t>
  </si>
  <si>
    <t>A097751551</t>
  </si>
  <si>
    <t>Trishir Thakur</t>
  </si>
  <si>
    <t>A097991728</t>
  </si>
  <si>
    <t>A097991507</t>
  </si>
  <si>
    <t>Ashura Parween</t>
  </si>
  <si>
    <t>Q015652843</t>
  </si>
  <si>
    <t>Q015637563</t>
  </si>
  <si>
    <t>Jalindar Sukhadev Thorat</t>
  </si>
  <si>
    <t>A098061394</t>
  </si>
  <si>
    <t>A098106714</t>
  </si>
  <si>
    <t>Q015655518</t>
  </si>
  <si>
    <t>SNEHLATA SINGH</t>
  </si>
  <si>
    <t>sign</t>
  </si>
  <si>
    <t>Q015657329</t>
  </si>
  <si>
    <t>BABITA KUMARI SAH</t>
  </si>
  <si>
    <t>Q015657420</t>
  </si>
  <si>
    <t>NEELAM TIWARI</t>
  </si>
  <si>
    <t>Q015657572</t>
  </si>
  <si>
    <t>ANJU DEVI</t>
  </si>
  <si>
    <t>A098111550</t>
  </si>
  <si>
    <t>PARWEEN NAAZ</t>
  </si>
  <si>
    <t>A098112050</t>
  </si>
  <si>
    <t>JYOTSANA MUKHI</t>
  </si>
  <si>
    <t>A098112634</t>
  </si>
  <si>
    <t>BHAGYASHREE SHEKHAR DEB</t>
  </si>
  <si>
    <t>A098113222</t>
  </si>
  <si>
    <t>PUJA DEVI</t>
  </si>
  <si>
    <t>A098114819</t>
  </si>
  <si>
    <t>SUMITRA MAHATO</t>
  </si>
  <si>
    <t>A098120082</t>
  </si>
  <si>
    <t>NIKITA LOHAR</t>
  </si>
  <si>
    <t>Malobika Gorai</t>
  </si>
  <si>
    <t>A098156328</t>
  </si>
  <si>
    <t>TELCO URDU M SCHOOL</t>
  </si>
  <si>
    <t>A098241720</t>
  </si>
  <si>
    <t>A098184976</t>
  </si>
  <si>
    <t>Chinta Devi</t>
  </si>
  <si>
    <t>A098186135</t>
  </si>
  <si>
    <t>Farida Khatun</t>
  </si>
  <si>
    <t>Sayed Sharafat Hussain Quadri</t>
  </si>
  <si>
    <t>A098186850</t>
  </si>
  <si>
    <t>Q015708444</t>
  </si>
  <si>
    <t>Q015708231</t>
  </si>
  <si>
    <t>Punam Sriwastava</t>
  </si>
  <si>
    <t>A098309452</t>
  </si>
  <si>
    <t>Laxmi Bhumij</t>
  </si>
  <si>
    <t>Q015713870</t>
  </si>
  <si>
    <t>A098352391</t>
  </si>
  <si>
    <t>A098383382</t>
  </si>
  <si>
    <t>Nusrat Bano</t>
  </si>
  <si>
    <t>web_singh</t>
  </si>
  <si>
    <t>Shobha</t>
  </si>
  <si>
    <t>Suraj Bhan Singh</t>
  </si>
  <si>
    <t>bhan_nweb</t>
  </si>
  <si>
    <t>A098480092</t>
  </si>
  <si>
    <t>03-15-1984</t>
  </si>
  <si>
    <t>A098480535</t>
  </si>
  <si>
    <t>Subita Devi</t>
  </si>
  <si>
    <t>A098480869</t>
  </si>
  <si>
    <t>Baby Khatoon</t>
  </si>
  <si>
    <t>a098481570</t>
  </si>
  <si>
    <t>Afsa Musarrat</t>
  </si>
  <si>
    <t>Q015761215</t>
  </si>
  <si>
    <t>Bibhash Chandra Banerjee</t>
  </si>
  <si>
    <t>Q015761494</t>
  </si>
  <si>
    <t>Rayadu Venkat Srinivas</t>
  </si>
  <si>
    <t>q015761582</t>
  </si>
  <si>
    <t>Jagdeep Kumar Das</t>
  </si>
  <si>
    <t>A098440289</t>
  </si>
  <si>
    <t>Sahil Kumar Srivastava</t>
  </si>
  <si>
    <t>A098522430</t>
  </si>
  <si>
    <t>Zarina Mehboob</t>
  </si>
  <si>
    <t>A098540771</t>
  </si>
  <si>
    <t>Rukeyya Parween</t>
  </si>
  <si>
    <t>Gulfran Ahmad Khan</t>
  </si>
  <si>
    <t>A098589357</t>
  </si>
  <si>
    <t>habiba fatma</t>
  </si>
  <si>
    <t>Q015791982</t>
  </si>
  <si>
    <t>Sristidhar Mahato</t>
  </si>
  <si>
    <t>A098630727</t>
  </si>
  <si>
    <t>Safina Afreen</t>
  </si>
  <si>
    <t>A098576402</t>
  </si>
  <si>
    <t>Mrinal Priyanshu</t>
  </si>
  <si>
    <t>A098732572</t>
  </si>
  <si>
    <t>Aisha Tabassum</t>
  </si>
  <si>
    <t>A098733360</t>
  </si>
  <si>
    <t>Maira Hasan</t>
  </si>
  <si>
    <t>A098723628</t>
  </si>
  <si>
    <t>Savitri Kumari</t>
  </si>
  <si>
    <t>Q0158/10734</t>
  </si>
  <si>
    <t>Tanu Kumari</t>
  </si>
  <si>
    <t>Kunwar Chhotu</t>
  </si>
  <si>
    <t>A098629857</t>
  </si>
  <si>
    <t>A098660803</t>
  </si>
  <si>
    <t>Dharma Ruhidas</t>
  </si>
  <si>
    <t>Q015811134</t>
  </si>
  <si>
    <t>Anjana Rashmi William</t>
  </si>
  <si>
    <t>Q015811002</t>
  </si>
  <si>
    <t>Anna Garima William</t>
  </si>
  <si>
    <t>A098686022</t>
  </si>
  <si>
    <t>Mona Dev</t>
  </si>
  <si>
    <t>Q015845791</t>
  </si>
  <si>
    <t>Aparna Mondal</t>
  </si>
  <si>
    <t>Purnima Paul</t>
  </si>
  <si>
    <t>Mukul Singh</t>
  </si>
  <si>
    <t>Virendra Prasad</t>
  </si>
  <si>
    <t>Anita Mahato</t>
  </si>
  <si>
    <t>anita_nweb</t>
  </si>
  <si>
    <t>RAKESH MAHATO</t>
  </si>
  <si>
    <t>Maira hasan</t>
  </si>
  <si>
    <t>BCPPD7649E</t>
  </si>
  <si>
    <t>Tanushree Dutta</t>
  </si>
  <si>
    <t>Arup@123</t>
  </si>
  <si>
    <t>To Check</t>
  </si>
  <si>
    <t>Dilip Mandal</t>
  </si>
  <si>
    <t>Q015708592</t>
  </si>
  <si>
    <t>Q015804595</t>
  </si>
  <si>
    <t>A098887167</t>
  </si>
  <si>
    <t>Payal karmakar</t>
  </si>
  <si>
    <t>Q015909972</t>
  </si>
  <si>
    <t>Q015910391</t>
  </si>
  <si>
    <t>Mintu Kumar</t>
  </si>
  <si>
    <t>Q015902624</t>
  </si>
  <si>
    <t>A098892226</t>
  </si>
  <si>
    <t>Q015858182</t>
  </si>
  <si>
    <t>A098806489</t>
  </si>
  <si>
    <t>A098805762</t>
  </si>
  <si>
    <t>Q015858069</t>
  </si>
  <si>
    <t>A098806839</t>
  </si>
  <si>
    <t>Bhogendra Thakur</t>
  </si>
  <si>
    <t>Q015920293</t>
  </si>
  <si>
    <t>Asha Tiwary</t>
  </si>
  <si>
    <t>Q015925806</t>
  </si>
  <si>
    <t>palwinder singh</t>
  </si>
  <si>
    <t>A099047949</t>
  </si>
  <si>
    <t>Afreen Parveen</t>
  </si>
  <si>
    <t>Q015933047</t>
  </si>
  <si>
    <t>Ranjeet Kumar</t>
  </si>
  <si>
    <t>Q015946335</t>
  </si>
  <si>
    <t>Jalabati Mahato</t>
  </si>
  <si>
    <t>Mohammad Kalam</t>
  </si>
  <si>
    <t>Q015945462</t>
  </si>
  <si>
    <t>Q015980664</t>
  </si>
  <si>
    <t>A099256444</t>
  </si>
  <si>
    <t>A099255972</t>
  </si>
  <si>
    <t>A099255269</t>
  </si>
  <si>
    <t>Shagufta Rani</t>
  </si>
  <si>
    <t>A099257177</t>
  </si>
  <si>
    <t>Sandhya Pandey</t>
  </si>
  <si>
    <t>A099256784</t>
  </si>
  <si>
    <t>Salma Bibi</t>
  </si>
  <si>
    <t>Q015994581</t>
  </si>
  <si>
    <t>Q016005693</t>
  </si>
  <si>
    <t>Shakila Begam</t>
  </si>
  <si>
    <t>Abdul Hakim</t>
  </si>
  <si>
    <t>Q016012983</t>
  </si>
  <si>
    <t>Mudumala Mary Nirmala</t>
  </si>
  <si>
    <t>Q016013261</t>
  </si>
  <si>
    <t>A099378091</t>
  </si>
  <si>
    <t>Vicky Kumar</t>
  </si>
  <si>
    <t>Taranum Khanam</t>
  </si>
  <si>
    <t>Rekha</t>
  </si>
  <si>
    <t>A099428013</t>
  </si>
  <si>
    <t>A099430271</t>
  </si>
  <si>
    <t>Q016032203</t>
  </si>
  <si>
    <t>Silpa Pradhan</t>
  </si>
  <si>
    <t>Sushmita Kumari</t>
  </si>
  <si>
    <t>A099426192</t>
  </si>
  <si>
    <t>Nusrat Fatma</t>
  </si>
  <si>
    <t>Abhishek Singh</t>
  </si>
  <si>
    <t>Syed Imran Hassan</t>
  </si>
  <si>
    <t>Smriti Sahu</t>
  </si>
  <si>
    <t>A099570071</t>
  </si>
  <si>
    <t>Q016072459</t>
  </si>
  <si>
    <t>Kriti Singh</t>
  </si>
  <si>
    <t>Q016084134</t>
  </si>
  <si>
    <t>A099598640</t>
  </si>
  <si>
    <t>A099599275</t>
  </si>
  <si>
    <t>Aneef Akhter</t>
  </si>
  <si>
    <t>A099607382</t>
  </si>
  <si>
    <t>A099477877</t>
  </si>
  <si>
    <t>A099476295</t>
  </si>
  <si>
    <t>Samir Sardar</t>
  </si>
  <si>
    <t>A099638874</t>
  </si>
  <si>
    <t>Rounaki Khaton</t>
  </si>
  <si>
    <t>A099640641</t>
  </si>
  <si>
    <t>A099656656</t>
  </si>
  <si>
    <t>mamta mahato</t>
  </si>
  <si>
    <t>Ashmita Kumari</t>
  </si>
  <si>
    <t>A099656307</t>
  </si>
  <si>
    <t>A099686148</t>
  </si>
  <si>
    <t>Srishti Banerjee</t>
  </si>
  <si>
    <t>Q016104860</t>
  </si>
  <si>
    <t>Rajan Mukhi</t>
  </si>
  <si>
    <t>Mishra@2024</t>
  </si>
  <si>
    <t>Q016108064</t>
  </si>
  <si>
    <t>Vinod Kumar Choudhary</t>
  </si>
  <si>
    <t>A099698867</t>
  </si>
  <si>
    <t>Fulchand Mahato</t>
  </si>
  <si>
    <t>Jkiya Khatoon</t>
  </si>
  <si>
    <t>A099698543</t>
  </si>
  <si>
    <t>Vidyut mahato</t>
  </si>
  <si>
    <t>Amrit Gour</t>
  </si>
  <si>
    <t>ashok_nweb</t>
  </si>
  <si>
    <t>Afsara Parween</t>
  </si>
  <si>
    <t>Divya Jyoti Sharma</t>
  </si>
  <si>
    <t>A099830155</t>
  </si>
  <si>
    <t>A099829894</t>
  </si>
  <si>
    <t>Q016138467</t>
  </si>
  <si>
    <t>A099828714</t>
  </si>
  <si>
    <t>A099829436</t>
  </si>
  <si>
    <t>Anjana Kumari</t>
  </si>
  <si>
    <t>Rinku Kumari</t>
  </si>
  <si>
    <t>A099821635</t>
  </si>
  <si>
    <t>Vanapalli Srinivas Rao</t>
  </si>
  <si>
    <t>Hira Lal Sinha</t>
  </si>
  <si>
    <t>V Prushotam</t>
  </si>
  <si>
    <t>Q016165993</t>
  </si>
  <si>
    <t>Yudhishtir mahato</t>
  </si>
  <si>
    <t>A099892349</t>
  </si>
  <si>
    <t>Sangita Samad</t>
  </si>
  <si>
    <t>A099892346</t>
  </si>
  <si>
    <t>ekram_nweb</t>
  </si>
  <si>
    <t>md Khurshid Ekram</t>
  </si>
  <si>
    <t>nafisa Khatoon</t>
  </si>
  <si>
    <t>Shafaque Khurshid</t>
  </si>
  <si>
    <t>Baby Tabassum</t>
  </si>
  <si>
    <t>Q016193396</t>
  </si>
  <si>
    <t>Swapna Ghosal</t>
  </si>
  <si>
    <t>Q016193989</t>
  </si>
  <si>
    <t>Ranjeet Kumar Sakkuja</t>
  </si>
  <si>
    <t>Q016193587</t>
  </si>
  <si>
    <t>Sadhu Saran Singh</t>
  </si>
  <si>
    <t>Ambabati Rajak</t>
  </si>
  <si>
    <t>Angura Rajak</t>
  </si>
  <si>
    <t>A100039802</t>
  </si>
  <si>
    <t>A100034717</t>
  </si>
  <si>
    <t>Dadi Vara Noka Lakshma</t>
  </si>
  <si>
    <t>Deobrat Vishwakarma</t>
  </si>
  <si>
    <t>Aribah Adil</t>
  </si>
  <si>
    <t>Aimee Adil</t>
  </si>
  <si>
    <t>A100119635</t>
  </si>
  <si>
    <t>A100119935</t>
  </si>
  <si>
    <t>18-09-2024 slot fo rmain</t>
  </si>
  <si>
    <t>APPLY FOR MAIN</t>
  </si>
  <si>
    <t>A100226181</t>
  </si>
  <si>
    <t>Arjun Pandey</t>
  </si>
  <si>
    <t>Rubaida Khatoon</t>
  </si>
  <si>
    <t>A100311084</t>
  </si>
  <si>
    <t>Mosarrat Khatoon</t>
  </si>
  <si>
    <t>Md Nasim Ansari</t>
  </si>
  <si>
    <t>n, do</t>
  </si>
  <si>
    <t>Q016294754</t>
  </si>
  <si>
    <t>Q016294571</t>
  </si>
  <si>
    <t>shiv shankar choudhary</t>
  </si>
  <si>
    <t>A100420942</t>
  </si>
  <si>
    <t>tanushree Das</t>
  </si>
  <si>
    <t>A100440282</t>
  </si>
  <si>
    <t>Asfiya Khanam</t>
  </si>
  <si>
    <t>Naina devi</t>
  </si>
  <si>
    <t>A100416089</t>
  </si>
  <si>
    <t>Venkatesh Rao</t>
  </si>
  <si>
    <t>Amlu Rao</t>
  </si>
  <si>
    <t>fnamne</t>
  </si>
  <si>
    <t>Q016331273</t>
  </si>
  <si>
    <t>Q016331084</t>
  </si>
  <si>
    <t>AAPPT8285M</t>
  </si>
  <si>
    <t>Triweni nath tiwari</t>
  </si>
  <si>
    <t>Jagdish@1958</t>
  </si>
  <si>
    <t>Ruchika Kumari</t>
  </si>
  <si>
    <t>Gour_nweb</t>
  </si>
  <si>
    <t>Sanjay Pradeep</t>
  </si>
  <si>
    <t>Santara khatun</t>
  </si>
  <si>
    <t>Sandhya Namata</t>
  </si>
  <si>
    <t>Bebi Namata</t>
  </si>
  <si>
    <t>Saroj Devi Agarwal</t>
  </si>
  <si>
    <t>Aashiqui Kumari</t>
  </si>
  <si>
    <t>Md Athar Ahmad</t>
  </si>
  <si>
    <t>Seema gorai</t>
  </si>
  <si>
    <t>Priyanka Rana</t>
  </si>
  <si>
    <t>Shantilata Behera</t>
  </si>
  <si>
    <t>sushma oraon</t>
  </si>
  <si>
    <t>A100558417</t>
  </si>
  <si>
    <t>Sneya yogeshwar</t>
  </si>
  <si>
    <t>Rohit yogeshwar</t>
  </si>
  <si>
    <t>A100559035</t>
  </si>
  <si>
    <t>A100500593</t>
  </si>
  <si>
    <t>Sibtain Ansari</t>
  </si>
  <si>
    <t>Sitesh Kumar</t>
  </si>
  <si>
    <t>Q016369871</t>
  </si>
  <si>
    <t>JAY PRAKASH VISHWAKARMA</t>
  </si>
  <si>
    <t>Girja Devi</t>
  </si>
  <si>
    <t>sanatna Das</t>
  </si>
  <si>
    <t>sanjay3</t>
  </si>
  <si>
    <t>ujala dhibar</t>
  </si>
  <si>
    <t>Payment 3000 Received on 10-10-2024</t>
  </si>
  <si>
    <t>Md Maaz Alam</t>
  </si>
  <si>
    <t>Nagendra Dubey</t>
  </si>
  <si>
    <t>Harihar Mahao</t>
  </si>
  <si>
    <t>Khirod baran Mahato</t>
  </si>
  <si>
    <t>Shivani Verma</t>
  </si>
  <si>
    <t>Q016444513</t>
  </si>
  <si>
    <t>A100834247</t>
  </si>
  <si>
    <t>A100834558</t>
  </si>
  <si>
    <t>A100834862</t>
  </si>
  <si>
    <t>A100835233</t>
  </si>
  <si>
    <t>A100835996</t>
  </si>
  <si>
    <t>Niharika Verma</t>
  </si>
  <si>
    <t>Abhijeet Singh</t>
  </si>
  <si>
    <t>BAZPR4304L</t>
  </si>
  <si>
    <t>Dab@1968</t>
  </si>
  <si>
    <t>Farhana Perween</t>
  </si>
  <si>
    <t>Jay Sabar</t>
  </si>
  <si>
    <t>Soni Kumari</t>
  </si>
  <si>
    <t>Rupesh CH Patra</t>
  </si>
  <si>
    <t>Reregistration</t>
  </si>
  <si>
    <t>owner transfer</t>
  </si>
  <si>
    <t>A101004174</t>
  </si>
  <si>
    <t>Q016493232</t>
  </si>
  <si>
    <t>Q016493411</t>
  </si>
  <si>
    <t>Malkit singh</t>
  </si>
  <si>
    <t>BKGPM9507F</t>
  </si>
  <si>
    <t>SITA MUKHI</t>
  </si>
  <si>
    <t>Mukhi@2024</t>
  </si>
  <si>
    <t>Ramachandar Karua</t>
  </si>
  <si>
    <t>Tanisha Mujherjee</t>
  </si>
  <si>
    <t>Jayanti Kumari</t>
  </si>
  <si>
    <t>Mamta Lohar</t>
  </si>
  <si>
    <t>Rupali Mahato</t>
  </si>
  <si>
    <t>Karishma Kumari</t>
  </si>
  <si>
    <t>Sanjeeda Iqbal</t>
  </si>
  <si>
    <t>SEEMA Kumari sharma</t>
  </si>
  <si>
    <t>A101052129</t>
  </si>
  <si>
    <t>Q016524026</t>
  </si>
  <si>
    <t>A101088570</t>
  </si>
  <si>
    <t>A101088333</t>
  </si>
  <si>
    <t>A101087941</t>
  </si>
  <si>
    <t>A101107038</t>
  </si>
  <si>
    <t>A101106564</t>
  </si>
  <si>
    <t>Rabindra Kumar Prasad</t>
  </si>
  <si>
    <t>A101154086</t>
  </si>
  <si>
    <t>A101157171</t>
  </si>
  <si>
    <t>Jayashri Munda</t>
  </si>
  <si>
    <t>Paid 2500 on 19-10-2024</t>
  </si>
  <si>
    <t>Q016548406</t>
  </si>
  <si>
    <t>Jonathan Jashua Jordan</t>
  </si>
  <si>
    <t>Nikhil Biswas</t>
  </si>
  <si>
    <t>Q016548289</t>
  </si>
  <si>
    <t>A101185447</t>
  </si>
  <si>
    <t>Bina Besra</t>
  </si>
  <si>
    <t>A101195603</t>
  </si>
  <si>
    <t>Nirbhay Kumar jha</t>
  </si>
  <si>
    <t>Rabiya Khatoon</t>
  </si>
  <si>
    <t>A101213283</t>
  </si>
  <si>
    <t>HCGPS0647C</t>
  </si>
  <si>
    <t>BASANTI SARDAR</t>
  </si>
  <si>
    <t>Sardar@2024</t>
  </si>
  <si>
    <t>Shanya Afrin</t>
  </si>
  <si>
    <t>shanya_nweb</t>
  </si>
  <si>
    <t>Sujit Kumar Chakraborty</t>
  </si>
  <si>
    <t>Q016581084</t>
  </si>
  <si>
    <t>Prem Devi</t>
  </si>
  <si>
    <t>A101294092</t>
  </si>
  <si>
    <t>Sazia Tabassum</t>
  </si>
  <si>
    <t>A101294889</t>
  </si>
  <si>
    <t>Rajsekhar Bose</t>
  </si>
  <si>
    <t>Arbind Kumar</t>
  </si>
  <si>
    <t>Sujay Mahato</t>
  </si>
  <si>
    <t>BDQPM4594P</t>
  </si>
  <si>
    <t>TAPAN KUMAR MAHATO</t>
  </si>
  <si>
    <t>Q016621850</t>
  </si>
  <si>
    <t>A101405491</t>
  </si>
  <si>
    <t>Q016614495</t>
  </si>
  <si>
    <t>Neen to reupload</t>
  </si>
  <si>
    <t>A101368613</t>
  </si>
  <si>
    <t>Kunal Namata</t>
  </si>
  <si>
    <t>A101447808</t>
  </si>
  <si>
    <t>Jagannath Raut</t>
  </si>
  <si>
    <t>A101447320</t>
  </si>
  <si>
    <t>A101447128</t>
  </si>
  <si>
    <t>Chhabi Raut</t>
  </si>
  <si>
    <t>Aaliya Khan</t>
  </si>
  <si>
    <t>A101448562</t>
  </si>
  <si>
    <t>Siyawati Devi</t>
  </si>
  <si>
    <t>Biswas@2024</t>
  </si>
  <si>
    <t>CCJPB7109L</t>
  </si>
  <si>
    <t>Sanjay Kumar Mahato</t>
  </si>
  <si>
    <t>Q016664616</t>
  </si>
  <si>
    <t>samrin Parween</t>
  </si>
  <si>
    <t>Sama Parveen ansari</t>
  </si>
  <si>
    <t>India@1234#</t>
  </si>
  <si>
    <t>Razia Begum</t>
  </si>
  <si>
    <t>Md Sufiyan Danish</t>
  </si>
  <si>
    <t>Ganesh Sharma</t>
  </si>
  <si>
    <t>Ayush Sharma</t>
  </si>
  <si>
    <t>A101638794</t>
  </si>
  <si>
    <t>A101638386</t>
  </si>
  <si>
    <t>Aman Sharma</t>
  </si>
  <si>
    <t>nazimun_nweb</t>
  </si>
  <si>
    <t>Mehwish Anam</t>
  </si>
  <si>
    <t>Nazimun Nisha</t>
  </si>
  <si>
    <t>Zunaira Sadique</t>
  </si>
  <si>
    <t>Q016702055</t>
  </si>
  <si>
    <t>Mohua Ghoshal</t>
  </si>
  <si>
    <t>Q016702006</t>
  </si>
  <si>
    <t>A101664949</t>
  </si>
  <si>
    <t>Sonali Gorai</t>
  </si>
  <si>
    <t>Dhanmani Devi</t>
  </si>
  <si>
    <t>A101665288</t>
  </si>
  <si>
    <t>Kumar Bintu</t>
  </si>
  <si>
    <t>Sandeep Kumar Gaur</t>
  </si>
  <si>
    <t>Shahajadi Ansari</t>
  </si>
  <si>
    <t>Usha Sinha</t>
  </si>
  <si>
    <t>ANITA MAHATO</t>
  </si>
  <si>
    <t>Razia Khatoon</t>
  </si>
  <si>
    <t>razia_nweb</t>
  </si>
  <si>
    <t>Jyoti Kumari</t>
  </si>
  <si>
    <t>Bablu Tanti</t>
  </si>
  <si>
    <t>Baidhnath Jonko</t>
  </si>
  <si>
    <t>deilvereed</t>
  </si>
  <si>
    <t>deliverede</t>
  </si>
  <si>
    <t>Bagun Soy</t>
  </si>
  <si>
    <t>Chari Kunkal</t>
  </si>
  <si>
    <t>Krishna mardi</t>
  </si>
  <si>
    <t>Pune Rautiya</t>
  </si>
  <si>
    <t>Rajesh Chaki</t>
  </si>
  <si>
    <t>Sadhu Charan Bodra</t>
  </si>
  <si>
    <t>Somay Murmu</t>
  </si>
  <si>
    <t>A101984797</t>
  </si>
  <si>
    <t>Gunvansh Singh Bhamrah</t>
  </si>
  <si>
    <t>A102082367</t>
  </si>
  <si>
    <t>Ishika Sharma</t>
  </si>
  <si>
    <t>A102081874</t>
  </si>
  <si>
    <t>Sadananad Ho</t>
  </si>
  <si>
    <t>A102082078</t>
  </si>
  <si>
    <t>Supriya Mahato</t>
  </si>
  <si>
    <t>Q016859290</t>
  </si>
  <si>
    <t>Mukesh Prasad</t>
  </si>
  <si>
    <t>Q016872610</t>
  </si>
  <si>
    <t>Akash Lohar</t>
  </si>
  <si>
    <t>A102151809</t>
  </si>
  <si>
    <t>Debashrit Sahu</t>
  </si>
  <si>
    <t>Apara Kumari</t>
  </si>
  <si>
    <t>A102240146</t>
  </si>
  <si>
    <t>Umarani Mahato</t>
  </si>
  <si>
    <t>A102224638</t>
  </si>
  <si>
    <t>A102274341</t>
  </si>
  <si>
    <t>Pratham Kumar Singh</t>
  </si>
  <si>
    <t>Q016932807</t>
  </si>
  <si>
    <t>Anurag Sharma</t>
  </si>
  <si>
    <t>A102316649</t>
  </si>
  <si>
    <t>Aradhana Mishra</t>
  </si>
  <si>
    <t>A102317687</t>
  </si>
  <si>
    <t>Lakhi Karmakar</t>
  </si>
  <si>
    <t>Sanjeet karmakar</t>
  </si>
  <si>
    <t>Anam Fatma</t>
  </si>
  <si>
    <t>A102354261</t>
  </si>
  <si>
    <t>Q016962711</t>
  </si>
  <si>
    <t>Bal Ram Dubey</t>
  </si>
  <si>
    <t>Q016964647</t>
  </si>
  <si>
    <t>Q016964605</t>
  </si>
  <si>
    <t>Shekh Haleema Begum</t>
  </si>
  <si>
    <t>Ajay Kumar Ray</t>
  </si>
  <si>
    <t>Q016964548</t>
  </si>
  <si>
    <t>Parwati Gondar</t>
  </si>
  <si>
    <t>Abdul Karim Khan</t>
  </si>
  <si>
    <t>Gurucharan singh panesar</t>
  </si>
  <si>
    <t>nweb</t>
  </si>
  <si>
    <t>CORRECTION</t>
  </si>
  <si>
    <t>Q016983897</t>
  </si>
  <si>
    <t>Rita Devi</t>
  </si>
  <si>
    <t>BFCPPD3045J</t>
  </si>
  <si>
    <t>Q0169383920</t>
  </si>
  <si>
    <t>AQZPU8241Q</t>
  </si>
  <si>
    <t>Anushka Upadhyay</t>
  </si>
  <si>
    <t>MAMONI PARAMANIK</t>
  </si>
  <si>
    <t>A102414916</t>
  </si>
  <si>
    <t>A102437040</t>
  </si>
  <si>
    <t>Mayank Raj</t>
  </si>
  <si>
    <t>Saradindu Chakraborty</t>
  </si>
  <si>
    <t>saradindu_nweb</t>
  </si>
  <si>
    <t>A102453816</t>
  </si>
  <si>
    <t>Anisa Begum</t>
  </si>
  <si>
    <t>A102449281</t>
  </si>
  <si>
    <t>Lakshi Malll</t>
  </si>
  <si>
    <t>A102447609</t>
  </si>
  <si>
    <t>Bandana Maal</t>
  </si>
  <si>
    <t>Abhilasha Minz</t>
  </si>
  <si>
    <t>Saira Bano</t>
  </si>
  <si>
    <t>Dharmraj Giri</t>
  </si>
  <si>
    <t>A102463736</t>
  </si>
  <si>
    <t>Q017005939</t>
  </si>
  <si>
    <t>A102463577</t>
  </si>
  <si>
    <t>Rohit Munda</t>
  </si>
  <si>
    <t>Q017025692</t>
  </si>
  <si>
    <t>Q017016288</t>
  </si>
  <si>
    <t>Anju Mishra Kumari</t>
  </si>
  <si>
    <t>Q017016525</t>
  </si>
  <si>
    <t>Asjok Kumar Singh</t>
  </si>
  <si>
    <t>applied against puja</t>
  </si>
  <si>
    <t>A102515004</t>
  </si>
  <si>
    <t>Sujata Sarkar</t>
  </si>
  <si>
    <t>Mahuya Das</t>
  </si>
  <si>
    <t>Q017045331</t>
  </si>
  <si>
    <t>Niraj Kumar Gupta</t>
  </si>
  <si>
    <t>A102557882</t>
  </si>
  <si>
    <t>A102557720</t>
  </si>
  <si>
    <t>Laxmi Kumari Rajwal</t>
  </si>
  <si>
    <t>A102557649</t>
  </si>
  <si>
    <t>A102557023</t>
  </si>
  <si>
    <t>A102557200</t>
  </si>
  <si>
    <t>Sitamuni Soren</t>
  </si>
  <si>
    <t>q017051064</t>
  </si>
  <si>
    <t>Sukalyan Singh</t>
  </si>
  <si>
    <t>A102612649</t>
  </si>
  <si>
    <t>Nandini Kumari</t>
  </si>
  <si>
    <t>A102612896</t>
  </si>
  <si>
    <t>A102613075</t>
  </si>
  <si>
    <t>Sruti Sahu</t>
  </si>
  <si>
    <t>Q017070959</t>
  </si>
  <si>
    <t>Indra Deo Prasad</t>
  </si>
  <si>
    <t>maria Omama</t>
  </si>
  <si>
    <t>Q017080259</t>
  </si>
  <si>
    <t>Priyanka Verma</t>
  </si>
  <si>
    <t>Laxmi Das</t>
  </si>
  <si>
    <t>Ashis kumar sur</t>
  </si>
  <si>
    <t>Ishita Arya</t>
  </si>
  <si>
    <t>A102730288</t>
  </si>
  <si>
    <t>Nasareen Khatoon</t>
  </si>
  <si>
    <t>Q017116399</t>
  </si>
  <si>
    <t>Q017116232</t>
  </si>
  <si>
    <t>Bipin Kumar Prasad</t>
  </si>
  <si>
    <t>A102795415</t>
  </si>
  <si>
    <t>A102841082</t>
  </si>
  <si>
    <t>SWETA SINGH</t>
  </si>
  <si>
    <t>A102841838</t>
  </si>
  <si>
    <t>PUNAM DAS</t>
  </si>
  <si>
    <t>Sarju prajapati</t>
  </si>
  <si>
    <t>A102841963</t>
  </si>
  <si>
    <t>A102842112</t>
  </si>
  <si>
    <t>Mohd Naved</t>
  </si>
  <si>
    <t>d</t>
  </si>
  <si>
    <t>Q017160627</t>
  </si>
  <si>
    <t>Lata Srivastava</t>
  </si>
  <si>
    <t>Ajeet Kumar Shrivastava</t>
  </si>
  <si>
    <t>Q017162824</t>
  </si>
  <si>
    <t>Delivered 07-12-2024</t>
  </si>
  <si>
    <t>Dl Recived</t>
  </si>
  <si>
    <t>dl recived</t>
  </si>
  <si>
    <t>A102887778</t>
  </si>
  <si>
    <t>Pranavi Priya</t>
  </si>
  <si>
    <t>Sakeeb Wasim</t>
  </si>
  <si>
    <t>A102887993</t>
  </si>
  <si>
    <t>Chandni Perween</t>
  </si>
  <si>
    <t>Mangru Kumar</t>
  </si>
  <si>
    <t>mangru_nweb</t>
  </si>
  <si>
    <t>Dhruba Kumar dey</t>
  </si>
  <si>
    <t>renewal+ad</t>
  </si>
  <si>
    <t>Sanni Kumari</t>
  </si>
  <si>
    <t>Jayanti Kerketta</t>
  </si>
  <si>
    <t>Nusrat Jahan</t>
  </si>
  <si>
    <t>Jackline Das</t>
  </si>
  <si>
    <t>Taruna Kumar jana</t>
  </si>
  <si>
    <t>Ria Kumari</t>
  </si>
  <si>
    <t>Q017223943</t>
  </si>
  <si>
    <t>Mamta Barik</t>
  </si>
  <si>
    <t>A102990441</t>
  </si>
  <si>
    <t>Naina Sharma</t>
  </si>
  <si>
    <t>Sk Ayub Ali</t>
  </si>
  <si>
    <t>Ulas Machhuwa</t>
  </si>
  <si>
    <t>Raj KUmar</t>
  </si>
  <si>
    <t>tahir Ali Khan</t>
  </si>
  <si>
    <t>Ishratun Nisha</t>
  </si>
  <si>
    <t>A103186499</t>
  </si>
  <si>
    <t>Kumari Mani Bandra</t>
  </si>
  <si>
    <t>Pawan Kumar Pandey</t>
  </si>
  <si>
    <t>Farooq Khan</t>
  </si>
  <si>
    <t>Radhu Sahis</t>
  </si>
  <si>
    <t>radhusahis3@g</t>
  </si>
  <si>
    <t>Mahrush rezwan</t>
  </si>
  <si>
    <t>Suranjan Kar</t>
  </si>
  <si>
    <t>2only</t>
  </si>
  <si>
    <t>ALQPM5579H</t>
  </si>
  <si>
    <t>SHYAMAL KUMAR MUKHERJEE</t>
  </si>
  <si>
    <t>Q017413006</t>
  </si>
  <si>
    <t>namd, dob</t>
  </si>
  <si>
    <t>Q017403288</t>
  </si>
  <si>
    <t>Sukumar Giri</t>
  </si>
  <si>
    <t>Q017402961</t>
  </si>
  <si>
    <t>Upendra kumar</t>
  </si>
  <si>
    <t>Q017403449</t>
  </si>
  <si>
    <t>Shahil Nandi</t>
  </si>
  <si>
    <t>Q017388153</t>
  </si>
  <si>
    <t>Kakoli Gupta</t>
  </si>
  <si>
    <t>Q017377399</t>
  </si>
  <si>
    <t>Rajeev Kumar Singh</t>
  </si>
  <si>
    <t>A103323452</t>
  </si>
  <si>
    <t>Raimani Hansda</t>
  </si>
  <si>
    <t>A103322550</t>
  </si>
  <si>
    <t>Sujal Kumar Mishra</t>
  </si>
  <si>
    <t>A103322781</t>
  </si>
  <si>
    <t>Putul Sen</t>
  </si>
  <si>
    <t>A103314344</t>
  </si>
  <si>
    <t>Aprajita</t>
  </si>
  <si>
    <t>Samir Sen</t>
  </si>
  <si>
    <t>A103322990</t>
  </si>
  <si>
    <t>A103321900</t>
  </si>
  <si>
    <t>Bheem Kumar Pandey</t>
  </si>
  <si>
    <t>Mahjabeen Kauser</t>
  </si>
  <si>
    <t>A103322264</t>
  </si>
  <si>
    <t>Q017403629</t>
  </si>
  <si>
    <t>Veena Khan</t>
  </si>
  <si>
    <t>Vikkey Kumar Ram</t>
  </si>
  <si>
    <t>A103454757</t>
  </si>
  <si>
    <t xml:space="preserve">BINAPANI </t>
  </si>
  <si>
    <t>Lok Bahadur Thapa</t>
  </si>
  <si>
    <t>AAPPT8026N</t>
  </si>
  <si>
    <t>nweb_sohom</t>
  </si>
  <si>
    <t>given for main on24-12-2024</t>
  </si>
  <si>
    <t>A103511052</t>
  </si>
  <si>
    <t>Ayush Kumar Gupta</t>
  </si>
  <si>
    <t>Shivam Gupta</t>
  </si>
  <si>
    <t>A103503911</t>
  </si>
  <si>
    <t>A103525513</t>
  </si>
  <si>
    <t>Krishna Mahato</t>
  </si>
  <si>
    <t>Md Sameer</t>
  </si>
  <si>
    <t>B Suchitra</t>
  </si>
  <si>
    <t>A103663970</t>
  </si>
  <si>
    <t>Anish Tantubai</t>
  </si>
  <si>
    <t>Tabassum Bano</t>
  </si>
  <si>
    <t>A103663850</t>
  </si>
  <si>
    <t>A103869813</t>
  </si>
  <si>
    <t>Gulnaj Khatoon</t>
  </si>
  <si>
    <t>digimode</t>
  </si>
  <si>
    <t>Tapan Ranjan Gupta</t>
  </si>
  <si>
    <t>rcvd</t>
  </si>
  <si>
    <t>A103936590</t>
  </si>
  <si>
    <t>Ritesh Mani Tripathi</t>
  </si>
  <si>
    <t>Faiz</t>
  </si>
  <si>
    <t>A103940459</t>
  </si>
  <si>
    <t>Priyanshu Chatterjee</t>
  </si>
  <si>
    <t>Q017657028</t>
  </si>
  <si>
    <t>Asim Khan</t>
  </si>
  <si>
    <t>Q017640979</t>
  </si>
  <si>
    <t>Amrendra Kumar</t>
  </si>
  <si>
    <t>Q017621425</t>
  </si>
  <si>
    <t>q017641138</t>
  </si>
  <si>
    <t>Subhashish som</t>
  </si>
  <si>
    <t>A104083221</t>
  </si>
  <si>
    <t>Ansh Kumar</t>
  </si>
  <si>
    <t>Asmat Ara</t>
  </si>
  <si>
    <t>Q017737277</t>
  </si>
  <si>
    <t>Radhe Shyam Mahato</t>
  </si>
  <si>
    <t>A104225603</t>
  </si>
  <si>
    <t>Amby Purty</t>
  </si>
  <si>
    <t>A104224068</t>
  </si>
  <si>
    <t>Chhayarani Mahato</t>
  </si>
  <si>
    <t>A104215483</t>
  </si>
  <si>
    <t>Aditya Pandey</t>
  </si>
  <si>
    <t>A104215162</t>
  </si>
  <si>
    <t>Rinky Karmakar</t>
  </si>
  <si>
    <t>A104214914</t>
  </si>
  <si>
    <t>A104214365</t>
  </si>
  <si>
    <t>Purbasha Roy</t>
  </si>
  <si>
    <t>A104173465</t>
  </si>
  <si>
    <t>Anjum Ara</t>
  </si>
  <si>
    <t>A104196792</t>
  </si>
  <si>
    <t>A104123710</t>
  </si>
  <si>
    <t>A104140895</t>
  </si>
  <si>
    <t>Mohammad Mozammil Raza</t>
  </si>
  <si>
    <t>A104283977</t>
  </si>
  <si>
    <t>Farhan Ahmed</t>
  </si>
  <si>
    <t>Ashish Karmkar</t>
  </si>
  <si>
    <t>A104284242</t>
  </si>
  <si>
    <t>Q017774024</t>
  </si>
  <si>
    <t>chandani perween</t>
  </si>
  <si>
    <t>Q017788543</t>
  </si>
  <si>
    <t>Rytisha Sengupta</t>
  </si>
  <si>
    <t>Q017782879</t>
  </si>
  <si>
    <t>A104359893</t>
  </si>
  <si>
    <t>A104352968</t>
  </si>
  <si>
    <t>Neha Verma</t>
  </si>
  <si>
    <t>Q017831993</t>
  </si>
  <si>
    <t>Sangita Verma</t>
  </si>
  <si>
    <t>A104455137</t>
  </si>
  <si>
    <t>Rita Thakur</t>
  </si>
  <si>
    <t>a104533079</t>
  </si>
  <si>
    <t>Prabjot Singh Mandley</t>
  </si>
  <si>
    <t>A104729905</t>
  </si>
  <si>
    <t>Zafar Khan</t>
  </si>
  <si>
    <t>A104583243</t>
  </si>
  <si>
    <t>Q017872787</t>
  </si>
  <si>
    <t>Mantosh Kumar Pandey</t>
  </si>
  <si>
    <t>Syed Mansoor Raza Karim</t>
  </si>
  <si>
    <t>Q017941456</t>
  </si>
  <si>
    <t>Madhabi Adhikari</t>
  </si>
  <si>
    <t>Q017955361</t>
  </si>
  <si>
    <t>Mohammed Nizamuddin</t>
  </si>
  <si>
    <t>Q017988782</t>
  </si>
  <si>
    <t>Sudip Kumar Mandal</t>
  </si>
  <si>
    <t>Syed Yusuf</t>
  </si>
  <si>
    <t>Arnav mal</t>
  </si>
  <si>
    <t>SHALU</t>
  </si>
  <si>
    <t>Satyajit mahata</t>
  </si>
  <si>
    <t>regn</t>
  </si>
  <si>
    <t>azhaan_nweb</t>
  </si>
  <si>
    <t>Azhaan Siddiqui</t>
  </si>
  <si>
    <t>A105311220</t>
  </si>
  <si>
    <t>A105310837</t>
  </si>
  <si>
    <t>Bhavna Jha</t>
  </si>
  <si>
    <t>A105356969</t>
  </si>
  <si>
    <t>Abhishek Sahu</t>
  </si>
  <si>
    <t>A105329100</t>
  </si>
  <si>
    <t>A105355735</t>
  </si>
  <si>
    <t>Laln Kumar Sharma</t>
  </si>
  <si>
    <t>A105355362</t>
  </si>
  <si>
    <t>Q018188909</t>
  </si>
  <si>
    <t>Md Sawood Khan</t>
  </si>
  <si>
    <t>A105307256</t>
  </si>
  <si>
    <t>Rita Sachdev</t>
  </si>
  <si>
    <t>A105300445</t>
  </si>
  <si>
    <t>Manish Rai</t>
  </si>
  <si>
    <t>Q018227568</t>
  </si>
  <si>
    <t>santosh kumar singh</t>
  </si>
  <si>
    <t>Aniket Sharma</t>
  </si>
  <si>
    <t>Q018225551</t>
  </si>
  <si>
    <t>Q018221992</t>
  </si>
  <si>
    <t>A105467898</t>
  </si>
  <si>
    <t>Laxmi Bodra</t>
  </si>
  <si>
    <t>A105549047</t>
  </si>
  <si>
    <t>Pintu Mahli</t>
  </si>
  <si>
    <t>A105573545</t>
  </si>
  <si>
    <t>Babli Kumari</t>
  </si>
  <si>
    <t>A105635599</t>
  </si>
  <si>
    <t>Shiva Dev</t>
  </si>
  <si>
    <t>A105645392</t>
  </si>
  <si>
    <t>Rabeena Lohar</t>
  </si>
  <si>
    <t>Anup Pramanik</t>
  </si>
  <si>
    <t>Mypass@2025</t>
  </si>
  <si>
    <t>applid for main</t>
  </si>
  <si>
    <t>Q018380507</t>
  </si>
  <si>
    <t>Binod HO</t>
  </si>
  <si>
    <t>Q018391922</t>
  </si>
  <si>
    <t>A105298734</t>
  </si>
  <si>
    <t>Karmakar Riya</t>
  </si>
  <si>
    <t>A105939383</t>
  </si>
  <si>
    <t>Anzar Imam</t>
  </si>
  <si>
    <t>Q018499461</t>
  </si>
  <si>
    <t>Dilip Kumar Singh</t>
  </si>
  <si>
    <t>Ladli Parween</t>
  </si>
  <si>
    <t>Q018508116</t>
  </si>
  <si>
    <t>A106210491</t>
  </si>
  <si>
    <t>Nilesh Kumar</t>
  </si>
  <si>
    <t>Jagdeep kumar das</t>
  </si>
  <si>
    <t>deilverd on 10-03-025</t>
  </si>
  <si>
    <t>reneuwa</t>
  </si>
  <si>
    <t>A106287705</t>
  </si>
  <si>
    <t>Prabhav Sinha</t>
  </si>
  <si>
    <t>Q018637197</t>
  </si>
  <si>
    <t>Rajesh Mukhi</t>
  </si>
  <si>
    <t>Md Hasan</t>
  </si>
  <si>
    <t>Hira Lal Prasad</t>
  </si>
  <si>
    <t>A106504971</t>
  </si>
  <si>
    <t>Ananya Choudhury</t>
  </si>
  <si>
    <t>A106568993</t>
  </si>
  <si>
    <t>Q018718230</t>
  </si>
  <si>
    <t>Dipali Gorai</t>
  </si>
  <si>
    <t>A106598086</t>
  </si>
  <si>
    <t>Sudebi Gorai</t>
  </si>
  <si>
    <t>A106639603</t>
  </si>
  <si>
    <t>Karuna Mahato</t>
  </si>
  <si>
    <t>A106695966</t>
  </si>
  <si>
    <t>Deba Lohar</t>
  </si>
  <si>
    <t>Sankari choudhury</t>
  </si>
  <si>
    <t>somenath choudhury</t>
  </si>
  <si>
    <t>Q018762035</t>
  </si>
  <si>
    <t>Ramaswamy Kuppan</t>
  </si>
  <si>
    <t>Q018761835</t>
  </si>
  <si>
    <t>Rambika Kumar</t>
  </si>
  <si>
    <t>A106785743</t>
  </si>
  <si>
    <t>Santi Munda</t>
  </si>
  <si>
    <t>A106786131</t>
  </si>
  <si>
    <t>Lalita Sandil</t>
  </si>
  <si>
    <t>Q018785303</t>
  </si>
  <si>
    <t>Chitta Ranjan Kar</t>
  </si>
  <si>
    <t>Q018796857</t>
  </si>
  <si>
    <t>Pinki Mukhi</t>
  </si>
  <si>
    <t>Q018825606</t>
  </si>
  <si>
    <t>Q018825689</t>
  </si>
  <si>
    <t>Tribhuwan prasad ver</t>
  </si>
  <si>
    <t>Doli Rani Mahato</t>
  </si>
  <si>
    <t>A106947385</t>
  </si>
  <si>
    <t>A106920955</t>
  </si>
  <si>
    <t>Phulkumari Singh</t>
  </si>
  <si>
    <t>Q018842796</t>
  </si>
  <si>
    <t>Mita Dutta Bhadra</t>
  </si>
  <si>
    <t>Q018869861</t>
  </si>
  <si>
    <t>kaushal kishor</t>
  </si>
  <si>
    <t>Q018880894</t>
  </si>
  <si>
    <t>Sanjay choudhary</t>
  </si>
  <si>
    <t>A107125006</t>
  </si>
  <si>
    <t>A107101829</t>
  </si>
  <si>
    <t>Love Gorai</t>
  </si>
  <si>
    <t>A107095828</t>
  </si>
  <si>
    <t>Laxmi Mukhi</t>
  </si>
  <si>
    <t>A107092827</t>
  </si>
  <si>
    <t>Dhirendra Nath Mahato</t>
  </si>
  <si>
    <t>Q018897702</t>
  </si>
  <si>
    <t>Apurva Neelam</t>
  </si>
  <si>
    <t>A018888761</t>
  </si>
  <si>
    <t>Mithu Gorai</t>
  </si>
  <si>
    <t>A107129755</t>
  </si>
  <si>
    <t>Asha Karan</t>
  </si>
  <si>
    <t>Q018952262</t>
  </si>
  <si>
    <t>Q018975797</t>
  </si>
  <si>
    <t>Malati Munda</t>
  </si>
  <si>
    <t>A107303161</t>
  </si>
  <si>
    <t>Mahima Shree</t>
  </si>
  <si>
    <t>Rashmi Choudhary</t>
  </si>
  <si>
    <t>A107350213</t>
  </si>
  <si>
    <t>Q018991687</t>
  </si>
  <si>
    <t>Ranjeet Kumar Mahato</t>
  </si>
  <si>
    <t>Q018991800</t>
  </si>
  <si>
    <t>Piyali Debnath</t>
  </si>
  <si>
    <t>Q019013567</t>
  </si>
  <si>
    <t>Biplab Das</t>
  </si>
  <si>
    <t>Abhay Kumar Das</t>
  </si>
  <si>
    <t>A107414640</t>
  </si>
  <si>
    <t>Q019019608</t>
  </si>
  <si>
    <t>Kishor Panday</t>
  </si>
  <si>
    <t>Jaleshwari Singh</t>
  </si>
  <si>
    <t>Pritam Sahu</t>
  </si>
  <si>
    <t>pritam_sahu</t>
  </si>
  <si>
    <t>nikhil_nweb</t>
  </si>
  <si>
    <t>Nikhil Kumar</t>
  </si>
  <si>
    <t>Arvind Kumar Mishra</t>
  </si>
  <si>
    <t>arind_nweb</t>
  </si>
  <si>
    <t>Payment done</t>
  </si>
  <si>
    <t>2 to 5 March</t>
  </si>
  <si>
    <t>A107447380</t>
  </si>
  <si>
    <t>A107508371</t>
  </si>
  <si>
    <t>Shikha Pandey</t>
  </si>
  <si>
    <t>A107492375</t>
  </si>
  <si>
    <t>Swetabh Mishra</t>
  </si>
  <si>
    <t>Q019067557</t>
  </si>
  <si>
    <t>ATRPR9969B</t>
  </si>
  <si>
    <t>Shek Rahman Mohammad Sabibur</t>
  </si>
  <si>
    <t>chaki_nweb</t>
  </si>
  <si>
    <t>Kunal kumar chaki</t>
  </si>
  <si>
    <t>Mousumi chaki</t>
  </si>
  <si>
    <t>Q019077967</t>
  </si>
  <si>
    <t>Maya Devi</t>
  </si>
  <si>
    <t>A107572551</t>
  </si>
  <si>
    <t>Rohit Lohar</t>
  </si>
  <si>
    <t>Q019078019</t>
  </si>
  <si>
    <t>delivered-18-04-2025</t>
  </si>
  <si>
    <t>Shamshad Khatoon</t>
  </si>
  <si>
    <t>Anshu Kumar</t>
  </si>
  <si>
    <t>Payment on 20-04-2025</t>
  </si>
  <si>
    <t>priya_nweb</t>
  </si>
  <si>
    <t>Deliverd on 22/04/2025</t>
  </si>
  <si>
    <t>mandley_nweb</t>
  </si>
  <si>
    <t>Balvir Kaur Mandley</t>
  </si>
  <si>
    <t>Q019129924</t>
  </si>
  <si>
    <t>Q019129516</t>
  </si>
  <si>
    <t>Umesh Prasad</t>
  </si>
  <si>
    <t>Q019100691</t>
  </si>
  <si>
    <t>Ujwal Tiu</t>
  </si>
  <si>
    <t>Durga Devi</t>
  </si>
  <si>
    <t>A107761070</t>
  </si>
  <si>
    <t>Chandini Parween</t>
  </si>
  <si>
    <t>A107806837</t>
  </si>
  <si>
    <t>Q019162188</t>
  </si>
  <si>
    <t>Q019162535</t>
  </si>
  <si>
    <t>Vijay kumar</t>
  </si>
  <si>
    <t>A107788921</t>
  </si>
  <si>
    <t>Tanuja Kumari</t>
  </si>
  <si>
    <t>A107890919</t>
  </si>
  <si>
    <t>Aditya Raj Pandey</t>
  </si>
  <si>
    <t>A107893735</t>
  </si>
  <si>
    <t>Q019203014</t>
  </si>
  <si>
    <t>Ruma Biswas</t>
  </si>
  <si>
    <t>AIBPB3061F</t>
  </si>
  <si>
    <t>A107893300</t>
  </si>
  <si>
    <t>Lakki Mukhi</t>
  </si>
  <si>
    <t>A107893880</t>
  </si>
  <si>
    <t>Avneet Singh Babrah</t>
  </si>
  <si>
    <t>avneet_nweb</t>
  </si>
  <si>
    <t xml:space="preserve">Ppayement Due </t>
  </si>
  <si>
    <t>Ruma Mukherjee</t>
  </si>
  <si>
    <t>tapan_nweb</t>
  </si>
  <si>
    <t>Tapan Kant Mukherjee</t>
  </si>
  <si>
    <t>alok reuploaded</t>
  </si>
  <si>
    <t>A107920554</t>
  </si>
  <si>
    <t>Pragya Pandey</t>
  </si>
  <si>
    <t>Kumud pandey</t>
  </si>
  <si>
    <t>A107920295</t>
  </si>
  <si>
    <t>q019237475</t>
  </si>
  <si>
    <t>Lipa Pattanaik</t>
  </si>
  <si>
    <t>Sampa Rani das</t>
  </si>
  <si>
    <t>A107984448</t>
  </si>
  <si>
    <t>Sushanto Majumdar</t>
  </si>
  <si>
    <t>A107984179</t>
  </si>
  <si>
    <t>reregn</t>
  </si>
  <si>
    <t>Ankit Sarkar</t>
  </si>
  <si>
    <t>Supriya_nweb</t>
  </si>
  <si>
    <t>Manoranjan Dey</t>
  </si>
  <si>
    <t>Shakir Ali</t>
  </si>
  <si>
    <t>shakir_nweb</t>
  </si>
  <si>
    <t>q019291854</t>
  </si>
  <si>
    <t>Awanish Kumar</t>
  </si>
  <si>
    <t>Shiv Kishor Singh</t>
  </si>
  <si>
    <t>SHIVA_NWEB</t>
  </si>
  <si>
    <t>Chandana Maity</t>
  </si>
  <si>
    <t>GBXPM3382M</t>
  </si>
  <si>
    <t>AREPY0323P</t>
  </si>
  <si>
    <t>Ranjana Kumari</t>
  </si>
  <si>
    <t>Prem Kumar Mahanty</t>
  </si>
  <si>
    <t>Suchita Devi</t>
  </si>
  <si>
    <t>Purnima Sahu</t>
  </si>
  <si>
    <t>Ananya Tiwary</t>
  </si>
  <si>
    <t>A108249205</t>
  </si>
  <si>
    <t>Q019337136</t>
  </si>
  <si>
    <t>A108245418</t>
  </si>
  <si>
    <t>LL 09-06-2025</t>
  </si>
  <si>
    <t>Kusum Devi</t>
  </si>
  <si>
    <t>Satakshi</t>
  </si>
  <si>
    <t>A108263010</t>
  </si>
  <si>
    <t>Fatma Khatoon</t>
  </si>
  <si>
    <t>A108271952</t>
  </si>
  <si>
    <t>A108272122</t>
  </si>
  <si>
    <t>A108272363</t>
  </si>
  <si>
    <t>Rashiqua Menal</t>
  </si>
  <si>
    <t>menal_nweb</t>
  </si>
  <si>
    <t>Surya Kant Sharma</t>
  </si>
  <si>
    <t>Jaspreet singh</t>
  </si>
  <si>
    <t>Q019375335</t>
  </si>
  <si>
    <t>Sanya Tabassum</t>
  </si>
  <si>
    <t>A108405303</t>
  </si>
  <si>
    <t>SHREENIDHI PUSHKAR</t>
  </si>
  <si>
    <t>Umesh Kumar Prasad</t>
  </si>
  <si>
    <t>Q019383114</t>
  </si>
  <si>
    <t>Q019381409</t>
  </si>
  <si>
    <t>Puja Gorai</t>
  </si>
  <si>
    <t>A108369688</t>
  </si>
  <si>
    <t>SHABNAM JAHAN</t>
  </si>
  <si>
    <t>Anubhav Kundu</t>
  </si>
  <si>
    <t>Mohammad Jamshed Ali</t>
  </si>
  <si>
    <t>Jatin Pandey</t>
  </si>
  <si>
    <t>Q019417109</t>
  </si>
  <si>
    <t>Q019410089</t>
  </si>
  <si>
    <t>A108434449</t>
  </si>
  <si>
    <t>A108434758</t>
  </si>
  <si>
    <t>A108435448</t>
  </si>
  <si>
    <t>A108433136</t>
  </si>
  <si>
    <t>Shivapriya Santosh</t>
  </si>
  <si>
    <t>A108405996</t>
  </si>
  <si>
    <t>Sanjay Yadav</t>
  </si>
  <si>
    <t>Q019432909</t>
  </si>
  <si>
    <t>Santosh Gupta</t>
  </si>
  <si>
    <t>A108496238</t>
  </si>
  <si>
    <t>A108495982</t>
  </si>
  <si>
    <t>Abhinav Raj</t>
  </si>
  <si>
    <t>Q019336379</t>
  </si>
  <si>
    <t>Manoranjan Giri</t>
  </si>
  <si>
    <t>Q019498475</t>
  </si>
  <si>
    <t>Sanjay Kumar Sinha</t>
  </si>
  <si>
    <t>Puja Lohar</t>
  </si>
  <si>
    <t>Q019498401</t>
  </si>
  <si>
    <t>A108668241</t>
  </si>
  <si>
    <t>Full remaining payement received 24-05-2025</t>
  </si>
  <si>
    <t>Q019505289</t>
  </si>
  <si>
    <t>Malti Devi</t>
  </si>
  <si>
    <t>Ayush Kumar Sinha</t>
  </si>
  <si>
    <t>ayushk_nweb</t>
  </si>
  <si>
    <t>Q019505194</t>
  </si>
  <si>
    <t>Q019529033</t>
  </si>
  <si>
    <t>Amullo Mahato</t>
  </si>
  <si>
    <t>Q108748443</t>
  </si>
  <si>
    <t>Pathak Gudiya Rajkishor</t>
  </si>
  <si>
    <t>SONALI SARKR</t>
  </si>
  <si>
    <t>Sarkar@1974</t>
  </si>
  <si>
    <t>AIEPG1370M</t>
  </si>
  <si>
    <t>MANOJ KUMAR GUPTA</t>
  </si>
  <si>
    <t>??</t>
  </si>
  <si>
    <t>Q019560682</t>
  </si>
  <si>
    <t>Arinima Das</t>
  </si>
  <si>
    <t>Fiza Jahan</t>
  </si>
  <si>
    <t>A108841434</t>
  </si>
  <si>
    <t>A108790563</t>
  </si>
  <si>
    <t>Usha kumari</t>
  </si>
  <si>
    <t>Radha Kumari</t>
  </si>
  <si>
    <t>Q019251203</t>
  </si>
  <si>
    <t>Niharbala Mohanty</t>
  </si>
  <si>
    <t>A108821765</t>
  </si>
  <si>
    <t>Nishtha Kumari</t>
  </si>
  <si>
    <t>A108821986</t>
  </si>
  <si>
    <t>Q019557418</t>
  </si>
  <si>
    <t>Sundar Kumar</t>
  </si>
  <si>
    <t>Binayak Bibek Das</t>
  </si>
  <si>
    <t>Q019537144</t>
  </si>
  <si>
    <t>Q019557548</t>
  </si>
  <si>
    <t>Beauty Tewary</t>
  </si>
  <si>
    <t>Q019531791</t>
  </si>
  <si>
    <t>Bobby choudhury</t>
  </si>
  <si>
    <t>Ayesha Khan</t>
  </si>
  <si>
    <t>Sudipto Biswas</t>
  </si>
  <si>
    <t>Rohit Lohra</t>
  </si>
  <si>
    <t>Manprit kaur</t>
  </si>
  <si>
    <t>add 4wh</t>
  </si>
  <si>
    <t>q019590064</t>
  </si>
  <si>
    <t>a108904415</t>
  </si>
  <si>
    <t>Q019590066</t>
  </si>
  <si>
    <t>q019601614</t>
  </si>
  <si>
    <t>Jai Prakash gupta</t>
  </si>
  <si>
    <t>R Priya</t>
  </si>
  <si>
    <t>Pintu Kumar</t>
  </si>
  <si>
    <t>Q019622243</t>
  </si>
  <si>
    <t>Shahare Alam Khan</t>
  </si>
  <si>
    <t>Sakcham</t>
  </si>
  <si>
    <t>A108989443</t>
  </si>
  <si>
    <t>A108989440</t>
  </si>
  <si>
    <t>Sanjana Kumari</t>
  </si>
  <si>
    <t>Q019622247</t>
  </si>
  <si>
    <t>Jagdish1958@</t>
  </si>
  <si>
    <t>Q019651785</t>
  </si>
  <si>
    <t>Nitish Kr Karmakar</t>
  </si>
  <si>
    <t>Q019622250</t>
  </si>
  <si>
    <t>A108950540</t>
  </si>
  <si>
    <t>7979+052016</t>
  </si>
  <si>
    <t>Sourav Kumar Gangul</t>
  </si>
  <si>
    <t>Q019662172</t>
  </si>
  <si>
    <t>Sumitra Sahay</t>
  </si>
  <si>
    <t>Q019669026</t>
  </si>
  <si>
    <t>Ashwini Sardar</t>
  </si>
  <si>
    <t>A109114201</t>
  </si>
  <si>
    <t>A109142756</t>
  </si>
  <si>
    <t>Shreya Verma</t>
  </si>
  <si>
    <t>Q019680282</t>
  </si>
  <si>
    <t>Komal Kumari</t>
  </si>
  <si>
    <t>Kiran1970#</t>
  </si>
  <si>
    <t>ABEPU8610M</t>
  </si>
  <si>
    <t>Kiran Upadhyay</t>
  </si>
  <si>
    <t>AXLPB0479J</t>
  </si>
  <si>
    <t>Q019684050</t>
  </si>
  <si>
    <t>Abhishek kumr singh</t>
  </si>
  <si>
    <t>A109156567</t>
  </si>
  <si>
    <t>Rita Singh</t>
  </si>
  <si>
    <t>BGJPD0238B</t>
  </si>
  <si>
    <t>SOMA DUTTA</t>
  </si>
  <si>
    <t>Soma@0830</t>
  </si>
  <si>
    <t>05-07-0830</t>
  </si>
  <si>
    <t>?</t>
  </si>
  <si>
    <t>Aliza Khatoon</t>
  </si>
  <si>
    <t>Bishnu Mahato</t>
  </si>
  <si>
    <t>Khwaish Kumari</t>
  </si>
  <si>
    <t>Amit Pramanik</t>
  </si>
  <si>
    <t>CXJPP7911H</t>
  </si>
  <si>
    <t>SHIVA PRAMANIK</t>
  </si>
  <si>
    <t>sHIVA@2025</t>
  </si>
  <si>
    <t>A109179541</t>
  </si>
  <si>
    <t>A109184166</t>
  </si>
  <si>
    <t>gouri_nweb</t>
  </si>
  <si>
    <t>Gouri Biswas</t>
  </si>
  <si>
    <t>13-06-2025 LL test</t>
  </si>
  <si>
    <t>19-06-2025 ll test</t>
  </si>
  <si>
    <t>A109195868</t>
  </si>
  <si>
    <t>A109196207</t>
  </si>
  <si>
    <t>arspa8650m</t>
  </si>
  <si>
    <t>Md sohrab ansari</t>
  </si>
  <si>
    <t>Sohrab@2025_</t>
  </si>
  <si>
    <t>AWWPM9672J</t>
  </si>
  <si>
    <t>RVINDRA KUMAR MISHRA</t>
  </si>
  <si>
    <t>Mishra@2025</t>
  </si>
  <si>
    <t>A109263438</t>
  </si>
  <si>
    <t>Sanish Kumar</t>
  </si>
  <si>
    <t>A109263253</t>
  </si>
  <si>
    <t>Mohammed Sohail</t>
  </si>
  <si>
    <t>Q019730167</t>
  </si>
  <si>
    <t>Mantasha mumtaz</t>
  </si>
  <si>
    <t>BEJPS1277P</t>
  </si>
  <si>
    <t>BIRENDRA KUMAR SINGH</t>
  </si>
  <si>
    <t>Singh2025#</t>
  </si>
  <si>
    <t>A109305904</t>
  </si>
  <si>
    <t>Ibtesam Ahmed</t>
  </si>
  <si>
    <t>Q019744779</t>
  </si>
  <si>
    <t>Q019744921</t>
  </si>
  <si>
    <t>Raushni pathak</t>
  </si>
  <si>
    <t>Q019770404</t>
  </si>
  <si>
    <t>gurvinder kaur dhillon</t>
  </si>
  <si>
    <t>Q019770530</t>
  </si>
  <si>
    <t>Q019657472</t>
  </si>
  <si>
    <t>Souvik mandal</t>
  </si>
  <si>
    <t>A109413925</t>
  </si>
  <si>
    <t>A109414973</t>
  </si>
  <si>
    <t>Ramanand Pandey</t>
  </si>
  <si>
    <t>01-011960</t>
  </si>
  <si>
    <t>A109414291</t>
  </si>
  <si>
    <t>Arun Karmakar</t>
  </si>
  <si>
    <t>?????</t>
  </si>
  <si>
    <t>A109447668</t>
  </si>
  <si>
    <t>Samir Karmakar</t>
  </si>
  <si>
    <t>Runa Bhandari</t>
  </si>
  <si>
    <t>A109447483</t>
  </si>
  <si>
    <t>BTCPK9162P</t>
  </si>
  <si>
    <t>kHAN@2025#</t>
  </si>
  <si>
    <t>AGCPN3872B</t>
  </si>
  <si>
    <t>ANJALI NAYAK</t>
  </si>
  <si>
    <t>Nayak@2025#</t>
  </si>
  <si>
    <t>Jay prakash singh</t>
  </si>
  <si>
    <t>ASHPS5845C</t>
  </si>
  <si>
    <t>Prakash@2025#</t>
  </si>
  <si>
    <t>AEIPS8514B</t>
  </si>
  <si>
    <t>bua dutt sharma</t>
  </si>
  <si>
    <t>Lakshya@3001</t>
  </si>
  <si>
    <t>Jayendra Pandey</t>
  </si>
  <si>
    <t>aaspi7033b</t>
  </si>
  <si>
    <t>saiful islam</t>
  </si>
  <si>
    <t>Islam@2025#</t>
  </si>
  <si>
    <t>Singh@1972@</t>
  </si>
  <si>
    <t>Jitesh Singh</t>
  </si>
  <si>
    <t>A109602829</t>
  </si>
  <si>
    <t>A109618874</t>
  </si>
  <si>
    <t>Harshita Kumari</t>
  </si>
  <si>
    <t>Anara Devi</t>
  </si>
  <si>
    <t>Q019865110</t>
  </si>
  <si>
    <t>A109600758</t>
  </si>
  <si>
    <t>Q1019857108</t>
  </si>
  <si>
    <t>prabir_nweb</t>
  </si>
  <si>
    <t>k rajshree</t>
  </si>
  <si>
    <t>prabir kumar das</t>
  </si>
  <si>
    <t>prity das</t>
  </si>
  <si>
    <t>GNBPM7332B</t>
  </si>
  <si>
    <t xml:space="preserve">Chhaya </t>
  </si>
  <si>
    <t>Chhaya@2003</t>
  </si>
  <si>
    <t>JBSPM0984D</t>
  </si>
  <si>
    <t>Munda@01</t>
  </si>
  <si>
    <t>HCMPM0916A</t>
  </si>
  <si>
    <t>Nupur@02</t>
  </si>
  <si>
    <t>Thakurbati Munda</t>
  </si>
  <si>
    <t>A109663493</t>
  </si>
  <si>
    <t>BNBPD1647M</t>
  </si>
  <si>
    <t>Vishnu pado ruhidas</t>
  </si>
  <si>
    <t>JaiBheem@123</t>
  </si>
  <si>
    <t>Ashesh Kumar Singh</t>
  </si>
  <si>
    <t>CSUPS5108P</t>
  </si>
  <si>
    <t>Partha Sarkar</t>
  </si>
  <si>
    <t>Sarkar@2025#</t>
  </si>
  <si>
    <t>Sobha Giri</t>
  </si>
  <si>
    <t>Gorai@2025#</t>
  </si>
  <si>
    <t>Samreen anjum</t>
  </si>
  <si>
    <t>chaibsa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</si>
</sst>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7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i/>
      <sz val="12"/>
      <color rgb="FFA52A2A"/>
      <name val="Calibri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1"/>
      <color theme="10"/>
      <name val="Calibri"/>
      <family val="2"/>
    </font>
    <font>
      <i/>
      <sz val="12"/>
      <color rgb="FF000000"/>
      <name val="Arial"/>
      <family val="2"/>
    </font>
    <font>
      <i/>
      <u/>
      <sz val="10"/>
      <color rgb="FF66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i/>
      <u/>
      <sz val="10"/>
      <color rgb="FF034DA3"/>
      <name val="Arial"/>
      <family val="2"/>
    </font>
    <font>
      <b/>
      <sz val="9"/>
      <color rgb="FF333333"/>
      <name val="Trebuchet MS"/>
      <family val="2"/>
    </font>
    <font>
      <sz val="10"/>
      <color rgb="FF22222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242E66"/>
      <name val="Verdana"/>
      <family val="2"/>
    </font>
    <font>
      <sz val="11"/>
      <color rgb="FFE36C09"/>
      <name val="Calibri"/>
      <family val="2"/>
    </font>
    <font>
      <b/>
      <sz val="14"/>
      <color rgb="FF000000"/>
      <name val="Times New Roman"/>
      <family val="1"/>
    </font>
    <font>
      <b/>
      <sz val="8"/>
      <color rgb="FF242E66"/>
      <name val="Verdana"/>
      <family val="2"/>
    </font>
    <font>
      <sz val="11"/>
      <color theme="10"/>
      <name val="Calibri"/>
      <family val="2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Arial"/>
      <family val="2"/>
    </font>
    <font>
      <sz val="11"/>
      <color rgb="FF0070C0"/>
      <name val="Calibri"/>
      <family val="2"/>
    </font>
    <font>
      <sz val="11"/>
      <color rgb="FF00B050"/>
      <name val="Calibri"/>
      <family val="2"/>
    </font>
    <font>
      <sz val="11"/>
      <color theme="1"/>
      <name val="Calibri"/>
      <family val="2"/>
      <scheme val="minor"/>
    </font>
    <font>
      <sz val="9"/>
      <color rgb="FF00B050"/>
      <name val="Arial"/>
      <family val="2"/>
    </font>
    <font>
      <sz val="9"/>
      <color theme="1"/>
      <name val="Arial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u/>
      <sz val="9"/>
      <color rgb="FF000000"/>
      <name val="Arial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  <font>
      <b/>
      <sz val="14"/>
      <color rgb="FF00B050"/>
      <name val="Calibri"/>
      <family val="2"/>
    </font>
    <font>
      <sz val="14"/>
      <color rgb="FF0070C0"/>
      <name val="Calibri"/>
      <family val="2"/>
    </font>
    <font>
      <b/>
      <u/>
      <sz val="14"/>
      <color rgb="FF00B050"/>
      <name val="Calibri"/>
      <family val="2"/>
    </font>
    <font>
      <b/>
      <u/>
      <sz val="11"/>
      <color rgb="FF00B050"/>
      <name val="Calibri"/>
      <family val="2"/>
    </font>
    <font>
      <b/>
      <sz val="11"/>
      <color rgb="FF00B050"/>
      <name val="Arial"/>
      <family val="2"/>
    </font>
    <font>
      <b/>
      <u/>
      <sz val="14"/>
      <color rgb="FF00B050"/>
      <name val="Calibri"/>
      <family val="2"/>
    </font>
    <font>
      <u/>
      <sz val="14"/>
      <color rgb="FF0000FF"/>
      <name val="Calibri"/>
      <family val="2"/>
    </font>
    <font>
      <sz val="14"/>
      <color rgb="FF00B050"/>
      <name val="Calibri"/>
      <family val="2"/>
    </font>
    <font>
      <u/>
      <sz val="14"/>
      <color theme="10"/>
      <name val="Calibri"/>
      <family val="2"/>
    </font>
    <font>
      <b/>
      <sz val="14"/>
      <color rgb="FF00000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Calibri"/>
      <family val="2"/>
    </font>
    <font>
      <b/>
      <sz val="11"/>
      <color rgb="FF4DA9FF"/>
      <name val="Arial"/>
      <family val="2"/>
    </font>
    <font>
      <b/>
      <u/>
      <sz val="11"/>
      <color rgb="FF2A6496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0"/>
      <name val="Calibri"/>
      <family val="2"/>
    </font>
    <font>
      <u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FF"/>
      <name val="Arial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Roboto"/>
    </font>
    <font>
      <u/>
      <sz val="11"/>
      <color rgb="FFFF0000"/>
      <name val="Calibri"/>
      <family val="2"/>
      <scheme val="minor"/>
    </font>
    <font>
      <b/>
      <sz val="11"/>
      <color rgb="FF484646"/>
      <name val="Arial"/>
      <family val="2"/>
    </font>
    <font>
      <sz val="14"/>
      <color rgb="FFFF0000"/>
      <name val="Calibri"/>
      <family val="2"/>
      <scheme val="minor"/>
    </font>
    <font>
      <sz val="10"/>
      <color rgb="FF000000"/>
      <name val="Trebuchet MS"/>
      <family val="2"/>
    </font>
    <font>
      <b/>
      <sz val="11"/>
      <color rgb="FF212529"/>
      <name val="Times New Roman"/>
      <family val="1"/>
    </font>
    <font>
      <b/>
      <sz val="8"/>
      <name val="Poppins"/>
    </font>
    <font>
      <sz val="11"/>
      <color theme="1"/>
      <name val="Roboto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E36C09"/>
        <bgColor rgb="FFE36C09"/>
      </patternFill>
    </fill>
    <fill>
      <patternFill patternType="solid">
        <fgColor rgb="FFFFFFFF"/>
        <bgColor rgb="FFFFFFFF"/>
      </patternFill>
    </fill>
    <fill>
      <patternFill patternType="solid">
        <fgColor rgb="FFF6F7F8"/>
        <bgColor rgb="FFF6F7F8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3DCFB"/>
        <bgColor indexed="64"/>
      </patternFill>
    </fill>
    <fill>
      <patternFill patternType="solid">
        <fgColor rgb="FFA6C2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854" fillId="0" borderId="0" applyNumberFormat="0" applyFill="0" applyBorder="0" applyAlignment="0" applyProtection="0"/>
    <xf numFmtId="0" fontId="866" fillId="12" borderId="0" applyNumberFormat="0" applyBorder="0" applyAlignment="0" applyProtection="0"/>
  </cellStyleXfs>
  <cellXfs count="1625">
    <xf numFmtId="0" fontId="0" fillId="0" borderId="0" xfId="0"/>
    <xf numFmtId="14" fontId="795" fillId="0" borderId="0" xfId="0" applyNumberFormat="1" applyFont="1"/>
    <xf numFmtId="0" fontId="795" fillId="0" borderId="0" xfId="0" applyFont="1" applyAlignment="1">
      <alignment horizontal="center"/>
    </xf>
    <xf numFmtId="0" fontId="795" fillId="0" borderId="0" xfId="0" applyFont="1"/>
    <xf numFmtId="0" fontId="795" fillId="0" borderId="0" xfId="0" applyFont="1" applyAlignment="1">
      <alignment horizontal="left"/>
    </xf>
    <xf numFmtId="0" fontId="795" fillId="2" borderId="1" xfId="0" applyFont="1" applyFill="1" applyBorder="1" applyAlignment="1">
      <alignment horizontal="left"/>
    </xf>
    <xf numFmtId="0" fontId="795" fillId="3" borderId="1" xfId="0" applyFont="1" applyFill="1" applyBorder="1"/>
    <xf numFmtId="0" fontId="795" fillId="4" borderId="1" xfId="0" applyFont="1" applyFill="1" applyBorder="1"/>
    <xf numFmtId="2" fontId="795" fillId="0" borderId="0" xfId="0" applyNumberFormat="1" applyFont="1"/>
    <xf numFmtId="1" fontId="795" fillId="0" borderId="0" xfId="0" applyNumberFormat="1" applyFont="1"/>
    <xf numFmtId="0" fontId="796" fillId="0" borderId="0" xfId="0" applyFont="1" applyAlignment="1">
      <alignment horizontal="center"/>
    </xf>
    <xf numFmtId="0" fontId="796" fillId="0" borderId="0" xfId="0" applyFont="1"/>
    <xf numFmtId="0" fontId="795" fillId="0" borderId="0" xfId="0" applyFont="1" applyAlignment="1">
      <alignment horizontal="right"/>
    </xf>
    <xf numFmtId="14" fontId="795" fillId="0" borderId="0" xfId="0" applyNumberFormat="1" applyFont="1" applyAlignment="1">
      <alignment horizontal="right"/>
    </xf>
    <xf numFmtId="49" fontId="795" fillId="0" borderId="0" xfId="0" applyNumberFormat="1" applyFont="1"/>
    <xf numFmtId="49" fontId="795" fillId="0" borderId="0" xfId="0" applyNumberFormat="1" applyFont="1" applyAlignment="1">
      <alignment horizontal="center"/>
    </xf>
    <xf numFmtId="14" fontId="795" fillId="0" borderId="0" xfId="0" applyNumberFormat="1" applyFont="1" applyAlignment="1">
      <alignment horizontal="center"/>
    </xf>
    <xf numFmtId="15" fontId="795" fillId="0" borderId="0" xfId="0" applyNumberFormat="1" applyFont="1" applyAlignment="1">
      <alignment horizontal="right"/>
    </xf>
    <xf numFmtId="15" fontId="795" fillId="0" borderId="0" xfId="0" applyNumberFormat="1" applyFont="1" applyAlignment="1">
      <alignment horizontal="left"/>
    </xf>
    <xf numFmtId="14" fontId="795" fillId="0" borderId="0" xfId="0" applyNumberFormat="1" applyFont="1" applyAlignment="1">
      <alignment horizontal="left"/>
    </xf>
    <xf numFmtId="0" fontId="797" fillId="0" borderId="0" xfId="0" applyFont="1"/>
    <xf numFmtId="14" fontId="797" fillId="0" borderId="0" xfId="0" applyNumberFormat="1" applyFont="1" applyAlignment="1">
      <alignment horizontal="right"/>
    </xf>
    <xf numFmtId="15" fontId="798" fillId="0" borderId="0" xfId="0" applyNumberFormat="1" applyFont="1" applyAlignment="1">
      <alignment horizontal="right"/>
    </xf>
    <xf numFmtId="15" fontId="798" fillId="0" borderId="0" xfId="0" applyNumberFormat="1" applyFont="1"/>
    <xf numFmtId="0" fontId="798" fillId="0" borderId="0" xfId="0" applyFont="1"/>
    <xf numFmtId="0" fontId="798" fillId="0" borderId="0" xfId="0" applyFont="1" applyAlignment="1">
      <alignment horizontal="right"/>
    </xf>
    <xf numFmtId="0" fontId="799" fillId="0" borderId="0" xfId="0" applyFont="1"/>
    <xf numFmtId="0" fontId="800" fillId="0" borderId="0" xfId="0" applyFont="1" applyAlignment="1">
      <alignment horizontal="right" vertical="center" wrapText="1"/>
    </xf>
    <xf numFmtId="0" fontId="800" fillId="0" borderId="0" xfId="0" applyFont="1" applyAlignment="1">
      <alignment horizontal="left" vertical="center" wrapText="1"/>
    </xf>
    <xf numFmtId="0" fontId="797" fillId="0" borderId="0" xfId="0" applyFont="1" applyAlignment="1">
      <alignment vertical="center" wrapText="1"/>
    </xf>
    <xf numFmtId="0" fontId="795" fillId="0" borderId="0" xfId="0" applyFont="1" applyAlignment="1">
      <alignment horizontal="right" vertical="center" wrapText="1"/>
    </xf>
    <xf numFmtId="0" fontId="795" fillId="0" borderId="0" xfId="0" applyFont="1" applyAlignment="1">
      <alignment vertical="center" wrapText="1"/>
    </xf>
    <xf numFmtId="15" fontId="800" fillId="0" borderId="0" xfId="0" applyNumberFormat="1" applyFont="1" applyAlignment="1">
      <alignment horizontal="right" vertical="center" wrapText="1"/>
    </xf>
    <xf numFmtId="0" fontId="799" fillId="0" borderId="0" xfId="0" applyFont="1" applyAlignment="1">
      <alignment vertical="center" wrapText="1"/>
    </xf>
    <xf numFmtId="0" fontId="801" fillId="0" borderId="0" xfId="0" applyFont="1"/>
    <xf numFmtId="0" fontId="795" fillId="0" borderId="0" xfId="0" applyFont="1" applyAlignment="1">
      <alignment wrapText="1"/>
    </xf>
    <xf numFmtId="0" fontId="795" fillId="3" borderId="1" xfId="0" applyFont="1" applyFill="1" applyBorder="1" applyAlignment="1">
      <alignment horizontal="center"/>
    </xf>
    <xf numFmtId="49" fontId="795" fillId="3" borderId="1" xfId="0" applyNumberFormat="1" applyFont="1" applyFill="1" applyBorder="1"/>
    <xf numFmtId="49" fontId="795" fillId="3" borderId="1" xfId="0" applyNumberFormat="1" applyFont="1" applyFill="1" applyBorder="1" applyAlignment="1">
      <alignment horizontal="center"/>
    </xf>
    <xf numFmtId="14" fontId="795" fillId="3" borderId="1" xfId="0" applyNumberFormat="1" applyFont="1" applyFill="1" applyBorder="1" applyAlignment="1">
      <alignment horizontal="center"/>
    </xf>
    <xf numFmtId="0" fontId="802" fillId="0" borderId="0" xfId="0" applyFont="1" applyAlignment="1">
      <alignment horizontal="left" vertical="center" wrapText="1"/>
    </xf>
    <xf numFmtId="0" fontId="803" fillId="0" borderId="0" xfId="0" applyFont="1" applyAlignment="1">
      <alignment horizontal="left" vertical="center" wrapText="1"/>
    </xf>
    <xf numFmtId="15" fontId="800" fillId="0" borderId="0" xfId="0" applyNumberFormat="1" applyFont="1" applyAlignment="1">
      <alignment horizontal="left" vertical="center" wrapText="1"/>
    </xf>
    <xf numFmtId="0" fontId="804" fillId="0" borderId="0" xfId="0" applyFont="1"/>
    <xf numFmtId="0" fontId="805" fillId="0" borderId="0" xfId="0" applyFont="1"/>
    <xf numFmtId="0" fontId="806" fillId="0" borderId="0" xfId="0" applyFont="1" applyAlignment="1">
      <alignment horizontal="right" vertical="center" wrapText="1"/>
    </xf>
    <xf numFmtId="0" fontId="806" fillId="0" borderId="0" xfId="0" applyFont="1" applyAlignment="1">
      <alignment horizontal="left" vertical="center" wrapText="1"/>
    </xf>
    <xf numFmtId="0" fontId="807" fillId="0" borderId="0" xfId="0" applyFont="1" applyAlignment="1">
      <alignment horizontal="left" vertical="center" wrapText="1"/>
    </xf>
    <xf numFmtId="0" fontId="795" fillId="5" borderId="1" xfId="0" applyFont="1" applyFill="1" applyBorder="1" applyAlignment="1">
      <alignment horizontal="center"/>
    </xf>
    <xf numFmtId="49" fontId="795" fillId="5" borderId="1" xfId="0" applyNumberFormat="1" applyFont="1" applyFill="1" applyBorder="1"/>
    <xf numFmtId="0" fontId="795" fillId="5" borderId="1" xfId="0" applyFont="1" applyFill="1" applyBorder="1"/>
    <xf numFmtId="49" fontId="795" fillId="5" borderId="1" xfId="0" applyNumberFormat="1" applyFont="1" applyFill="1" applyBorder="1" applyAlignment="1">
      <alignment horizontal="center"/>
    </xf>
    <xf numFmtId="14" fontId="795" fillId="5" borderId="1" xfId="0" applyNumberFormat="1" applyFont="1" applyFill="1" applyBorder="1" applyAlignment="1">
      <alignment horizontal="center"/>
    </xf>
    <xf numFmtId="0" fontId="799" fillId="5" borderId="1" xfId="0" applyFont="1" applyFill="1" applyBorder="1"/>
    <xf numFmtId="0" fontId="795" fillId="5" borderId="1" xfId="0" applyFont="1" applyFill="1" applyBorder="1" applyAlignment="1">
      <alignment horizontal="right"/>
    </xf>
    <xf numFmtId="0" fontId="795" fillId="5" borderId="1" xfId="0" applyFont="1" applyFill="1" applyBorder="1" applyAlignment="1">
      <alignment horizontal="left"/>
    </xf>
    <xf numFmtId="0" fontId="808" fillId="0" borderId="0" xfId="0" applyFont="1"/>
    <xf numFmtId="0" fontId="809" fillId="0" borderId="0" xfId="0" applyFont="1"/>
    <xf numFmtId="49" fontId="804" fillId="0" borderId="0" xfId="0" applyNumberFormat="1" applyFont="1"/>
    <xf numFmtId="49" fontId="804" fillId="0" borderId="0" xfId="0" applyNumberFormat="1" applyFont="1" applyAlignment="1">
      <alignment horizontal="center"/>
    </xf>
    <xf numFmtId="14" fontId="804" fillId="0" borderId="0" xfId="0" applyNumberFormat="1" applyFont="1" applyAlignment="1">
      <alignment horizontal="center"/>
    </xf>
    <xf numFmtId="0" fontId="804" fillId="0" borderId="0" xfId="0" applyFont="1" applyAlignment="1">
      <alignment horizontal="center"/>
    </xf>
    <xf numFmtId="0" fontId="804" fillId="0" borderId="0" xfId="0" applyFont="1" applyAlignment="1">
      <alignment horizontal="right"/>
    </xf>
    <xf numFmtId="0" fontId="795" fillId="0" borderId="2" xfId="0" applyFont="1" applyBorder="1" applyAlignment="1">
      <alignment vertical="center" wrapText="1"/>
    </xf>
    <xf numFmtId="0" fontId="795" fillId="0" borderId="3" xfId="0" applyFont="1" applyBorder="1" applyAlignment="1">
      <alignment vertical="center" wrapText="1"/>
    </xf>
    <xf numFmtId="0" fontId="795" fillId="2" borderId="1" xfId="0" applyFont="1" applyFill="1" applyBorder="1" applyAlignment="1">
      <alignment horizontal="center"/>
    </xf>
    <xf numFmtId="0" fontId="795" fillId="2" borderId="1" xfId="0" applyFont="1" applyFill="1" applyBorder="1"/>
    <xf numFmtId="49" fontId="795" fillId="2" borderId="1" xfId="0" applyNumberFormat="1" applyFont="1" applyFill="1" applyBorder="1" applyAlignment="1">
      <alignment horizontal="center"/>
    </xf>
    <xf numFmtId="14" fontId="795" fillId="2" borderId="1" xfId="0" applyNumberFormat="1" applyFont="1" applyFill="1" applyBorder="1" applyAlignment="1">
      <alignment horizontal="center"/>
    </xf>
    <xf numFmtId="0" fontId="804" fillId="2" borderId="1" xfId="0" applyFont="1" applyFill="1" applyBorder="1" applyAlignment="1">
      <alignment horizontal="center"/>
    </xf>
    <xf numFmtId="49" fontId="804" fillId="2" borderId="1" xfId="0" applyNumberFormat="1" applyFont="1" applyFill="1" applyBorder="1"/>
    <xf numFmtId="0" fontId="804" fillId="2" borderId="1" xfId="0" applyFont="1" applyFill="1" applyBorder="1"/>
    <xf numFmtId="49" fontId="804" fillId="2" borderId="1" xfId="0" applyNumberFormat="1" applyFont="1" applyFill="1" applyBorder="1" applyAlignment="1">
      <alignment horizontal="center"/>
    </xf>
    <xf numFmtId="0" fontId="804" fillId="2" borderId="1" xfId="0" applyFont="1" applyFill="1" applyBorder="1" applyAlignment="1">
      <alignment horizontal="right"/>
    </xf>
    <xf numFmtId="0" fontId="804" fillId="2" borderId="1" xfId="0" applyFont="1" applyFill="1" applyBorder="1" applyAlignment="1">
      <alignment horizontal="left"/>
    </xf>
    <xf numFmtId="16" fontId="795" fillId="0" borderId="0" xfId="0" applyNumberFormat="1" applyFont="1" applyAlignment="1">
      <alignment horizontal="right"/>
    </xf>
    <xf numFmtId="0" fontId="810" fillId="0" borderId="0" xfId="0" applyFont="1"/>
    <xf numFmtId="0" fontId="811" fillId="0" borderId="0" xfId="0" applyFont="1"/>
    <xf numFmtId="0" fontId="812" fillId="0" borderId="0" xfId="0" applyFont="1"/>
    <xf numFmtId="0" fontId="813" fillId="0" borderId="0" xfId="0" applyFont="1"/>
    <xf numFmtId="0" fontId="795" fillId="4" borderId="1" xfId="0" applyFont="1" applyFill="1" applyBorder="1" applyAlignment="1">
      <alignment horizontal="center"/>
    </xf>
    <xf numFmtId="49" fontId="795" fillId="4" borderId="1" xfId="0" applyNumberFormat="1" applyFont="1" applyFill="1" applyBorder="1"/>
    <xf numFmtId="49" fontId="795" fillId="4" borderId="1" xfId="0" applyNumberFormat="1" applyFont="1" applyFill="1" applyBorder="1" applyAlignment="1">
      <alignment horizontal="center"/>
    </xf>
    <xf numFmtId="14" fontId="795" fillId="4" borderId="1" xfId="0" applyNumberFormat="1" applyFont="1" applyFill="1" applyBorder="1" applyAlignment="1">
      <alignment horizontal="center"/>
    </xf>
    <xf numFmtId="0" fontId="795" fillId="4" borderId="1" xfId="0" applyFont="1" applyFill="1" applyBorder="1" applyAlignment="1">
      <alignment horizontal="right"/>
    </xf>
    <xf numFmtId="0" fontId="795" fillId="4" borderId="1" xfId="0" applyFont="1" applyFill="1" applyBorder="1" applyAlignment="1">
      <alignment horizontal="left"/>
    </xf>
    <xf numFmtId="14" fontId="795" fillId="4" borderId="1" xfId="0" applyNumberFormat="1" applyFont="1" applyFill="1" applyBorder="1" applyAlignment="1">
      <alignment horizontal="right"/>
    </xf>
    <xf numFmtId="0" fontId="797" fillId="4" borderId="1" xfId="0" applyFont="1" applyFill="1" applyBorder="1"/>
    <xf numFmtId="0" fontId="814" fillId="0" borderId="0" xfId="0" applyFont="1"/>
    <xf numFmtId="0" fontId="808" fillId="4" borderId="1" xfId="0" applyFont="1" applyFill="1" applyBorder="1"/>
    <xf numFmtId="0" fontId="815" fillId="0" borderId="0" xfId="0" applyFont="1"/>
    <xf numFmtId="49" fontId="795" fillId="2" borderId="1" xfId="0" applyNumberFormat="1" applyFont="1" applyFill="1" applyBorder="1"/>
    <xf numFmtId="49" fontId="795" fillId="0" borderId="0" xfId="0" applyNumberFormat="1" applyFont="1" applyAlignment="1">
      <alignment horizontal="left"/>
    </xf>
    <xf numFmtId="0" fontId="804" fillId="0" borderId="0" xfId="0" applyFont="1" applyAlignment="1">
      <alignment horizontal="left"/>
    </xf>
    <xf numFmtId="14" fontId="804" fillId="0" borderId="0" xfId="0" applyNumberFormat="1" applyFont="1" applyAlignment="1">
      <alignment horizontal="right"/>
    </xf>
    <xf numFmtId="0" fontId="816" fillId="0" borderId="0" xfId="0" applyFont="1" applyAlignment="1">
      <alignment horizontal="center"/>
    </xf>
    <xf numFmtId="49" fontId="816" fillId="0" borderId="0" xfId="0" applyNumberFormat="1" applyFont="1"/>
    <xf numFmtId="0" fontId="816" fillId="0" borderId="0" xfId="0" applyFont="1"/>
    <xf numFmtId="49" fontId="816" fillId="0" borderId="0" xfId="0" applyNumberFormat="1" applyFont="1" applyAlignment="1">
      <alignment horizontal="center"/>
    </xf>
    <xf numFmtId="0" fontId="816" fillId="0" borderId="0" xfId="0" applyFont="1" applyAlignment="1">
      <alignment horizontal="right"/>
    </xf>
    <xf numFmtId="0" fontId="816" fillId="0" borderId="0" xfId="0" applyFont="1" applyAlignment="1">
      <alignment horizontal="left"/>
    </xf>
    <xf numFmtId="14" fontId="816" fillId="0" borderId="0" xfId="0" applyNumberFormat="1" applyFont="1" applyAlignment="1">
      <alignment horizontal="right"/>
    </xf>
    <xf numFmtId="14" fontId="795" fillId="4" borderId="1" xfId="0" applyNumberFormat="1" applyFont="1" applyFill="1" applyBorder="1"/>
    <xf numFmtId="14" fontId="795" fillId="4" borderId="1" xfId="0" applyNumberFormat="1" applyFont="1" applyFill="1" applyBorder="1" applyAlignment="1">
      <alignment horizontal="center" vertical="top"/>
    </xf>
    <xf numFmtId="0" fontId="810" fillId="4" borderId="1" xfId="0" applyFont="1" applyFill="1" applyBorder="1"/>
    <xf numFmtId="14" fontId="795" fillId="0" borderId="0" xfId="0" applyNumberFormat="1" applyFont="1" applyAlignment="1">
      <alignment horizontal="center" vertical="top"/>
    </xf>
    <xf numFmtId="0" fontId="817" fillId="0" borderId="0" xfId="0" applyFont="1"/>
    <xf numFmtId="49" fontId="795" fillId="0" borderId="0" xfId="0" applyNumberFormat="1" applyFont="1" applyAlignment="1">
      <alignment horizontal="center" vertical="center"/>
    </xf>
    <xf numFmtId="14" fontId="795" fillId="0" borderId="0" xfId="0" applyNumberFormat="1" applyFont="1" applyAlignment="1">
      <alignment horizontal="center" vertical="center"/>
    </xf>
    <xf numFmtId="49" fontId="795" fillId="0" borderId="0" xfId="0" applyNumberFormat="1" applyFont="1" applyAlignment="1">
      <alignment horizontal="left" vertical="top"/>
    </xf>
    <xf numFmtId="49" fontId="795" fillId="4" borderId="1" xfId="0" applyNumberFormat="1" applyFont="1" applyFill="1" applyBorder="1" applyAlignment="1">
      <alignment horizontal="left"/>
    </xf>
    <xf numFmtId="49" fontId="795" fillId="4" borderId="1" xfId="0" applyNumberFormat="1" applyFont="1" applyFill="1" applyBorder="1" applyAlignment="1">
      <alignment horizontal="center" vertical="center"/>
    </xf>
    <xf numFmtId="0" fontId="795" fillId="6" borderId="1" xfId="0" applyFont="1" applyFill="1" applyBorder="1" applyAlignment="1">
      <alignment horizontal="center"/>
    </xf>
    <xf numFmtId="49" fontId="795" fillId="6" borderId="1" xfId="0" applyNumberFormat="1" applyFont="1" applyFill="1" applyBorder="1"/>
    <xf numFmtId="0" fontId="795" fillId="6" borderId="1" xfId="0" applyFont="1" applyFill="1" applyBorder="1"/>
    <xf numFmtId="49" fontId="795" fillId="6" borderId="1" xfId="0" applyNumberFormat="1" applyFont="1" applyFill="1" applyBorder="1" applyAlignment="1">
      <alignment horizontal="center"/>
    </xf>
    <xf numFmtId="49" fontId="795" fillId="6" borderId="1" xfId="0" applyNumberFormat="1" applyFont="1" applyFill="1" applyBorder="1" applyAlignment="1">
      <alignment horizontal="center" vertical="center"/>
    </xf>
    <xf numFmtId="0" fontId="795" fillId="6" borderId="1" xfId="0" applyFont="1" applyFill="1" applyBorder="1" applyAlignment="1">
      <alignment horizontal="right"/>
    </xf>
    <xf numFmtId="0" fontId="795" fillId="6" borderId="1" xfId="0" applyFont="1" applyFill="1" applyBorder="1" applyAlignment="1">
      <alignment horizontal="left"/>
    </xf>
    <xf numFmtId="14" fontId="795" fillId="6" borderId="1" xfId="0" applyNumberFormat="1" applyFont="1" applyFill="1" applyBorder="1" applyAlignment="1">
      <alignment horizontal="right"/>
    </xf>
    <xf numFmtId="49" fontId="795" fillId="4" borderId="1" xfId="0" applyNumberFormat="1" applyFont="1" applyFill="1" applyBorder="1" applyAlignment="1">
      <alignment horizontal="left" vertical="top"/>
    </xf>
    <xf numFmtId="0" fontId="818" fillId="0" borderId="0" xfId="0" applyFont="1"/>
    <xf numFmtId="0" fontId="795" fillId="0" borderId="0" xfId="0" applyFont="1" applyAlignment="1">
      <alignment horizontal="left" vertical="top"/>
    </xf>
    <xf numFmtId="0" fontId="819" fillId="0" borderId="0" xfId="0" applyFont="1" applyAlignment="1">
      <alignment horizontal="right"/>
    </xf>
    <xf numFmtId="0" fontId="820" fillId="0" borderId="0" xfId="0" applyFont="1"/>
    <xf numFmtId="0" fontId="804" fillId="0" borderId="0" xfId="0" applyFont="1" applyAlignment="1">
      <alignment horizontal="left" vertical="top"/>
    </xf>
    <xf numFmtId="0" fontId="795" fillId="0" borderId="0" xfId="0" applyFont="1" applyAlignment="1">
      <alignment horizontal="right" vertical="top"/>
    </xf>
    <xf numFmtId="1" fontId="795" fillId="0" borderId="0" xfId="0" applyNumberFormat="1" applyFont="1" applyAlignment="1">
      <alignment vertical="center"/>
    </xf>
    <xf numFmtId="14" fontId="795" fillId="2" borderId="1" xfId="0" applyNumberFormat="1" applyFont="1" applyFill="1" applyBorder="1"/>
    <xf numFmtId="0" fontId="795" fillId="2" borderId="1" xfId="0" applyFont="1" applyFill="1" applyBorder="1" applyAlignment="1">
      <alignment horizontal="left" vertical="top"/>
    </xf>
    <xf numFmtId="0" fontId="821" fillId="0" borderId="0" xfId="0" applyFont="1"/>
    <xf numFmtId="0" fontId="822" fillId="0" borderId="0" xfId="0" applyFont="1" applyAlignment="1">
      <alignment horizontal="left" vertical="top"/>
    </xf>
    <xf numFmtId="0" fontId="795" fillId="4" borderId="1" xfId="0" applyFont="1" applyFill="1" applyBorder="1" applyAlignment="1">
      <alignment horizontal="left" vertical="top"/>
    </xf>
    <xf numFmtId="0" fontId="819" fillId="0" borderId="0" xfId="0" applyFont="1"/>
    <xf numFmtId="49" fontId="823" fillId="0" borderId="0" xfId="0" applyNumberFormat="1" applyFont="1" applyAlignment="1">
      <alignment horizontal="center"/>
    </xf>
    <xf numFmtId="14" fontId="795" fillId="0" borderId="0" xfId="0" applyNumberFormat="1" applyFont="1" applyAlignment="1">
      <alignment horizontal="left" vertical="top"/>
    </xf>
    <xf numFmtId="0" fontId="824" fillId="4" borderId="1" xfId="0" applyFont="1" applyFill="1" applyBorder="1"/>
    <xf numFmtId="0" fontId="825" fillId="0" borderId="0" xfId="0" applyFont="1"/>
    <xf numFmtId="49" fontId="819" fillId="0" borderId="0" xfId="0" applyNumberFormat="1" applyFont="1" applyAlignment="1">
      <alignment horizontal="center"/>
    </xf>
    <xf numFmtId="49" fontId="826" fillId="0" borderId="0" xfId="0" applyNumberFormat="1" applyFont="1"/>
    <xf numFmtId="0" fontId="826" fillId="0" borderId="0" xfId="0" applyFont="1"/>
    <xf numFmtId="49" fontId="826" fillId="0" borderId="0" xfId="0" applyNumberFormat="1" applyFont="1" applyAlignment="1">
      <alignment horizontal="center"/>
    </xf>
    <xf numFmtId="0" fontId="826" fillId="0" borderId="0" xfId="0" applyFont="1" applyAlignment="1">
      <alignment horizontal="center"/>
    </xf>
    <xf numFmtId="0" fontId="827" fillId="0" borderId="0" xfId="0" applyFont="1"/>
    <xf numFmtId="0" fontId="828" fillId="0" borderId="0" xfId="0" applyFont="1"/>
    <xf numFmtId="14" fontId="804" fillId="0" borderId="0" xfId="0" applyNumberFormat="1" applyFont="1"/>
    <xf numFmtId="0" fontId="829" fillId="0" borderId="0" xfId="0" applyFont="1"/>
    <xf numFmtId="0" fontId="831" fillId="0" borderId="0" xfId="0" applyFont="1"/>
    <xf numFmtId="0" fontId="795" fillId="0" borderId="0" xfId="0" applyFont="1" applyAlignment="1">
      <alignment horizontal="center" vertical="center"/>
    </xf>
    <xf numFmtId="0" fontId="832" fillId="0" borderId="0" xfId="0" applyFont="1" applyAlignment="1">
      <alignment horizontal="center" vertical="center"/>
    </xf>
    <xf numFmtId="2" fontId="795" fillId="0" borderId="0" xfId="0" applyNumberFormat="1" applyFont="1" applyAlignment="1">
      <alignment horizontal="center" vertical="center"/>
    </xf>
    <xf numFmtId="0" fontId="795" fillId="7" borderId="1" xfId="0" applyFont="1" applyFill="1" applyBorder="1"/>
    <xf numFmtId="0" fontId="833" fillId="0" borderId="0" xfId="0" applyFont="1"/>
    <xf numFmtId="0" fontId="833" fillId="7" borderId="1" xfId="0" applyFont="1" applyFill="1" applyBorder="1" applyAlignment="1">
      <alignment vertical="center" wrapText="1"/>
    </xf>
    <xf numFmtId="0" fontId="834" fillId="0" borderId="0" xfId="0" applyFont="1"/>
    <xf numFmtId="0" fontId="835" fillId="8" borderId="1" xfId="0" applyFont="1" applyFill="1" applyBorder="1" applyAlignment="1">
      <alignment vertical="center" wrapText="1"/>
    </xf>
    <xf numFmtId="2" fontId="804" fillId="0" borderId="0" xfId="0" applyNumberFormat="1" applyFont="1"/>
    <xf numFmtId="14" fontId="836" fillId="0" borderId="0" xfId="0" applyNumberFormat="1" applyFont="1" applyAlignment="1">
      <alignment horizontal="right" wrapText="1"/>
    </xf>
    <xf numFmtId="0" fontId="836" fillId="0" borderId="0" xfId="0" applyFont="1" applyAlignment="1">
      <alignment horizontal="center" wrapText="1"/>
    </xf>
    <xf numFmtId="14" fontId="836" fillId="0" borderId="0" xfId="0" applyNumberFormat="1" applyFont="1" applyAlignment="1">
      <alignment wrapText="1"/>
    </xf>
    <xf numFmtId="0" fontId="836" fillId="0" borderId="0" xfId="0" applyFont="1" applyAlignment="1">
      <alignment wrapText="1"/>
    </xf>
    <xf numFmtId="14" fontId="836" fillId="0" borderId="0" xfId="0" applyNumberFormat="1" applyFont="1" applyAlignment="1">
      <alignment horizontal="center" wrapText="1"/>
    </xf>
    <xf numFmtId="14" fontId="831" fillId="0" borderId="0" xfId="0" applyNumberFormat="1" applyFont="1" applyAlignment="1">
      <alignment horizontal="right"/>
    </xf>
    <xf numFmtId="0" fontId="831" fillId="0" borderId="0" xfId="0" applyFont="1" applyAlignment="1">
      <alignment horizontal="center" wrapText="1"/>
    </xf>
    <xf numFmtId="14" fontId="831" fillId="0" borderId="0" xfId="0" applyNumberFormat="1" applyFont="1"/>
    <xf numFmtId="14" fontId="831" fillId="0" borderId="0" xfId="0" applyNumberFormat="1" applyFont="1" applyAlignment="1">
      <alignment horizontal="center" wrapText="1"/>
    </xf>
    <xf numFmtId="0" fontId="837" fillId="0" borderId="0" xfId="0" applyFont="1"/>
    <xf numFmtId="14" fontId="838" fillId="0" borderId="0" xfId="0" applyNumberFormat="1" applyFont="1" applyAlignment="1">
      <alignment horizontal="right"/>
    </xf>
    <xf numFmtId="14" fontId="838" fillId="0" borderId="0" xfId="0" applyNumberFormat="1" applyFont="1"/>
    <xf numFmtId="0" fontId="838" fillId="0" borderId="0" xfId="0" applyFont="1"/>
    <xf numFmtId="1" fontId="838" fillId="0" borderId="0" xfId="0" applyNumberFormat="1" applyFont="1" applyAlignment="1">
      <alignment horizontal="center"/>
    </xf>
    <xf numFmtId="0" fontId="831" fillId="0" borderId="0" xfId="0" applyFont="1" applyAlignment="1">
      <alignment horizontal="center"/>
    </xf>
    <xf numFmtId="0" fontId="831" fillId="0" borderId="0" xfId="0" applyFont="1" applyAlignment="1">
      <alignment horizontal="right"/>
    </xf>
    <xf numFmtId="0" fontId="838" fillId="0" borderId="0" xfId="0" applyFont="1" applyAlignment="1">
      <alignment horizontal="center"/>
    </xf>
    <xf numFmtId="14" fontId="831" fillId="4" borderId="1" xfId="0" applyNumberFormat="1" applyFont="1" applyFill="1" applyBorder="1"/>
    <xf numFmtId="14" fontId="839" fillId="0" borderId="0" xfId="0" applyNumberFormat="1" applyFont="1"/>
    <xf numFmtId="0" fontId="840" fillId="0" borderId="0" xfId="0" applyFont="1" applyAlignment="1">
      <alignment horizontal="center"/>
    </xf>
    <xf numFmtId="14" fontId="836" fillId="0" borderId="0" xfId="0" applyNumberFormat="1" applyFont="1" applyAlignment="1">
      <alignment horizontal="right"/>
    </xf>
    <xf numFmtId="0" fontId="836" fillId="0" borderId="0" xfId="0" applyFont="1"/>
    <xf numFmtId="14" fontId="836" fillId="0" borderId="0" xfId="0" applyNumberFormat="1" applyFont="1"/>
    <xf numFmtId="0" fontId="836" fillId="0" borderId="0" xfId="0" applyFont="1" applyAlignment="1">
      <alignment horizontal="center"/>
    </xf>
    <xf numFmtId="0" fontId="841" fillId="0" borderId="0" xfId="0" applyFont="1" applyAlignment="1">
      <alignment horizontal="center"/>
    </xf>
    <xf numFmtId="0" fontId="838" fillId="0" borderId="0" xfId="0" applyFont="1" applyAlignment="1">
      <alignment horizontal="right"/>
    </xf>
    <xf numFmtId="0" fontId="842" fillId="0" borderId="0" xfId="0" applyFont="1" applyAlignment="1">
      <alignment horizontal="center"/>
    </xf>
    <xf numFmtId="0" fontId="843" fillId="0" borderId="0" xfId="0" applyFont="1"/>
    <xf numFmtId="14" fontId="837" fillId="0" borderId="0" xfId="0" applyNumberFormat="1" applyFont="1"/>
    <xf numFmtId="0" fontId="844" fillId="0" borderId="0" xfId="0" applyFont="1"/>
    <xf numFmtId="14" fontId="845" fillId="0" borderId="0" xfId="0" applyNumberFormat="1" applyFont="1" applyAlignment="1">
      <alignment horizontal="right"/>
    </xf>
    <xf numFmtId="0" fontId="845" fillId="0" borderId="0" xfId="0" applyFont="1"/>
    <xf numFmtId="14" fontId="845" fillId="0" borderId="0" xfId="0" applyNumberFormat="1" applyFont="1"/>
    <xf numFmtId="0" fontId="842" fillId="0" borderId="0" xfId="0" applyFont="1" applyAlignment="1">
      <alignment horizontal="left" vertical="center" wrapText="1"/>
    </xf>
    <xf numFmtId="0" fontId="846" fillId="0" borderId="0" xfId="0" applyFont="1"/>
    <xf numFmtId="0" fontId="847" fillId="0" borderId="0" xfId="0" applyFont="1" applyAlignment="1">
      <alignment horizontal="center"/>
    </xf>
    <xf numFmtId="0" fontId="848" fillId="0" borderId="0" xfId="0" applyFont="1" applyAlignment="1">
      <alignment horizontal="center"/>
    </xf>
    <xf numFmtId="14" fontId="837" fillId="0" borderId="0" xfId="0" applyNumberFormat="1" applyFont="1" applyAlignment="1">
      <alignment horizontal="left"/>
    </xf>
    <xf numFmtId="0" fontId="845" fillId="0" borderId="0" xfId="0" applyFont="1" applyAlignment="1">
      <alignment horizontal="center"/>
    </xf>
    <xf numFmtId="14" fontId="838" fillId="0" borderId="0" xfId="0" applyNumberFormat="1" applyFont="1" applyAlignment="1">
      <alignment horizontal="left"/>
    </xf>
    <xf numFmtId="0" fontId="838" fillId="0" borderId="0" xfId="0" applyFont="1" applyAlignment="1">
      <alignment horizontal="left"/>
    </xf>
    <xf numFmtId="0" fontId="842" fillId="0" borderId="0" xfId="0" applyFont="1" applyAlignment="1">
      <alignment horizontal="center" vertical="center" wrapText="1"/>
    </xf>
    <xf numFmtId="14" fontId="849" fillId="0" borderId="0" xfId="0" applyNumberFormat="1" applyFont="1" applyAlignment="1">
      <alignment horizontal="left"/>
    </xf>
    <xf numFmtId="0" fontId="842" fillId="0" borderId="0" xfId="0" applyFont="1" applyAlignment="1">
      <alignment horizontal="right" vertical="center" wrapText="1"/>
    </xf>
    <xf numFmtId="0" fontId="837" fillId="0" borderId="0" xfId="0" applyFont="1" applyAlignment="1">
      <alignment horizontal="left"/>
    </xf>
    <xf numFmtId="14" fontId="845" fillId="0" borderId="0" xfId="0" applyNumberFormat="1" applyFont="1" applyAlignment="1">
      <alignment horizontal="left"/>
    </xf>
    <xf numFmtId="14" fontId="831" fillId="4" borderId="1" xfId="0" applyNumberFormat="1" applyFont="1" applyFill="1" applyBorder="1" applyAlignment="1">
      <alignment horizontal="right"/>
    </xf>
    <xf numFmtId="0" fontId="831" fillId="4" borderId="1" xfId="0" applyFont="1" applyFill="1" applyBorder="1"/>
    <xf numFmtId="14" fontId="837" fillId="4" borderId="1" xfId="0" applyNumberFormat="1" applyFont="1" applyFill="1" applyBorder="1" applyAlignment="1">
      <alignment horizontal="left"/>
    </xf>
    <xf numFmtId="0" fontId="849" fillId="0" borderId="0" xfId="0" applyFont="1" applyAlignment="1">
      <alignment horizontal="right"/>
    </xf>
    <xf numFmtId="0" fontId="849" fillId="0" borderId="0" xfId="0" applyFont="1"/>
    <xf numFmtId="0" fontId="849" fillId="0" borderId="0" xfId="0" applyFont="1" applyAlignment="1">
      <alignment horizontal="center"/>
    </xf>
    <xf numFmtId="0" fontId="850" fillId="0" borderId="0" xfId="0" applyFont="1"/>
    <xf numFmtId="0" fontId="837" fillId="4" borderId="1" xfId="0" applyFont="1" applyFill="1" applyBorder="1"/>
    <xf numFmtId="0" fontId="851" fillId="0" borderId="0" xfId="0" applyFont="1"/>
    <xf numFmtId="0" fontId="831" fillId="4" borderId="1" xfId="0" applyFont="1" applyFill="1" applyBorder="1" applyAlignment="1">
      <alignment horizontal="center"/>
    </xf>
    <xf numFmtId="0" fontId="831" fillId="2" borderId="1" xfId="0" applyFont="1" applyFill="1" applyBorder="1"/>
    <xf numFmtId="0" fontId="831" fillId="2" borderId="1" xfId="0" applyFont="1" applyFill="1" applyBorder="1" applyAlignment="1">
      <alignment horizontal="center"/>
    </xf>
    <xf numFmtId="0" fontId="852" fillId="0" borderId="0" xfId="0" applyFont="1"/>
    <xf numFmtId="49" fontId="852" fillId="0" borderId="0" xfId="0" applyNumberFormat="1" applyFont="1" applyAlignment="1">
      <alignment horizontal="center"/>
    </xf>
    <xf numFmtId="49" fontId="852" fillId="0" borderId="0" xfId="0" applyNumberFormat="1" applyFont="1"/>
    <xf numFmtId="0" fontId="853" fillId="0" borderId="0" xfId="0" applyFont="1"/>
    <xf numFmtId="0" fontId="855" fillId="0" borderId="0" xfId="0" applyFont="1"/>
    <xf numFmtId="0" fontId="794" fillId="0" borderId="0" xfId="0" applyFont="1"/>
    <xf numFmtId="0" fontId="856" fillId="0" borderId="0" xfId="0" applyFont="1"/>
    <xf numFmtId="14" fontId="0" fillId="0" borderId="0" xfId="0" applyNumberFormat="1"/>
    <xf numFmtId="2" fontId="854" fillId="0" borderId="0" xfId="1" applyNumberFormat="1"/>
    <xf numFmtId="0" fontId="793" fillId="0" borderId="0" xfId="0" applyFont="1"/>
    <xf numFmtId="0" fontId="831" fillId="9" borderId="0" xfId="0" applyFont="1" applyFill="1"/>
    <xf numFmtId="0" fontId="792" fillId="0" borderId="0" xfId="0" applyFont="1"/>
    <xf numFmtId="0" fontId="854" fillId="0" borderId="0" xfId="1" applyAlignment="1"/>
    <xf numFmtId="0" fontId="857" fillId="0" borderId="0" xfId="0" applyFont="1"/>
    <xf numFmtId="0" fontId="791" fillId="0" borderId="0" xfId="0" applyFont="1"/>
    <xf numFmtId="0" fontId="790" fillId="0" borderId="0" xfId="0" applyFont="1"/>
    <xf numFmtId="0" fontId="789" fillId="0" borderId="0" xfId="0" applyFont="1"/>
    <xf numFmtId="0" fontId="788" fillId="0" borderId="0" xfId="0" applyFont="1"/>
    <xf numFmtId="0" fontId="787" fillId="0" borderId="0" xfId="0" applyFont="1"/>
    <xf numFmtId="0" fontId="786" fillId="0" borderId="0" xfId="0" applyFont="1"/>
    <xf numFmtId="0" fontId="785" fillId="0" borderId="0" xfId="0" applyFont="1"/>
    <xf numFmtId="0" fontId="784" fillId="0" borderId="0" xfId="0" applyFont="1"/>
    <xf numFmtId="0" fontId="783" fillId="0" borderId="0" xfId="0" applyFont="1"/>
    <xf numFmtId="0" fontId="782" fillId="0" borderId="0" xfId="0" applyFont="1"/>
    <xf numFmtId="0" fontId="781" fillId="0" borderId="0" xfId="0" applyFont="1"/>
    <xf numFmtId="0" fontId="780" fillId="0" borderId="0" xfId="0" applyFont="1"/>
    <xf numFmtId="0" fontId="779" fillId="0" borderId="0" xfId="0" applyFont="1"/>
    <xf numFmtId="0" fontId="778" fillId="0" borderId="0" xfId="0" applyFont="1"/>
    <xf numFmtId="0" fontId="777" fillId="0" borderId="0" xfId="0" applyFont="1"/>
    <xf numFmtId="0" fontId="776" fillId="0" borderId="0" xfId="0" applyFont="1"/>
    <xf numFmtId="0" fontId="775" fillId="0" borderId="0" xfId="0" applyFont="1"/>
    <xf numFmtId="0" fontId="774" fillId="0" borderId="0" xfId="0" applyFont="1"/>
    <xf numFmtId="0" fontId="773" fillId="0" borderId="0" xfId="0" applyFont="1"/>
    <xf numFmtId="0" fontId="772" fillId="0" borderId="0" xfId="0" applyFont="1"/>
    <xf numFmtId="0" fontId="771" fillId="0" borderId="0" xfId="0" applyFont="1"/>
    <xf numFmtId="0" fontId="770" fillId="0" borderId="0" xfId="0" applyFont="1"/>
    <xf numFmtId="0" fontId="769" fillId="0" borderId="0" xfId="0" applyFont="1"/>
    <xf numFmtId="0" fontId="768" fillId="0" borderId="0" xfId="0" applyFont="1"/>
    <xf numFmtId="0" fontId="767" fillId="0" borderId="0" xfId="0" applyFont="1"/>
    <xf numFmtId="0" fontId="766" fillId="0" borderId="0" xfId="0" applyFont="1"/>
    <xf numFmtId="0" fontId="765" fillId="0" borderId="0" xfId="0" applyFont="1"/>
    <xf numFmtId="0" fontId="764" fillId="0" borderId="0" xfId="0" applyFont="1"/>
    <xf numFmtId="0" fontId="763" fillId="0" borderId="0" xfId="0" applyFont="1"/>
    <xf numFmtId="0" fontId="762" fillId="0" borderId="0" xfId="0" applyFont="1"/>
    <xf numFmtId="0" fontId="761" fillId="0" borderId="0" xfId="0" applyFont="1"/>
    <xf numFmtId="0" fontId="760" fillId="0" borderId="0" xfId="0" applyFont="1"/>
    <xf numFmtId="0" fontId="759" fillId="0" borderId="0" xfId="0" applyFont="1"/>
    <xf numFmtId="0" fontId="831" fillId="10" borderId="0" xfId="0" applyFont="1" applyFill="1"/>
    <xf numFmtId="0" fontId="758" fillId="0" borderId="0" xfId="0" applyFont="1"/>
    <xf numFmtId="0" fontId="757" fillId="0" borderId="0" xfId="0" applyFont="1"/>
    <xf numFmtId="0" fontId="756" fillId="0" borderId="0" xfId="0" applyFont="1"/>
    <xf numFmtId="0" fontId="755" fillId="0" borderId="0" xfId="0" applyFont="1"/>
    <xf numFmtId="0" fontId="754" fillId="0" borderId="0" xfId="0" applyFont="1"/>
    <xf numFmtId="0" fontId="795" fillId="11" borderId="0" xfId="0" applyFont="1" applyFill="1" applyAlignment="1">
      <alignment horizontal="center"/>
    </xf>
    <xf numFmtId="49" fontId="795" fillId="11" borderId="0" xfId="0" applyNumberFormat="1" applyFont="1" applyFill="1" applyAlignment="1">
      <alignment horizontal="center"/>
    </xf>
    <xf numFmtId="0" fontId="0" fillId="11" borderId="0" xfId="0" applyFill="1"/>
    <xf numFmtId="0" fontId="752" fillId="0" borderId="0" xfId="0" applyFont="1"/>
    <xf numFmtId="14" fontId="831" fillId="0" borderId="0" xfId="0" applyNumberFormat="1" applyFont="1" applyAlignment="1">
      <alignment horizontal="center"/>
    </xf>
    <xf numFmtId="14" fontId="838" fillId="0" borderId="0" xfId="0" applyNumberFormat="1" applyFont="1" applyAlignment="1">
      <alignment horizontal="center"/>
    </xf>
    <xf numFmtId="14" fontId="831" fillId="4" borderId="1" xfId="0" applyNumberFormat="1" applyFont="1" applyFill="1" applyBorder="1" applyAlignment="1">
      <alignment horizontal="center"/>
    </xf>
    <xf numFmtId="14" fontId="839" fillId="0" borderId="0" xfId="0" applyNumberFormat="1" applyFont="1" applyAlignment="1">
      <alignment horizontal="center"/>
    </xf>
    <xf numFmtId="14" fontId="836" fillId="0" borderId="0" xfId="0" applyNumberFormat="1" applyFont="1" applyAlignment="1">
      <alignment horizontal="center"/>
    </xf>
    <xf numFmtId="14" fontId="837" fillId="0" borderId="0" xfId="0" applyNumberFormat="1" applyFont="1" applyAlignment="1">
      <alignment horizontal="center"/>
    </xf>
    <xf numFmtId="14" fontId="845" fillId="0" borderId="0" xfId="0" applyNumberFormat="1" applyFont="1" applyAlignment="1">
      <alignment horizontal="center"/>
    </xf>
    <xf numFmtId="0" fontId="831" fillId="10" borderId="0" xfId="0" applyFont="1" applyFill="1" applyAlignment="1">
      <alignment horizontal="center"/>
    </xf>
    <xf numFmtId="0" fontId="831" fillId="9" borderId="0" xfId="0" applyFont="1" applyFill="1" applyAlignment="1">
      <alignment horizontal="center"/>
    </xf>
    <xf numFmtId="1" fontId="83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51" fillId="0" borderId="0" xfId="0" applyFont="1"/>
    <xf numFmtId="0" fontId="750" fillId="0" borderId="0" xfId="0" applyFont="1"/>
    <xf numFmtId="14" fontId="0" fillId="0" borderId="0" xfId="0" applyNumberFormat="1" applyAlignment="1">
      <alignment horizontal="center"/>
    </xf>
    <xf numFmtId="0" fontId="749" fillId="0" borderId="0" xfId="0" applyFont="1"/>
    <xf numFmtId="0" fontId="748" fillId="0" borderId="0" xfId="0" applyFont="1"/>
    <xf numFmtId="0" fontId="747" fillId="0" borderId="0" xfId="0" applyFont="1"/>
    <xf numFmtId="49" fontId="795" fillId="11" borderId="0" xfId="0" applyNumberFormat="1" applyFont="1" applyFill="1"/>
    <xf numFmtId="0" fontId="747" fillId="11" borderId="0" xfId="0" applyFont="1" applyFill="1"/>
    <xf numFmtId="0" fontId="795" fillId="0" borderId="3" xfId="0" applyFont="1" applyBorder="1" applyAlignment="1">
      <alignment horizontal="center" vertical="center" wrapText="1"/>
    </xf>
    <xf numFmtId="14" fontId="797" fillId="0" borderId="0" xfId="0" applyNumberFormat="1" applyFont="1" applyAlignment="1">
      <alignment horizontal="center"/>
    </xf>
    <xf numFmtId="14" fontId="0" fillId="11" borderId="0" xfId="0" applyNumberFormat="1" applyFill="1" applyAlignment="1">
      <alignment horizontal="center"/>
    </xf>
    <xf numFmtId="0" fontId="746" fillId="0" borderId="0" xfId="0" applyFont="1"/>
    <xf numFmtId="0" fontId="753" fillId="0" borderId="0" xfId="0" applyFont="1"/>
    <xf numFmtId="0" fontId="858" fillId="0" borderId="0" xfId="0" applyFont="1"/>
    <xf numFmtId="1" fontId="0" fillId="0" borderId="0" xfId="0" applyNumberFormat="1" applyAlignment="1">
      <alignment horizontal="left"/>
    </xf>
    <xf numFmtId="0" fontId="745" fillId="0" borderId="0" xfId="0" applyFont="1"/>
    <xf numFmtId="0" fontId="744" fillId="0" borderId="0" xfId="0" applyFont="1"/>
    <xf numFmtId="0" fontId="743" fillId="0" borderId="0" xfId="0" applyFont="1"/>
    <xf numFmtId="0" fontId="742" fillId="0" borderId="0" xfId="0" applyFont="1"/>
    <xf numFmtId="0" fontId="741" fillId="0" borderId="0" xfId="0" applyFont="1"/>
    <xf numFmtId="0" fontId="740" fillId="0" borderId="0" xfId="0" applyFont="1"/>
    <xf numFmtId="0" fontId="739" fillId="0" borderId="0" xfId="0" applyFont="1"/>
    <xf numFmtId="14" fontId="739" fillId="0" borderId="0" xfId="0" applyNumberFormat="1" applyFont="1"/>
    <xf numFmtId="0" fontId="738" fillId="0" borderId="0" xfId="0" applyFont="1"/>
    <xf numFmtId="0" fontId="737" fillId="0" borderId="0" xfId="0" applyFont="1"/>
    <xf numFmtId="0" fontId="859" fillId="0" borderId="0" xfId="0" applyFont="1" applyAlignment="1">
      <alignment vertical="center"/>
    </xf>
    <xf numFmtId="0" fontId="830" fillId="0" borderId="0" xfId="0" applyFont="1" applyAlignment="1">
      <alignment vertical="center"/>
    </xf>
    <xf numFmtId="0" fontId="736" fillId="0" borderId="0" xfId="0" applyFont="1"/>
    <xf numFmtId="0" fontId="735" fillId="0" borderId="0" xfId="0" applyFont="1"/>
    <xf numFmtId="0" fontId="734" fillId="0" borderId="0" xfId="0" applyFont="1"/>
    <xf numFmtId="0" fontId="733" fillId="0" borderId="0" xfId="0" applyFont="1"/>
    <xf numFmtId="0" fontId="860" fillId="0" borderId="0" xfId="0" applyFont="1"/>
    <xf numFmtId="0" fontId="861" fillId="0" borderId="0" xfId="0" applyFont="1"/>
    <xf numFmtId="49" fontId="831" fillId="0" borderId="0" xfId="0" applyNumberFormat="1" applyFont="1"/>
    <xf numFmtId="0" fontId="862" fillId="0" borderId="0" xfId="1" applyFont="1" applyAlignment="1"/>
    <xf numFmtId="164" fontId="831" fillId="0" borderId="0" xfId="0" applyNumberFormat="1" applyFont="1" applyAlignment="1">
      <alignment horizontal="center"/>
    </xf>
    <xf numFmtId="0" fontId="860" fillId="0" borderId="0" xfId="0" applyFont="1" applyAlignment="1">
      <alignment horizontal="center"/>
    </xf>
    <xf numFmtId="14" fontId="860" fillId="0" borderId="0" xfId="0" applyNumberFormat="1" applyFont="1" applyAlignment="1">
      <alignment horizontal="center"/>
    </xf>
    <xf numFmtId="0" fontId="863" fillId="0" borderId="0" xfId="0" applyFont="1"/>
    <xf numFmtId="0" fontId="732" fillId="0" borderId="0" xfId="0" applyFont="1"/>
    <xf numFmtId="0" fontId="854" fillId="0" borderId="0" xfId="1"/>
    <xf numFmtId="0" fontId="731" fillId="0" borderId="0" xfId="0" applyFont="1"/>
    <xf numFmtId="0" fontId="804" fillId="11" borderId="0" xfId="0" applyFont="1" applyFill="1" applyAlignment="1">
      <alignment horizontal="center"/>
    </xf>
    <xf numFmtId="49" fontId="804" fillId="11" borderId="0" xfId="0" applyNumberFormat="1" applyFont="1" applyFill="1"/>
    <xf numFmtId="0" fontId="858" fillId="11" borderId="0" xfId="0" applyFont="1" applyFill="1"/>
    <xf numFmtId="49" fontId="804" fillId="11" borderId="0" xfId="0" applyNumberFormat="1" applyFont="1" applyFill="1" applyAlignment="1">
      <alignment horizontal="center"/>
    </xf>
    <xf numFmtId="14" fontId="858" fillId="0" borderId="0" xfId="0" applyNumberFormat="1" applyFont="1"/>
    <xf numFmtId="0" fontId="730" fillId="0" borderId="0" xfId="0" applyFont="1"/>
    <xf numFmtId="0" fontId="729" fillId="0" borderId="0" xfId="0" applyFont="1"/>
    <xf numFmtId="0" fontId="862" fillId="0" borderId="0" xfId="1" applyFont="1" applyFill="1" applyBorder="1" applyAlignment="1"/>
    <xf numFmtId="0" fontId="728" fillId="0" borderId="0" xfId="0" applyFont="1"/>
    <xf numFmtId="0" fontId="727" fillId="0" borderId="0" xfId="0" applyFont="1"/>
    <xf numFmtId="0" fontId="726" fillId="0" borderId="0" xfId="0" applyFont="1"/>
    <xf numFmtId="1" fontId="831" fillId="9" borderId="0" xfId="0" applyNumberFormat="1" applyFont="1" applyFill="1" applyAlignment="1">
      <alignment horizontal="center"/>
    </xf>
    <xf numFmtId="0" fontId="725" fillId="0" borderId="0" xfId="0" applyFont="1"/>
    <xf numFmtId="0" fontId="724" fillId="0" borderId="0" xfId="0" applyFont="1"/>
    <xf numFmtId="0" fontId="723" fillId="0" borderId="0" xfId="0" applyFont="1"/>
    <xf numFmtId="0" fontId="722" fillId="0" borderId="0" xfId="0" applyFont="1"/>
    <xf numFmtId="0" fontId="721" fillId="0" borderId="0" xfId="0" applyFont="1"/>
    <xf numFmtId="0" fontId="720" fillId="0" borderId="0" xfId="0" applyFont="1"/>
    <xf numFmtId="0" fontId="864" fillId="0" borderId="0" xfId="0" applyFont="1"/>
    <xf numFmtId="0" fontId="719" fillId="0" borderId="0" xfId="0" applyFont="1"/>
    <xf numFmtId="0" fontId="718" fillId="0" borderId="0" xfId="0" applyFont="1"/>
    <xf numFmtId="0" fontId="717" fillId="0" borderId="0" xfId="0" applyFont="1"/>
    <xf numFmtId="0" fontId="854" fillId="0" borderId="0" xfId="1" applyBorder="1"/>
    <xf numFmtId="0" fontId="716" fillId="0" borderId="0" xfId="0" applyFont="1"/>
    <xf numFmtId="0" fontId="715" fillId="0" borderId="0" xfId="0" applyFont="1"/>
    <xf numFmtId="2" fontId="836" fillId="0" borderId="0" xfId="0" applyNumberFormat="1" applyFont="1" applyAlignment="1">
      <alignment horizontal="center"/>
    </xf>
    <xf numFmtId="1" fontId="860" fillId="0" borderId="0" xfId="0" applyNumberFormat="1" applyFont="1" applyAlignment="1">
      <alignment horizontal="center"/>
    </xf>
    <xf numFmtId="2" fontId="831" fillId="0" borderId="0" xfId="0" applyNumberFormat="1" applyFont="1" applyAlignment="1">
      <alignment horizontal="center"/>
    </xf>
    <xf numFmtId="0" fontId="714" fillId="0" borderId="0" xfId="0" applyFont="1"/>
    <xf numFmtId="0" fontId="713" fillId="0" borderId="0" xfId="0" applyFont="1"/>
    <xf numFmtId="0" fontId="712" fillId="0" borderId="0" xfId="0" applyFont="1"/>
    <xf numFmtId="0" fontId="711" fillId="0" borderId="0" xfId="0" applyFont="1"/>
    <xf numFmtId="0" fontId="710" fillId="0" borderId="0" xfId="0" applyFont="1"/>
    <xf numFmtId="0" fontId="709" fillId="0" borderId="0" xfId="0" applyFont="1"/>
    <xf numFmtId="0" fontId="708" fillId="0" borderId="0" xfId="0" applyFont="1"/>
    <xf numFmtId="0" fontId="707" fillId="0" borderId="0" xfId="0" applyFont="1"/>
    <xf numFmtId="0" fontId="706" fillId="0" borderId="0" xfId="0" applyFont="1"/>
    <xf numFmtId="0" fontId="705" fillId="0" borderId="0" xfId="0" applyFont="1"/>
    <xf numFmtId="0" fontId="704" fillId="0" borderId="0" xfId="0" applyFont="1"/>
    <xf numFmtId="0" fontId="703" fillId="0" borderId="0" xfId="0" applyFont="1"/>
    <xf numFmtId="0" fontId="702" fillId="0" borderId="0" xfId="0" applyFont="1"/>
    <xf numFmtId="0" fontId="701" fillId="0" borderId="0" xfId="0" applyFont="1"/>
    <xf numFmtId="0" fontId="700" fillId="0" borderId="0" xfId="0" applyFont="1"/>
    <xf numFmtId="0" fontId="699" fillId="0" borderId="0" xfId="0" applyFont="1"/>
    <xf numFmtId="0" fontId="698" fillId="0" borderId="0" xfId="0" applyFont="1"/>
    <xf numFmtId="0" fontId="697" fillId="0" borderId="0" xfId="0" applyFont="1"/>
    <xf numFmtId="0" fontId="696" fillId="0" borderId="0" xfId="0" applyFont="1"/>
    <xf numFmtId="0" fontId="695" fillId="0" borderId="0" xfId="0" applyFont="1"/>
    <xf numFmtId="0" fontId="694" fillId="0" borderId="0" xfId="0" applyFont="1"/>
    <xf numFmtId="0" fontId="693" fillId="0" borderId="0" xfId="0" applyFont="1"/>
    <xf numFmtId="0" fontId="692" fillId="0" borderId="0" xfId="0" applyFont="1"/>
    <xf numFmtId="0" fontId="691" fillId="0" borderId="0" xfId="0" applyFont="1"/>
    <xf numFmtId="0" fontId="690" fillId="0" borderId="0" xfId="0" applyFont="1"/>
    <xf numFmtId="0" fontId="689" fillId="0" borderId="0" xfId="0" applyFont="1"/>
    <xf numFmtId="0" fontId="688" fillId="0" borderId="0" xfId="0" applyFont="1"/>
    <xf numFmtId="0" fontId="688" fillId="11" borderId="0" xfId="0" applyFont="1" applyFill="1"/>
    <xf numFmtId="14" fontId="0" fillId="11" borderId="0" xfId="0" applyNumberFormat="1" applyFill="1"/>
    <xf numFmtId="0" fontId="687" fillId="0" borderId="0" xfId="0" applyFont="1"/>
    <xf numFmtId="0" fontId="686" fillId="0" borderId="0" xfId="0" applyFont="1"/>
    <xf numFmtId="0" fontId="685" fillId="0" borderId="0" xfId="0" applyFont="1"/>
    <xf numFmtId="0" fontId="684" fillId="0" borderId="0" xfId="0" applyFont="1"/>
    <xf numFmtId="0" fontId="683" fillId="0" borderId="0" xfId="0" applyFont="1"/>
    <xf numFmtId="0" fontId="682" fillId="0" borderId="0" xfId="0" applyFont="1"/>
    <xf numFmtId="0" fontId="681" fillId="0" borderId="0" xfId="0" applyFont="1"/>
    <xf numFmtId="0" fontId="680" fillId="0" borderId="0" xfId="0" applyFont="1"/>
    <xf numFmtId="0" fontId="679" fillId="0" borderId="0" xfId="0" applyFont="1"/>
    <xf numFmtId="1" fontId="837" fillId="0" borderId="0" xfId="0" applyNumberFormat="1" applyFont="1" applyAlignment="1">
      <alignment horizontal="center"/>
    </xf>
    <xf numFmtId="0" fontId="678" fillId="0" borderId="0" xfId="0" applyFont="1"/>
    <xf numFmtId="0" fontId="677" fillId="0" borderId="0" xfId="0" applyFont="1"/>
    <xf numFmtId="0" fontId="860" fillId="11" borderId="0" xfId="0" applyFont="1" applyFill="1"/>
    <xf numFmtId="0" fontId="860" fillId="11" borderId="0" xfId="0" applyFont="1" applyFill="1" applyAlignment="1">
      <alignment horizontal="center"/>
    </xf>
    <xf numFmtId="14" fontId="860" fillId="11" borderId="0" xfId="0" applyNumberFormat="1" applyFont="1" applyFill="1" applyAlignment="1">
      <alignment horizontal="center"/>
    </xf>
    <xf numFmtId="0" fontId="676" fillId="0" borderId="0" xfId="0" applyFont="1"/>
    <xf numFmtId="0" fontId="675" fillId="0" borderId="0" xfId="0" applyFont="1"/>
    <xf numFmtId="0" fontId="674" fillId="0" borderId="0" xfId="0" applyFont="1"/>
    <xf numFmtId="0" fontId="673" fillId="0" borderId="0" xfId="0" applyFont="1"/>
    <xf numFmtId="0" fontId="672" fillId="0" borderId="0" xfId="0" applyFont="1"/>
    <xf numFmtId="0" fontId="671" fillId="0" borderId="0" xfId="0" applyFont="1"/>
    <xf numFmtId="0" fontId="670" fillId="0" borderId="0" xfId="0" applyFont="1"/>
    <xf numFmtId="0" fontId="669" fillId="0" borderId="0" xfId="0" applyFont="1"/>
    <xf numFmtId="0" fontId="668" fillId="0" borderId="0" xfId="0" applyFont="1"/>
    <xf numFmtId="0" fontId="667" fillId="0" borderId="0" xfId="0" applyFont="1"/>
    <xf numFmtId="0" fontId="666" fillId="0" borderId="0" xfId="0" applyFont="1"/>
    <xf numFmtId="0" fontId="665" fillId="0" borderId="0" xfId="0" applyFont="1"/>
    <xf numFmtId="14" fontId="795" fillId="11" borderId="0" xfId="0" applyNumberFormat="1" applyFont="1" applyFill="1" applyAlignment="1">
      <alignment horizontal="center"/>
    </xf>
    <xf numFmtId="0" fontId="664" fillId="0" borderId="0" xfId="0" applyFont="1"/>
    <xf numFmtId="0" fontId="663" fillId="0" borderId="0" xfId="0" applyFont="1"/>
    <xf numFmtId="0" fontId="662" fillId="0" borderId="0" xfId="0" applyFont="1"/>
    <xf numFmtId="0" fontId="661" fillId="0" borderId="0" xfId="0" applyFont="1"/>
    <xf numFmtId="0" fontId="660" fillId="0" borderId="0" xfId="0" applyFont="1"/>
    <xf numFmtId="0" fontId="0" fillId="0" borderId="1" xfId="0" applyBorder="1"/>
    <xf numFmtId="0" fontId="659" fillId="0" borderId="0" xfId="0" applyFont="1"/>
    <xf numFmtId="0" fontId="658" fillId="0" borderId="0" xfId="0" applyFont="1"/>
    <xf numFmtId="0" fontId="657" fillId="0" borderId="0" xfId="0" applyFont="1"/>
    <xf numFmtId="0" fontId="656" fillId="0" borderId="0" xfId="0" applyFont="1"/>
    <xf numFmtId="0" fontId="655" fillId="0" borderId="0" xfId="0" applyFont="1"/>
    <xf numFmtId="0" fontId="654" fillId="0" borderId="0" xfId="0" applyFont="1"/>
    <xf numFmtId="0" fontId="653" fillId="0" borderId="0" xfId="0" applyFont="1"/>
    <xf numFmtId="0" fontId="652" fillId="0" borderId="0" xfId="0" applyFont="1"/>
    <xf numFmtId="0" fontId="651" fillId="0" borderId="0" xfId="0" applyFont="1"/>
    <xf numFmtId="0" fontId="650" fillId="0" borderId="0" xfId="0" applyFont="1"/>
    <xf numFmtId="0" fontId="649" fillId="0" borderId="0" xfId="0" applyFont="1"/>
    <xf numFmtId="0" fontId="648" fillId="0" borderId="0" xfId="0" applyFont="1"/>
    <xf numFmtId="0" fontId="647" fillId="0" borderId="0" xfId="0" applyFont="1"/>
    <xf numFmtId="0" fontId="646" fillId="0" borderId="0" xfId="0" applyFont="1"/>
    <xf numFmtId="0" fontId="645" fillId="0" borderId="0" xfId="0" applyFont="1"/>
    <xf numFmtId="0" fontId="644" fillId="0" borderId="0" xfId="0" applyFont="1"/>
    <xf numFmtId="0" fontId="643" fillId="0" borderId="0" xfId="0" applyFont="1"/>
    <xf numFmtId="0" fontId="642" fillId="0" borderId="0" xfId="0" applyFont="1"/>
    <xf numFmtId="0" fontId="641" fillId="0" borderId="0" xfId="0" applyFont="1"/>
    <xf numFmtId="0" fontId="640" fillId="0" borderId="0" xfId="0" applyFont="1"/>
    <xf numFmtId="0" fontId="639" fillId="0" borderId="0" xfId="0" applyFont="1"/>
    <xf numFmtId="0" fontId="638" fillId="0" borderId="0" xfId="0" applyFont="1"/>
    <xf numFmtId="0" fontId="637" fillId="0" borderId="0" xfId="0" applyFont="1"/>
    <xf numFmtId="0" fontId="636" fillId="0" borderId="0" xfId="0" applyFont="1"/>
    <xf numFmtId="0" fontId="635" fillId="0" borderId="0" xfId="0" applyFont="1"/>
    <xf numFmtId="0" fontId="634" fillId="0" borderId="0" xfId="0" applyFont="1"/>
    <xf numFmtId="0" fontId="866" fillId="12" borderId="1" xfId="2" applyBorder="1"/>
    <xf numFmtId="0" fontId="633" fillId="0" borderId="0" xfId="0" applyFont="1"/>
    <xf numFmtId="0" fontId="632" fillId="0" borderId="0" xfId="0" applyFont="1"/>
    <xf numFmtId="0" fontId="631" fillId="0" borderId="0" xfId="0" applyFont="1"/>
    <xf numFmtId="0" fontId="630" fillId="0" borderId="0" xfId="0" applyFont="1"/>
    <xf numFmtId="0" fontId="629" fillId="0" borderId="0" xfId="0" applyFont="1"/>
    <xf numFmtId="0" fontId="628" fillId="0" borderId="0" xfId="0" applyFont="1"/>
    <xf numFmtId="0" fontId="627" fillId="0" borderId="0" xfId="0" applyFont="1"/>
    <xf numFmtId="0" fontId="626" fillId="0" borderId="0" xfId="0" applyFont="1"/>
    <xf numFmtId="0" fontId="625" fillId="0" borderId="0" xfId="0" applyFont="1"/>
    <xf numFmtId="0" fontId="624" fillId="0" borderId="0" xfId="0" applyFont="1"/>
    <xf numFmtId="0" fontId="623" fillId="0" borderId="0" xfId="0" applyFont="1"/>
    <xf numFmtId="0" fontId="622" fillId="0" borderId="0" xfId="0" applyFont="1"/>
    <xf numFmtId="0" fontId="854" fillId="0" borderId="1" xfId="1" applyBorder="1"/>
    <xf numFmtId="0" fontId="621" fillId="0" borderId="0" xfId="0" applyFont="1"/>
    <xf numFmtId="0" fontId="620" fillId="0" borderId="0" xfId="0" applyFont="1"/>
    <xf numFmtId="0" fontId="619" fillId="0" borderId="0" xfId="0" applyFont="1"/>
    <xf numFmtId="0" fontId="618" fillId="0" borderId="0" xfId="0" applyFont="1"/>
    <xf numFmtId="0" fontId="617" fillId="0" borderId="0" xfId="0" applyFont="1"/>
    <xf numFmtId="0" fontId="616" fillId="0" borderId="0" xfId="0" applyFont="1"/>
    <xf numFmtId="14" fontId="831" fillId="9" borderId="0" xfId="0" applyNumberFormat="1" applyFont="1" applyFill="1"/>
    <xf numFmtId="0" fontId="615" fillId="0" borderId="0" xfId="0" applyFont="1"/>
    <xf numFmtId="0" fontId="614" fillId="0" borderId="0" xfId="0" applyFont="1"/>
    <xf numFmtId="0" fontId="613" fillId="0" borderId="0" xfId="0" applyFont="1"/>
    <xf numFmtId="0" fontId="854" fillId="0" borderId="1" xfId="1" applyFill="1" applyBorder="1"/>
    <xf numFmtId="0" fontId="612" fillId="0" borderId="0" xfId="0" applyFont="1"/>
    <xf numFmtId="14" fontId="858" fillId="0" borderId="0" xfId="0" applyNumberFormat="1" applyFont="1" applyAlignment="1">
      <alignment horizontal="center"/>
    </xf>
    <xf numFmtId="0" fontId="611" fillId="0" borderId="0" xfId="0" applyFont="1"/>
    <xf numFmtId="0" fontId="610" fillId="0" borderId="0" xfId="0" applyFont="1"/>
    <xf numFmtId="0" fontId="609" fillId="0" borderId="0" xfId="0" applyFont="1"/>
    <xf numFmtId="0" fontId="608" fillId="0" borderId="0" xfId="0" applyFont="1"/>
    <xf numFmtId="0" fontId="607" fillId="0" borderId="0" xfId="0" applyFont="1"/>
    <xf numFmtId="0" fontId="606" fillId="0" borderId="0" xfId="0" applyFont="1"/>
    <xf numFmtId="0" fontId="605" fillId="0" borderId="0" xfId="0" applyFont="1"/>
    <xf numFmtId="0" fontId="604" fillId="0" borderId="0" xfId="0" applyFont="1"/>
    <xf numFmtId="0" fontId="850" fillId="9" borderId="0" xfId="0" applyFont="1" applyFill="1"/>
    <xf numFmtId="0" fontId="603" fillId="0" borderId="0" xfId="0" applyFont="1"/>
    <xf numFmtId="0" fontId="602" fillId="0" borderId="0" xfId="0" applyFont="1"/>
    <xf numFmtId="0" fontId="601" fillId="0" borderId="0" xfId="0" applyFont="1"/>
    <xf numFmtId="0" fontId="600" fillId="0" borderId="0" xfId="0" applyFont="1"/>
    <xf numFmtId="0" fontId="599" fillId="0" borderId="0" xfId="0" applyFont="1"/>
    <xf numFmtId="0" fontId="598" fillId="0" borderId="0" xfId="0" applyFont="1"/>
    <xf numFmtId="0" fontId="597" fillId="0" borderId="0" xfId="0" applyFont="1"/>
    <xf numFmtId="0" fontId="596" fillId="0" borderId="0" xfId="0" applyFont="1"/>
    <xf numFmtId="0" fontId="595" fillId="0" borderId="0" xfId="0" applyFont="1"/>
    <xf numFmtId="0" fontId="594" fillId="0" borderId="0" xfId="0" applyFont="1"/>
    <xf numFmtId="0" fontId="593" fillId="0" borderId="0" xfId="0" applyFont="1"/>
    <xf numFmtId="0" fontId="592" fillId="0" borderId="0" xfId="0" applyFont="1"/>
    <xf numFmtId="0" fontId="591" fillId="0" borderId="0" xfId="0" applyFont="1"/>
    <xf numFmtId="0" fontId="590" fillId="0" borderId="0" xfId="0" applyFont="1"/>
    <xf numFmtId="0" fontId="589" fillId="0" borderId="0" xfId="0" applyFont="1"/>
    <xf numFmtId="0" fontId="588" fillId="0" borderId="0" xfId="0" applyFont="1"/>
    <xf numFmtId="0" fontId="587" fillId="0" borderId="0" xfId="0" applyFont="1"/>
    <xf numFmtId="0" fontId="586" fillId="0" borderId="0" xfId="0" applyFont="1"/>
    <xf numFmtId="0" fontId="585" fillId="0" borderId="0" xfId="0" applyFont="1"/>
    <xf numFmtId="0" fontId="584" fillId="0" borderId="0" xfId="0" applyFont="1"/>
    <xf numFmtId="0" fontId="583" fillId="0" borderId="0" xfId="0" applyFont="1"/>
    <xf numFmtId="0" fontId="582" fillId="0" borderId="0" xfId="0" applyFont="1"/>
    <xf numFmtId="0" fontId="581" fillId="0" borderId="0" xfId="0" applyFont="1"/>
    <xf numFmtId="0" fontId="580" fillId="0" borderId="0" xfId="0" applyFont="1"/>
    <xf numFmtId="0" fontId="579" fillId="0" borderId="0" xfId="0" applyFont="1"/>
    <xf numFmtId="0" fontId="578" fillId="0" borderId="0" xfId="0" applyFont="1"/>
    <xf numFmtId="0" fontId="577" fillId="0" borderId="0" xfId="0" applyFont="1"/>
    <xf numFmtId="0" fontId="576" fillId="0" borderId="0" xfId="0" applyFont="1"/>
    <xf numFmtId="0" fontId="575" fillId="0" borderId="0" xfId="0" applyFont="1"/>
    <xf numFmtId="0" fontId="574" fillId="0" borderId="0" xfId="0" applyFont="1"/>
    <xf numFmtId="0" fontId="573" fillId="0" borderId="0" xfId="0" applyFont="1"/>
    <xf numFmtId="0" fontId="572" fillId="0" borderId="0" xfId="0" applyFont="1"/>
    <xf numFmtId="0" fontId="571" fillId="0" borderId="0" xfId="0" applyFont="1"/>
    <xf numFmtId="0" fontId="570" fillId="0" borderId="0" xfId="0" applyFont="1"/>
    <xf numFmtId="0" fontId="569" fillId="0" borderId="0" xfId="0" applyFont="1"/>
    <xf numFmtId="0" fontId="568" fillId="0" borderId="0" xfId="0" applyFont="1"/>
    <xf numFmtId="0" fontId="567" fillId="0" borderId="0" xfId="0" applyFont="1"/>
    <xf numFmtId="0" fontId="566" fillId="0" borderId="0" xfId="0" applyFont="1"/>
    <xf numFmtId="0" fontId="565" fillId="0" borderId="0" xfId="0" applyFont="1"/>
    <xf numFmtId="0" fontId="564" fillId="0" borderId="0" xfId="0" applyFont="1"/>
    <xf numFmtId="0" fontId="563" fillId="0" borderId="0" xfId="0" applyFont="1"/>
    <xf numFmtId="0" fontId="562" fillId="0" borderId="0" xfId="0" applyFont="1"/>
    <xf numFmtId="0" fontId="561" fillId="0" borderId="0" xfId="0" applyFont="1"/>
    <xf numFmtId="0" fontId="560" fillId="0" borderId="0" xfId="0" applyFont="1"/>
    <xf numFmtId="0" fontId="559" fillId="0" borderId="0" xfId="0" applyFont="1"/>
    <xf numFmtId="0" fontId="558" fillId="0" borderId="0" xfId="0" applyFont="1"/>
    <xf numFmtId="0" fontId="557" fillId="0" borderId="0" xfId="0" applyFont="1"/>
    <xf numFmtId="0" fontId="556" fillId="0" borderId="0" xfId="0" applyFont="1"/>
    <xf numFmtId="0" fontId="867" fillId="9" borderId="0" xfId="0" applyFont="1" applyFill="1"/>
    <xf numFmtId="1" fontId="867" fillId="9" borderId="0" xfId="0" applyNumberFormat="1" applyFont="1" applyFill="1" applyAlignment="1">
      <alignment horizontal="center"/>
    </xf>
    <xf numFmtId="0" fontId="867" fillId="9" borderId="0" xfId="0" applyFont="1" applyFill="1" applyAlignment="1">
      <alignment horizontal="center"/>
    </xf>
    <xf numFmtId="1" fontId="831" fillId="10" borderId="0" xfId="0" applyNumberFormat="1" applyFont="1" applyFill="1" applyAlignment="1">
      <alignment horizontal="center"/>
    </xf>
    <xf numFmtId="0" fontId="555" fillId="0" borderId="0" xfId="0" applyFont="1"/>
    <xf numFmtId="0" fontId="554" fillId="0" borderId="0" xfId="0" applyFont="1"/>
    <xf numFmtId="0" fontId="553" fillId="0" borderId="0" xfId="0" applyFont="1"/>
    <xf numFmtId="0" fontId="552" fillId="0" borderId="0" xfId="0" applyFont="1"/>
    <xf numFmtId="0" fontId="551" fillId="0" borderId="0" xfId="0" applyFont="1"/>
    <xf numFmtId="0" fontId="550" fillId="0" borderId="0" xfId="0" applyFont="1"/>
    <xf numFmtId="0" fontId="549" fillId="0" borderId="0" xfId="0" applyFont="1"/>
    <xf numFmtId="0" fontId="548" fillId="0" borderId="0" xfId="0" applyFont="1"/>
    <xf numFmtId="0" fontId="547" fillId="0" borderId="0" xfId="0" applyFont="1"/>
    <xf numFmtId="0" fontId="546" fillId="0" borderId="0" xfId="0" applyFont="1"/>
    <xf numFmtId="0" fontId="545" fillId="0" borderId="0" xfId="0" applyFont="1"/>
    <xf numFmtId="0" fontId="544" fillId="0" borderId="0" xfId="0" applyFont="1"/>
    <xf numFmtId="0" fontId="543" fillId="0" borderId="0" xfId="0" applyFont="1"/>
    <xf numFmtId="0" fontId="542" fillId="0" borderId="0" xfId="0" applyFont="1"/>
    <xf numFmtId="0" fontId="541" fillId="0" borderId="0" xfId="0" applyFont="1"/>
    <xf numFmtId="0" fontId="540" fillId="0" borderId="0" xfId="0" applyFont="1"/>
    <xf numFmtId="0" fontId="539" fillId="0" borderId="0" xfId="0" applyFont="1"/>
    <xf numFmtId="0" fontId="868" fillId="0" borderId="0" xfId="0" applyFont="1"/>
    <xf numFmtId="0" fontId="538" fillId="0" borderId="0" xfId="0" applyFont="1"/>
    <xf numFmtId="0" fontId="537" fillId="0" borderId="0" xfId="0" applyFont="1"/>
    <xf numFmtId="0" fontId="536" fillId="0" borderId="0" xfId="0" applyFont="1"/>
    <xf numFmtId="0" fontId="535" fillId="0" borderId="0" xfId="0" applyFont="1"/>
    <xf numFmtId="0" fontId="534" fillId="0" borderId="0" xfId="0" applyFont="1"/>
    <xf numFmtId="0" fontId="533" fillId="0" borderId="0" xfId="0" applyFont="1"/>
    <xf numFmtId="0" fontId="532" fillId="0" borderId="0" xfId="0" applyFont="1"/>
    <xf numFmtId="0" fontId="531" fillId="0" borderId="0" xfId="0" applyFont="1"/>
    <xf numFmtId="0" fontId="530" fillId="0" borderId="0" xfId="0" applyFont="1"/>
    <xf numFmtId="0" fontId="529" fillId="0" borderId="0" xfId="0" applyFont="1"/>
    <xf numFmtId="0" fontId="528" fillId="0" borderId="0" xfId="0" applyFont="1"/>
    <xf numFmtId="0" fontId="527" fillId="0" borderId="0" xfId="0" applyFont="1"/>
    <xf numFmtId="0" fontId="526" fillId="0" borderId="0" xfId="0" applyFont="1"/>
    <xf numFmtId="0" fontId="525" fillId="0" borderId="0" xfId="0" applyFont="1"/>
    <xf numFmtId="0" fontId="524" fillId="0" borderId="0" xfId="0" applyFont="1"/>
    <xf numFmtId="0" fontId="523" fillId="0" borderId="0" xfId="0" applyFont="1"/>
    <xf numFmtId="0" fontId="522" fillId="0" borderId="0" xfId="0" applyFont="1"/>
    <xf numFmtId="0" fontId="521" fillId="0" borderId="0" xfId="0" applyFont="1"/>
    <xf numFmtId="0" fontId="520" fillId="0" borderId="0" xfId="0" applyFont="1"/>
    <xf numFmtId="0" fontId="519" fillId="0" borderId="0" xfId="0" applyFont="1"/>
    <xf numFmtId="0" fontId="518" fillId="0" borderId="0" xfId="0" applyFont="1"/>
    <xf numFmtId="0" fontId="517" fillId="0" borderId="0" xfId="0" applyFont="1"/>
    <xf numFmtId="0" fontId="516" fillId="0" borderId="0" xfId="0" applyFont="1"/>
    <xf numFmtId="0" fontId="515" fillId="0" borderId="0" xfId="0" applyFont="1"/>
    <xf numFmtId="0" fontId="514" fillId="0" borderId="0" xfId="0" applyFont="1"/>
    <xf numFmtId="0" fontId="513" fillId="0" borderId="0" xfId="0" applyFont="1"/>
    <xf numFmtId="0" fontId="512" fillId="0" borderId="0" xfId="0" applyFont="1"/>
    <xf numFmtId="0" fontId="511" fillId="0" borderId="0" xfId="0" applyFont="1"/>
    <xf numFmtId="0" fontId="510" fillId="0" borderId="0" xfId="0" applyFont="1"/>
    <xf numFmtId="0" fontId="509" fillId="0" borderId="0" xfId="0" applyFont="1"/>
    <xf numFmtId="0" fontId="508" fillId="0" borderId="0" xfId="0" applyFont="1"/>
    <xf numFmtId="0" fontId="507" fillId="0" borderId="0" xfId="0" applyFont="1"/>
    <xf numFmtId="0" fontId="506" fillId="0" borderId="0" xfId="0" applyFont="1"/>
    <xf numFmtId="0" fontId="505" fillId="0" borderId="0" xfId="0" applyFont="1"/>
    <xf numFmtId="0" fontId="504" fillId="0" borderId="0" xfId="0" applyFont="1"/>
    <xf numFmtId="0" fontId="503" fillId="0" borderId="0" xfId="0" applyFont="1"/>
    <xf numFmtId="0" fontId="502" fillId="0" borderId="0" xfId="0" applyFont="1"/>
    <xf numFmtId="0" fontId="501" fillId="0" borderId="0" xfId="0" applyFont="1"/>
    <xf numFmtId="0" fontId="500" fillId="0" borderId="0" xfId="0" applyFont="1"/>
    <xf numFmtId="0" fontId="499" fillId="0" borderId="0" xfId="0" applyFont="1"/>
    <xf numFmtId="0" fontId="498" fillId="0" borderId="0" xfId="0" applyFont="1"/>
    <xf numFmtId="0" fontId="497" fillId="0" borderId="0" xfId="0" applyFont="1"/>
    <xf numFmtId="0" fontId="496" fillId="0" borderId="0" xfId="0" applyFont="1"/>
    <xf numFmtId="0" fontId="495" fillId="0" borderId="0" xfId="0" applyFont="1"/>
    <xf numFmtId="0" fontId="494" fillId="0" borderId="0" xfId="0" applyFont="1"/>
    <xf numFmtId="0" fontId="493" fillId="0" borderId="0" xfId="0" applyFont="1"/>
    <xf numFmtId="0" fontId="869" fillId="0" borderId="0" xfId="0" applyFont="1"/>
    <xf numFmtId="0" fontId="870" fillId="0" borderId="0" xfId="0" applyFont="1"/>
    <xf numFmtId="0" fontId="492" fillId="0" borderId="0" xfId="0" applyFont="1"/>
    <xf numFmtId="0" fontId="491" fillId="0" borderId="0" xfId="0" applyFont="1"/>
    <xf numFmtId="0" fontId="490" fillId="0" borderId="0" xfId="0" applyFont="1"/>
    <xf numFmtId="0" fontId="489" fillId="0" borderId="0" xfId="0" applyFont="1"/>
    <xf numFmtId="0" fontId="488" fillId="0" borderId="0" xfId="0" applyFont="1"/>
    <xf numFmtId="0" fontId="487" fillId="0" borderId="0" xfId="0" applyFont="1"/>
    <xf numFmtId="0" fontId="486" fillId="0" borderId="0" xfId="0" applyFont="1"/>
    <xf numFmtId="0" fontId="485" fillId="0" borderId="0" xfId="0" applyFont="1"/>
    <xf numFmtId="0" fontId="484" fillId="0" borderId="0" xfId="0" applyFont="1"/>
    <xf numFmtId="0" fontId="483" fillId="0" borderId="0" xfId="0" applyFont="1"/>
    <xf numFmtId="0" fontId="482" fillId="0" borderId="0" xfId="0" applyFont="1"/>
    <xf numFmtId="0" fontId="481" fillId="0" borderId="0" xfId="0" applyFont="1"/>
    <xf numFmtId="0" fontId="795" fillId="0" borderId="1" xfId="0" applyFont="1" applyBorder="1" applyAlignment="1">
      <alignment vertical="center" wrapText="1"/>
    </xf>
    <xf numFmtId="0" fontId="854" fillId="0" borderId="0" xfId="1" applyFill="1" applyBorder="1" applyAlignment="1"/>
    <xf numFmtId="0" fontId="480" fillId="0" borderId="0" xfId="0" applyFont="1"/>
    <xf numFmtId="0" fontId="479" fillId="0" borderId="0" xfId="0" applyFont="1"/>
    <xf numFmtId="0" fontId="478" fillId="0" borderId="0" xfId="0" applyFont="1"/>
    <xf numFmtId="0" fontId="477" fillId="0" borderId="0" xfId="0" applyFont="1"/>
    <xf numFmtId="0" fontId="476" fillId="0" borderId="0" xfId="0" applyFont="1"/>
    <xf numFmtId="0" fontId="475" fillId="0" borderId="0" xfId="0" applyFont="1"/>
    <xf numFmtId="0" fontId="474" fillId="0" borderId="0" xfId="0" applyFont="1"/>
    <xf numFmtId="0" fontId="473" fillId="0" borderId="0" xfId="0" applyFont="1"/>
    <xf numFmtId="0" fontId="472" fillId="0" borderId="0" xfId="0" applyFont="1"/>
    <xf numFmtId="0" fontId="471" fillId="0" borderId="0" xfId="0" applyFont="1"/>
    <xf numFmtId="0" fontId="470" fillId="0" borderId="0" xfId="0" applyFont="1"/>
    <xf numFmtId="0" fontId="469" fillId="0" borderId="0" xfId="0" applyFont="1"/>
    <xf numFmtId="0" fontId="468" fillId="0" borderId="0" xfId="0" applyFont="1"/>
    <xf numFmtId="0" fontId="831" fillId="9" borderId="0" xfId="0" applyFont="1" applyFill="1" applyAlignment="1">
      <alignment horizontal="right"/>
    </xf>
    <xf numFmtId="14" fontId="849" fillId="0" borderId="0" xfId="0" applyNumberFormat="1" applyFont="1" applyAlignment="1">
      <alignment horizontal="center"/>
    </xf>
    <xf numFmtId="14" fontId="831" fillId="9" borderId="0" xfId="0" applyNumberFormat="1" applyFont="1" applyFill="1" applyAlignment="1">
      <alignment horizontal="center"/>
    </xf>
    <xf numFmtId="14" fontId="867" fillId="9" borderId="0" xfId="0" applyNumberFormat="1" applyFont="1" applyFill="1" applyAlignment="1">
      <alignment horizontal="center"/>
    </xf>
    <xf numFmtId="14" fontId="831" fillId="10" borderId="0" xfId="0" applyNumberFormat="1" applyFont="1" applyFill="1" applyAlignment="1">
      <alignment horizontal="center"/>
    </xf>
    <xf numFmtId="0" fontId="467" fillId="0" borderId="0" xfId="0" applyFont="1"/>
    <xf numFmtId="0" fontId="0" fillId="0" borderId="0" xfId="0" applyAlignment="1">
      <alignment horizontal="right"/>
    </xf>
    <xf numFmtId="0" fontId="466" fillId="0" borderId="0" xfId="0" applyFont="1"/>
    <xf numFmtId="1" fontId="836" fillId="0" borderId="0" xfId="0" applyNumberFormat="1" applyFont="1" applyAlignment="1">
      <alignment vertical="center"/>
    </xf>
    <xf numFmtId="0" fontId="860" fillId="0" borderId="0" xfId="0" applyFont="1" applyAlignment="1">
      <alignment vertical="center"/>
    </xf>
    <xf numFmtId="1" fontId="831" fillId="0" borderId="0" xfId="0" applyNumberFormat="1" applyFont="1" applyAlignment="1">
      <alignment vertical="center"/>
    </xf>
    <xf numFmtId="0" fontId="831" fillId="0" borderId="0" xfId="0" applyFont="1" applyAlignment="1">
      <alignment vertical="center"/>
    </xf>
    <xf numFmtId="14" fontId="831" fillId="9" borderId="0" xfId="0" applyNumberFormat="1" applyFont="1" applyFill="1" applyAlignment="1">
      <alignment horizontal="right"/>
    </xf>
    <xf numFmtId="0" fontId="854" fillId="0" borderId="0" xfId="1" applyBorder="1" applyAlignment="1"/>
    <xf numFmtId="0" fontId="860" fillId="0" borderId="1" xfId="0" applyFont="1" applyBorder="1"/>
    <xf numFmtId="0" fontId="465" fillId="0" borderId="0" xfId="0" applyFont="1"/>
    <xf numFmtId="0" fontId="464" fillId="0" borderId="0" xfId="0" applyFont="1"/>
    <xf numFmtId="0" fontId="854" fillId="11" borderId="0" xfId="1" applyFill="1" applyBorder="1"/>
    <xf numFmtId="0" fontId="463" fillId="0" borderId="0" xfId="0" applyFont="1"/>
    <xf numFmtId="0" fontId="871" fillId="0" borderId="0" xfId="0" applyFont="1"/>
    <xf numFmtId="0" fontId="462" fillId="0" borderId="0" xfId="0" applyFont="1"/>
    <xf numFmtId="0" fontId="460" fillId="0" borderId="0" xfId="0" applyFont="1"/>
    <xf numFmtId="0" fontId="459" fillId="0" borderId="0" xfId="0" applyFont="1"/>
    <xf numFmtId="0" fontId="458" fillId="0" borderId="0" xfId="0" applyFont="1"/>
    <xf numFmtId="0" fontId="457" fillId="0" borderId="0" xfId="0" applyFont="1"/>
    <xf numFmtId="0" fontId="861" fillId="0" borderId="1" xfId="0" applyFont="1" applyBorder="1"/>
    <xf numFmtId="0" fontId="831" fillId="0" borderId="1" xfId="0" applyFont="1" applyBorder="1"/>
    <xf numFmtId="0" fontId="863" fillId="0" borderId="0" xfId="0" applyFont="1" applyAlignment="1">
      <alignment horizontal="right"/>
    </xf>
    <xf numFmtId="1" fontId="831" fillId="0" borderId="0" xfId="0" applyNumberFormat="1" applyFont="1" applyAlignment="1">
      <alignment horizontal="right"/>
    </xf>
    <xf numFmtId="0" fontId="860" fillId="0" borderId="0" xfId="0" applyFont="1" applyAlignment="1">
      <alignment horizontal="right"/>
    </xf>
    <xf numFmtId="0" fontId="455" fillId="0" borderId="0" xfId="0" applyFont="1"/>
    <xf numFmtId="0" fontId="454" fillId="0" borderId="0" xfId="0" applyFont="1"/>
    <xf numFmtId="0" fontId="454" fillId="0" borderId="0" xfId="0" applyFont="1" applyAlignment="1">
      <alignment horizontal="center"/>
    </xf>
    <xf numFmtId="0" fontId="452" fillId="0" borderId="0" xfId="0" applyFont="1"/>
    <xf numFmtId="0" fontId="872" fillId="0" borderId="0" xfId="1" applyFont="1"/>
    <xf numFmtId="0" fontId="451" fillId="0" borderId="0" xfId="0" applyFont="1"/>
    <xf numFmtId="0" fontId="450" fillId="0" borderId="0" xfId="0" applyFont="1"/>
    <xf numFmtId="0" fontId="449" fillId="0" borderId="0" xfId="0" applyFont="1"/>
    <xf numFmtId="0" fontId="448" fillId="0" borderId="0" xfId="0" applyFont="1"/>
    <xf numFmtId="0" fontId="447" fillId="0" borderId="0" xfId="0" applyFont="1"/>
    <xf numFmtId="0" fontId="446" fillId="0" borderId="0" xfId="0" applyFont="1"/>
    <xf numFmtId="0" fontId="445" fillId="0" borderId="0" xfId="0" applyFont="1"/>
    <xf numFmtId="0" fontId="444" fillId="0" borderId="0" xfId="0" applyFont="1"/>
    <xf numFmtId="0" fontId="446" fillId="11" borderId="0" xfId="0" applyFont="1" applyFill="1"/>
    <xf numFmtId="0" fontId="443" fillId="0" borderId="0" xfId="0" applyFont="1"/>
    <xf numFmtId="0" fontId="442" fillId="0" borderId="0" xfId="0" applyFont="1"/>
    <xf numFmtId="0" fontId="441" fillId="0" borderId="0" xfId="0" applyFont="1"/>
    <xf numFmtId="0" fontId="440" fillId="0" borderId="0" xfId="0" applyFont="1"/>
    <xf numFmtId="0" fontId="439" fillId="0" borderId="0" xfId="0" applyFont="1"/>
    <xf numFmtId="0" fontId="438" fillId="0" borderId="0" xfId="0" applyFont="1"/>
    <xf numFmtId="0" fontId="436" fillId="0" borderId="0" xfId="0" applyFont="1"/>
    <xf numFmtId="0" fontId="435" fillId="0" borderId="0" xfId="0" applyFont="1"/>
    <xf numFmtId="0" fontId="434" fillId="0" borderId="0" xfId="0" applyFont="1"/>
    <xf numFmtId="0" fontId="433" fillId="0" borderId="0" xfId="0" applyFont="1"/>
    <xf numFmtId="0" fontId="432" fillId="0" borderId="0" xfId="0" applyFont="1"/>
    <xf numFmtId="0" fontId="431" fillId="0" borderId="0" xfId="0" applyFont="1"/>
    <xf numFmtId="0" fontId="429" fillId="0" borderId="0" xfId="0" applyFont="1"/>
    <xf numFmtId="0" fontId="0" fillId="9" borderId="0" xfId="0" applyFill="1"/>
    <xf numFmtId="0" fontId="428" fillId="0" borderId="0" xfId="0" applyFont="1"/>
    <xf numFmtId="0" fontId="427" fillId="0" borderId="0" xfId="0" applyFont="1"/>
    <xf numFmtId="0" fontId="426" fillId="0" borderId="0" xfId="0" applyFont="1"/>
    <xf numFmtId="0" fontId="425" fillId="0" borderId="0" xfId="0" applyFont="1"/>
    <xf numFmtId="0" fontId="424" fillId="0" borderId="0" xfId="0" applyFont="1"/>
    <xf numFmtId="0" fontId="423" fillId="0" borderId="0" xfId="0" applyFont="1"/>
    <xf numFmtId="0" fontId="422" fillId="0" borderId="0" xfId="0" applyFont="1"/>
    <xf numFmtId="0" fontId="421" fillId="0" borderId="0" xfId="0" applyFont="1"/>
    <xf numFmtId="0" fontId="420" fillId="0" borderId="0" xfId="0" applyFont="1"/>
    <xf numFmtId="0" fontId="419" fillId="0" borderId="0" xfId="0" applyFont="1"/>
    <xf numFmtId="0" fontId="418" fillId="0" borderId="0" xfId="0" applyFont="1"/>
    <xf numFmtId="0" fontId="417" fillId="0" borderId="0" xfId="0" applyFont="1"/>
    <xf numFmtId="0" fontId="416" fillId="0" borderId="0" xfId="0" applyFont="1"/>
    <xf numFmtId="0" fontId="415" fillId="0" borderId="0" xfId="0" applyFont="1"/>
    <xf numFmtId="0" fontId="874" fillId="0" borderId="0" xfId="0" applyFont="1"/>
    <xf numFmtId="0" fontId="874" fillId="0" borderId="0" xfId="0" applyFont="1" applyAlignment="1">
      <alignment horizontal="center"/>
    </xf>
    <xf numFmtId="14" fontId="874" fillId="0" borderId="0" xfId="0" applyNumberFormat="1" applyFont="1" applyAlignment="1">
      <alignment horizontal="center"/>
    </xf>
    <xf numFmtId="0" fontId="874" fillId="0" borderId="0" xfId="0" applyFont="1" applyAlignment="1">
      <alignment vertical="center"/>
    </xf>
    <xf numFmtId="0" fontId="874" fillId="0" borderId="0" xfId="0" applyFont="1" applyAlignment="1">
      <alignment horizontal="right"/>
    </xf>
    <xf numFmtId="0" fontId="414" fillId="0" borderId="0" xfId="0" applyFont="1"/>
    <xf numFmtId="0" fontId="413" fillId="0" borderId="0" xfId="0" applyFont="1"/>
    <xf numFmtId="0" fontId="412" fillId="0" borderId="0" xfId="0" applyFont="1"/>
    <xf numFmtId="0" fontId="411" fillId="0" borderId="0" xfId="0" applyFont="1"/>
    <xf numFmtId="0" fontId="409" fillId="0" borderId="0" xfId="0" applyFont="1"/>
    <xf numFmtId="0" fontId="408" fillId="0" borderId="0" xfId="0" applyFont="1"/>
    <xf numFmtId="0" fontId="407" fillId="0" borderId="0" xfId="0" applyFont="1"/>
    <xf numFmtId="0" fontId="406" fillId="0" borderId="0" xfId="0" applyFont="1"/>
    <xf numFmtId="0" fontId="858" fillId="0" borderId="0" xfId="0" applyFont="1" applyAlignment="1">
      <alignment horizontal="center"/>
    </xf>
    <xf numFmtId="0" fontId="405" fillId="0" borderId="0" xfId="0" applyFont="1"/>
    <xf numFmtId="0" fontId="404" fillId="0" borderId="0" xfId="0" applyFont="1"/>
    <xf numFmtId="0" fontId="403" fillId="0" borderId="0" xfId="0" applyFont="1"/>
    <xf numFmtId="0" fontId="402" fillId="0" borderId="0" xfId="0" applyFont="1"/>
    <xf numFmtId="0" fontId="401" fillId="0" borderId="0" xfId="0" applyFont="1"/>
    <xf numFmtId="0" fontId="400" fillId="0" borderId="0" xfId="0" applyFont="1"/>
    <xf numFmtId="0" fontId="399" fillId="0" borderId="0" xfId="0" applyFont="1"/>
    <xf numFmtId="0" fontId="0" fillId="9" borderId="0" xfId="0" applyFill="1" applyAlignment="1">
      <alignment horizontal="center"/>
    </xf>
    <xf numFmtId="0" fontId="398" fillId="0" borderId="0" xfId="0" applyFont="1"/>
    <xf numFmtId="0" fontId="397" fillId="0" borderId="0" xfId="0" applyFont="1"/>
    <xf numFmtId="0" fontId="396" fillId="0" borderId="0" xfId="0" applyFont="1"/>
    <xf numFmtId="0" fontId="395" fillId="0" borderId="0" xfId="0" applyFont="1"/>
    <xf numFmtId="0" fontId="394" fillId="0" borderId="0" xfId="0" applyFont="1"/>
    <xf numFmtId="0" fontId="393" fillId="0" borderId="0" xfId="0" applyFont="1"/>
    <xf numFmtId="0" fontId="392" fillId="0" borderId="0" xfId="0" applyFont="1"/>
    <xf numFmtId="3" fontId="860" fillId="0" borderId="0" xfId="0" applyNumberFormat="1" applyFont="1" applyAlignment="1">
      <alignment horizontal="right"/>
    </xf>
    <xf numFmtId="0" fontId="390" fillId="0" borderId="0" xfId="0" applyFont="1"/>
    <xf numFmtId="0" fontId="389" fillId="0" borderId="0" xfId="0" applyFont="1"/>
    <xf numFmtId="0" fontId="388" fillId="0" borderId="0" xfId="0" applyFont="1"/>
    <xf numFmtId="0" fontId="387" fillId="0" borderId="0" xfId="0" applyFont="1"/>
    <xf numFmtId="0" fontId="386" fillId="0" borderId="0" xfId="0" applyFont="1"/>
    <xf numFmtId="0" fontId="385" fillId="0" borderId="0" xfId="0" applyFont="1"/>
    <xf numFmtId="0" fontId="384" fillId="0" borderId="0" xfId="0" applyFont="1"/>
    <xf numFmtId="0" fontId="383" fillId="0" borderId="0" xfId="0" applyFont="1"/>
    <xf numFmtId="0" fontId="382" fillId="0" borderId="0" xfId="0" applyFont="1"/>
    <xf numFmtId="0" fontId="381" fillId="0" borderId="0" xfId="0" applyFont="1"/>
    <xf numFmtId="0" fontId="380" fillId="0" borderId="0" xfId="0" applyFont="1"/>
    <xf numFmtId="0" fontId="379" fillId="0" borderId="0" xfId="0" applyFont="1"/>
    <xf numFmtId="0" fontId="378" fillId="0" borderId="0" xfId="0" applyFont="1"/>
    <xf numFmtId="0" fontId="377" fillId="0" borderId="0" xfId="0" applyFont="1"/>
    <xf numFmtId="0" fontId="376" fillId="0" borderId="0" xfId="0" applyFont="1"/>
    <xf numFmtId="14" fontId="831" fillId="13" borderId="0" xfId="0" applyNumberFormat="1" applyFont="1" applyFill="1" applyAlignment="1">
      <alignment horizontal="right"/>
    </xf>
    <xf numFmtId="0" fontId="831" fillId="13" borderId="0" xfId="0" applyFont="1" applyFill="1"/>
    <xf numFmtId="14" fontId="831" fillId="13" borderId="0" xfId="0" applyNumberFormat="1" applyFont="1" applyFill="1" applyAlignment="1">
      <alignment horizontal="center"/>
    </xf>
    <xf numFmtId="1" fontId="831" fillId="13" borderId="0" xfId="0" applyNumberFormat="1" applyFont="1" applyFill="1" applyAlignment="1">
      <alignment horizontal="center"/>
    </xf>
    <xf numFmtId="14" fontId="831" fillId="13" borderId="0" xfId="0" applyNumberFormat="1" applyFont="1" applyFill="1"/>
    <xf numFmtId="0" fontId="831" fillId="13" borderId="0" xfId="0" applyFont="1" applyFill="1" applyAlignment="1">
      <alignment horizontal="center"/>
    </xf>
    <xf numFmtId="14" fontId="837" fillId="13" borderId="0" xfId="0" applyNumberFormat="1" applyFont="1" applyFill="1"/>
    <xf numFmtId="14" fontId="831" fillId="14" borderId="0" xfId="0" applyNumberFormat="1" applyFont="1" applyFill="1" applyAlignment="1">
      <alignment horizontal="right"/>
    </xf>
    <xf numFmtId="0" fontId="831" fillId="14" borderId="0" xfId="0" applyFont="1" applyFill="1"/>
    <xf numFmtId="14" fontId="831" fillId="14" borderId="0" xfId="0" applyNumberFormat="1" applyFont="1" applyFill="1" applyAlignment="1">
      <alignment horizontal="center"/>
    </xf>
    <xf numFmtId="1" fontId="831" fillId="14" borderId="0" xfId="0" applyNumberFormat="1" applyFont="1" applyFill="1" applyAlignment="1">
      <alignment horizontal="center"/>
    </xf>
    <xf numFmtId="0" fontId="831" fillId="14" borderId="0" xfId="0" applyFont="1" applyFill="1" applyAlignment="1">
      <alignment horizontal="center"/>
    </xf>
    <xf numFmtId="0" fontId="0" fillId="14" borderId="0" xfId="0" applyFill="1"/>
    <xf numFmtId="0" fontId="375" fillId="0" borderId="0" xfId="0" applyFont="1"/>
    <xf numFmtId="0" fontId="374" fillId="0" borderId="0" xfId="0" applyFont="1"/>
    <xf numFmtId="0" fontId="373" fillId="0" borderId="0" xfId="0" applyFont="1"/>
    <xf numFmtId="0" fontId="370" fillId="0" borderId="0" xfId="0" applyFont="1"/>
    <xf numFmtId="0" fontId="369" fillId="0" borderId="0" xfId="0" applyFont="1"/>
    <xf numFmtId="0" fontId="368" fillId="0" borderId="0" xfId="0" applyFont="1"/>
    <xf numFmtId="0" fontId="0" fillId="0" borderId="0" xfId="0" applyAlignment="1">
      <alignment horizontal="left"/>
    </xf>
    <xf numFmtId="0" fontId="366" fillId="0" borderId="0" xfId="0" applyFont="1"/>
    <xf numFmtId="0" fontId="365" fillId="0" borderId="0" xfId="0" applyFont="1"/>
    <xf numFmtId="0" fontId="364" fillId="0" borderId="0" xfId="0" applyFont="1"/>
    <xf numFmtId="0" fontId="363" fillId="0" borderId="0" xfId="0" applyFont="1"/>
    <xf numFmtId="0" fontId="362" fillId="0" borderId="0" xfId="0" applyFont="1"/>
    <xf numFmtId="0" fontId="361" fillId="0" borderId="0" xfId="0" applyFont="1"/>
    <xf numFmtId="0" fontId="360" fillId="0" borderId="0" xfId="0" applyFont="1"/>
    <xf numFmtId="0" fontId="359" fillId="0" borderId="0" xfId="0" applyFont="1"/>
    <xf numFmtId="0" fontId="358" fillId="0" borderId="0" xfId="0" applyFont="1"/>
    <xf numFmtId="0" fontId="357" fillId="0" borderId="0" xfId="0" applyFont="1"/>
    <xf numFmtId="0" fontId="356" fillId="0" borderId="0" xfId="0" applyFont="1"/>
    <xf numFmtId="0" fontId="355" fillId="0" borderId="0" xfId="0" applyFont="1"/>
    <xf numFmtId="0" fontId="354" fillId="0" borderId="0" xfId="0" applyFont="1"/>
    <xf numFmtId="0" fontId="845" fillId="14" borderId="0" xfId="0" applyFont="1" applyFill="1" applyAlignment="1">
      <alignment horizontal="center"/>
    </xf>
    <xf numFmtId="14" fontId="0" fillId="9" borderId="0" xfId="0" applyNumberFormat="1" applyFill="1"/>
    <xf numFmtId="0" fontId="353" fillId="9" borderId="0" xfId="0" applyFont="1" applyFill="1"/>
    <xf numFmtId="0" fontId="352" fillId="0" borderId="0" xfId="0" applyFont="1"/>
    <xf numFmtId="0" fontId="351" fillId="0" borderId="0" xfId="0" applyFont="1"/>
    <xf numFmtId="14" fontId="351" fillId="0" borderId="0" xfId="0" applyNumberFormat="1" applyFont="1"/>
    <xf numFmtId="0" fontId="349" fillId="0" borderId="0" xfId="0" applyFont="1"/>
    <xf numFmtId="0" fontId="347" fillId="0" borderId="0" xfId="0" applyFont="1"/>
    <xf numFmtId="0" fontId="346" fillId="0" borderId="0" xfId="0" applyFont="1"/>
    <xf numFmtId="0" fontId="345" fillId="0" borderId="0" xfId="0" applyFont="1"/>
    <xf numFmtId="0" fontId="344" fillId="0" borderId="0" xfId="0" applyFont="1"/>
    <xf numFmtId="0" fontId="343" fillId="0" borderId="0" xfId="0" applyFont="1"/>
    <xf numFmtId="0" fontId="342" fillId="0" borderId="0" xfId="0" applyFont="1"/>
    <xf numFmtId="0" fontId="341" fillId="0" borderId="0" xfId="0" applyFont="1"/>
    <xf numFmtId="0" fontId="340" fillId="0" borderId="0" xfId="0" applyFont="1"/>
    <xf numFmtId="0" fontId="339" fillId="0" borderId="0" xfId="0" applyFont="1"/>
    <xf numFmtId="0" fontId="338" fillId="0" borderId="0" xfId="0" applyFont="1"/>
    <xf numFmtId="0" fontId="337" fillId="0" borderId="0" xfId="0" applyFont="1"/>
    <xf numFmtId="0" fontId="336" fillId="0" borderId="0" xfId="0" applyFont="1"/>
    <xf numFmtId="0" fontId="335" fillId="0" borderId="0" xfId="0" applyFont="1"/>
    <xf numFmtId="0" fontId="334" fillId="0" borderId="0" xfId="0" applyFont="1"/>
    <xf numFmtId="0" fontId="333" fillId="0" borderId="0" xfId="0" applyFont="1"/>
    <xf numFmtId="0" fontId="332" fillId="0" borderId="0" xfId="0" applyFont="1"/>
    <xf numFmtId="0" fontId="330" fillId="0" borderId="0" xfId="0" applyFont="1"/>
    <xf numFmtId="0" fontId="329" fillId="0" borderId="0" xfId="0" applyFont="1"/>
    <xf numFmtId="0" fontId="328" fillId="0" borderId="0" xfId="0" applyFont="1"/>
    <xf numFmtId="0" fontId="327" fillId="0" borderId="0" xfId="0" applyFont="1"/>
    <xf numFmtId="0" fontId="326" fillId="0" borderId="0" xfId="0" applyFont="1"/>
    <xf numFmtId="0" fontId="325" fillId="0" borderId="0" xfId="0" applyFont="1"/>
    <xf numFmtId="0" fontId="324" fillId="0" borderId="0" xfId="0" applyFont="1"/>
    <xf numFmtId="0" fontId="323" fillId="0" borderId="0" xfId="0" applyFont="1"/>
    <xf numFmtId="0" fontId="322" fillId="0" borderId="0" xfId="0" applyFont="1"/>
    <xf numFmtId="0" fontId="321" fillId="0" borderId="0" xfId="0" applyFont="1"/>
    <xf numFmtId="0" fontId="320" fillId="0" borderId="0" xfId="0" applyFont="1"/>
    <xf numFmtId="0" fontId="319" fillId="0" borderId="0" xfId="0" applyFont="1"/>
    <xf numFmtId="0" fontId="318" fillId="0" borderId="0" xfId="0" applyFont="1"/>
    <xf numFmtId="0" fontId="317" fillId="0" borderId="0" xfId="0" applyFont="1"/>
    <xf numFmtId="0" fontId="316" fillId="0" borderId="0" xfId="0" applyFont="1"/>
    <xf numFmtId="0" fontId="315" fillId="0" borderId="0" xfId="0" applyFont="1"/>
    <xf numFmtId="0" fontId="314" fillId="0" borderId="0" xfId="0" applyFont="1"/>
    <xf numFmtId="0" fontId="313" fillId="0" borderId="0" xfId="0" applyFont="1"/>
    <xf numFmtId="0" fontId="312" fillId="0" borderId="0" xfId="0" applyFont="1"/>
    <xf numFmtId="0" fontId="311" fillId="0" borderId="0" xfId="0" applyFont="1"/>
    <xf numFmtId="14" fontId="311" fillId="0" borderId="0" xfId="0" applyNumberFormat="1" applyFont="1"/>
    <xf numFmtId="0" fontId="310" fillId="0" borderId="0" xfId="0" applyFont="1"/>
    <xf numFmtId="0" fontId="309" fillId="0" borderId="0" xfId="0" applyFont="1"/>
    <xf numFmtId="0" fontId="308" fillId="0" borderId="0" xfId="0" applyFont="1"/>
    <xf numFmtId="0" fontId="307" fillId="0" borderId="0" xfId="0" applyFont="1"/>
    <xf numFmtId="0" fontId="306" fillId="0" borderId="0" xfId="0" applyFont="1"/>
    <xf numFmtId="0" fontId="305" fillId="0" borderId="0" xfId="0" applyFont="1"/>
    <xf numFmtId="0" fontId="304" fillId="0" borderId="0" xfId="0" applyFont="1"/>
    <xf numFmtId="0" fontId="303" fillId="0" borderId="0" xfId="0" applyFont="1"/>
    <xf numFmtId="0" fontId="302" fillId="0" borderId="0" xfId="0" applyFont="1"/>
    <xf numFmtId="0" fontId="301" fillId="0" borderId="0" xfId="0" applyFont="1"/>
    <xf numFmtId="0" fontId="836" fillId="0" borderId="0" xfId="0" applyFont="1" applyAlignment="1">
      <alignment horizontal="right" wrapText="1"/>
    </xf>
    <xf numFmtId="0" fontId="831" fillId="0" borderId="0" xfId="0" applyFont="1" applyAlignment="1">
      <alignment horizontal="right" wrapText="1"/>
    </xf>
    <xf numFmtId="1" fontId="838" fillId="0" borderId="0" xfId="0" applyNumberFormat="1" applyFont="1" applyAlignment="1">
      <alignment horizontal="right"/>
    </xf>
    <xf numFmtId="0" fontId="836" fillId="0" borderId="0" xfId="0" applyFont="1" applyAlignment="1">
      <alignment horizontal="right"/>
    </xf>
    <xf numFmtId="0" fontId="845" fillId="0" borderId="0" xfId="0" applyFont="1" applyAlignment="1">
      <alignment horizontal="right"/>
    </xf>
    <xf numFmtId="0" fontId="842" fillId="0" borderId="0" xfId="0" applyFont="1" applyAlignment="1">
      <alignment horizontal="right"/>
    </xf>
    <xf numFmtId="0" fontId="825" fillId="0" borderId="0" xfId="0" applyFont="1" applyAlignment="1">
      <alignment horizontal="right"/>
    </xf>
    <xf numFmtId="0" fontId="831" fillId="4" borderId="1" xfId="0" applyFont="1" applyFill="1" applyBorder="1" applyAlignment="1">
      <alignment horizontal="right"/>
    </xf>
    <xf numFmtId="0" fontId="831" fillId="10" borderId="0" xfId="0" applyFont="1" applyFill="1" applyAlignment="1">
      <alignment horizontal="right"/>
    </xf>
    <xf numFmtId="0" fontId="831" fillId="2" borderId="1" xfId="0" applyFont="1" applyFill="1" applyBorder="1" applyAlignment="1">
      <alignment horizontal="right"/>
    </xf>
    <xf numFmtId="0" fontId="831" fillId="14" borderId="0" xfId="0" applyFont="1" applyFill="1" applyAlignment="1">
      <alignment horizontal="right"/>
    </xf>
    <xf numFmtId="0" fontId="837" fillId="0" borderId="0" xfId="0" applyFont="1" applyAlignment="1">
      <alignment horizontal="right"/>
    </xf>
    <xf numFmtId="0" fontId="825" fillId="14" borderId="0" xfId="0" applyFont="1" applyFill="1" applyAlignment="1">
      <alignment horizontal="right"/>
    </xf>
    <xf numFmtId="0" fontId="825" fillId="9" borderId="0" xfId="0" applyFont="1" applyFill="1" applyAlignment="1">
      <alignment horizontal="right"/>
    </xf>
    <xf numFmtId="0" fontId="867" fillId="9" borderId="0" xfId="0" applyFont="1" applyFill="1" applyAlignment="1">
      <alignment horizontal="right"/>
    </xf>
    <xf numFmtId="0" fontId="825" fillId="9" borderId="0" xfId="0" applyFont="1" applyFill="1" applyAlignment="1">
      <alignment horizontal="right" vertical="center" wrapText="1"/>
    </xf>
    <xf numFmtId="0" fontId="873" fillId="9" borderId="0" xfId="0" applyFont="1" applyFill="1" applyAlignment="1">
      <alignment horizontal="right"/>
    </xf>
    <xf numFmtId="0" fontId="831" fillId="13" borderId="0" xfId="0" applyFont="1" applyFill="1" applyAlignment="1">
      <alignment horizontal="right"/>
    </xf>
    <xf numFmtId="0" fontId="300" fillId="0" borderId="0" xfId="0" applyFont="1"/>
    <xf numFmtId="0" fontId="299" fillId="0" borderId="0" xfId="0" applyFont="1"/>
    <xf numFmtId="0" fontId="298" fillId="0" borderId="0" xfId="0" applyFont="1"/>
    <xf numFmtId="0" fontId="297" fillId="0" borderId="0" xfId="0" applyFont="1"/>
    <xf numFmtId="14" fontId="461" fillId="0" borderId="0" xfId="0" applyNumberFormat="1" applyFont="1"/>
    <xf numFmtId="0" fontId="296" fillId="0" borderId="0" xfId="0" applyFont="1"/>
    <xf numFmtId="0" fontId="295" fillId="0" borderId="0" xfId="0" applyFont="1"/>
    <xf numFmtId="0" fontId="294" fillId="0" borderId="0" xfId="0" applyFont="1"/>
    <xf numFmtId="0" fontId="285" fillId="0" borderId="0" xfId="0" applyFont="1"/>
    <xf numFmtId="0" fontId="284" fillId="0" borderId="0" xfId="0" applyFont="1"/>
    <xf numFmtId="14" fontId="831" fillId="10" borderId="0" xfId="0" applyNumberFormat="1" applyFont="1" applyFill="1" applyAlignment="1">
      <alignment horizontal="right"/>
    </xf>
    <xf numFmtId="0" fontId="283" fillId="0" borderId="0" xfId="0" applyFont="1"/>
    <xf numFmtId="0" fontId="282" fillId="0" borderId="0" xfId="0" applyFont="1"/>
    <xf numFmtId="0" fontId="281" fillId="0" borderId="0" xfId="0" applyFont="1"/>
    <xf numFmtId="0" fontId="876" fillId="0" borderId="0" xfId="0" applyFont="1"/>
    <xf numFmtId="0" fontId="280" fillId="0" borderId="0" xfId="0" applyFont="1"/>
    <xf numFmtId="0" fontId="279" fillId="0" borderId="0" xfId="0" applyFont="1"/>
    <xf numFmtId="0" fontId="278" fillId="0" borderId="0" xfId="0" applyFont="1"/>
    <xf numFmtId="0" fontId="277" fillId="0" borderId="0" xfId="0" applyFont="1"/>
    <xf numFmtId="0" fontId="276" fillId="0" borderId="0" xfId="0" applyFont="1"/>
    <xf numFmtId="14" fontId="867" fillId="9" borderId="0" xfId="0" applyNumberFormat="1" applyFont="1" applyFill="1" applyAlignment="1">
      <alignment horizontal="right"/>
    </xf>
    <xf numFmtId="0" fontId="273" fillId="0" borderId="0" xfId="0" applyFont="1"/>
    <xf numFmtId="0" fontId="272" fillId="0" borderId="0" xfId="0" applyFont="1"/>
    <xf numFmtId="0" fontId="271" fillId="0" borderId="0" xfId="0" applyFont="1"/>
    <xf numFmtId="0" fontId="270" fillId="0" borderId="0" xfId="0" applyFont="1"/>
    <xf numFmtId="0" fontId="269" fillId="0" borderId="0" xfId="0" applyFont="1"/>
    <xf numFmtId="0" fontId="268" fillId="0" borderId="0" xfId="0" applyFont="1"/>
    <xf numFmtId="0" fontId="267" fillId="0" borderId="0" xfId="0" applyFont="1"/>
    <xf numFmtId="0" fontId="266" fillId="0" borderId="0" xfId="0" applyFont="1"/>
    <xf numFmtId="0" fontId="795" fillId="0" borderId="4" xfId="0" applyFont="1" applyBorder="1" applyAlignment="1">
      <alignment horizontal="center"/>
    </xf>
    <xf numFmtId="0" fontId="277" fillId="0" borderId="4" xfId="0" applyFont="1" applyBorder="1"/>
    <xf numFmtId="0" fontId="0" fillId="0" borderId="4" xfId="0" applyBorder="1"/>
    <xf numFmtId="14" fontId="0" fillId="0" borderId="4" xfId="0" applyNumberFormat="1" applyBorder="1" applyAlignment="1">
      <alignment horizontal="center"/>
    </xf>
    <xf numFmtId="14" fontId="0" fillId="0" borderId="4" xfId="0" applyNumberFormat="1" applyBorder="1"/>
    <xf numFmtId="0" fontId="265" fillId="0" borderId="0" xfId="0" applyFont="1"/>
    <xf numFmtId="0" fontId="264" fillId="0" borderId="0" xfId="0" applyFont="1"/>
    <xf numFmtId="0" fontId="262" fillId="0" borderId="0" xfId="0" applyFont="1"/>
    <xf numFmtId="0" fontId="261" fillId="0" borderId="0" xfId="0" applyFont="1"/>
    <xf numFmtId="0" fontId="260" fillId="0" borderId="0" xfId="0" applyFont="1"/>
    <xf numFmtId="0" fontId="259" fillId="0" borderId="0" xfId="0" applyFont="1"/>
    <xf numFmtId="0" fontId="258" fillId="0" borderId="0" xfId="0" applyFont="1"/>
    <xf numFmtId="14" fontId="258" fillId="0" borderId="0" xfId="0" applyNumberFormat="1" applyFont="1" applyAlignment="1">
      <alignment horizontal="center"/>
    </xf>
    <xf numFmtId="0" fontId="257" fillId="0" borderId="0" xfId="0" applyFont="1"/>
    <xf numFmtId="0" fontId="256" fillId="0" borderId="0" xfId="0" applyFont="1"/>
    <xf numFmtId="0" fontId="255" fillId="0" borderId="0" xfId="0" applyFont="1"/>
    <xf numFmtId="0" fontId="254" fillId="0" borderId="0" xfId="0" applyFont="1"/>
    <xf numFmtId="0" fontId="253" fillId="0" borderId="0" xfId="0" applyFont="1"/>
    <xf numFmtId="0" fontId="252" fillId="0" borderId="0" xfId="0" applyFont="1"/>
    <xf numFmtId="0" fontId="251" fillId="0" borderId="0" xfId="0" applyFont="1"/>
    <xf numFmtId="0" fontId="250" fillId="0" borderId="0" xfId="0" applyFont="1"/>
    <xf numFmtId="0" fontId="249" fillId="0" borderId="0" xfId="0" applyFont="1"/>
    <xf numFmtId="0" fontId="248" fillId="0" borderId="0" xfId="0" applyFont="1"/>
    <xf numFmtId="0" fontId="247" fillId="0" borderId="0" xfId="0" applyFont="1"/>
    <xf numFmtId="0" fontId="246" fillId="0" borderId="0" xfId="0" applyFont="1"/>
    <xf numFmtId="0" fontId="245" fillId="0" borderId="0" xfId="0" applyFont="1"/>
    <xf numFmtId="0" fontId="244" fillId="0" borderId="0" xfId="0" applyFont="1"/>
    <xf numFmtId="0" fontId="243" fillId="0" borderId="0" xfId="0" applyFont="1"/>
    <xf numFmtId="0" fontId="242" fillId="0" borderId="0" xfId="0" applyFont="1"/>
    <xf numFmtId="0" fontId="241" fillId="0" borderId="0" xfId="0" applyFont="1"/>
    <xf numFmtId="0" fontId="240" fillId="0" borderId="0" xfId="0" applyFont="1"/>
    <xf numFmtId="0" fontId="239" fillId="0" borderId="0" xfId="0" applyFont="1"/>
    <xf numFmtId="0" fontId="238" fillId="0" borderId="0" xfId="0" applyFont="1"/>
    <xf numFmtId="0" fontId="237" fillId="0" borderId="0" xfId="0" applyFont="1"/>
    <xf numFmtId="0" fontId="236" fillId="0" borderId="0" xfId="0" applyFont="1"/>
    <xf numFmtId="0" fontId="235" fillId="0" borderId="0" xfId="0" applyFont="1"/>
    <xf numFmtId="0" fontId="234" fillId="0" borderId="0" xfId="0" applyFont="1"/>
    <xf numFmtId="0" fontId="233" fillId="0" borderId="0" xfId="0" applyFont="1"/>
    <xf numFmtId="0" fontId="232" fillId="0" borderId="0" xfId="0" applyFont="1"/>
    <xf numFmtId="0" fontId="231" fillId="0" borderId="0" xfId="0" applyFont="1"/>
    <xf numFmtId="0" fontId="230" fillId="0" borderId="0" xfId="0" applyFont="1"/>
    <xf numFmtId="0" fontId="229" fillId="0" borderId="0" xfId="0" applyFont="1"/>
    <xf numFmtId="0" fontId="228" fillId="0" borderId="0" xfId="0" applyFont="1"/>
    <xf numFmtId="0" fontId="227" fillId="0" borderId="0" xfId="0" applyFont="1"/>
    <xf numFmtId="0" fontId="226" fillId="0" borderId="0" xfId="0" applyFont="1"/>
    <xf numFmtId="0" fontId="225" fillId="0" borderId="0" xfId="0" applyFont="1"/>
    <xf numFmtId="0" fontId="873" fillId="0" borderId="0" xfId="0" applyFont="1"/>
    <xf numFmtId="0" fontId="860" fillId="9" borderId="0" xfId="0" applyFont="1" applyFill="1" applyAlignment="1">
      <alignment horizontal="right"/>
    </xf>
    <xf numFmtId="0" fontId="224" fillId="0" borderId="0" xfId="0" applyFont="1"/>
    <xf numFmtId="0" fontId="223" fillId="0" borderId="0" xfId="0" applyFont="1"/>
    <xf numFmtId="0" fontId="222" fillId="0" borderId="0" xfId="0" applyFont="1"/>
    <xf numFmtId="0" fontId="221" fillId="0" borderId="0" xfId="0" applyFont="1"/>
    <xf numFmtId="0" fontId="220" fillId="0" borderId="0" xfId="0" applyFont="1"/>
    <xf numFmtId="0" fontId="219" fillId="0" borderId="0" xfId="0" applyFont="1"/>
    <xf numFmtId="0" fontId="218" fillId="0" borderId="0" xfId="0" applyFont="1"/>
    <xf numFmtId="0" fontId="217" fillId="0" borderId="0" xfId="0" applyFont="1"/>
    <xf numFmtId="0" fontId="216" fillId="0" borderId="0" xfId="0" applyFont="1"/>
    <xf numFmtId="0" fontId="215" fillId="0" borderId="0" xfId="0" applyFont="1"/>
    <xf numFmtId="0" fontId="863" fillId="0" borderId="0" xfId="0" applyFont="1" applyAlignment="1">
      <alignment horizontal="center"/>
    </xf>
    <xf numFmtId="0" fontId="214" fillId="0" borderId="0" xfId="0" applyFont="1"/>
    <xf numFmtId="0" fontId="213" fillId="0" borderId="0" xfId="0" applyFont="1"/>
    <xf numFmtId="0" fontId="212" fillId="0" borderId="0" xfId="0" applyFont="1"/>
    <xf numFmtId="0" fontId="211" fillId="0" borderId="0" xfId="0" applyFont="1"/>
    <xf numFmtId="0" fontId="210" fillId="0" borderId="0" xfId="0" applyFont="1"/>
    <xf numFmtId="0" fontId="209" fillId="0" borderId="0" xfId="0" applyFont="1"/>
    <xf numFmtId="0" fontId="208" fillId="0" borderId="0" xfId="0" applyFont="1"/>
    <xf numFmtId="0" fontId="207" fillId="0" borderId="0" xfId="0" applyFont="1"/>
    <xf numFmtId="0" fontId="206" fillId="0" borderId="0" xfId="0" applyFont="1"/>
    <xf numFmtId="0" fontId="205" fillId="0" borderId="0" xfId="0" applyFont="1"/>
    <xf numFmtId="0" fontId="204" fillId="0" borderId="0" xfId="0" applyFont="1"/>
    <xf numFmtId="0" fontId="203" fillId="0" borderId="0" xfId="0" applyFont="1"/>
    <xf numFmtId="0" fontId="202" fillId="0" borderId="0" xfId="0" applyFont="1"/>
    <xf numFmtId="0" fontId="201" fillId="0" borderId="0" xfId="0" applyFont="1"/>
    <xf numFmtId="0" fontId="200" fillId="0" borderId="0" xfId="0" applyFont="1"/>
    <xf numFmtId="0" fontId="199" fillId="0" borderId="0" xfId="0" applyFont="1"/>
    <xf numFmtId="0" fontId="198" fillId="0" borderId="0" xfId="0" applyFont="1"/>
    <xf numFmtId="0" fontId="197" fillId="0" borderId="0" xfId="0" applyFont="1"/>
    <xf numFmtId="0" fontId="196" fillId="0" borderId="0" xfId="0" applyFont="1"/>
    <xf numFmtId="0" fontId="195" fillId="0" borderId="0" xfId="0" applyFont="1"/>
    <xf numFmtId="0" fontId="795" fillId="11" borderId="0" xfId="0" applyFont="1" applyFill="1" applyAlignment="1">
      <alignment horizontal="left"/>
    </xf>
    <xf numFmtId="0" fontId="194" fillId="0" borderId="0" xfId="0" applyFont="1"/>
    <xf numFmtId="0" fontId="193" fillId="0" borderId="0" xfId="0" applyFont="1"/>
    <xf numFmtId="0" fontId="192" fillId="0" borderId="0" xfId="0" applyFont="1"/>
    <xf numFmtId="0" fontId="191" fillId="0" borderId="0" xfId="0" applyFont="1"/>
    <xf numFmtId="0" fontId="190" fillId="0" borderId="0" xfId="0" applyFont="1"/>
    <xf numFmtId="0" fontId="189" fillId="0" borderId="0" xfId="0" applyFont="1"/>
    <xf numFmtId="0" fontId="188" fillId="0" borderId="0" xfId="0" applyFont="1"/>
    <xf numFmtId="0" fontId="187" fillId="0" borderId="0" xfId="0" applyFont="1"/>
    <xf numFmtId="0" fontId="186" fillId="0" borderId="0" xfId="0" applyFont="1"/>
    <xf numFmtId="0" fontId="185" fillId="0" borderId="0" xfId="0" applyFont="1"/>
    <xf numFmtId="0" fontId="184" fillId="0" borderId="0" xfId="0" applyFont="1"/>
    <xf numFmtId="0" fontId="183" fillId="0" borderId="0" xfId="0" applyFont="1"/>
    <xf numFmtId="0" fontId="182" fillId="0" borderId="0" xfId="0" applyFont="1"/>
    <xf numFmtId="0" fontId="811" fillId="0" borderId="1" xfId="0" applyFont="1" applyBorder="1"/>
    <xf numFmtId="0" fontId="829" fillId="16" borderId="5" xfId="0" applyFont="1" applyFill="1" applyBorder="1" applyAlignment="1">
      <alignment vertical="center" wrapText="1"/>
    </xf>
    <xf numFmtId="0" fontId="181" fillId="0" borderId="0" xfId="0" applyFont="1"/>
    <xf numFmtId="0" fontId="180" fillId="0" borderId="0" xfId="0" applyFont="1"/>
    <xf numFmtId="0" fontId="179" fillId="0" borderId="0" xfId="0" applyFont="1"/>
    <xf numFmtId="0" fontId="178" fillId="0" borderId="0" xfId="0" applyFont="1"/>
    <xf numFmtId="0" fontId="811" fillId="17" borderId="0" xfId="0" applyFont="1" applyFill="1" applyAlignment="1">
      <alignment vertical="center" wrapText="1"/>
    </xf>
    <xf numFmtId="0" fontId="854" fillId="11" borderId="0" xfId="1" applyFill="1"/>
    <xf numFmtId="0" fontId="860" fillId="11" borderId="0" xfId="0" applyFont="1" applyFill="1" applyAlignment="1">
      <alignment vertical="center"/>
    </xf>
    <xf numFmtId="0" fontId="177" fillId="0" borderId="0" xfId="0" applyFont="1"/>
    <xf numFmtId="0" fontId="839" fillId="0" borderId="0" xfId="0" applyFont="1"/>
    <xf numFmtId="0" fontId="837" fillId="9" borderId="0" xfId="0" applyFont="1" applyFill="1"/>
    <xf numFmtId="16" fontId="831" fillId="9" borderId="0" xfId="0" applyNumberFormat="1" applyFont="1" applyFill="1" applyAlignment="1">
      <alignment horizontal="center"/>
    </xf>
    <xf numFmtId="0" fontId="171" fillId="0" borderId="0" xfId="0" applyFont="1"/>
    <xf numFmtId="0" fontId="170" fillId="0" borderId="0" xfId="0" applyFont="1"/>
    <xf numFmtId="0" fontId="166" fillId="0" borderId="0" xfId="0" applyFont="1"/>
    <xf numFmtId="0" fontId="165" fillId="0" borderId="0" xfId="0" applyFont="1"/>
    <xf numFmtId="0" fontId="811" fillId="11" borderId="0" xfId="0" applyFont="1" applyFill="1"/>
    <xf numFmtId="0" fontId="163" fillId="0" borderId="0" xfId="0" applyFont="1"/>
    <xf numFmtId="0" fontId="159" fillId="0" borderId="0" xfId="0" applyFont="1"/>
    <xf numFmtId="0" fontId="157" fillId="0" borderId="0" xfId="0" applyFont="1"/>
    <xf numFmtId="0" fontId="156" fillId="0" borderId="0" xfId="0" applyFont="1"/>
    <xf numFmtId="0" fontId="155" fillId="0" borderId="0" xfId="0" applyFont="1"/>
    <xf numFmtId="0" fontId="154" fillId="0" borderId="0" xfId="0" applyFont="1"/>
    <xf numFmtId="0" fontId="153" fillId="0" borderId="0" xfId="0" applyFont="1"/>
    <xf numFmtId="0" fontId="152" fillId="0" borderId="0" xfId="0" applyFont="1"/>
    <xf numFmtId="0" fontId="151" fillId="0" borderId="0" xfId="0" applyFont="1"/>
    <xf numFmtId="0" fontId="150" fillId="0" borderId="0" xfId="0" applyFont="1"/>
    <xf numFmtId="0" fontId="148" fillId="0" borderId="0" xfId="0" applyFont="1"/>
    <xf numFmtId="0" fontId="147" fillId="0" borderId="0" xfId="0" applyFont="1"/>
    <xf numFmtId="0" fontId="146" fillId="0" borderId="0" xfId="0" applyFont="1"/>
    <xf numFmtId="0" fontId="145" fillId="0" borderId="0" xfId="0" applyFont="1"/>
    <xf numFmtId="0" fontId="144" fillId="0" borderId="0" xfId="0" applyFont="1"/>
    <xf numFmtId="0" fontId="143" fillId="0" borderId="0" xfId="0" applyFont="1"/>
    <xf numFmtId="14" fontId="143" fillId="0" borderId="0" xfId="0" applyNumberFormat="1" applyFont="1"/>
    <xf numFmtId="0" fontId="142" fillId="0" borderId="0" xfId="0" applyFont="1"/>
    <xf numFmtId="0" fontId="141" fillId="0" borderId="0" xfId="0" applyFont="1"/>
    <xf numFmtId="0" fontId="140" fillId="0" borderId="0" xfId="0" applyFont="1"/>
    <xf numFmtId="0" fontId="139" fillId="0" borderId="0" xfId="0" applyFont="1"/>
    <xf numFmtId="0" fontId="138" fillId="0" borderId="0" xfId="0" applyFont="1"/>
    <xf numFmtId="0" fontId="137" fillId="0" borderId="0" xfId="0" applyFont="1"/>
    <xf numFmtId="0" fontId="136" fillId="0" borderId="0" xfId="0" applyFont="1"/>
    <xf numFmtId="0" fontId="796" fillId="0" borderId="0" xfId="0" applyFont="1" applyAlignment="1">
      <alignment horizontal="left"/>
    </xf>
    <xf numFmtId="49" fontId="795" fillId="3" borderId="1" xfId="0" applyNumberFormat="1" applyFont="1" applyFill="1" applyBorder="1" applyAlignment="1">
      <alignment horizontal="left"/>
    </xf>
    <xf numFmtId="49" fontId="795" fillId="5" borderId="1" xfId="0" applyNumberFormat="1" applyFont="1" applyFill="1" applyBorder="1" applyAlignment="1">
      <alignment horizontal="left"/>
    </xf>
    <xf numFmtId="0" fontId="797" fillId="0" borderId="0" xfId="0" applyFont="1" applyAlignment="1">
      <alignment horizontal="left"/>
    </xf>
    <xf numFmtId="49" fontId="804" fillId="0" borderId="0" xfId="0" applyNumberFormat="1" applyFont="1" applyAlignment="1">
      <alignment horizontal="left"/>
    </xf>
    <xf numFmtId="0" fontId="795" fillId="0" borderId="2" xfId="0" applyFont="1" applyBorder="1" applyAlignment="1">
      <alignment horizontal="left" vertical="center" wrapText="1"/>
    </xf>
    <xf numFmtId="49" fontId="804" fillId="2" borderId="1" xfId="0" applyNumberFormat="1" applyFont="1" applyFill="1" applyBorder="1" applyAlignment="1">
      <alignment horizontal="left"/>
    </xf>
    <xf numFmtId="0" fontId="810" fillId="0" borderId="0" xfId="0" applyFont="1" applyAlignment="1">
      <alignment horizontal="left"/>
    </xf>
    <xf numFmtId="0" fontId="795" fillId="0" borderId="3" xfId="0" applyFont="1" applyBorder="1" applyAlignment="1">
      <alignment horizontal="left" vertical="center" wrapText="1"/>
    </xf>
    <xf numFmtId="0" fontId="811" fillId="0" borderId="0" xfId="0" applyFont="1" applyAlignment="1">
      <alignment horizontal="left"/>
    </xf>
    <xf numFmtId="0" fontId="815" fillId="0" borderId="0" xfId="0" applyFont="1" applyAlignment="1">
      <alignment horizontal="left"/>
    </xf>
    <xf numFmtId="49" fontId="795" fillId="2" borderId="1" xfId="0" applyNumberFormat="1" applyFont="1" applyFill="1" applyBorder="1" applyAlignment="1">
      <alignment horizontal="left"/>
    </xf>
    <xf numFmtId="49" fontId="816" fillId="0" borderId="0" xfId="0" applyNumberFormat="1" applyFont="1" applyAlignment="1">
      <alignment horizontal="left"/>
    </xf>
    <xf numFmtId="0" fontId="817" fillId="0" borderId="0" xfId="0" applyFont="1" applyAlignment="1">
      <alignment horizontal="left"/>
    </xf>
    <xf numFmtId="49" fontId="795" fillId="6" borderId="1" xfId="0" applyNumberFormat="1" applyFont="1" applyFill="1" applyBorder="1" applyAlignment="1">
      <alignment horizontal="left"/>
    </xf>
    <xf numFmtId="0" fontId="818" fillId="0" borderId="0" xfId="0" applyFont="1" applyAlignment="1">
      <alignment horizontal="left"/>
    </xf>
    <xf numFmtId="0" fontId="821" fillId="0" borderId="0" xfId="0" applyFont="1" applyAlignment="1">
      <alignment horizontal="left"/>
    </xf>
    <xf numFmtId="0" fontId="820" fillId="0" borderId="0" xfId="0" applyFont="1" applyAlignment="1">
      <alignment horizontal="left"/>
    </xf>
    <xf numFmtId="0" fontId="825" fillId="0" borderId="0" xfId="0" applyFont="1" applyAlignment="1">
      <alignment horizontal="left"/>
    </xf>
    <xf numFmtId="49" fontId="826" fillId="0" borderId="0" xfId="0" applyNumberFormat="1" applyFont="1" applyAlignment="1">
      <alignment horizontal="left"/>
    </xf>
    <xf numFmtId="0" fontId="808" fillId="0" borderId="0" xfId="0" applyFont="1" applyAlignment="1">
      <alignment horizontal="left"/>
    </xf>
    <xf numFmtId="49" fontId="852" fillId="0" borderId="0" xfId="0" applyNumberFormat="1" applyFont="1" applyAlignment="1">
      <alignment horizontal="left"/>
    </xf>
    <xf numFmtId="0" fontId="853" fillId="0" borderId="0" xfId="0" applyFont="1" applyAlignment="1">
      <alignment horizontal="left"/>
    </xf>
    <xf numFmtId="0" fontId="857" fillId="0" borderId="0" xfId="0" applyFont="1" applyAlignment="1">
      <alignment horizontal="left"/>
    </xf>
    <xf numFmtId="49" fontId="795" fillId="11" borderId="0" xfId="0" applyNumberFormat="1" applyFont="1" applyFill="1" applyAlignment="1">
      <alignment horizontal="left"/>
    </xf>
    <xf numFmtId="49" fontId="804" fillId="11" borderId="0" xfId="0" applyNumberFormat="1" applyFont="1" applyFill="1" applyAlignment="1">
      <alignment horizontal="left"/>
    </xf>
    <xf numFmtId="0" fontId="859" fillId="0" borderId="0" xfId="0" applyFont="1" applyAlignment="1">
      <alignment horizontal="left" vertical="center"/>
    </xf>
    <xf numFmtId="0" fontId="830" fillId="0" borderId="0" xfId="0" applyFont="1" applyAlignment="1">
      <alignment horizontal="left" vertical="center"/>
    </xf>
    <xf numFmtId="0" fontId="695" fillId="0" borderId="0" xfId="0" applyFont="1" applyAlignment="1">
      <alignment horizontal="left"/>
    </xf>
    <xf numFmtId="0" fontId="694" fillId="0" borderId="0" xfId="0" applyFont="1" applyAlignment="1">
      <alignment horizontal="left"/>
    </xf>
    <xf numFmtId="0" fontId="693" fillId="0" borderId="0" xfId="0" applyFont="1" applyAlignment="1">
      <alignment horizontal="left"/>
    </xf>
    <xf numFmtId="0" fontId="858" fillId="0" borderId="0" xfId="0" applyFont="1" applyAlignment="1">
      <alignment horizontal="left"/>
    </xf>
    <xf numFmtId="0" fontId="692" fillId="0" borderId="0" xfId="0" applyFont="1" applyAlignment="1">
      <alignment horizontal="left"/>
    </xf>
    <xf numFmtId="0" fontId="691" fillId="0" borderId="0" xfId="0" applyFont="1" applyAlignment="1">
      <alignment horizontal="left"/>
    </xf>
    <xf numFmtId="0" fontId="689" fillId="0" borderId="0" xfId="0" applyFont="1" applyAlignment="1">
      <alignment horizontal="left"/>
    </xf>
    <xf numFmtId="0" fontId="688" fillId="0" borderId="0" xfId="0" applyFont="1" applyAlignment="1">
      <alignment horizontal="left"/>
    </xf>
    <xf numFmtId="0" fontId="688" fillId="11" borderId="0" xfId="0" applyFont="1" applyFill="1" applyAlignment="1">
      <alignment horizontal="left"/>
    </xf>
    <xf numFmtId="0" fontId="687" fillId="0" borderId="0" xfId="0" applyFont="1" applyAlignment="1">
      <alignment horizontal="left"/>
    </xf>
    <xf numFmtId="0" fontId="686" fillId="0" borderId="0" xfId="0" applyFont="1" applyAlignment="1">
      <alignment horizontal="left"/>
    </xf>
    <xf numFmtId="0" fontId="685" fillId="0" borderId="0" xfId="0" applyFont="1" applyAlignment="1">
      <alignment horizontal="left"/>
    </xf>
    <xf numFmtId="0" fontId="684" fillId="0" borderId="0" xfId="0" applyFont="1" applyAlignment="1">
      <alignment horizontal="left"/>
    </xf>
    <xf numFmtId="0" fontId="683" fillId="0" borderId="0" xfId="0" applyFont="1" applyAlignment="1">
      <alignment horizontal="left"/>
    </xf>
    <xf numFmtId="0" fontId="682" fillId="0" borderId="0" xfId="0" applyFont="1" applyAlignment="1">
      <alignment horizontal="left"/>
    </xf>
    <xf numFmtId="0" fontId="680" fillId="0" borderId="0" xfId="0" applyFont="1" applyAlignment="1">
      <alignment horizontal="left"/>
    </xf>
    <xf numFmtId="0" fontId="679" fillId="0" borderId="0" xfId="0" applyFont="1" applyAlignment="1">
      <alignment horizontal="left"/>
    </xf>
    <xf numFmtId="0" fontId="678" fillId="0" borderId="0" xfId="0" applyFont="1" applyAlignment="1">
      <alignment horizontal="left"/>
    </xf>
    <xf numFmtId="0" fontId="677" fillId="0" borderId="0" xfId="0" applyFont="1" applyAlignment="1">
      <alignment horizontal="left"/>
    </xf>
    <xf numFmtId="0" fontId="676" fillId="0" borderId="0" xfId="0" applyFont="1" applyAlignment="1">
      <alignment horizontal="left"/>
    </xf>
    <xf numFmtId="0" fontId="675" fillId="0" borderId="0" xfId="0" applyFont="1" applyAlignment="1">
      <alignment horizontal="left"/>
    </xf>
    <xf numFmtId="0" fontId="674" fillId="0" borderId="0" xfId="0" applyFont="1" applyAlignment="1">
      <alignment horizontal="left"/>
    </xf>
    <xf numFmtId="0" fontId="673" fillId="0" borderId="0" xfId="0" applyFont="1" applyAlignment="1">
      <alignment horizontal="left"/>
    </xf>
    <xf numFmtId="0" fontId="672" fillId="0" borderId="0" xfId="0" applyFont="1" applyAlignment="1">
      <alignment horizontal="left"/>
    </xf>
    <xf numFmtId="0" fontId="671" fillId="0" borderId="0" xfId="0" applyFont="1" applyAlignment="1">
      <alignment horizontal="left"/>
    </xf>
    <xf numFmtId="0" fontId="670" fillId="0" borderId="0" xfId="0" applyFont="1" applyAlignment="1">
      <alignment horizontal="left"/>
    </xf>
    <xf numFmtId="0" fontId="669" fillId="0" borderId="0" xfId="0" applyFont="1" applyAlignment="1">
      <alignment horizontal="left"/>
    </xf>
    <xf numFmtId="0" fontId="665" fillId="0" borderId="0" xfId="0" applyFont="1" applyAlignment="1">
      <alignment horizontal="left"/>
    </xf>
    <xf numFmtId="0" fontId="664" fillId="0" borderId="0" xfId="0" applyFont="1" applyAlignment="1">
      <alignment horizontal="left"/>
    </xf>
    <xf numFmtId="0" fontId="663" fillId="0" borderId="0" xfId="0" applyFont="1" applyAlignment="1">
      <alignment horizontal="left"/>
    </xf>
    <xf numFmtId="0" fontId="662" fillId="0" borderId="0" xfId="0" applyFont="1" applyAlignment="1">
      <alignment horizontal="left"/>
    </xf>
    <xf numFmtId="0" fontId="661" fillId="0" borderId="0" xfId="0" applyFont="1" applyAlignment="1">
      <alignment horizontal="left"/>
    </xf>
    <xf numFmtId="0" fontId="660" fillId="0" borderId="0" xfId="0" applyFont="1" applyAlignment="1">
      <alignment horizontal="left"/>
    </xf>
    <xf numFmtId="0" fontId="659" fillId="0" borderId="0" xfId="0" applyFont="1" applyAlignment="1">
      <alignment horizontal="left"/>
    </xf>
    <xf numFmtId="0" fontId="658" fillId="0" borderId="0" xfId="0" applyFont="1" applyAlignment="1">
      <alignment horizontal="left"/>
    </xf>
    <xf numFmtId="0" fontId="656" fillId="0" borderId="0" xfId="0" applyFont="1" applyAlignment="1">
      <alignment horizontal="left"/>
    </xf>
    <xf numFmtId="0" fontId="655" fillId="0" borderId="0" xfId="0" applyFont="1" applyAlignment="1">
      <alignment horizontal="left"/>
    </xf>
    <xf numFmtId="0" fontId="654" fillId="0" borderId="0" xfId="0" applyFont="1" applyAlignment="1">
      <alignment horizontal="left"/>
    </xf>
    <xf numFmtId="0" fontId="653" fillId="0" borderId="0" xfId="0" applyFont="1" applyAlignment="1">
      <alignment horizontal="left"/>
    </xf>
    <xf numFmtId="0" fontId="652" fillId="0" borderId="0" xfId="0" applyFont="1" applyAlignment="1">
      <alignment horizontal="left"/>
    </xf>
    <xf numFmtId="0" fontId="651" fillId="0" borderId="0" xfId="0" applyFont="1" applyAlignment="1">
      <alignment horizontal="left"/>
    </xf>
    <xf numFmtId="0" fontId="650" fillId="0" borderId="0" xfId="0" applyFont="1" applyAlignment="1">
      <alignment horizontal="left"/>
    </xf>
    <xf numFmtId="0" fontId="649" fillId="0" borderId="0" xfId="0" applyFont="1" applyAlignment="1">
      <alignment horizontal="left"/>
    </xf>
    <xf numFmtId="0" fontId="636" fillId="0" borderId="0" xfId="0" applyFont="1" applyAlignment="1">
      <alignment horizontal="left"/>
    </xf>
    <xf numFmtId="0" fontId="635" fillId="0" borderId="0" xfId="0" applyFont="1" applyAlignment="1">
      <alignment horizontal="left"/>
    </xf>
    <xf numFmtId="0" fontId="634" fillId="0" borderId="0" xfId="0" applyFont="1" applyAlignment="1">
      <alignment horizontal="left"/>
    </xf>
    <xf numFmtId="0" fontId="633" fillId="0" borderId="0" xfId="0" applyFont="1" applyAlignment="1">
      <alignment horizontal="left"/>
    </xf>
    <xf numFmtId="0" fontId="632" fillId="0" borderId="0" xfId="0" applyFont="1" applyAlignment="1">
      <alignment horizontal="left"/>
    </xf>
    <xf numFmtId="0" fontId="631" fillId="0" borderId="0" xfId="0" applyFont="1" applyAlignment="1">
      <alignment horizontal="left"/>
    </xf>
    <xf numFmtId="0" fontId="630" fillId="0" borderId="0" xfId="0" applyFont="1" applyAlignment="1">
      <alignment horizontal="left"/>
    </xf>
    <xf numFmtId="0" fontId="629" fillId="0" borderId="0" xfId="0" applyFont="1" applyAlignment="1">
      <alignment horizontal="left"/>
    </xf>
    <xf numFmtId="0" fontId="628" fillId="0" borderId="0" xfId="0" applyFont="1" applyAlignment="1">
      <alignment horizontal="left"/>
    </xf>
    <xf numFmtId="0" fontId="627" fillId="0" borderId="0" xfId="0" applyFont="1" applyAlignment="1">
      <alignment horizontal="left"/>
    </xf>
    <xf numFmtId="0" fontId="626" fillId="0" borderId="0" xfId="0" applyFont="1" applyAlignment="1">
      <alignment horizontal="left"/>
    </xf>
    <xf numFmtId="0" fontId="625" fillId="0" borderId="0" xfId="0" applyFont="1" applyAlignment="1">
      <alignment horizontal="left"/>
    </xf>
    <xf numFmtId="0" fontId="623" fillId="0" borderId="0" xfId="0" applyFont="1" applyAlignment="1">
      <alignment horizontal="left"/>
    </xf>
    <xf numFmtId="0" fontId="622" fillId="0" borderId="0" xfId="0" applyFont="1" applyAlignment="1">
      <alignment horizontal="left"/>
    </xf>
    <xf numFmtId="0" fontId="621" fillId="0" borderId="0" xfId="0" applyFont="1" applyAlignment="1">
      <alignment horizontal="left"/>
    </xf>
    <xf numFmtId="0" fontId="620" fillId="0" borderId="0" xfId="0" applyFont="1" applyAlignment="1">
      <alignment horizontal="left"/>
    </xf>
    <xf numFmtId="0" fontId="619" fillId="0" borderId="0" xfId="0" applyFont="1" applyAlignment="1">
      <alignment horizontal="left"/>
    </xf>
    <xf numFmtId="0" fontId="618" fillId="0" borderId="0" xfId="0" applyFont="1" applyAlignment="1">
      <alignment horizontal="left"/>
    </xf>
    <xf numFmtId="0" fontId="617" fillId="0" borderId="0" xfId="0" applyFont="1" applyAlignment="1">
      <alignment horizontal="left"/>
    </xf>
    <xf numFmtId="0" fontId="616" fillId="0" borderId="0" xfId="0" applyFont="1" applyAlignment="1">
      <alignment horizontal="left"/>
    </xf>
    <xf numFmtId="0" fontId="615" fillId="0" borderId="0" xfId="0" applyFont="1" applyAlignment="1">
      <alignment horizontal="left"/>
    </xf>
    <xf numFmtId="0" fontId="614" fillId="0" borderId="0" xfId="0" applyFont="1" applyAlignment="1">
      <alignment horizontal="left"/>
    </xf>
    <xf numFmtId="0" fontId="613" fillId="0" borderId="0" xfId="0" applyFont="1" applyAlignment="1">
      <alignment horizontal="left"/>
    </xf>
    <xf numFmtId="0" fontId="612" fillId="0" borderId="0" xfId="0" applyFont="1" applyAlignment="1">
      <alignment horizontal="left"/>
    </xf>
    <xf numFmtId="0" fontId="611" fillId="0" borderId="0" xfId="0" applyFont="1" applyAlignment="1">
      <alignment horizontal="left"/>
    </xf>
    <xf numFmtId="0" fontId="610" fillId="0" borderId="0" xfId="0" applyFont="1" applyAlignment="1">
      <alignment horizontal="left"/>
    </xf>
    <xf numFmtId="0" fontId="609" fillId="0" borderId="0" xfId="0" applyFont="1" applyAlignment="1">
      <alignment horizontal="left"/>
    </xf>
    <xf numFmtId="0" fontId="608" fillId="0" borderId="0" xfId="0" applyFont="1" applyAlignment="1">
      <alignment horizontal="left"/>
    </xf>
    <xf numFmtId="0" fontId="606" fillId="0" borderId="0" xfId="0" applyFont="1" applyAlignment="1">
      <alignment horizontal="left"/>
    </xf>
    <xf numFmtId="0" fontId="605" fillId="0" borderId="0" xfId="0" applyFont="1" applyAlignment="1">
      <alignment horizontal="left"/>
    </xf>
    <xf numFmtId="0" fontId="604" fillId="0" borderId="0" xfId="0" applyFont="1" applyAlignment="1">
      <alignment horizontal="left"/>
    </xf>
    <xf numFmtId="0" fontId="603" fillId="0" borderId="0" xfId="0" applyFont="1" applyAlignment="1">
      <alignment horizontal="left"/>
    </xf>
    <xf numFmtId="0" fontId="602" fillId="0" borderId="0" xfId="0" applyFont="1" applyAlignment="1">
      <alignment horizontal="left"/>
    </xf>
    <xf numFmtId="0" fontId="601" fillId="0" borderId="0" xfId="0" applyFont="1" applyAlignment="1">
      <alignment horizontal="left"/>
    </xf>
    <xf numFmtId="0" fontId="600" fillId="0" borderId="0" xfId="0" applyFont="1" applyAlignment="1">
      <alignment horizontal="left"/>
    </xf>
    <xf numFmtId="0" fontId="599" fillId="0" borderId="0" xfId="0" applyFont="1" applyAlignment="1">
      <alignment horizontal="left"/>
    </xf>
    <xf numFmtId="0" fontId="598" fillId="0" borderId="0" xfId="0" applyFont="1" applyAlignment="1">
      <alignment horizontal="left"/>
    </xf>
    <xf numFmtId="0" fontId="597" fillId="0" borderId="0" xfId="0" applyFont="1" applyAlignment="1">
      <alignment horizontal="left"/>
    </xf>
    <xf numFmtId="0" fontId="596" fillId="0" borderId="0" xfId="0" applyFont="1" applyAlignment="1">
      <alignment horizontal="left"/>
    </xf>
    <xf numFmtId="0" fontId="595" fillId="0" borderId="0" xfId="0" applyFont="1" applyAlignment="1">
      <alignment horizontal="left"/>
    </xf>
    <xf numFmtId="0" fontId="594" fillId="0" borderId="0" xfId="0" applyFont="1" applyAlignment="1">
      <alignment horizontal="left"/>
    </xf>
    <xf numFmtId="0" fontId="593" fillId="0" borderId="0" xfId="0" applyFont="1" applyAlignment="1">
      <alignment horizontal="left"/>
    </xf>
    <xf numFmtId="0" fontId="583" fillId="0" borderId="0" xfId="0" applyFont="1" applyAlignment="1">
      <alignment horizontal="left"/>
    </xf>
    <xf numFmtId="0" fontId="590" fillId="0" borderId="0" xfId="0" applyFont="1" applyAlignment="1">
      <alignment horizontal="left"/>
    </xf>
    <xf numFmtId="0" fontId="589" fillId="0" borderId="0" xfId="0" applyFont="1" applyAlignment="1">
      <alignment horizontal="left"/>
    </xf>
    <xf numFmtId="0" fontId="588" fillId="0" borderId="0" xfId="0" applyFont="1" applyAlignment="1">
      <alignment horizontal="left"/>
    </xf>
    <xf numFmtId="0" fontId="587" fillId="0" borderId="0" xfId="0" applyFont="1" applyAlignment="1">
      <alignment horizontal="left"/>
    </xf>
    <xf numFmtId="0" fontId="586" fillId="0" borderId="0" xfId="0" applyFont="1" applyAlignment="1">
      <alignment horizontal="left"/>
    </xf>
    <xf numFmtId="0" fontId="585" fillId="0" borderId="0" xfId="0" applyFont="1" applyAlignment="1">
      <alignment horizontal="left"/>
    </xf>
    <xf numFmtId="0" fontId="584" fillId="0" borderId="0" xfId="0" applyFont="1" applyAlignment="1">
      <alignment horizontal="left"/>
    </xf>
    <xf numFmtId="0" fontId="582" fillId="0" borderId="0" xfId="0" applyFont="1" applyAlignment="1">
      <alignment horizontal="left"/>
    </xf>
    <xf numFmtId="0" fontId="581" fillId="0" borderId="0" xfId="0" applyFont="1" applyAlignment="1">
      <alignment horizontal="left"/>
    </xf>
    <xf numFmtId="0" fontId="580" fillId="0" borderId="0" xfId="0" applyFont="1" applyAlignment="1">
      <alignment horizontal="left"/>
    </xf>
    <xf numFmtId="0" fontId="579" fillId="0" borderId="0" xfId="0" applyFont="1" applyAlignment="1">
      <alignment horizontal="left"/>
    </xf>
    <xf numFmtId="0" fontId="578" fillId="0" borderId="0" xfId="0" applyFont="1" applyAlignment="1">
      <alignment horizontal="left"/>
    </xf>
    <xf numFmtId="0" fontId="577" fillId="0" borderId="0" xfId="0" applyFont="1" applyAlignment="1">
      <alignment horizontal="left"/>
    </xf>
    <xf numFmtId="0" fontId="576" fillId="0" borderId="0" xfId="0" applyFont="1" applyAlignment="1">
      <alignment horizontal="left"/>
    </xf>
    <xf numFmtId="0" fontId="575" fillId="0" borderId="0" xfId="0" applyFont="1" applyAlignment="1">
      <alignment horizontal="left"/>
    </xf>
    <xf numFmtId="0" fontId="574" fillId="0" borderId="0" xfId="0" applyFont="1" applyAlignment="1">
      <alignment horizontal="left"/>
    </xf>
    <xf numFmtId="0" fontId="357" fillId="0" borderId="0" xfId="0" applyFont="1" applyAlignment="1">
      <alignment horizontal="left"/>
    </xf>
    <xf numFmtId="0" fontId="573" fillId="0" borderId="0" xfId="0" applyFont="1" applyAlignment="1">
      <alignment horizontal="left"/>
    </xf>
    <xf numFmtId="0" fontId="567" fillId="0" borderId="0" xfId="0" applyFont="1" applyAlignment="1">
      <alignment horizontal="left"/>
    </xf>
    <xf numFmtId="0" fontId="868" fillId="0" borderId="0" xfId="0" applyFont="1" applyAlignment="1">
      <alignment horizontal="left"/>
    </xf>
    <xf numFmtId="0" fontId="566" fillId="0" borderId="0" xfId="0" applyFont="1" applyAlignment="1">
      <alignment horizontal="left"/>
    </xf>
    <xf numFmtId="0" fontId="565" fillId="0" borderId="0" xfId="0" applyFont="1" applyAlignment="1">
      <alignment horizontal="left"/>
    </xf>
    <xf numFmtId="0" fontId="564" fillId="0" borderId="0" xfId="0" applyFont="1" applyAlignment="1">
      <alignment horizontal="left"/>
    </xf>
    <xf numFmtId="0" fontId="555" fillId="0" borderId="0" xfId="0" applyFont="1" applyAlignment="1">
      <alignment horizontal="left"/>
    </xf>
    <xf numFmtId="0" fontId="541" fillId="0" borderId="0" xfId="0" applyFont="1" applyAlignment="1">
      <alignment horizontal="left"/>
    </xf>
    <xf numFmtId="0" fontId="563" fillId="0" borderId="0" xfId="0" applyFont="1" applyAlignment="1">
      <alignment horizontal="left"/>
    </xf>
    <xf numFmtId="0" fontId="562" fillId="0" borderId="0" xfId="0" applyFont="1" applyAlignment="1">
      <alignment horizontal="left"/>
    </xf>
    <xf numFmtId="0" fontId="561" fillId="0" borderId="0" xfId="0" applyFont="1" applyAlignment="1">
      <alignment horizontal="left"/>
    </xf>
    <xf numFmtId="0" fontId="517" fillId="0" borderId="0" xfId="0" applyFont="1" applyAlignment="1">
      <alignment horizontal="left"/>
    </xf>
    <xf numFmtId="0" fontId="560" fillId="0" borderId="0" xfId="0" applyFont="1" applyAlignment="1">
      <alignment horizontal="left"/>
    </xf>
    <xf numFmtId="0" fontId="559" fillId="0" borderId="0" xfId="0" applyFont="1" applyAlignment="1">
      <alignment horizontal="left"/>
    </xf>
    <xf numFmtId="0" fontId="558" fillId="0" borderId="0" xfId="0" applyFont="1" applyAlignment="1">
      <alignment horizontal="left"/>
    </xf>
    <xf numFmtId="0" fontId="557" fillId="0" borderId="0" xfId="0" applyFont="1" applyAlignment="1">
      <alignment horizontal="left"/>
    </xf>
    <xf numFmtId="0" fontId="556" fillId="0" borderId="0" xfId="0" applyFont="1" applyAlignment="1">
      <alignment horizontal="left"/>
    </xf>
    <xf numFmtId="0" fontId="554" fillId="0" borderId="0" xfId="0" applyFont="1" applyAlignment="1">
      <alignment horizontal="left"/>
    </xf>
    <xf numFmtId="0" fontId="553" fillId="0" borderId="0" xfId="0" applyFont="1" applyAlignment="1">
      <alignment horizontal="left"/>
    </xf>
    <xf numFmtId="0" fontId="551" fillId="0" borderId="0" xfId="0" applyFont="1" applyAlignment="1">
      <alignment horizontal="left"/>
    </xf>
    <xf numFmtId="0" fontId="550" fillId="0" borderId="0" xfId="0" applyFont="1" applyAlignment="1">
      <alignment horizontal="left"/>
    </xf>
    <xf numFmtId="0" fontId="549" fillId="0" borderId="0" xfId="0" applyFont="1" applyAlignment="1">
      <alignment horizontal="left"/>
    </xf>
    <xf numFmtId="0" fontId="547" fillId="0" borderId="0" xfId="0" applyFont="1" applyAlignment="1">
      <alignment horizontal="left"/>
    </xf>
    <xf numFmtId="0" fontId="546" fillId="0" borderId="0" xfId="0" applyFont="1" applyAlignment="1">
      <alignment horizontal="left"/>
    </xf>
    <xf numFmtId="0" fontId="545" fillId="0" borderId="0" xfId="0" applyFont="1" applyAlignment="1">
      <alignment horizontal="left"/>
    </xf>
    <xf numFmtId="0" fontId="544" fillId="0" borderId="0" xfId="0" applyFont="1" applyAlignment="1">
      <alignment horizontal="left"/>
    </xf>
    <xf numFmtId="0" fontId="543" fillId="0" borderId="0" xfId="0" applyFont="1" applyAlignment="1">
      <alignment horizontal="left"/>
    </xf>
    <xf numFmtId="0" fontId="542" fillId="0" borderId="0" xfId="0" applyFont="1" applyAlignment="1">
      <alignment horizontal="left"/>
    </xf>
    <xf numFmtId="0" fontId="540" fillId="0" borderId="0" xfId="0" applyFont="1" applyAlignment="1">
      <alignment horizontal="left"/>
    </xf>
    <xf numFmtId="0" fontId="539" fillId="0" borderId="0" xfId="0" applyFont="1" applyAlignment="1">
      <alignment horizontal="left"/>
    </xf>
    <xf numFmtId="0" fontId="535" fillId="0" borderId="0" xfId="0" applyFont="1" applyAlignment="1">
      <alignment horizontal="left"/>
    </xf>
    <xf numFmtId="0" fontId="528" fillId="0" borderId="0" xfId="0" applyFont="1" applyAlignment="1">
      <alignment horizontal="left"/>
    </xf>
    <xf numFmtId="0" fontId="527" fillId="0" borderId="0" xfId="0" applyFont="1" applyAlignment="1">
      <alignment horizontal="left"/>
    </xf>
    <xf numFmtId="0" fontId="526" fillId="0" borderId="0" xfId="0" applyFont="1" applyAlignment="1">
      <alignment horizontal="left"/>
    </xf>
    <xf numFmtId="0" fontId="525" fillId="0" borderId="0" xfId="0" applyFont="1" applyAlignment="1">
      <alignment horizontal="left"/>
    </xf>
    <xf numFmtId="0" fontId="869" fillId="0" borderId="0" xfId="0" applyFont="1" applyAlignment="1">
      <alignment horizontal="left"/>
    </xf>
    <xf numFmtId="0" fontId="522" fillId="0" borderId="0" xfId="0" applyFont="1" applyAlignment="1">
      <alignment horizontal="left"/>
    </xf>
    <xf numFmtId="0" fontId="524" fillId="0" borderId="0" xfId="0" applyFont="1" applyAlignment="1">
      <alignment horizontal="left"/>
    </xf>
    <xf numFmtId="0" fontId="523" fillId="0" borderId="0" xfId="0" applyFont="1" applyAlignment="1">
      <alignment horizontal="left"/>
    </xf>
    <xf numFmtId="0" fontId="521" fillId="0" borderId="0" xfId="0" applyFont="1" applyAlignment="1">
      <alignment horizontal="left"/>
    </xf>
    <xf numFmtId="0" fontId="520" fillId="0" borderId="0" xfId="0" applyFont="1" applyAlignment="1">
      <alignment horizontal="left"/>
    </xf>
    <xf numFmtId="0" fontId="519" fillId="0" borderId="0" xfId="0" applyFont="1" applyAlignment="1">
      <alignment horizontal="left"/>
    </xf>
    <xf numFmtId="0" fontId="516" fillId="0" borderId="0" xfId="0" applyFont="1" applyAlignment="1">
      <alignment horizontal="left"/>
    </xf>
    <xf numFmtId="0" fontId="515" fillId="0" borderId="0" xfId="0" applyFont="1" applyAlignment="1">
      <alignment horizontal="left"/>
    </xf>
    <xf numFmtId="0" fontId="514" fillId="0" borderId="0" xfId="0" applyFont="1" applyAlignment="1">
      <alignment horizontal="left"/>
    </xf>
    <xf numFmtId="0" fontId="512" fillId="0" borderId="0" xfId="0" applyFont="1" applyAlignment="1">
      <alignment horizontal="left"/>
    </xf>
    <xf numFmtId="0" fontId="511" fillId="0" borderId="0" xfId="0" applyFont="1" applyAlignment="1">
      <alignment horizontal="left"/>
    </xf>
    <xf numFmtId="0" fontId="510" fillId="0" borderId="0" xfId="0" applyFont="1" applyAlignment="1">
      <alignment horizontal="left"/>
    </xf>
    <xf numFmtId="0" fontId="509" fillId="0" borderId="0" xfId="0" applyFont="1" applyAlignment="1">
      <alignment horizontal="left"/>
    </xf>
    <xf numFmtId="0" fontId="507" fillId="0" borderId="0" xfId="0" applyFont="1" applyAlignment="1">
      <alignment horizontal="left"/>
    </xf>
    <xf numFmtId="0" fontId="870" fillId="0" borderId="0" xfId="0" applyFont="1" applyAlignment="1">
      <alignment horizontal="left"/>
    </xf>
    <xf numFmtId="0" fontId="499" fillId="0" borderId="0" xfId="0" applyFont="1" applyAlignment="1">
      <alignment horizontal="left"/>
    </xf>
    <xf numFmtId="0" fontId="498" fillId="0" borderId="0" xfId="0" applyFont="1" applyAlignment="1">
      <alignment horizontal="left"/>
    </xf>
    <xf numFmtId="0" fontId="497" fillId="0" borderId="0" xfId="0" applyFont="1" applyAlignment="1">
      <alignment horizontal="left"/>
    </xf>
    <xf numFmtId="0" fontId="496" fillId="0" borderId="0" xfId="0" applyFont="1" applyAlignment="1">
      <alignment horizontal="left"/>
    </xf>
    <xf numFmtId="0" fontId="495" fillId="0" borderId="0" xfId="0" applyFont="1" applyAlignment="1">
      <alignment horizontal="left"/>
    </xf>
    <xf numFmtId="0" fontId="494" fillId="0" borderId="0" xfId="0" applyFont="1" applyAlignment="1">
      <alignment horizontal="left"/>
    </xf>
    <xf numFmtId="0" fontId="493" fillId="0" borderId="0" xfId="0" applyFont="1" applyAlignment="1">
      <alignment horizontal="left"/>
    </xf>
    <xf numFmtId="0" fontId="490" fillId="0" borderId="0" xfId="0" applyFont="1" applyAlignment="1">
      <alignment horizontal="left"/>
    </xf>
    <xf numFmtId="0" fontId="489" fillId="0" borderId="0" xfId="0" applyFont="1" applyAlignment="1">
      <alignment horizontal="left"/>
    </xf>
    <xf numFmtId="0" fontId="480" fillId="0" borderId="0" xfId="0" applyFont="1" applyAlignment="1">
      <alignment horizontal="left"/>
    </xf>
    <xf numFmtId="0" fontId="479" fillId="0" borderId="0" xfId="0" applyFont="1" applyAlignment="1">
      <alignment horizontal="left"/>
    </xf>
    <xf numFmtId="0" fontId="478" fillId="0" borderId="0" xfId="0" applyFont="1" applyAlignment="1">
      <alignment horizontal="left"/>
    </xf>
    <xf numFmtId="0" fontId="477" fillId="0" borderId="0" xfId="0" applyFont="1" applyAlignment="1">
      <alignment horizontal="left"/>
    </xf>
    <xf numFmtId="0" fontId="476" fillId="0" borderId="0" xfId="0" applyFont="1" applyAlignment="1">
      <alignment horizontal="left"/>
    </xf>
    <xf numFmtId="0" fontId="475" fillId="0" borderId="0" xfId="0" applyFont="1" applyAlignment="1">
      <alignment horizontal="left"/>
    </xf>
    <xf numFmtId="0" fontId="474" fillId="0" borderId="0" xfId="0" applyFont="1" applyAlignment="1">
      <alignment horizontal="left"/>
    </xf>
    <xf numFmtId="0" fontId="473" fillId="0" borderId="0" xfId="0" applyFont="1" applyAlignment="1">
      <alignment horizontal="left"/>
    </xf>
    <xf numFmtId="0" fontId="472" fillId="0" borderId="0" xfId="0" applyFont="1" applyAlignment="1">
      <alignment horizontal="left"/>
    </xf>
    <xf numFmtId="0" fontId="471" fillId="0" borderId="0" xfId="0" applyFont="1" applyAlignment="1">
      <alignment horizontal="left"/>
    </xf>
    <xf numFmtId="0" fontId="470" fillId="0" borderId="0" xfId="0" applyFont="1" applyAlignment="1">
      <alignment horizontal="left"/>
    </xf>
    <xf numFmtId="0" fontId="469" fillId="0" borderId="0" xfId="0" applyFont="1" applyAlignment="1">
      <alignment horizontal="left"/>
    </xf>
    <xf numFmtId="0" fontId="468" fillId="0" borderId="0" xfId="0" applyFont="1" applyAlignment="1">
      <alignment horizontal="left"/>
    </xf>
    <xf numFmtId="0" fontId="467" fillId="0" borderId="0" xfId="0" applyFont="1" applyAlignment="1">
      <alignment horizontal="left"/>
    </xf>
    <xf numFmtId="0" fontId="466" fillId="0" borderId="0" xfId="0" applyFont="1" applyAlignment="1">
      <alignment horizontal="left"/>
    </xf>
    <xf numFmtId="0" fontId="455" fillId="0" borderId="0" xfId="0" applyFont="1" applyAlignment="1">
      <alignment horizontal="left"/>
    </xf>
    <xf numFmtId="0" fontId="454" fillId="0" borderId="0" xfId="0" applyFont="1" applyAlignment="1">
      <alignment horizontal="left"/>
    </xf>
    <xf numFmtId="0" fontId="453" fillId="0" borderId="0" xfId="0" applyFont="1" applyAlignment="1">
      <alignment horizontal="left"/>
    </xf>
    <xf numFmtId="0" fontId="452" fillId="0" borderId="0" xfId="0" applyFont="1" applyAlignment="1">
      <alignment horizontal="left"/>
    </xf>
    <xf numFmtId="0" fontId="451" fillId="0" borderId="0" xfId="0" applyFont="1" applyAlignment="1">
      <alignment horizontal="left"/>
    </xf>
    <xf numFmtId="0" fontId="450" fillId="0" borderId="0" xfId="0" applyFont="1" applyAlignment="1">
      <alignment horizontal="left"/>
    </xf>
    <xf numFmtId="0" fontId="449" fillId="0" borderId="0" xfId="0" applyFont="1" applyAlignment="1">
      <alignment horizontal="left"/>
    </xf>
    <xf numFmtId="0" fontId="447" fillId="0" borderId="0" xfId="0" applyFont="1" applyAlignment="1">
      <alignment horizontal="left"/>
    </xf>
    <xf numFmtId="0" fontId="446" fillId="0" borderId="0" xfId="0" applyFont="1" applyAlignment="1">
      <alignment horizontal="left"/>
    </xf>
    <xf numFmtId="0" fontId="437" fillId="11" borderId="0" xfId="0" applyFont="1" applyFill="1" applyAlignment="1">
      <alignment horizontal="left"/>
    </xf>
    <xf numFmtId="0" fontId="445" fillId="0" borderId="0" xfId="0" applyFont="1" applyAlignment="1">
      <alignment horizontal="left"/>
    </xf>
    <xf numFmtId="0" fontId="444" fillId="0" borderId="0" xfId="0" applyFont="1" applyAlignment="1">
      <alignment horizontal="left"/>
    </xf>
    <xf numFmtId="0" fontId="443" fillId="0" borderId="0" xfId="0" applyFont="1" applyAlignment="1">
      <alignment horizontal="left"/>
    </xf>
    <xf numFmtId="0" fontId="442" fillId="0" borderId="0" xfId="0" applyFont="1" applyAlignment="1">
      <alignment horizontal="left"/>
    </xf>
    <xf numFmtId="0" fontId="440" fillId="0" borderId="0" xfId="0" applyFont="1" applyAlignment="1">
      <alignment horizontal="left"/>
    </xf>
    <xf numFmtId="0" fontId="439" fillId="0" borderId="0" xfId="0" applyFont="1" applyAlignment="1">
      <alignment horizontal="left"/>
    </xf>
    <xf numFmtId="0" fontId="438" fillId="0" borderId="0" xfId="0" applyFont="1" applyAlignment="1">
      <alignment horizontal="left"/>
    </xf>
    <xf numFmtId="0" fontId="436" fillId="0" borderId="0" xfId="0" applyFont="1" applyAlignment="1">
      <alignment horizontal="left"/>
    </xf>
    <xf numFmtId="0" fontId="435" fillId="0" borderId="0" xfId="0" applyFont="1" applyAlignment="1">
      <alignment horizontal="left"/>
    </xf>
    <xf numFmtId="0" fontId="434" fillId="0" borderId="0" xfId="0" applyFont="1" applyAlignment="1">
      <alignment horizontal="left"/>
    </xf>
    <xf numFmtId="0" fontId="433" fillId="0" borderId="0" xfId="0" applyFont="1" applyAlignment="1">
      <alignment horizontal="left"/>
    </xf>
    <xf numFmtId="0" fontId="432" fillId="0" borderId="0" xfId="0" applyFont="1" applyAlignment="1">
      <alignment horizontal="left"/>
    </xf>
    <xf numFmtId="0" fontId="431" fillId="0" borderId="0" xfId="0" applyFont="1" applyAlignment="1">
      <alignment horizontal="left"/>
    </xf>
    <xf numFmtId="0" fontId="430" fillId="0" borderId="0" xfId="0" applyFont="1" applyAlignment="1">
      <alignment horizontal="left"/>
    </xf>
    <xf numFmtId="0" fontId="429" fillId="0" borderId="0" xfId="0" applyFont="1" applyAlignment="1">
      <alignment horizontal="left"/>
    </xf>
    <xf numFmtId="0" fontId="428" fillId="0" borderId="0" xfId="0" applyFont="1" applyAlignment="1">
      <alignment horizontal="left"/>
    </xf>
    <xf numFmtId="0" fontId="427" fillId="0" borderId="0" xfId="0" applyFont="1" applyAlignment="1">
      <alignment horizontal="left"/>
    </xf>
    <xf numFmtId="0" fontId="426" fillId="0" borderId="0" xfId="0" applyFont="1" applyAlignment="1">
      <alignment horizontal="left"/>
    </xf>
    <xf numFmtId="0" fontId="425" fillId="0" borderId="0" xfId="0" applyFont="1" applyAlignment="1">
      <alignment horizontal="left"/>
    </xf>
    <xf numFmtId="0" fontId="331" fillId="0" borderId="0" xfId="0" applyFont="1" applyAlignment="1">
      <alignment horizontal="left"/>
    </xf>
    <xf numFmtId="0" fontId="424" fillId="0" borderId="0" xfId="0" applyFont="1" applyAlignment="1">
      <alignment horizontal="left"/>
    </xf>
    <xf numFmtId="0" fontId="423" fillId="0" borderId="0" xfId="0" applyFont="1" applyAlignment="1">
      <alignment horizontal="left"/>
    </xf>
    <xf numFmtId="0" fontId="420" fillId="0" borderId="0" xfId="0" applyFont="1" applyAlignment="1">
      <alignment horizontal="left"/>
    </xf>
    <xf numFmtId="0" fontId="415" fillId="0" borderId="0" xfId="0" applyFont="1" applyAlignment="1">
      <alignment horizontal="left"/>
    </xf>
    <xf numFmtId="0" fontId="418" fillId="0" borderId="0" xfId="0" applyFont="1" applyAlignment="1">
      <alignment horizontal="left"/>
    </xf>
    <xf numFmtId="0" fontId="413" fillId="0" borderId="0" xfId="0" applyFont="1" applyAlignment="1">
      <alignment horizontal="left"/>
    </xf>
    <xf numFmtId="0" fontId="412" fillId="0" borderId="0" xfId="0" applyFont="1" applyAlignment="1">
      <alignment horizontal="left"/>
    </xf>
    <xf numFmtId="0" fontId="411" fillId="0" borderId="0" xfId="0" applyFont="1" applyAlignment="1">
      <alignment horizontal="left"/>
    </xf>
    <xf numFmtId="0" fontId="410" fillId="0" borderId="0" xfId="0" applyFont="1" applyAlignment="1">
      <alignment horizontal="left"/>
    </xf>
    <xf numFmtId="0" fontId="409" fillId="0" borderId="0" xfId="0" applyFont="1" applyAlignment="1">
      <alignment horizontal="left"/>
    </xf>
    <xf numFmtId="0" fontId="408" fillId="0" borderId="0" xfId="0" applyFont="1" applyAlignment="1">
      <alignment horizontal="left"/>
    </xf>
    <xf numFmtId="0" fontId="407" fillId="0" borderId="0" xfId="0" applyFont="1" applyAlignment="1">
      <alignment horizontal="left"/>
    </xf>
    <xf numFmtId="0" fontId="400" fillId="0" borderId="0" xfId="0" applyFont="1" applyAlignment="1">
      <alignment horizontal="left"/>
    </xf>
    <xf numFmtId="0" fontId="399" fillId="0" borderId="0" xfId="0" applyFont="1" applyAlignment="1">
      <alignment horizontal="left"/>
    </xf>
    <xf numFmtId="0" fontId="397" fillId="0" borderId="0" xfId="0" applyFont="1" applyAlignment="1">
      <alignment horizontal="left"/>
    </xf>
    <xf numFmtId="0" fontId="391" fillId="0" borderId="0" xfId="0" applyFont="1" applyAlignment="1">
      <alignment horizontal="left"/>
    </xf>
    <xf numFmtId="0" fontId="395" fillId="0" borderId="0" xfId="0" applyFont="1" applyAlignment="1">
      <alignment horizontal="left"/>
    </xf>
    <xf numFmtId="0" fontId="394" fillId="0" borderId="0" xfId="0" applyFont="1" applyAlignment="1">
      <alignment horizontal="left"/>
    </xf>
    <xf numFmtId="0" fontId="393" fillId="0" borderId="0" xfId="0" applyFont="1" applyAlignment="1">
      <alignment horizontal="left"/>
    </xf>
    <xf numFmtId="0" fontId="392" fillId="0" borderId="0" xfId="0" applyFont="1" applyAlignment="1">
      <alignment horizontal="left"/>
    </xf>
    <xf numFmtId="0" fontId="390" fillId="0" borderId="0" xfId="0" applyFont="1" applyAlignment="1">
      <alignment horizontal="left"/>
    </xf>
    <xf numFmtId="0" fontId="389" fillId="0" borderId="0" xfId="0" applyFont="1" applyAlignment="1">
      <alignment horizontal="left"/>
    </xf>
    <xf numFmtId="0" fontId="386" fillId="0" borderId="0" xfId="0" applyFont="1" applyAlignment="1">
      <alignment horizontal="left"/>
    </xf>
    <xf numFmtId="0" fontId="385" fillId="0" borderId="0" xfId="0" applyFont="1" applyAlignment="1">
      <alignment horizontal="left"/>
    </xf>
    <xf numFmtId="0" fontId="384" fillId="0" borderId="0" xfId="0" applyFont="1" applyAlignment="1">
      <alignment horizontal="left"/>
    </xf>
    <xf numFmtId="0" fontId="383" fillId="0" borderId="0" xfId="0" applyFont="1" applyAlignment="1">
      <alignment horizontal="left"/>
    </xf>
    <xf numFmtId="0" fontId="382" fillId="0" borderId="0" xfId="0" applyFont="1" applyAlignment="1">
      <alignment horizontal="left"/>
    </xf>
    <xf numFmtId="0" fontId="367" fillId="0" borderId="0" xfId="0" applyFont="1" applyAlignment="1">
      <alignment horizontal="left"/>
    </xf>
    <xf numFmtId="0" fontId="380" fillId="0" borderId="0" xfId="0" applyFont="1" applyAlignment="1">
      <alignment horizontal="left"/>
    </xf>
    <xf numFmtId="0" fontId="377" fillId="0" borderId="0" xfId="0" applyFont="1" applyAlignment="1">
      <alignment horizontal="left"/>
    </xf>
    <xf numFmtId="0" fontId="376" fillId="0" borderId="0" xfId="0" applyFont="1" applyAlignment="1">
      <alignment horizontal="left"/>
    </xf>
    <xf numFmtId="0" fontId="375" fillId="0" borderId="0" xfId="0" applyFont="1" applyAlignment="1">
      <alignment horizontal="left"/>
    </xf>
    <xf numFmtId="0" fontId="374" fillId="0" borderId="0" xfId="0" applyFont="1" applyAlignment="1">
      <alignment horizontal="left"/>
    </xf>
    <xf numFmtId="0" fontId="373" fillId="0" borderId="0" xfId="0" applyFont="1" applyAlignment="1">
      <alignment horizontal="left"/>
    </xf>
    <xf numFmtId="0" fontId="372" fillId="0" borderId="0" xfId="0" applyFont="1" applyAlignment="1">
      <alignment horizontal="left"/>
    </xf>
    <xf numFmtId="0" fontId="371" fillId="0" borderId="0" xfId="0" applyFont="1" applyAlignment="1">
      <alignment horizontal="left"/>
    </xf>
    <xf numFmtId="0" fontId="370" fillId="0" borderId="0" xfId="0" applyFont="1" applyAlignment="1">
      <alignment horizontal="left"/>
    </xf>
    <xf numFmtId="0" fontId="369" fillId="0" borderId="0" xfId="0" applyFont="1" applyAlignment="1">
      <alignment horizontal="left"/>
    </xf>
    <xf numFmtId="0" fontId="368" fillId="0" borderId="0" xfId="0" applyFont="1" applyAlignment="1">
      <alignment horizontal="left"/>
    </xf>
    <xf numFmtId="0" fontId="363" fillId="0" borderId="0" xfId="0" applyFont="1" applyAlignment="1">
      <alignment horizontal="left"/>
    </xf>
    <xf numFmtId="0" fontId="362" fillId="0" borderId="0" xfId="0" applyFont="1" applyAlignment="1">
      <alignment horizontal="left"/>
    </xf>
    <xf numFmtId="0" fontId="361" fillId="0" borderId="0" xfId="0" applyFont="1" applyAlignment="1">
      <alignment horizontal="left"/>
    </xf>
    <xf numFmtId="0" fontId="360" fillId="0" borderId="0" xfId="0" applyFont="1" applyAlignment="1">
      <alignment horizontal="left"/>
    </xf>
    <xf numFmtId="0" fontId="358" fillId="0" borderId="0" xfId="0" applyFont="1" applyAlignment="1">
      <alignment horizontal="left"/>
    </xf>
    <xf numFmtId="0" fontId="348" fillId="0" borderId="0" xfId="0" applyFont="1" applyAlignment="1">
      <alignment horizontal="left"/>
    </xf>
    <xf numFmtId="0" fontId="354" fillId="0" borderId="0" xfId="0" applyFont="1" applyAlignment="1">
      <alignment horizontal="left"/>
    </xf>
    <xf numFmtId="0" fontId="352" fillId="0" borderId="0" xfId="0" applyFont="1" applyAlignment="1">
      <alignment horizontal="left"/>
    </xf>
    <xf numFmtId="0" fontId="351" fillId="0" borderId="0" xfId="0" applyFont="1" applyAlignment="1">
      <alignment horizontal="left"/>
    </xf>
    <xf numFmtId="0" fontId="350" fillId="0" borderId="0" xfId="0" applyFont="1" applyAlignment="1">
      <alignment horizontal="left"/>
    </xf>
    <xf numFmtId="0" fontId="349" fillId="0" borderId="0" xfId="0" applyFont="1" applyAlignment="1">
      <alignment horizontal="left"/>
    </xf>
    <xf numFmtId="0" fontId="347" fillId="0" borderId="0" xfId="0" applyFont="1" applyAlignment="1">
      <alignment horizontal="left"/>
    </xf>
    <xf numFmtId="0" fontId="346" fillId="0" borderId="0" xfId="0" applyFont="1" applyAlignment="1">
      <alignment horizontal="left"/>
    </xf>
    <xf numFmtId="0" fontId="344" fillId="0" borderId="0" xfId="0" applyFont="1" applyAlignment="1">
      <alignment horizontal="left"/>
    </xf>
    <xf numFmtId="0" fontId="343" fillId="0" borderId="0" xfId="0" applyFont="1" applyAlignment="1">
      <alignment horizontal="left"/>
    </xf>
    <xf numFmtId="0" fontId="342" fillId="0" borderId="0" xfId="0" applyFont="1" applyAlignment="1">
      <alignment horizontal="left"/>
    </xf>
    <xf numFmtId="0" fontId="341" fillId="0" borderId="0" xfId="0" applyFont="1" applyAlignment="1">
      <alignment horizontal="left"/>
    </xf>
    <xf numFmtId="0" fontId="340" fillId="0" borderId="0" xfId="0" applyFont="1" applyAlignment="1">
      <alignment horizontal="left"/>
    </xf>
    <xf numFmtId="0" fontId="339" fillId="0" borderId="0" xfId="0" applyFont="1" applyAlignment="1">
      <alignment horizontal="left"/>
    </xf>
    <xf numFmtId="0" fontId="338" fillId="0" borderId="0" xfId="0" applyFont="1" applyAlignment="1">
      <alignment horizontal="left"/>
    </xf>
    <xf numFmtId="0" fontId="337" fillId="0" borderId="0" xfId="0" applyFont="1" applyAlignment="1">
      <alignment horizontal="left"/>
    </xf>
    <xf numFmtId="0" fontId="336" fillId="0" borderId="0" xfId="0" applyFont="1" applyAlignment="1">
      <alignment horizontal="left"/>
    </xf>
    <xf numFmtId="0" fontId="335" fillId="0" borderId="0" xfId="0" applyFont="1" applyAlignment="1">
      <alignment horizontal="left"/>
    </xf>
    <xf numFmtId="0" fontId="333" fillId="0" borderId="0" xfId="0" applyFont="1" applyAlignment="1">
      <alignment horizontal="left"/>
    </xf>
    <xf numFmtId="0" fontId="332" fillId="0" borderId="0" xfId="0" applyFont="1" applyAlignment="1">
      <alignment horizontal="left"/>
    </xf>
    <xf numFmtId="0" fontId="327" fillId="0" borderId="0" xfId="0" applyFont="1" applyAlignment="1">
      <alignment horizontal="left"/>
    </xf>
    <xf numFmtId="0" fontId="326" fillId="0" borderId="0" xfId="0" applyFont="1" applyAlignment="1">
      <alignment horizontal="left"/>
    </xf>
    <xf numFmtId="0" fontId="325" fillId="0" borderId="0" xfId="0" applyFont="1" applyAlignment="1">
      <alignment horizontal="left"/>
    </xf>
    <xf numFmtId="0" fontId="324" fillId="0" borderId="0" xfId="0" applyFont="1" applyAlignment="1">
      <alignment horizontal="left"/>
    </xf>
    <xf numFmtId="0" fontId="875" fillId="0" borderId="0" xfId="0" applyFont="1" applyAlignment="1">
      <alignment horizontal="left"/>
    </xf>
    <xf numFmtId="0" fontId="323" fillId="0" borderId="0" xfId="0" applyFont="1" applyAlignment="1">
      <alignment horizontal="left"/>
    </xf>
    <xf numFmtId="0" fontId="322" fillId="0" borderId="0" xfId="0" applyFont="1" applyAlignment="1">
      <alignment horizontal="left"/>
    </xf>
    <xf numFmtId="0" fontId="321" fillId="0" borderId="0" xfId="0" applyFont="1" applyAlignment="1">
      <alignment horizontal="left"/>
    </xf>
    <xf numFmtId="0" fontId="320" fillId="0" borderId="0" xfId="0" applyFont="1" applyAlignment="1">
      <alignment horizontal="left"/>
    </xf>
    <xf numFmtId="0" fontId="319" fillId="0" borderId="0" xfId="0" applyFont="1" applyAlignment="1">
      <alignment horizontal="left"/>
    </xf>
    <xf numFmtId="0" fontId="318" fillId="0" borderId="0" xfId="0" applyFont="1" applyAlignment="1">
      <alignment horizontal="left"/>
    </xf>
    <xf numFmtId="0" fontId="317" fillId="0" borderId="0" xfId="0" applyFont="1" applyAlignment="1">
      <alignment horizontal="left"/>
    </xf>
    <xf numFmtId="0" fontId="314" fillId="0" borderId="0" xfId="0" applyFont="1" applyAlignment="1">
      <alignment horizontal="left"/>
    </xf>
    <xf numFmtId="0" fontId="313" fillId="0" borderId="0" xfId="0" applyFont="1" applyAlignment="1">
      <alignment horizontal="left"/>
    </xf>
    <xf numFmtId="0" fontId="312" fillId="0" borderId="0" xfId="0" applyFont="1" applyAlignment="1">
      <alignment horizontal="left"/>
    </xf>
    <xf numFmtId="0" fontId="311" fillId="0" borderId="0" xfId="0" applyFont="1" applyAlignment="1">
      <alignment horizontal="left"/>
    </xf>
    <xf numFmtId="0" fontId="310" fillId="0" borderId="0" xfId="0" applyFont="1" applyAlignment="1">
      <alignment horizontal="left"/>
    </xf>
    <xf numFmtId="0" fontId="308" fillId="0" borderId="0" xfId="0" applyFont="1" applyAlignment="1">
      <alignment horizontal="left"/>
    </xf>
    <xf numFmtId="0" fontId="307" fillId="0" borderId="0" xfId="0" applyFont="1" applyAlignment="1">
      <alignment horizontal="left"/>
    </xf>
    <xf numFmtId="0" fontId="306" fillId="0" borderId="0" xfId="0" applyFont="1" applyAlignment="1">
      <alignment horizontal="left"/>
    </xf>
    <xf numFmtId="0" fontId="305" fillId="0" borderId="0" xfId="0" applyFont="1" applyAlignment="1">
      <alignment horizontal="left"/>
    </xf>
    <xf numFmtId="0" fontId="304" fillId="0" borderId="0" xfId="0" applyFont="1" applyAlignment="1">
      <alignment horizontal="left"/>
    </xf>
    <xf numFmtId="0" fontId="303" fillId="0" borderId="0" xfId="0" applyFont="1" applyAlignment="1">
      <alignment horizontal="left"/>
    </xf>
    <xf numFmtId="0" fontId="302" fillId="0" borderId="0" xfId="0" applyFont="1" applyAlignment="1">
      <alignment horizontal="left"/>
    </xf>
    <xf numFmtId="0" fontId="301" fillId="0" borderId="0" xfId="0" applyFont="1" applyAlignment="1">
      <alignment horizontal="left"/>
    </xf>
    <xf numFmtId="0" fontId="299" fillId="0" borderId="0" xfId="0" applyFont="1" applyAlignment="1">
      <alignment horizontal="left"/>
    </xf>
    <xf numFmtId="0" fontId="296" fillId="0" borderId="0" xfId="0" applyFont="1" applyAlignment="1">
      <alignment horizontal="left"/>
    </xf>
    <xf numFmtId="0" fontId="295" fillId="0" borderId="0" xfId="0" applyFont="1" applyAlignment="1">
      <alignment horizontal="left"/>
    </xf>
    <xf numFmtId="0" fontId="294" fillId="0" borderId="0" xfId="0" applyFont="1" applyAlignment="1">
      <alignment horizontal="left"/>
    </xf>
    <xf numFmtId="0" fontId="293" fillId="0" borderId="0" xfId="0" applyFont="1" applyAlignment="1">
      <alignment horizontal="left"/>
    </xf>
    <xf numFmtId="0" fontId="292" fillId="0" borderId="0" xfId="0" applyFont="1" applyAlignment="1">
      <alignment horizontal="left"/>
    </xf>
    <xf numFmtId="0" fontId="291" fillId="0" borderId="0" xfId="0" applyFont="1" applyAlignment="1">
      <alignment horizontal="left"/>
    </xf>
    <xf numFmtId="0" fontId="290" fillId="0" borderId="0" xfId="0" applyFont="1" applyAlignment="1">
      <alignment horizontal="left"/>
    </xf>
    <xf numFmtId="0" fontId="289" fillId="0" borderId="0" xfId="0" applyFont="1" applyAlignment="1">
      <alignment horizontal="left"/>
    </xf>
    <xf numFmtId="0" fontId="288" fillId="0" borderId="0" xfId="0" applyFont="1" applyAlignment="1">
      <alignment horizontal="left"/>
    </xf>
    <xf numFmtId="0" fontId="287" fillId="0" borderId="0" xfId="0" applyFont="1" applyAlignment="1">
      <alignment horizontal="left"/>
    </xf>
    <xf numFmtId="0" fontId="287" fillId="11" borderId="0" xfId="0" applyFont="1" applyFill="1" applyAlignment="1">
      <alignment horizontal="left"/>
    </xf>
    <xf numFmtId="0" fontId="286" fillId="0" borderId="0" xfId="0" applyFont="1" applyAlignment="1">
      <alignment horizontal="left"/>
    </xf>
    <xf numFmtId="0" fontId="285" fillId="0" borderId="0" xfId="0" applyFont="1" applyAlignment="1">
      <alignment horizontal="left"/>
    </xf>
    <xf numFmtId="0" fontId="283" fillId="0" borderId="0" xfId="0" applyFont="1" applyAlignment="1">
      <alignment horizontal="left"/>
    </xf>
    <xf numFmtId="0" fontId="282" fillId="0" borderId="0" xfId="0" applyFont="1" applyAlignment="1">
      <alignment horizontal="left"/>
    </xf>
    <xf numFmtId="0" fontId="281" fillId="0" borderId="0" xfId="0" applyFont="1" applyAlignment="1">
      <alignment horizontal="left"/>
    </xf>
    <xf numFmtId="0" fontId="280" fillId="0" borderId="0" xfId="0" applyFont="1" applyAlignment="1">
      <alignment horizontal="left"/>
    </xf>
    <xf numFmtId="0" fontId="278" fillId="0" borderId="0" xfId="0" applyFont="1" applyAlignment="1">
      <alignment horizontal="left"/>
    </xf>
    <xf numFmtId="0" fontId="277" fillId="0" borderId="4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5" fillId="0" borderId="0" xfId="0" applyFont="1" applyAlignment="1">
      <alignment horizontal="left"/>
    </xf>
    <xf numFmtId="0" fontId="274" fillId="0" borderId="0" xfId="0" applyFont="1" applyAlignment="1">
      <alignment horizontal="left"/>
    </xf>
    <xf numFmtId="0" fontId="273" fillId="0" borderId="0" xfId="0" applyFont="1" applyAlignment="1">
      <alignment horizontal="left"/>
    </xf>
    <xf numFmtId="0" fontId="271" fillId="0" borderId="0" xfId="0" applyFont="1" applyAlignment="1">
      <alignment horizontal="left"/>
    </xf>
    <xf numFmtId="0" fontId="270" fillId="0" borderId="0" xfId="0" applyFont="1" applyAlignment="1">
      <alignment horizontal="left"/>
    </xf>
    <xf numFmtId="0" fontId="269" fillId="0" borderId="0" xfId="0" applyFont="1" applyAlignment="1">
      <alignment horizontal="left"/>
    </xf>
    <xf numFmtId="0" fontId="268" fillId="0" borderId="0" xfId="0" applyFont="1" applyAlignment="1">
      <alignment horizontal="left"/>
    </xf>
    <xf numFmtId="0" fontId="267" fillId="0" borderId="0" xfId="0" applyFont="1" applyAlignment="1">
      <alignment horizontal="left"/>
    </xf>
    <xf numFmtId="0" fontId="266" fillId="0" borderId="0" xfId="0" applyFont="1" applyAlignment="1">
      <alignment horizontal="left"/>
    </xf>
    <xf numFmtId="0" fontId="263" fillId="0" borderId="0" xfId="0" applyFont="1" applyAlignment="1">
      <alignment horizontal="left"/>
    </xf>
    <xf numFmtId="0" fontId="262" fillId="0" borderId="0" xfId="0" applyFont="1" applyAlignment="1">
      <alignment horizontal="left"/>
    </xf>
    <xf numFmtId="0" fontId="261" fillId="0" borderId="0" xfId="0" applyFont="1" applyAlignment="1">
      <alignment horizontal="left"/>
    </xf>
    <xf numFmtId="0" fontId="260" fillId="0" borderId="0" xfId="0" applyFont="1" applyAlignment="1">
      <alignment horizontal="left"/>
    </xf>
    <xf numFmtId="0" fontId="259" fillId="0" borderId="0" xfId="0" applyFont="1" applyAlignment="1">
      <alignment horizontal="left"/>
    </xf>
    <xf numFmtId="0" fontId="258" fillId="0" borderId="0" xfId="0" applyFont="1" applyAlignment="1">
      <alignment horizontal="left"/>
    </xf>
    <xf numFmtId="0" fontId="257" fillId="0" borderId="0" xfId="0" applyFont="1" applyAlignment="1">
      <alignment horizontal="left"/>
    </xf>
    <xf numFmtId="0" fontId="256" fillId="0" borderId="0" xfId="0" applyFont="1" applyAlignment="1">
      <alignment horizontal="left"/>
    </xf>
    <xf numFmtId="0" fontId="255" fillId="0" borderId="0" xfId="0" applyFont="1" applyAlignment="1">
      <alignment horizontal="left"/>
    </xf>
    <xf numFmtId="0" fontId="254" fillId="0" borderId="0" xfId="0" applyFont="1" applyAlignment="1">
      <alignment horizontal="left"/>
    </xf>
    <xf numFmtId="0" fontId="252" fillId="0" borderId="0" xfId="0" applyFont="1" applyAlignment="1">
      <alignment horizontal="left"/>
    </xf>
    <xf numFmtId="0" fontId="251" fillId="0" borderId="0" xfId="0" applyFont="1" applyAlignment="1">
      <alignment horizontal="left"/>
    </xf>
    <xf numFmtId="0" fontId="250" fillId="0" borderId="0" xfId="0" applyFont="1" applyAlignment="1">
      <alignment horizontal="left"/>
    </xf>
    <xf numFmtId="0" fontId="249" fillId="0" borderId="0" xfId="0" applyFont="1" applyAlignment="1">
      <alignment horizontal="left"/>
    </xf>
    <xf numFmtId="0" fontId="248" fillId="0" borderId="0" xfId="0" applyFont="1" applyAlignment="1">
      <alignment horizontal="left"/>
    </xf>
    <xf numFmtId="0" fontId="247" fillId="0" borderId="0" xfId="0" applyFont="1" applyAlignment="1">
      <alignment horizontal="left"/>
    </xf>
    <xf numFmtId="0" fontId="246" fillId="0" borderId="0" xfId="0" applyFont="1" applyAlignment="1">
      <alignment horizontal="left"/>
    </xf>
    <xf numFmtId="0" fontId="245" fillId="0" borderId="0" xfId="0" applyFont="1" applyAlignment="1">
      <alignment horizontal="left"/>
    </xf>
    <xf numFmtId="0" fontId="242" fillId="0" borderId="0" xfId="0" applyFont="1" applyAlignment="1">
      <alignment horizontal="left"/>
    </xf>
    <xf numFmtId="0" fontId="241" fillId="0" borderId="0" xfId="0" applyFont="1" applyAlignment="1">
      <alignment horizontal="left"/>
    </xf>
    <xf numFmtId="0" fontId="811" fillId="15" borderId="5" xfId="0" applyFont="1" applyFill="1" applyBorder="1" applyAlignment="1">
      <alignment horizontal="left" vertical="center" wrapText="1"/>
    </xf>
    <xf numFmtId="0" fontId="240" fillId="0" borderId="1" xfId="0" applyFont="1" applyBorder="1" applyAlignment="1">
      <alignment horizontal="left"/>
    </xf>
    <xf numFmtId="0" fontId="239" fillId="0" borderId="1" xfId="0" applyFont="1" applyBorder="1" applyAlignment="1">
      <alignment horizontal="left"/>
    </xf>
    <xf numFmtId="0" fontId="238" fillId="0" borderId="1" xfId="0" applyFont="1" applyBorder="1" applyAlignment="1">
      <alignment horizontal="left"/>
    </xf>
    <xf numFmtId="0" fontId="233" fillId="0" borderId="0" xfId="0" applyFont="1" applyAlignment="1">
      <alignment horizontal="left"/>
    </xf>
    <xf numFmtId="0" fontId="232" fillId="0" borderId="0" xfId="0" applyFont="1" applyAlignment="1">
      <alignment horizontal="left"/>
    </xf>
    <xf numFmtId="0" fontId="231" fillId="0" borderId="0" xfId="0" applyFont="1" applyAlignment="1">
      <alignment horizontal="left"/>
    </xf>
    <xf numFmtId="0" fontId="230" fillId="0" borderId="0" xfId="0" applyFont="1" applyAlignment="1">
      <alignment horizontal="left"/>
    </xf>
    <xf numFmtId="0" fontId="229" fillId="0" borderId="0" xfId="0" applyFont="1" applyAlignment="1">
      <alignment horizontal="left"/>
    </xf>
    <xf numFmtId="0" fontId="228" fillId="0" borderId="0" xfId="0" applyFont="1" applyAlignment="1">
      <alignment horizontal="left"/>
    </xf>
    <xf numFmtId="0" fontId="226" fillId="0" borderId="0" xfId="0" applyFont="1" applyAlignment="1">
      <alignment horizontal="left"/>
    </xf>
    <xf numFmtId="0" fontId="225" fillId="0" borderId="0" xfId="0" applyFont="1" applyAlignment="1">
      <alignment horizontal="left"/>
    </xf>
    <xf numFmtId="0" fontId="224" fillId="0" borderId="0" xfId="0" applyFont="1" applyAlignment="1">
      <alignment horizontal="left"/>
    </xf>
    <xf numFmtId="0" fontId="222" fillId="0" borderId="0" xfId="0" applyFont="1" applyAlignment="1">
      <alignment horizontal="left"/>
    </xf>
    <xf numFmtId="0" fontId="221" fillId="0" borderId="0" xfId="0" applyFont="1" applyAlignment="1">
      <alignment horizontal="left"/>
    </xf>
    <xf numFmtId="0" fontId="220" fillId="0" borderId="0" xfId="0" applyFont="1" applyAlignment="1">
      <alignment horizontal="left"/>
    </xf>
    <xf numFmtId="0" fontId="219" fillId="0" borderId="0" xfId="0" applyFont="1" applyAlignment="1">
      <alignment horizontal="left"/>
    </xf>
    <xf numFmtId="0" fontId="218" fillId="0" borderId="0" xfId="0" applyFont="1" applyAlignment="1">
      <alignment horizontal="left"/>
    </xf>
    <xf numFmtId="0" fontId="217" fillId="0" borderId="0" xfId="0" applyFont="1" applyAlignment="1">
      <alignment horizontal="left"/>
    </xf>
    <xf numFmtId="0" fontId="216" fillId="0" borderId="0" xfId="0" applyFont="1" applyAlignment="1">
      <alignment horizontal="left"/>
    </xf>
    <xf numFmtId="0" fontId="215" fillId="0" borderId="0" xfId="0" applyFont="1" applyAlignment="1">
      <alignment horizontal="left"/>
    </xf>
    <xf numFmtId="0" fontId="213" fillId="0" borderId="0" xfId="0" applyFont="1" applyAlignment="1">
      <alignment horizontal="left"/>
    </xf>
    <xf numFmtId="0" fontId="212" fillId="0" borderId="0" xfId="0" applyFont="1" applyAlignment="1">
      <alignment horizontal="left"/>
    </xf>
    <xf numFmtId="0" fontId="210" fillId="0" borderId="0" xfId="0" applyFont="1" applyAlignment="1">
      <alignment horizontal="left"/>
    </xf>
    <xf numFmtId="0" fontId="209" fillId="0" borderId="0" xfId="0" applyFont="1" applyAlignment="1">
      <alignment horizontal="left"/>
    </xf>
    <xf numFmtId="0" fontId="208" fillId="0" borderId="0" xfId="0" applyFont="1" applyAlignment="1">
      <alignment horizontal="left"/>
    </xf>
    <xf numFmtId="0" fontId="207" fillId="0" borderId="0" xfId="0" applyFont="1" applyAlignment="1">
      <alignment horizontal="left"/>
    </xf>
    <xf numFmtId="0" fontId="206" fillId="0" borderId="0" xfId="0" applyFont="1" applyAlignment="1">
      <alignment horizontal="left"/>
    </xf>
    <xf numFmtId="0" fontId="205" fillId="0" borderId="0" xfId="0" applyFont="1" applyAlignment="1">
      <alignment horizontal="left"/>
    </xf>
    <xf numFmtId="0" fontId="199" fillId="0" borderId="0" xfId="0" applyFont="1" applyAlignment="1">
      <alignment horizontal="left"/>
    </xf>
    <xf numFmtId="0" fontId="199" fillId="11" borderId="0" xfId="0" applyFont="1" applyFill="1" applyAlignment="1">
      <alignment horizontal="left"/>
    </xf>
    <xf numFmtId="0" fontId="198" fillId="0" borderId="0" xfId="0" applyFont="1" applyAlignment="1">
      <alignment horizontal="left"/>
    </xf>
    <xf numFmtId="0" fontId="197" fillId="0" borderId="0" xfId="0" applyFont="1" applyAlignment="1">
      <alignment horizontal="left"/>
    </xf>
    <xf numFmtId="0" fontId="195" fillId="0" borderId="0" xfId="0" applyFont="1" applyAlignment="1">
      <alignment horizontal="left"/>
    </xf>
    <xf numFmtId="0" fontId="190" fillId="0" borderId="0" xfId="0" applyFont="1" applyAlignment="1">
      <alignment horizontal="left"/>
    </xf>
    <xf numFmtId="0" fontId="189" fillId="0" borderId="0" xfId="0" applyFont="1" applyAlignment="1">
      <alignment horizontal="left"/>
    </xf>
    <xf numFmtId="0" fontId="187" fillId="0" borderId="0" xfId="0" applyFont="1" applyAlignment="1">
      <alignment horizontal="left"/>
    </xf>
    <xf numFmtId="0" fontId="186" fillId="0" borderId="0" xfId="0" applyFont="1" applyAlignment="1">
      <alignment horizontal="left"/>
    </xf>
    <xf numFmtId="0" fontId="184" fillId="0" borderId="0" xfId="0" applyFont="1" applyAlignment="1">
      <alignment horizontal="left"/>
    </xf>
    <xf numFmtId="0" fontId="183" fillId="0" borderId="0" xfId="0" applyFont="1" applyAlignment="1">
      <alignment horizontal="left"/>
    </xf>
    <xf numFmtId="0" fontId="182" fillId="0" borderId="0" xfId="0" applyFont="1" applyAlignment="1">
      <alignment horizontal="left"/>
    </xf>
    <xf numFmtId="0" fontId="176" fillId="0" borderId="0" xfId="0" applyFont="1" applyAlignment="1">
      <alignment horizontal="left"/>
    </xf>
    <xf numFmtId="0" fontId="176" fillId="11" borderId="0" xfId="0" applyFont="1" applyFill="1" applyAlignment="1">
      <alignment horizontal="left"/>
    </xf>
    <xf numFmtId="0" fontId="175" fillId="0" borderId="0" xfId="0" applyFont="1" applyAlignment="1">
      <alignment horizontal="left"/>
    </xf>
    <xf numFmtId="0" fontId="174" fillId="0" borderId="0" xfId="0" applyFont="1" applyAlignment="1">
      <alignment horizontal="left"/>
    </xf>
    <xf numFmtId="0" fontId="173" fillId="0" borderId="0" xfId="0" applyFont="1" applyAlignment="1">
      <alignment horizontal="left"/>
    </xf>
    <xf numFmtId="0" fontId="172" fillId="0" borderId="0" xfId="0" applyFont="1" applyAlignment="1">
      <alignment horizontal="left"/>
    </xf>
    <xf numFmtId="0" fontId="170" fillId="0" borderId="0" xfId="0" applyFont="1" applyAlignment="1">
      <alignment horizontal="left"/>
    </xf>
    <xf numFmtId="0" fontId="169" fillId="0" borderId="0" xfId="0" applyFont="1" applyAlignment="1">
      <alignment horizontal="left"/>
    </xf>
    <xf numFmtId="0" fontId="168" fillId="0" borderId="0" xfId="0" applyFont="1" applyAlignment="1">
      <alignment horizontal="left"/>
    </xf>
    <xf numFmtId="0" fontId="167" fillId="0" borderId="0" xfId="0" applyFont="1" applyAlignment="1">
      <alignment horizontal="left"/>
    </xf>
    <xf numFmtId="0" fontId="164" fillId="0" borderId="0" xfId="0" applyFont="1" applyAlignment="1">
      <alignment horizontal="left"/>
    </xf>
    <xf numFmtId="0" fontId="162" fillId="0" borderId="0" xfId="0" applyFont="1" applyAlignment="1">
      <alignment horizontal="left"/>
    </xf>
    <xf numFmtId="0" fontId="161" fillId="0" borderId="0" xfId="0" applyFont="1" applyAlignment="1">
      <alignment horizontal="left"/>
    </xf>
    <xf numFmtId="0" fontId="160" fillId="0" borderId="0" xfId="0" applyFont="1" applyAlignment="1">
      <alignment horizontal="left"/>
    </xf>
    <xf numFmtId="0" fontId="159" fillId="0" borderId="0" xfId="0" applyFont="1" applyAlignment="1">
      <alignment horizontal="left"/>
    </xf>
    <xf numFmtId="0" fontId="158" fillId="0" borderId="0" xfId="0" applyFont="1" applyAlignment="1">
      <alignment horizontal="left"/>
    </xf>
    <xf numFmtId="0" fontId="149" fillId="0" borderId="0" xfId="0" applyFont="1" applyAlignment="1">
      <alignment horizontal="left"/>
    </xf>
    <xf numFmtId="1" fontId="877" fillId="0" borderId="0" xfId="0" applyNumberFormat="1" applyFont="1" applyAlignment="1">
      <alignment horizontal="left" vertical="center"/>
    </xf>
    <xf numFmtId="0" fontId="141" fillId="0" borderId="0" xfId="0" applyFont="1" applyAlignment="1">
      <alignment horizontal="left"/>
    </xf>
    <xf numFmtId="0" fontId="136" fillId="0" borderId="0" xfId="0" applyFont="1" applyAlignment="1">
      <alignment horizontal="left"/>
    </xf>
    <xf numFmtId="0" fontId="135" fillId="0" borderId="0" xfId="0" applyFont="1"/>
    <xf numFmtId="0" fontId="135" fillId="0" borderId="0" xfId="0" applyFont="1" applyAlignment="1">
      <alignment horizontal="left"/>
    </xf>
    <xf numFmtId="0" fontId="134" fillId="0" borderId="0" xfId="0" applyFont="1"/>
    <xf numFmtId="0" fontId="845" fillId="9" borderId="0" xfId="0" applyFont="1" applyFill="1"/>
    <xf numFmtId="0" fontId="0" fillId="9" borderId="0" xfId="0" applyFill="1" applyAlignment="1">
      <alignment horizontal="right"/>
    </xf>
    <xf numFmtId="0" fontId="133" fillId="0" borderId="0" xfId="0" applyFont="1"/>
    <xf numFmtId="0" fontId="132" fillId="0" borderId="0" xfId="0" applyFont="1"/>
    <xf numFmtId="0" fontId="131" fillId="0" borderId="0" xfId="0" applyFont="1" applyAlignment="1">
      <alignment horizontal="left"/>
    </xf>
    <xf numFmtId="0" fontId="131" fillId="0" borderId="0" xfId="0" applyFont="1"/>
    <xf numFmtId="0" fontId="130" fillId="0" borderId="0" xfId="0" applyFont="1"/>
    <xf numFmtId="14" fontId="130" fillId="0" borderId="0" xfId="0" applyNumberFormat="1" applyFont="1" applyAlignment="1">
      <alignment horizontal="center"/>
    </xf>
    <xf numFmtId="1" fontId="860" fillId="11" borderId="0" xfId="0" applyNumberFormat="1" applyFont="1" applyFill="1" applyAlignment="1">
      <alignment horizontal="center"/>
    </xf>
    <xf numFmtId="0" fontId="129" fillId="0" borderId="0" xfId="0" applyFont="1" applyAlignment="1">
      <alignment horizontal="left"/>
    </xf>
    <xf numFmtId="0" fontId="129" fillId="11" borderId="0" xfId="0" applyFont="1" applyFill="1" applyAlignment="1">
      <alignment horizontal="left"/>
    </xf>
    <xf numFmtId="0" fontId="130" fillId="11" borderId="0" xfId="0" applyFont="1" applyFill="1"/>
    <xf numFmtId="0" fontId="129" fillId="11" borderId="0" xfId="0" applyFont="1" applyFill="1"/>
    <xf numFmtId="0" fontId="128" fillId="0" borderId="0" xfId="0" applyFont="1" applyAlignment="1">
      <alignment horizontal="left"/>
    </xf>
    <xf numFmtId="0" fontId="128" fillId="0" borderId="0" xfId="0" applyFont="1"/>
    <xf numFmtId="0" fontId="127" fillId="0" borderId="0" xfId="0" applyFont="1"/>
    <xf numFmtId="0" fontId="127" fillId="0" borderId="0" xfId="0" applyFont="1" applyAlignment="1">
      <alignment horizontal="left"/>
    </xf>
    <xf numFmtId="0" fontId="456" fillId="0" borderId="0" xfId="0" applyFont="1"/>
    <xf numFmtId="0" fontId="862" fillId="0" borderId="0" xfId="1" applyFont="1" applyBorder="1" applyAlignment="1"/>
    <xf numFmtId="0" fontId="126" fillId="0" borderId="0" xfId="0" applyFont="1"/>
    <xf numFmtId="0" fontId="125" fillId="0" borderId="0" xfId="0" applyFont="1"/>
    <xf numFmtId="0" fontId="124" fillId="0" borderId="0" xfId="0" applyFont="1"/>
    <xf numFmtId="0" fontId="123" fillId="0" borderId="0" xfId="0" applyFont="1"/>
    <xf numFmtId="0" fontId="122" fillId="0" borderId="0" xfId="0" applyFont="1"/>
    <xf numFmtId="0" fontId="121" fillId="0" borderId="0" xfId="0" applyFont="1"/>
    <xf numFmtId="0" fontId="120" fillId="0" borderId="0" xfId="0" applyFont="1"/>
    <xf numFmtId="0" fontId="119" fillId="0" borderId="0" xfId="0" applyFont="1"/>
    <xf numFmtId="0" fontId="118" fillId="0" borderId="0" xfId="0" applyFont="1" applyAlignment="1">
      <alignment horizontal="left"/>
    </xf>
    <xf numFmtId="0" fontId="117" fillId="0" borderId="0" xfId="0" applyFont="1"/>
    <xf numFmtId="0" fontId="116" fillId="0" borderId="0" xfId="0" applyFont="1"/>
    <xf numFmtId="0" fontId="115" fillId="0" borderId="0" xfId="0" applyFont="1"/>
    <xf numFmtId="0" fontId="114" fillId="0" borderId="0" xfId="0" applyFont="1"/>
    <xf numFmtId="14" fontId="114" fillId="0" borderId="0" xfId="0" applyNumberFormat="1" applyFont="1" applyAlignment="1">
      <alignment horizontal="center"/>
    </xf>
    <xf numFmtId="0" fontId="113" fillId="0" borderId="0" xfId="0" applyFont="1"/>
    <xf numFmtId="0" fontId="112" fillId="0" borderId="0" xfId="0" applyFont="1"/>
    <xf numFmtId="0" fontId="111" fillId="0" borderId="0" xfId="0" applyFont="1"/>
    <xf numFmtId="0" fontId="110" fillId="0" borderId="0" xfId="0" applyFont="1"/>
    <xf numFmtId="0" fontId="109" fillId="0" borderId="0" xfId="0" applyFont="1" applyAlignment="1">
      <alignment horizontal="left"/>
    </xf>
    <xf numFmtId="0" fontId="109" fillId="0" borderId="0" xfId="0" applyFont="1"/>
    <xf numFmtId="0" fontId="108" fillId="0" borderId="0" xfId="0" applyFont="1"/>
    <xf numFmtId="0" fontId="107" fillId="0" borderId="0" xfId="0" applyFont="1"/>
    <xf numFmtId="0" fontId="106" fillId="0" borderId="0" xfId="0" applyFont="1" applyAlignment="1">
      <alignment horizontal="left"/>
    </xf>
    <xf numFmtId="0" fontId="106" fillId="0" borderId="0" xfId="0" applyFont="1"/>
    <xf numFmtId="0" fontId="105" fillId="0" borderId="0" xfId="0" applyFont="1"/>
    <xf numFmtId="0" fontId="104" fillId="0" borderId="0" xfId="0" applyFont="1"/>
    <xf numFmtId="0" fontId="103" fillId="0" borderId="0" xfId="0" applyFont="1"/>
    <xf numFmtId="0" fontId="102" fillId="0" borderId="0" xfId="0" applyFont="1"/>
    <xf numFmtId="0" fontId="101" fillId="0" borderId="0" xfId="0" applyFont="1"/>
    <xf numFmtId="0" fontId="100" fillId="0" borderId="0" xfId="0" applyFont="1"/>
    <xf numFmtId="0" fontId="99" fillId="0" borderId="0" xfId="0" applyFont="1"/>
    <xf numFmtId="0" fontId="98" fillId="0" borderId="0" xfId="0" applyFont="1"/>
    <xf numFmtId="0" fontId="97" fillId="0" borderId="0" xfId="0" applyFont="1" applyAlignment="1">
      <alignment horizontal="left"/>
    </xf>
    <xf numFmtId="0" fontId="97" fillId="0" borderId="0" xfId="0" applyFont="1"/>
    <xf numFmtId="0" fontId="96" fillId="0" borderId="0" xfId="0" applyFont="1"/>
    <xf numFmtId="0" fontId="95" fillId="0" borderId="0" xfId="0" applyFont="1" applyAlignment="1">
      <alignment horizontal="left"/>
    </xf>
    <xf numFmtId="0" fontId="94" fillId="0" borderId="0" xfId="0" applyFont="1"/>
    <xf numFmtId="0" fontId="94" fillId="0" borderId="0" xfId="0" applyFont="1" applyAlignment="1">
      <alignment horizontal="left"/>
    </xf>
    <xf numFmtId="0" fontId="93" fillId="0" borderId="0" xfId="0" applyFont="1"/>
    <xf numFmtId="14" fontId="93" fillId="0" borderId="0" xfId="0" applyNumberFormat="1" applyFont="1"/>
    <xf numFmtId="0" fontId="93" fillId="0" borderId="0" xfId="0" applyFont="1" applyAlignment="1">
      <alignment horizontal="left"/>
    </xf>
    <xf numFmtId="0" fontId="92" fillId="0" borderId="0" xfId="0" applyFont="1"/>
    <xf numFmtId="0" fontId="92" fillId="0" borderId="0" xfId="0" applyFont="1" applyAlignment="1">
      <alignment horizontal="left"/>
    </xf>
    <xf numFmtId="0" fontId="91" fillId="0" borderId="0" xfId="0" applyFont="1"/>
    <xf numFmtId="0" fontId="90" fillId="0" borderId="0" xfId="0" applyFont="1" applyAlignment="1">
      <alignment horizontal="left"/>
    </xf>
    <xf numFmtId="0" fontId="90" fillId="0" borderId="0" xfId="0" applyFont="1"/>
    <xf numFmtId="0" fontId="89" fillId="0" borderId="0" xfId="0" applyFont="1"/>
    <xf numFmtId="0" fontId="88" fillId="0" borderId="0" xfId="0" applyFont="1" applyAlignment="1">
      <alignment horizontal="left"/>
    </xf>
    <xf numFmtId="0" fontId="88" fillId="0" borderId="0" xfId="0" applyFont="1"/>
    <xf numFmtId="0" fontId="87" fillId="0" borderId="0" xfId="0" applyFont="1"/>
    <xf numFmtId="0" fontId="86" fillId="0" borderId="0" xfId="0" applyFont="1"/>
    <xf numFmtId="0" fontId="876" fillId="14" borderId="0" xfId="0" applyFont="1" applyFill="1"/>
    <xf numFmtId="14" fontId="860" fillId="14" borderId="0" xfId="0" applyNumberFormat="1" applyFont="1" applyFill="1"/>
    <xf numFmtId="0" fontId="860" fillId="14" borderId="0" xfId="0" applyFont="1" applyFill="1" applyAlignment="1">
      <alignment horizontal="right"/>
    </xf>
    <xf numFmtId="14" fontId="860" fillId="14" borderId="0" xfId="0" applyNumberFormat="1" applyFont="1" applyFill="1" applyAlignment="1">
      <alignment horizontal="center"/>
    </xf>
    <xf numFmtId="14" fontId="831" fillId="14" borderId="0" xfId="0" applyNumberFormat="1" applyFont="1" applyFill="1"/>
    <xf numFmtId="0" fontId="85" fillId="0" borderId="0" xfId="0" applyFont="1" applyAlignment="1">
      <alignment horizontal="left"/>
    </xf>
    <xf numFmtId="0" fontId="85" fillId="0" borderId="0" xfId="0" applyFont="1"/>
    <xf numFmtId="0" fontId="84" fillId="0" borderId="0" xfId="0" applyFont="1"/>
    <xf numFmtId="0" fontId="83" fillId="0" borderId="0" xfId="0" applyFont="1"/>
    <xf numFmtId="0" fontId="82" fillId="0" borderId="0" xfId="0" applyFont="1"/>
    <xf numFmtId="0" fontId="81" fillId="0" borderId="0" xfId="0" applyFont="1"/>
    <xf numFmtId="0" fontId="80" fillId="0" borderId="0" xfId="0" applyFont="1"/>
    <xf numFmtId="0" fontId="79" fillId="0" borderId="0" xfId="0" applyFont="1"/>
    <xf numFmtId="0" fontId="79" fillId="0" borderId="0" xfId="0" applyFont="1" applyAlignment="1">
      <alignment horizontal="left"/>
    </xf>
    <xf numFmtId="0" fontId="78" fillId="0" borderId="0" xfId="0" applyFont="1"/>
    <xf numFmtId="0" fontId="77" fillId="0" borderId="0" xfId="0" applyFont="1"/>
    <xf numFmtId="0" fontId="76" fillId="0" borderId="0" xfId="0" applyFont="1"/>
    <xf numFmtId="0" fontId="75" fillId="0" borderId="0" xfId="0" applyFont="1"/>
    <xf numFmtId="0" fontId="74" fillId="0" borderId="0" xfId="0" applyFont="1"/>
    <xf numFmtId="0" fontId="825" fillId="18" borderId="0" xfId="0" applyFont="1" applyFill="1" applyAlignment="1">
      <alignment horizontal="left" vertical="center" wrapText="1"/>
    </xf>
    <xf numFmtId="0" fontId="73" fillId="0" borderId="0" xfId="0" applyFont="1"/>
    <xf numFmtId="0" fontId="72" fillId="0" borderId="0" xfId="0" applyFont="1"/>
    <xf numFmtId="0" fontId="72" fillId="0" borderId="0" xfId="0" applyFont="1" applyAlignment="1">
      <alignment horizontal="left"/>
    </xf>
    <xf numFmtId="0" fontId="71" fillId="0" borderId="0" xfId="0" applyFont="1"/>
    <xf numFmtId="0" fontId="70" fillId="0" borderId="0" xfId="0" applyFont="1"/>
    <xf numFmtId="0" fontId="69" fillId="0" borderId="0" xfId="0" applyFont="1"/>
    <xf numFmtId="0" fontId="68" fillId="0" borderId="0" xfId="0" applyFont="1"/>
    <xf numFmtId="0" fontId="67" fillId="0" borderId="0" xfId="0" applyFont="1"/>
    <xf numFmtId="0" fontId="66" fillId="0" borderId="0" xfId="0" applyFont="1"/>
    <xf numFmtId="0" fontId="65" fillId="0" borderId="0" xfId="0" applyFont="1"/>
    <xf numFmtId="0" fontId="64" fillId="0" borderId="0" xfId="0" applyFont="1"/>
    <xf numFmtId="0" fontId="63" fillId="0" borderId="0" xfId="0" applyFont="1"/>
    <xf numFmtId="0" fontId="62" fillId="0" borderId="0" xfId="0" applyFont="1"/>
    <xf numFmtId="0" fontId="61" fillId="0" borderId="0" xfId="0" applyFont="1"/>
    <xf numFmtId="0" fontId="60" fillId="0" borderId="0" xfId="0" applyFont="1"/>
    <xf numFmtId="0" fontId="59" fillId="0" borderId="0" xfId="0" applyFont="1"/>
    <xf numFmtId="0" fontId="58" fillId="0" borderId="0" xfId="0" applyFont="1"/>
    <xf numFmtId="0" fontId="57" fillId="0" borderId="0" xfId="0" applyFont="1"/>
    <xf numFmtId="0" fontId="56" fillId="0" borderId="0" xfId="0" applyFont="1"/>
    <xf numFmtId="0" fontId="55" fillId="0" borderId="0" xfId="0" applyFont="1"/>
    <xf numFmtId="0" fontId="54" fillId="0" borderId="0" xfId="0" applyFont="1" applyAlignment="1">
      <alignment horizontal="left"/>
    </xf>
    <xf numFmtId="0" fontId="54" fillId="0" borderId="0" xfId="0" applyFont="1"/>
    <xf numFmtId="0" fontId="53" fillId="0" borderId="0" xfId="0" applyFont="1" applyAlignment="1">
      <alignment horizontal="left"/>
    </xf>
    <xf numFmtId="0" fontId="53" fillId="0" borderId="0" xfId="0" applyFont="1"/>
    <xf numFmtId="0" fontId="0" fillId="11" borderId="0" xfId="0" applyFill="1" applyAlignment="1">
      <alignment horizontal="left"/>
    </xf>
    <xf numFmtId="0" fontId="52" fillId="0" borderId="0" xfId="0" applyFont="1"/>
    <xf numFmtId="16" fontId="52" fillId="0" borderId="0" xfId="0" applyNumberFormat="1" applyFont="1"/>
    <xf numFmtId="0" fontId="51" fillId="0" borderId="0" xfId="0" applyFont="1"/>
    <xf numFmtId="0" fontId="50" fillId="0" borderId="0" xfId="0" applyFont="1"/>
    <xf numFmtId="0" fontId="49" fillId="0" borderId="0" xfId="0" applyFont="1"/>
    <xf numFmtId="0" fontId="48" fillId="0" borderId="0" xfId="0" applyFont="1"/>
    <xf numFmtId="0" fontId="47" fillId="0" borderId="0" xfId="0" applyFont="1"/>
    <xf numFmtId="0" fontId="46" fillId="0" borderId="0" xfId="0" applyFont="1"/>
    <xf numFmtId="0" fontId="45" fillId="0" borderId="0" xfId="0" applyFont="1"/>
    <xf numFmtId="0" fontId="44" fillId="0" borderId="0" xfId="0" applyFont="1"/>
    <xf numFmtId="0" fontId="43" fillId="0" borderId="0" xfId="0" applyFont="1"/>
    <xf numFmtId="0" fontId="43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42" fillId="0" borderId="0" xfId="0" applyFont="1"/>
    <xf numFmtId="0" fontId="41" fillId="0" borderId="0" xfId="0" applyFont="1"/>
    <xf numFmtId="0" fontId="40" fillId="0" borderId="0" xfId="0" applyFont="1"/>
    <xf numFmtId="0" fontId="39" fillId="0" borderId="0" xfId="0" applyFont="1"/>
    <xf numFmtId="0" fontId="38" fillId="0" borderId="0" xfId="0" applyFont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34" fillId="0" borderId="0" xfId="0" applyFont="1"/>
    <xf numFmtId="0" fontId="33" fillId="0" borderId="0" xfId="0" applyFont="1"/>
    <xf numFmtId="0" fontId="32" fillId="0" borderId="0" xfId="0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 applyAlignment="1">
      <alignment horizontal="left"/>
    </xf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20" fillId="0" borderId="0" xfId="0" applyFont="1" applyAlignment="1">
      <alignment horizontal="left"/>
    </xf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5" fillId="0" borderId="0" xfId="0" applyFont="1" applyAlignment="1">
      <alignment horizontal="left"/>
    </xf>
    <xf numFmtId="0" fontId="14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878" fillId="0" borderId="0" xfId="0" applyFont="1"/>
    <xf numFmtId="0" fontId="795" fillId="0" borderId="0" xfId="0" applyFont="1" applyAlignment="1">
      <alignment horizontal="center"/>
    </xf>
    <xf numFmtId="0" fontId="0" fillId="0" borderId="0" xfId="0"/>
  </cellXfs>
  <cellStyles count="3">
    <cellStyle name="Bad" xfId="2" builtinId="27"/>
    <cellStyle name="Hyperlink" xfId="1" builtinId="8"/>
    <cellStyle name="Normal" xfId="0" builtinId="0"/>
  </cellStyles>
  <dxfs count="5">
    <dxf>
      <font>
        <b/>
        <color rgb="FFFF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none"/>
      </fill>
    </dxf>
    <dxf>
      <font>
        <color rgb="FFC0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ar15aug@gmail.com" TargetMode="External"/><Relationship Id="rId117" Type="http://schemas.openxmlformats.org/officeDocument/2006/relationships/hyperlink" Target="mailto:sanjay2@" TargetMode="External"/><Relationship Id="rId21" Type="http://schemas.openxmlformats.org/officeDocument/2006/relationships/hyperlink" Target="mailto:dk988504@gmail.com" TargetMode="External"/><Relationship Id="rId42" Type="http://schemas.openxmlformats.org/officeDocument/2006/relationships/hyperlink" Target="mailto:sanjay@minusoft.co.in" TargetMode="External"/><Relationship Id="rId47" Type="http://schemas.openxmlformats.org/officeDocument/2006/relationships/hyperlink" Target="mailto:surajrathorebr@gmail.com" TargetMode="External"/><Relationship Id="rId63" Type="http://schemas.openxmlformats.org/officeDocument/2006/relationships/hyperlink" Target="mailto:sanjay@minusoft.co.in" TargetMode="External"/><Relationship Id="rId68" Type="http://schemas.openxmlformats.org/officeDocument/2006/relationships/hyperlink" Target="mailto:bbpdamit@gmail.com" TargetMode="External"/><Relationship Id="rId84" Type="http://schemas.openxmlformats.org/officeDocument/2006/relationships/hyperlink" Target="mailto:desiringdilipkumar@gmail.com" TargetMode="External"/><Relationship Id="rId89" Type="http://schemas.openxmlformats.org/officeDocument/2006/relationships/hyperlink" Target="mailto:sanjay1@minusoft.co.in" TargetMode="External"/><Relationship Id="rId112" Type="http://schemas.openxmlformats.org/officeDocument/2006/relationships/hyperlink" Target="mailto:santusingh192020@gmail.com" TargetMode="External"/><Relationship Id="rId16" Type="http://schemas.openxmlformats.org/officeDocument/2006/relationships/hyperlink" Target="mailto:akumari2002.in@gmail.com" TargetMode="External"/><Relationship Id="rId107" Type="http://schemas.openxmlformats.org/officeDocument/2006/relationships/hyperlink" Target="mailto:pravs.sinha@gmail.com" TargetMode="External"/><Relationship Id="rId11" Type="http://schemas.openxmlformats.org/officeDocument/2006/relationships/hyperlink" Target="mailto:sanjay@minusoft.co.in" TargetMode="External"/><Relationship Id="rId32" Type="http://schemas.openxmlformats.org/officeDocument/2006/relationships/hyperlink" Target="mailto:a7295056859@gmail.com" TargetMode="External"/><Relationship Id="rId37" Type="http://schemas.openxmlformats.org/officeDocument/2006/relationships/hyperlink" Target="mailto:sanjay@minusoft.co.in" TargetMode="External"/><Relationship Id="rId53" Type="http://schemas.openxmlformats.org/officeDocument/2006/relationships/hyperlink" Target="mailto:vermark1503@gmail.com" TargetMode="External"/><Relationship Id="rId58" Type="http://schemas.openxmlformats.org/officeDocument/2006/relationships/hyperlink" Target="mailto:anusuya.cbs.201@gmail.com" TargetMode="External"/><Relationship Id="rId74" Type="http://schemas.openxmlformats.org/officeDocument/2006/relationships/hyperlink" Target="mailto:sanjay1@minusoft.co.in" TargetMode="External"/><Relationship Id="rId79" Type="http://schemas.openxmlformats.org/officeDocument/2006/relationships/hyperlink" Target="mailto:manishkumarcomsonu53811@gmail.com" TargetMode="External"/><Relationship Id="rId102" Type="http://schemas.openxmlformats.org/officeDocument/2006/relationships/hyperlink" Target="mailto:bipinkumarbipin676@gmail.com" TargetMode="External"/><Relationship Id="rId5" Type="http://schemas.openxmlformats.org/officeDocument/2006/relationships/hyperlink" Target="mailto:garai.bishal44@gmail.com" TargetMode="External"/><Relationship Id="rId61" Type="http://schemas.openxmlformats.org/officeDocument/2006/relationships/hyperlink" Target="mailto:jasbir.singh62044@gmail.om" TargetMode="External"/><Relationship Id="rId82" Type="http://schemas.openxmlformats.org/officeDocument/2006/relationships/hyperlink" Target="mailto:sanja1@minusoft.co.in" TargetMode="External"/><Relationship Id="rId90" Type="http://schemas.openxmlformats.org/officeDocument/2006/relationships/hyperlink" Target="mailto:sanjay1@minusoft.co.in" TargetMode="External"/><Relationship Id="rId95" Type="http://schemas.openxmlformats.org/officeDocument/2006/relationships/hyperlink" Target="mailto:nandasharma77500@gmail.com" TargetMode="External"/><Relationship Id="rId19" Type="http://schemas.openxmlformats.org/officeDocument/2006/relationships/hyperlink" Target="mailto:karimkhan9955@gmail.com" TargetMode="External"/><Relationship Id="rId14" Type="http://schemas.openxmlformats.org/officeDocument/2006/relationships/hyperlink" Target="mailto:mahatohirawati@gmail.com" TargetMode="External"/><Relationship Id="rId22" Type="http://schemas.openxmlformats.org/officeDocument/2006/relationships/hyperlink" Target="mailto:rupeshsingh317@gmail.com" TargetMode="External"/><Relationship Id="rId27" Type="http://schemas.openxmlformats.org/officeDocument/2006/relationships/hyperlink" Target="mailto:sanjay@minusoft.co.in" TargetMode="External"/><Relationship Id="rId30" Type="http://schemas.openxmlformats.org/officeDocument/2006/relationships/hyperlink" Target="mailto:sanjay@minusoft.co.in" TargetMode="External"/><Relationship Id="rId35" Type="http://schemas.openxmlformats.org/officeDocument/2006/relationships/hyperlink" Target="mailto:charanlakhi2580@gmail.com" TargetMode="External"/><Relationship Id="rId43" Type="http://schemas.openxmlformats.org/officeDocument/2006/relationships/hyperlink" Target="mailto:sanjay@minusoft.co.in" TargetMode="External"/><Relationship Id="rId48" Type="http://schemas.openxmlformats.org/officeDocument/2006/relationships/hyperlink" Target="mailto:sangeetasinghdixit@gmail.com" TargetMode="External"/><Relationship Id="rId56" Type="http://schemas.openxmlformats.org/officeDocument/2006/relationships/hyperlink" Target="mailto:sanjay@minusoft.co.in" TargetMode="External"/><Relationship Id="rId64" Type="http://schemas.openxmlformats.org/officeDocument/2006/relationships/hyperlink" Target="mailto:sanjay@minusoft.co.in" TargetMode="External"/><Relationship Id="rId69" Type="http://schemas.openxmlformats.org/officeDocument/2006/relationships/hyperlink" Target="mailto:sanjay@minusoft.co.in" TargetMode="External"/><Relationship Id="rId77" Type="http://schemas.openxmlformats.org/officeDocument/2006/relationships/hyperlink" Target="mailto:kartikmahato5896@gmail.com" TargetMode="External"/><Relationship Id="rId100" Type="http://schemas.openxmlformats.org/officeDocument/2006/relationships/hyperlink" Target="mailto:sanjay1@minusoft.co.in" TargetMode="External"/><Relationship Id="rId105" Type="http://schemas.openxmlformats.org/officeDocument/2006/relationships/hyperlink" Target="mailto:sanjay1@minusoft.co.in" TargetMode="External"/><Relationship Id="rId113" Type="http://schemas.openxmlformats.org/officeDocument/2006/relationships/hyperlink" Target="mailto:sonipriyanshi339@gmail.com" TargetMode="External"/><Relationship Id="rId118" Type="http://schemas.openxmlformats.org/officeDocument/2006/relationships/hyperlink" Target="mailto:sanjay2@" TargetMode="External"/><Relationship Id="rId8" Type="http://schemas.openxmlformats.org/officeDocument/2006/relationships/hyperlink" Target="mailto:sanjay@minusoft.co.in" TargetMode="External"/><Relationship Id="rId51" Type="http://schemas.openxmlformats.org/officeDocument/2006/relationships/hyperlink" Target="mailto:krishnastore001@gmail.com" TargetMode="External"/><Relationship Id="rId72" Type="http://schemas.openxmlformats.org/officeDocument/2006/relationships/hyperlink" Target="mailto:sanjay@minusoft.co.in" TargetMode="External"/><Relationship Id="rId80" Type="http://schemas.openxmlformats.org/officeDocument/2006/relationships/hyperlink" Target="mailto:sanjay1@minusoft.co.in" TargetMode="External"/><Relationship Id="rId85" Type="http://schemas.openxmlformats.org/officeDocument/2006/relationships/hyperlink" Target="mailto:anshuk497@gmail.com" TargetMode="External"/><Relationship Id="rId93" Type="http://schemas.openxmlformats.org/officeDocument/2006/relationships/hyperlink" Target="mailto:sumitkingg786@gmail.com" TargetMode="External"/><Relationship Id="rId98" Type="http://schemas.openxmlformats.org/officeDocument/2006/relationships/hyperlink" Target="mailto:sanjay1@minusoft.co.in" TargetMode="External"/><Relationship Id="rId121" Type="http://schemas.openxmlformats.org/officeDocument/2006/relationships/vmlDrawing" Target="../drawings/vmlDrawing1.vml"/><Relationship Id="rId3" Type="http://schemas.openxmlformats.org/officeDocument/2006/relationships/hyperlink" Target="http://www.velex.in/" TargetMode="External"/><Relationship Id="rId12" Type="http://schemas.openxmlformats.org/officeDocument/2006/relationships/hyperlink" Target="mailto:debdasduttatm@gmail.com" TargetMode="External"/><Relationship Id="rId17" Type="http://schemas.openxmlformats.org/officeDocument/2006/relationships/hyperlink" Target="mailto:sanjaygorai124@gmail.com" TargetMode="External"/><Relationship Id="rId25" Type="http://schemas.openxmlformats.org/officeDocument/2006/relationships/hyperlink" Target="mailto:sonisingh53107@gmail.com" TargetMode="External"/><Relationship Id="rId33" Type="http://schemas.openxmlformats.org/officeDocument/2006/relationships/hyperlink" Target="mailto:sanjay@minusoft.co.in" TargetMode="External"/><Relationship Id="rId38" Type="http://schemas.openxmlformats.org/officeDocument/2006/relationships/hyperlink" Target="mailto:sanjay@minusoft.co.in" TargetMode="External"/><Relationship Id="rId46" Type="http://schemas.openxmlformats.org/officeDocument/2006/relationships/hyperlink" Target="mailto:sanjay@minusoft.co.in" TargetMode="External"/><Relationship Id="rId59" Type="http://schemas.openxmlformats.org/officeDocument/2006/relationships/hyperlink" Target="mailto:chhayarani.cbs201@gmail.com" TargetMode="External"/><Relationship Id="rId67" Type="http://schemas.openxmlformats.org/officeDocument/2006/relationships/hyperlink" Target="mailto:sumandutta26jan@gmail.com" TargetMode="External"/><Relationship Id="rId103" Type="http://schemas.openxmlformats.org/officeDocument/2006/relationships/hyperlink" Target="mailto:sanjay1@minusoft.co.in" TargetMode="External"/><Relationship Id="rId108" Type="http://schemas.openxmlformats.org/officeDocument/2006/relationships/hyperlink" Target="mailto:pravs.sinha@gmail.com" TargetMode="External"/><Relationship Id="rId116" Type="http://schemas.openxmlformats.org/officeDocument/2006/relationships/hyperlink" Target="mailto:sanjay2@" TargetMode="External"/><Relationship Id="rId20" Type="http://schemas.openxmlformats.org/officeDocument/2006/relationships/hyperlink" Target="mailto:sanjay@minusoft.co.in" TargetMode="External"/><Relationship Id="rId41" Type="http://schemas.openxmlformats.org/officeDocument/2006/relationships/hyperlink" Target="mailto:sanjay@minusoft.co.in" TargetMode="External"/><Relationship Id="rId54" Type="http://schemas.openxmlformats.org/officeDocument/2006/relationships/hyperlink" Target="mailto:ec.99.2019@gmail.com" TargetMode="External"/><Relationship Id="rId62" Type="http://schemas.openxmlformats.org/officeDocument/2006/relationships/hyperlink" Target="mailto:jaipaljsr225@gmail.com" TargetMode="External"/><Relationship Id="rId70" Type="http://schemas.openxmlformats.org/officeDocument/2006/relationships/hyperlink" Target="mailto:sanjay@minusoft.co.in" TargetMode="External"/><Relationship Id="rId75" Type="http://schemas.openxmlformats.org/officeDocument/2006/relationships/hyperlink" Target="mailto:sanjaygorai000@gmail.com" TargetMode="External"/><Relationship Id="rId83" Type="http://schemas.openxmlformats.org/officeDocument/2006/relationships/hyperlink" Target="mailto:ns966310@gmail.com" TargetMode="External"/><Relationship Id="rId88" Type="http://schemas.openxmlformats.org/officeDocument/2006/relationships/hyperlink" Target="mailto:sanjay1@minusoft.co.in" TargetMode="External"/><Relationship Id="rId91" Type="http://schemas.openxmlformats.org/officeDocument/2006/relationships/hyperlink" Target="mailto:binay.mishra@cummins.com" TargetMode="External"/><Relationship Id="rId96" Type="http://schemas.openxmlformats.org/officeDocument/2006/relationships/hyperlink" Target="mailto:sanjay1@minusoft.co.in" TargetMode="External"/><Relationship Id="rId111" Type="http://schemas.openxmlformats.org/officeDocument/2006/relationships/hyperlink" Target="mailto:jyoti.hr.jha@gmail.com" TargetMode="External"/><Relationship Id="rId1" Type="http://schemas.openxmlformats.org/officeDocument/2006/relationships/hyperlink" Target="http://www.velex.in/" TargetMode="External"/><Relationship Id="rId6" Type="http://schemas.openxmlformats.org/officeDocument/2006/relationships/hyperlink" Target="mailto:nweb.hub@gmail.com" TargetMode="External"/><Relationship Id="rId15" Type="http://schemas.openxmlformats.org/officeDocument/2006/relationships/hyperlink" Target="mailto:madymaninder007@gmail.com" TargetMode="External"/><Relationship Id="rId23" Type="http://schemas.openxmlformats.org/officeDocument/2006/relationships/hyperlink" Target="mailto:sanjay@minusoft.co.in" TargetMode="External"/><Relationship Id="rId28" Type="http://schemas.openxmlformats.org/officeDocument/2006/relationships/hyperlink" Target="mailto:sanjay@minusoft.co.in" TargetMode="External"/><Relationship Id="rId36" Type="http://schemas.openxmlformats.org/officeDocument/2006/relationships/hyperlink" Target="mailto:ekta.jha29@gmail.com" TargetMode="External"/><Relationship Id="rId49" Type="http://schemas.openxmlformats.org/officeDocument/2006/relationships/hyperlink" Target="mailto:surbhisinghjsr03@gmail.com" TargetMode="External"/><Relationship Id="rId57" Type="http://schemas.openxmlformats.org/officeDocument/2006/relationships/hyperlink" Target="mailto:sanjay@minusoft.co.in" TargetMode="External"/><Relationship Id="rId106" Type="http://schemas.openxmlformats.org/officeDocument/2006/relationships/hyperlink" Target="mailto:ratnapatra235@gmail.com" TargetMode="External"/><Relationship Id="rId114" Type="http://schemas.openxmlformats.org/officeDocument/2006/relationships/hyperlink" Target="mailto:rajivbera91@gmail.com" TargetMode="External"/><Relationship Id="rId119" Type="http://schemas.openxmlformats.org/officeDocument/2006/relationships/hyperlink" Target="mailto:radhusahis3@g" TargetMode="External"/><Relationship Id="rId10" Type="http://schemas.openxmlformats.org/officeDocument/2006/relationships/hyperlink" Target="mailto:seemababy4@gmail.com" TargetMode="External"/><Relationship Id="rId31" Type="http://schemas.openxmlformats.org/officeDocument/2006/relationships/hyperlink" Target="mailto:akanshatripathy4@gmail.com" TargetMode="External"/><Relationship Id="rId44" Type="http://schemas.openxmlformats.org/officeDocument/2006/relationships/hyperlink" Target="mailto:sanjay@minusoft.co.in" TargetMode="External"/><Relationship Id="rId52" Type="http://schemas.openxmlformats.org/officeDocument/2006/relationships/hyperlink" Target="mailto:amarmukhi2627@gmail.com" TargetMode="External"/><Relationship Id="rId60" Type="http://schemas.openxmlformats.org/officeDocument/2006/relationships/hyperlink" Target="mailto:jasbir.singh62044@gmail.om" TargetMode="External"/><Relationship Id="rId65" Type="http://schemas.openxmlformats.org/officeDocument/2006/relationships/hyperlink" Target="mailto:sanjay@minusoft.co.in" TargetMode="External"/><Relationship Id="rId73" Type="http://schemas.openxmlformats.org/officeDocument/2006/relationships/hyperlink" Target="mailto:sdd392487@gmail.com" TargetMode="External"/><Relationship Id="rId78" Type="http://schemas.openxmlformats.org/officeDocument/2006/relationships/hyperlink" Target="mailto:aakritifocus@gmail.com" TargetMode="External"/><Relationship Id="rId81" Type="http://schemas.openxmlformats.org/officeDocument/2006/relationships/hyperlink" Target="mailto:souravtripathy67@gmail.com" TargetMode="External"/><Relationship Id="rId86" Type="http://schemas.openxmlformats.org/officeDocument/2006/relationships/hyperlink" Target="mailto:sanjay1@minusoft.co.in" TargetMode="External"/><Relationship Id="rId94" Type="http://schemas.openxmlformats.org/officeDocument/2006/relationships/hyperlink" Target="mailto:sanjay1@minusoft.co.in" TargetMode="External"/><Relationship Id="rId99" Type="http://schemas.openxmlformats.org/officeDocument/2006/relationships/hyperlink" Target="mailto:beenamahato1@gmail.com" TargetMode="External"/><Relationship Id="rId101" Type="http://schemas.openxmlformats.org/officeDocument/2006/relationships/hyperlink" Target="mailto:sanjay1@minusoft.co.in" TargetMode="External"/><Relationship Id="rId122" Type="http://schemas.openxmlformats.org/officeDocument/2006/relationships/comments" Target="../comments1.xml"/><Relationship Id="rId4" Type="http://schemas.openxmlformats.org/officeDocument/2006/relationships/hyperlink" Target="http://www.velex.in/" TargetMode="External"/><Relationship Id="rId9" Type="http://schemas.openxmlformats.org/officeDocument/2006/relationships/hyperlink" Target="mailto:sanjay@minusoft.co.in" TargetMode="External"/><Relationship Id="rId13" Type="http://schemas.openxmlformats.org/officeDocument/2006/relationships/hyperlink" Target="mailto:mahatohirawati@gmail.com" TargetMode="External"/><Relationship Id="rId18" Type="http://schemas.openxmlformats.org/officeDocument/2006/relationships/hyperlink" Target="mailto:sunil.kum@gmail.com" TargetMode="External"/><Relationship Id="rId39" Type="http://schemas.openxmlformats.org/officeDocument/2006/relationships/hyperlink" Target="mailto:nadimakhter1976@gmail.com" TargetMode="External"/><Relationship Id="rId109" Type="http://schemas.openxmlformats.org/officeDocument/2006/relationships/hyperlink" Target="mailto:janadeepak79@gmail.com" TargetMode="External"/><Relationship Id="rId34" Type="http://schemas.openxmlformats.org/officeDocument/2006/relationships/hyperlink" Target="mailto:sanjay@minusoft.co.in" TargetMode="External"/><Relationship Id="rId50" Type="http://schemas.openxmlformats.org/officeDocument/2006/relationships/hyperlink" Target="mailto:snehabag56@gmail.co" TargetMode="External"/><Relationship Id="rId55" Type="http://schemas.openxmlformats.org/officeDocument/2006/relationships/hyperlink" Target="mailto:kalimrahi01@gmail.com" TargetMode="External"/><Relationship Id="rId76" Type="http://schemas.openxmlformats.org/officeDocument/2006/relationships/hyperlink" Target="mailto:kartikmahato5896@gmail.com" TargetMode="External"/><Relationship Id="rId97" Type="http://schemas.openxmlformats.org/officeDocument/2006/relationships/hyperlink" Target="mailto:sanjay1@minusoft.co.in" TargetMode="External"/><Relationship Id="rId104" Type="http://schemas.openxmlformats.org/officeDocument/2006/relationships/hyperlink" Target="mailto:sanjay1@minusoft.co.in" TargetMode="External"/><Relationship Id="rId120" Type="http://schemas.openxmlformats.org/officeDocument/2006/relationships/printerSettings" Target="../printerSettings/printerSettings2.bin"/><Relationship Id="rId7" Type="http://schemas.openxmlformats.org/officeDocument/2006/relationships/hyperlink" Target="mailto:sanjay@minusoft.co.in" TargetMode="External"/><Relationship Id="rId71" Type="http://schemas.openxmlformats.org/officeDocument/2006/relationships/hyperlink" Target="mailto:zhasan987@gmail.com" TargetMode="External"/><Relationship Id="rId92" Type="http://schemas.openxmlformats.org/officeDocument/2006/relationships/hyperlink" Target="mailto:Jagdishmahato316@gmail.com" TargetMode="External"/><Relationship Id="rId2" Type="http://schemas.openxmlformats.org/officeDocument/2006/relationships/hyperlink" Target="http://www.velex.in/" TargetMode="External"/><Relationship Id="rId29" Type="http://schemas.openxmlformats.org/officeDocument/2006/relationships/hyperlink" Target="mailto:sanjay@minusoft.co.in" TargetMode="External"/><Relationship Id="rId24" Type="http://schemas.openxmlformats.org/officeDocument/2006/relationships/hyperlink" Target="mailto:rupeshsingh317@gmail.com" TargetMode="External"/><Relationship Id="rId40" Type="http://schemas.openxmlformats.org/officeDocument/2006/relationships/hyperlink" Target="mailto:sanjay@minusoft.co.in" TargetMode="External"/><Relationship Id="rId45" Type="http://schemas.openxmlformats.org/officeDocument/2006/relationships/hyperlink" Target="mailto:pankajsanju2403@gmail.com" TargetMode="External"/><Relationship Id="rId66" Type="http://schemas.openxmlformats.org/officeDocument/2006/relationships/hyperlink" Target="mailto:sanjay@minusoft.co.in" TargetMode="External"/><Relationship Id="rId87" Type="http://schemas.openxmlformats.org/officeDocument/2006/relationships/hyperlink" Target="mailto:sanjay1@minusoft.co.in" TargetMode="External"/><Relationship Id="rId110" Type="http://schemas.openxmlformats.org/officeDocument/2006/relationships/hyperlink" Target="mailto:ratnesh74jha@gmail.com" TargetMode="External"/><Relationship Id="rId115" Type="http://schemas.openxmlformats.org/officeDocument/2006/relationships/hyperlink" Target="mailto:ahmadajaz641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Mypass@2022" TargetMode="External"/><Relationship Id="rId117" Type="http://schemas.openxmlformats.org/officeDocument/2006/relationships/hyperlink" Target="mailto:Mypass@2024" TargetMode="External"/><Relationship Id="rId21" Type="http://schemas.openxmlformats.org/officeDocument/2006/relationships/hyperlink" Target="mailto:Mypass@2022" TargetMode="External"/><Relationship Id="rId42" Type="http://schemas.openxmlformats.org/officeDocument/2006/relationships/hyperlink" Target="mailto:Mypass@2023" TargetMode="External"/><Relationship Id="rId47" Type="http://schemas.openxmlformats.org/officeDocument/2006/relationships/hyperlink" Target="mailto:Mypass@2023" TargetMode="External"/><Relationship Id="rId63" Type="http://schemas.openxmlformats.org/officeDocument/2006/relationships/hyperlink" Target="mailto:Mypass@23" TargetMode="External"/><Relationship Id="rId68" Type="http://schemas.openxmlformats.org/officeDocument/2006/relationships/hyperlink" Target="mailto:Mypass@23" TargetMode="External"/><Relationship Id="rId84" Type="http://schemas.openxmlformats.org/officeDocument/2006/relationships/hyperlink" Target="mailto:Mypass@2023" TargetMode="External"/><Relationship Id="rId89" Type="http://schemas.openxmlformats.org/officeDocument/2006/relationships/hyperlink" Target="mailto:Mypass@2024" TargetMode="External"/><Relationship Id="rId112" Type="http://schemas.openxmlformats.org/officeDocument/2006/relationships/hyperlink" Target="mailto:Mypass@2024" TargetMode="External"/><Relationship Id="rId133" Type="http://schemas.openxmlformats.org/officeDocument/2006/relationships/hyperlink" Target="mailto:Mypass@2024" TargetMode="External"/><Relationship Id="rId138" Type="http://schemas.openxmlformats.org/officeDocument/2006/relationships/hyperlink" Target="mailto:Mypass@2024" TargetMode="External"/><Relationship Id="rId154" Type="http://schemas.openxmlformats.org/officeDocument/2006/relationships/hyperlink" Target="mailto:Mypass@2024" TargetMode="External"/><Relationship Id="rId159" Type="http://schemas.openxmlformats.org/officeDocument/2006/relationships/hyperlink" Target="mailto:Mypass@2024" TargetMode="External"/><Relationship Id="rId175" Type="http://schemas.openxmlformats.org/officeDocument/2006/relationships/hyperlink" Target="mailto:Mypass@2025" TargetMode="External"/><Relationship Id="rId170" Type="http://schemas.openxmlformats.org/officeDocument/2006/relationships/hyperlink" Target="mailto:Mypass@2025" TargetMode="External"/><Relationship Id="rId16" Type="http://schemas.openxmlformats.org/officeDocument/2006/relationships/hyperlink" Target="mailto:Pass@2022" TargetMode="External"/><Relationship Id="rId107" Type="http://schemas.openxmlformats.org/officeDocument/2006/relationships/hyperlink" Target="mailto:Mypass@2024" TargetMode="External"/><Relationship Id="rId11" Type="http://schemas.openxmlformats.org/officeDocument/2006/relationships/hyperlink" Target="mailto:Mypass@2022" TargetMode="External"/><Relationship Id="rId32" Type="http://schemas.openxmlformats.org/officeDocument/2006/relationships/hyperlink" Target="mailto:pASSs@2022" TargetMode="External"/><Relationship Id="rId37" Type="http://schemas.openxmlformats.org/officeDocument/2006/relationships/hyperlink" Target="mailto:Mypass@2023" TargetMode="External"/><Relationship Id="rId53" Type="http://schemas.openxmlformats.org/officeDocument/2006/relationships/hyperlink" Target="mailto:Mypass@2023" TargetMode="External"/><Relationship Id="rId58" Type="http://schemas.openxmlformats.org/officeDocument/2006/relationships/hyperlink" Target="mailto:Mypass@2023" TargetMode="External"/><Relationship Id="rId74" Type="http://schemas.openxmlformats.org/officeDocument/2006/relationships/hyperlink" Target="mailto:Mypass@23" TargetMode="External"/><Relationship Id="rId79" Type="http://schemas.openxmlformats.org/officeDocument/2006/relationships/hyperlink" Target="mailto:Mypass@2023" TargetMode="External"/><Relationship Id="rId102" Type="http://schemas.openxmlformats.org/officeDocument/2006/relationships/hyperlink" Target="mailto:Mypass@2024" TargetMode="External"/><Relationship Id="rId123" Type="http://schemas.openxmlformats.org/officeDocument/2006/relationships/hyperlink" Target="mailto:Mypass@2024" TargetMode="External"/><Relationship Id="rId128" Type="http://schemas.openxmlformats.org/officeDocument/2006/relationships/hyperlink" Target="mailto:Mypass@2024" TargetMode="External"/><Relationship Id="rId144" Type="http://schemas.openxmlformats.org/officeDocument/2006/relationships/hyperlink" Target="mailto:Mypass@2024" TargetMode="External"/><Relationship Id="rId149" Type="http://schemas.openxmlformats.org/officeDocument/2006/relationships/hyperlink" Target="mailto:Mypass@2024" TargetMode="External"/><Relationship Id="rId5" Type="http://schemas.openxmlformats.org/officeDocument/2006/relationships/hyperlink" Target="mailto:Mypass@2022" TargetMode="External"/><Relationship Id="rId90" Type="http://schemas.openxmlformats.org/officeDocument/2006/relationships/hyperlink" Target="mailto:Mypass@2023" TargetMode="External"/><Relationship Id="rId95" Type="http://schemas.openxmlformats.org/officeDocument/2006/relationships/hyperlink" Target="mailto:Mypass@2024" TargetMode="External"/><Relationship Id="rId160" Type="http://schemas.openxmlformats.org/officeDocument/2006/relationships/hyperlink" Target="mailto:Mypass@2025" TargetMode="External"/><Relationship Id="rId165" Type="http://schemas.openxmlformats.org/officeDocument/2006/relationships/hyperlink" Target="mailto:Mypass@2025" TargetMode="External"/><Relationship Id="rId181" Type="http://schemas.openxmlformats.org/officeDocument/2006/relationships/hyperlink" Target="mailto:Mypass@2025" TargetMode="External"/><Relationship Id="rId22" Type="http://schemas.openxmlformats.org/officeDocument/2006/relationships/hyperlink" Target="mailto:Mypass@2022" TargetMode="External"/><Relationship Id="rId27" Type="http://schemas.openxmlformats.org/officeDocument/2006/relationships/hyperlink" Target="mailto:Mypass@2022" TargetMode="External"/><Relationship Id="rId43" Type="http://schemas.openxmlformats.org/officeDocument/2006/relationships/hyperlink" Target="mailto:Mypass@2023" TargetMode="External"/><Relationship Id="rId48" Type="http://schemas.openxmlformats.org/officeDocument/2006/relationships/hyperlink" Target="mailto:Mypass@2023" TargetMode="External"/><Relationship Id="rId64" Type="http://schemas.openxmlformats.org/officeDocument/2006/relationships/hyperlink" Target="mailto:Mypass@23" TargetMode="External"/><Relationship Id="rId69" Type="http://schemas.openxmlformats.org/officeDocument/2006/relationships/hyperlink" Target="mailto:Mypass@23" TargetMode="External"/><Relationship Id="rId113" Type="http://schemas.openxmlformats.org/officeDocument/2006/relationships/hyperlink" Target="mailto:Mypass@2024" TargetMode="External"/><Relationship Id="rId118" Type="http://schemas.openxmlformats.org/officeDocument/2006/relationships/hyperlink" Target="mailto:Mypass@2024" TargetMode="External"/><Relationship Id="rId134" Type="http://schemas.openxmlformats.org/officeDocument/2006/relationships/hyperlink" Target="mailto:Mypass@2024" TargetMode="External"/><Relationship Id="rId139" Type="http://schemas.openxmlformats.org/officeDocument/2006/relationships/hyperlink" Target="mailto:Mypass@2024" TargetMode="External"/><Relationship Id="rId80" Type="http://schemas.openxmlformats.org/officeDocument/2006/relationships/hyperlink" Target="mailto:Mypass@2023" TargetMode="External"/><Relationship Id="rId85" Type="http://schemas.openxmlformats.org/officeDocument/2006/relationships/hyperlink" Target="mailto:naaz@2023" TargetMode="External"/><Relationship Id="rId150" Type="http://schemas.openxmlformats.org/officeDocument/2006/relationships/hyperlink" Target="mailto:Mypass@2024" TargetMode="External"/><Relationship Id="rId155" Type="http://schemas.openxmlformats.org/officeDocument/2006/relationships/hyperlink" Target="mailto:Mypass@2024" TargetMode="External"/><Relationship Id="rId171" Type="http://schemas.openxmlformats.org/officeDocument/2006/relationships/hyperlink" Target="mailto:Mypass@2025" TargetMode="External"/><Relationship Id="rId176" Type="http://schemas.openxmlformats.org/officeDocument/2006/relationships/hyperlink" Target="mailto:Mypass@2025" TargetMode="External"/><Relationship Id="rId12" Type="http://schemas.openxmlformats.org/officeDocument/2006/relationships/hyperlink" Target="mailto:Mypass@2022" TargetMode="External"/><Relationship Id="rId17" Type="http://schemas.openxmlformats.org/officeDocument/2006/relationships/hyperlink" Target="mailto:Pass@2022" TargetMode="External"/><Relationship Id="rId33" Type="http://schemas.openxmlformats.org/officeDocument/2006/relationships/hyperlink" Target="mailto:pASSs@2022" TargetMode="External"/><Relationship Id="rId38" Type="http://schemas.openxmlformats.org/officeDocument/2006/relationships/hyperlink" Target="mailto:Mypass@2023" TargetMode="External"/><Relationship Id="rId59" Type="http://schemas.openxmlformats.org/officeDocument/2006/relationships/hyperlink" Target="mailto:Mypass@2023" TargetMode="External"/><Relationship Id="rId103" Type="http://schemas.openxmlformats.org/officeDocument/2006/relationships/hyperlink" Target="mailto:Mypass@2024" TargetMode="External"/><Relationship Id="rId108" Type="http://schemas.openxmlformats.org/officeDocument/2006/relationships/hyperlink" Target="mailto:Mypass@2024" TargetMode="External"/><Relationship Id="rId124" Type="http://schemas.openxmlformats.org/officeDocument/2006/relationships/hyperlink" Target="mailto:Mypass@2024" TargetMode="External"/><Relationship Id="rId129" Type="http://schemas.openxmlformats.org/officeDocument/2006/relationships/hyperlink" Target="mailto:Mypass@2024" TargetMode="External"/><Relationship Id="rId54" Type="http://schemas.openxmlformats.org/officeDocument/2006/relationships/hyperlink" Target="mailto:Mypass@2023" TargetMode="External"/><Relationship Id="rId70" Type="http://schemas.openxmlformats.org/officeDocument/2006/relationships/hyperlink" Target="mailto:Mypass@23" TargetMode="External"/><Relationship Id="rId75" Type="http://schemas.openxmlformats.org/officeDocument/2006/relationships/hyperlink" Target="mailto:Mypass@23" TargetMode="External"/><Relationship Id="rId91" Type="http://schemas.openxmlformats.org/officeDocument/2006/relationships/hyperlink" Target="mailto:Mypass@2023" TargetMode="External"/><Relationship Id="rId96" Type="http://schemas.openxmlformats.org/officeDocument/2006/relationships/hyperlink" Target="mailto:Mypass@2024" TargetMode="External"/><Relationship Id="rId140" Type="http://schemas.openxmlformats.org/officeDocument/2006/relationships/hyperlink" Target="mailto:Mypass@2024" TargetMode="External"/><Relationship Id="rId145" Type="http://schemas.openxmlformats.org/officeDocument/2006/relationships/hyperlink" Target="mailto:Mypass@2024" TargetMode="External"/><Relationship Id="rId161" Type="http://schemas.openxmlformats.org/officeDocument/2006/relationships/hyperlink" Target="mailto:Mypass@2025" TargetMode="External"/><Relationship Id="rId166" Type="http://schemas.openxmlformats.org/officeDocument/2006/relationships/hyperlink" Target="mailto:Mypass@2025" TargetMode="External"/><Relationship Id="rId182" Type="http://schemas.openxmlformats.org/officeDocument/2006/relationships/hyperlink" Target="mailto:Mypass@2025" TargetMode="External"/><Relationship Id="rId1" Type="http://schemas.openxmlformats.org/officeDocument/2006/relationships/hyperlink" Target="mailto:sk6474972@gmail.com" TargetMode="External"/><Relationship Id="rId6" Type="http://schemas.openxmlformats.org/officeDocument/2006/relationships/hyperlink" Target="mailto:Mypass@2022" TargetMode="External"/><Relationship Id="rId23" Type="http://schemas.openxmlformats.org/officeDocument/2006/relationships/hyperlink" Target="mailto:Mypass@2022" TargetMode="External"/><Relationship Id="rId28" Type="http://schemas.openxmlformats.org/officeDocument/2006/relationships/hyperlink" Target="mailto:Mypass@2022" TargetMode="External"/><Relationship Id="rId49" Type="http://schemas.openxmlformats.org/officeDocument/2006/relationships/hyperlink" Target="mailto:Mypass@2023" TargetMode="External"/><Relationship Id="rId114" Type="http://schemas.openxmlformats.org/officeDocument/2006/relationships/hyperlink" Target="mailto:Mypass@2024" TargetMode="External"/><Relationship Id="rId119" Type="http://schemas.openxmlformats.org/officeDocument/2006/relationships/hyperlink" Target="mailto:Mypass@2024" TargetMode="External"/><Relationship Id="rId44" Type="http://schemas.openxmlformats.org/officeDocument/2006/relationships/hyperlink" Target="mailto:Mypass@2023" TargetMode="External"/><Relationship Id="rId60" Type="http://schemas.openxmlformats.org/officeDocument/2006/relationships/hyperlink" Target="mailto:Mypass@2023" TargetMode="External"/><Relationship Id="rId65" Type="http://schemas.openxmlformats.org/officeDocument/2006/relationships/hyperlink" Target="mailto:Mypass@23" TargetMode="External"/><Relationship Id="rId81" Type="http://schemas.openxmlformats.org/officeDocument/2006/relationships/hyperlink" Target="mailto:Mypass@2023" TargetMode="External"/><Relationship Id="rId86" Type="http://schemas.openxmlformats.org/officeDocument/2006/relationships/hyperlink" Target="mailto:Mypass@2023" TargetMode="External"/><Relationship Id="rId130" Type="http://schemas.openxmlformats.org/officeDocument/2006/relationships/hyperlink" Target="mailto:Mypass@2024" TargetMode="External"/><Relationship Id="rId135" Type="http://schemas.openxmlformats.org/officeDocument/2006/relationships/hyperlink" Target="mailto:Mypass@2024" TargetMode="External"/><Relationship Id="rId151" Type="http://schemas.openxmlformats.org/officeDocument/2006/relationships/hyperlink" Target="mailto:Mypass@2024" TargetMode="External"/><Relationship Id="rId156" Type="http://schemas.openxmlformats.org/officeDocument/2006/relationships/hyperlink" Target="mailto:Mypass@2024" TargetMode="External"/><Relationship Id="rId177" Type="http://schemas.openxmlformats.org/officeDocument/2006/relationships/hyperlink" Target="mailto:Mypass@2025" TargetMode="External"/><Relationship Id="rId4" Type="http://schemas.openxmlformats.org/officeDocument/2006/relationships/hyperlink" Target="mailto:nweb.hub@gmail.com" TargetMode="External"/><Relationship Id="rId9" Type="http://schemas.openxmlformats.org/officeDocument/2006/relationships/hyperlink" Target="mailto:Mypass@2022" TargetMode="External"/><Relationship Id="rId172" Type="http://schemas.openxmlformats.org/officeDocument/2006/relationships/hyperlink" Target="mailto:Mypass@2025" TargetMode="External"/><Relationship Id="rId180" Type="http://schemas.openxmlformats.org/officeDocument/2006/relationships/hyperlink" Target="mailto:Mypass@2025" TargetMode="External"/><Relationship Id="rId13" Type="http://schemas.openxmlformats.org/officeDocument/2006/relationships/hyperlink" Target="mailto:Mypass@2022" TargetMode="External"/><Relationship Id="rId18" Type="http://schemas.openxmlformats.org/officeDocument/2006/relationships/hyperlink" Target="mailto:Mypass@2022" TargetMode="External"/><Relationship Id="rId39" Type="http://schemas.openxmlformats.org/officeDocument/2006/relationships/hyperlink" Target="mailto:Mypass@2023" TargetMode="External"/><Relationship Id="rId109" Type="http://schemas.openxmlformats.org/officeDocument/2006/relationships/hyperlink" Target="mailto:Mypass@2024" TargetMode="External"/><Relationship Id="rId34" Type="http://schemas.openxmlformats.org/officeDocument/2006/relationships/hyperlink" Target="mailto:Mypass@2023" TargetMode="External"/><Relationship Id="rId50" Type="http://schemas.openxmlformats.org/officeDocument/2006/relationships/hyperlink" Target="mailto:Mypass@2023" TargetMode="External"/><Relationship Id="rId55" Type="http://schemas.openxmlformats.org/officeDocument/2006/relationships/hyperlink" Target="mailto:Mypass@2023" TargetMode="External"/><Relationship Id="rId76" Type="http://schemas.openxmlformats.org/officeDocument/2006/relationships/hyperlink" Target="mailto:Mypass@23" TargetMode="External"/><Relationship Id="rId97" Type="http://schemas.openxmlformats.org/officeDocument/2006/relationships/hyperlink" Target="mailto:Mypass@2024" TargetMode="External"/><Relationship Id="rId104" Type="http://schemas.openxmlformats.org/officeDocument/2006/relationships/hyperlink" Target="mailto:Mypass@2024" TargetMode="External"/><Relationship Id="rId120" Type="http://schemas.openxmlformats.org/officeDocument/2006/relationships/hyperlink" Target="mailto:Mypass@2024" TargetMode="External"/><Relationship Id="rId125" Type="http://schemas.openxmlformats.org/officeDocument/2006/relationships/hyperlink" Target="mailto:Mypass@2024" TargetMode="External"/><Relationship Id="rId141" Type="http://schemas.openxmlformats.org/officeDocument/2006/relationships/hyperlink" Target="mailto:Mypass@2024" TargetMode="External"/><Relationship Id="rId146" Type="http://schemas.openxmlformats.org/officeDocument/2006/relationships/hyperlink" Target="mailto:Mypass@2024" TargetMode="External"/><Relationship Id="rId167" Type="http://schemas.openxmlformats.org/officeDocument/2006/relationships/hyperlink" Target="mailto:Mypass@2025" TargetMode="External"/><Relationship Id="rId7" Type="http://schemas.openxmlformats.org/officeDocument/2006/relationships/hyperlink" Target="mailto:Mypass@2022" TargetMode="External"/><Relationship Id="rId71" Type="http://schemas.openxmlformats.org/officeDocument/2006/relationships/hyperlink" Target="mailto:Mypass@23" TargetMode="External"/><Relationship Id="rId92" Type="http://schemas.openxmlformats.org/officeDocument/2006/relationships/hyperlink" Target="mailto:Mypass@2023" TargetMode="External"/><Relationship Id="rId162" Type="http://schemas.openxmlformats.org/officeDocument/2006/relationships/hyperlink" Target="mailto:Mypass@2025" TargetMode="External"/><Relationship Id="rId183" Type="http://schemas.openxmlformats.org/officeDocument/2006/relationships/hyperlink" Target="mailto:Mypass@2025" TargetMode="External"/><Relationship Id="rId2" Type="http://schemas.openxmlformats.org/officeDocument/2006/relationships/hyperlink" Target="mailto:sk6474972@gmail.com" TargetMode="External"/><Relationship Id="rId29" Type="http://schemas.openxmlformats.org/officeDocument/2006/relationships/hyperlink" Target="mailto:Mypass@2023" TargetMode="External"/><Relationship Id="rId24" Type="http://schemas.openxmlformats.org/officeDocument/2006/relationships/hyperlink" Target="mailto:Mypass@2022" TargetMode="External"/><Relationship Id="rId40" Type="http://schemas.openxmlformats.org/officeDocument/2006/relationships/hyperlink" Target="mailto:Mypass@2023" TargetMode="External"/><Relationship Id="rId45" Type="http://schemas.openxmlformats.org/officeDocument/2006/relationships/hyperlink" Target="mailto:Mypass@2023" TargetMode="External"/><Relationship Id="rId66" Type="http://schemas.openxmlformats.org/officeDocument/2006/relationships/hyperlink" Target="mailto:Mypass@23" TargetMode="External"/><Relationship Id="rId87" Type="http://schemas.openxmlformats.org/officeDocument/2006/relationships/hyperlink" Target="mailto:Mypass@2024" TargetMode="External"/><Relationship Id="rId110" Type="http://schemas.openxmlformats.org/officeDocument/2006/relationships/hyperlink" Target="mailto:Mypass@2024" TargetMode="External"/><Relationship Id="rId115" Type="http://schemas.openxmlformats.org/officeDocument/2006/relationships/hyperlink" Target="mailto:Mypass@2024" TargetMode="External"/><Relationship Id="rId131" Type="http://schemas.openxmlformats.org/officeDocument/2006/relationships/hyperlink" Target="mailto:Mypass@2024" TargetMode="External"/><Relationship Id="rId136" Type="http://schemas.openxmlformats.org/officeDocument/2006/relationships/hyperlink" Target="mailto:Mypass@2024" TargetMode="External"/><Relationship Id="rId157" Type="http://schemas.openxmlformats.org/officeDocument/2006/relationships/hyperlink" Target="mailto:Mypass@2024" TargetMode="External"/><Relationship Id="rId178" Type="http://schemas.openxmlformats.org/officeDocument/2006/relationships/hyperlink" Target="mailto:Mypass@2025" TargetMode="External"/><Relationship Id="rId61" Type="http://schemas.openxmlformats.org/officeDocument/2006/relationships/hyperlink" Target="mailto:Mypass@2023" TargetMode="External"/><Relationship Id="rId82" Type="http://schemas.openxmlformats.org/officeDocument/2006/relationships/hyperlink" Target="mailto:Mypass@2023" TargetMode="External"/><Relationship Id="rId152" Type="http://schemas.openxmlformats.org/officeDocument/2006/relationships/hyperlink" Target="mailto:Mypass@2024" TargetMode="External"/><Relationship Id="rId173" Type="http://schemas.openxmlformats.org/officeDocument/2006/relationships/hyperlink" Target="mailto:Mypass@2025" TargetMode="External"/><Relationship Id="rId19" Type="http://schemas.openxmlformats.org/officeDocument/2006/relationships/hyperlink" Target="mailto:Mypass@2022" TargetMode="External"/><Relationship Id="rId14" Type="http://schemas.openxmlformats.org/officeDocument/2006/relationships/hyperlink" Target="mailto:Mypass@2022" TargetMode="External"/><Relationship Id="rId30" Type="http://schemas.openxmlformats.org/officeDocument/2006/relationships/hyperlink" Target="mailto:Pass@2022" TargetMode="External"/><Relationship Id="rId35" Type="http://schemas.openxmlformats.org/officeDocument/2006/relationships/hyperlink" Target="mailto:Mypass@2023" TargetMode="External"/><Relationship Id="rId56" Type="http://schemas.openxmlformats.org/officeDocument/2006/relationships/hyperlink" Target="mailto:Mypass@2023" TargetMode="External"/><Relationship Id="rId77" Type="http://schemas.openxmlformats.org/officeDocument/2006/relationships/hyperlink" Target="mailto:Mypass@2023" TargetMode="External"/><Relationship Id="rId100" Type="http://schemas.openxmlformats.org/officeDocument/2006/relationships/hyperlink" Target="mailto:Mypass@2024" TargetMode="External"/><Relationship Id="rId105" Type="http://schemas.openxmlformats.org/officeDocument/2006/relationships/hyperlink" Target="mailto:Mypass@2024" TargetMode="External"/><Relationship Id="rId126" Type="http://schemas.openxmlformats.org/officeDocument/2006/relationships/hyperlink" Target="mailto:Mypass@2024" TargetMode="External"/><Relationship Id="rId147" Type="http://schemas.openxmlformats.org/officeDocument/2006/relationships/hyperlink" Target="mailto:Mypass@2025" TargetMode="External"/><Relationship Id="rId168" Type="http://schemas.openxmlformats.org/officeDocument/2006/relationships/hyperlink" Target="mailto:Mypass@2025" TargetMode="External"/><Relationship Id="rId8" Type="http://schemas.openxmlformats.org/officeDocument/2006/relationships/hyperlink" Target="mailto:Mypass@2022" TargetMode="External"/><Relationship Id="rId51" Type="http://schemas.openxmlformats.org/officeDocument/2006/relationships/hyperlink" Target="mailto:Mypass@2023" TargetMode="External"/><Relationship Id="rId72" Type="http://schemas.openxmlformats.org/officeDocument/2006/relationships/hyperlink" Target="mailto:Mypass@23" TargetMode="External"/><Relationship Id="rId93" Type="http://schemas.openxmlformats.org/officeDocument/2006/relationships/hyperlink" Target="mailto:Mypass@2023" TargetMode="External"/><Relationship Id="rId98" Type="http://schemas.openxmlformats.org/officeDocument/2006/relationships/hyperlink" Target="mailto:Mypass@2023" TargetMode="External"/><Relationship Id="rId121" Type="http://schemas.openxmlformats.org/officeDocument/2006/relationships/hyperlink" Target="mailto:Mypass@2024" TargetMode="External"/><Relationship Id="rId142" Type="http://schemas.openxmlformats.org/officeDocument/2006/relationships/hyperlink" Target="mailto:Mypass@2024" TargetMode="External"/><Relationship Id="rId163" Type="http://schemas.openxmlformats.org/officeDocument/2006/relationships/hyperlink" Target="mailto:Mypass@2025" TargetMode="External"/><Relationship Id="rId184" Type="http://schemas.openxmlformats.org/officeDocument/2006/relationships/hyperlink" Target="mailto:Mypass@2025" TargetMode="External"/><Relationship Id="rId3" Type="http://schemas.openxmlformats.org/officeDocument/2006/relationships/hyperlink" Target="mailto:shubham55mm@gmail.com" TargetMode="External"/><Relationship Id="rId25" Type="http://schemas.openxmlformats.org/officeDocument/2006/relationships/hyperlink" Target="mailto:Mypass@2022" TargetMode="External"/><Relationship Id="rId46" Type="http://schemas.openxmlformats.org/officeDocument/2006/relationships/hyperlink" Target="mailto:Mypass@2023" TargetMode="External"/><Relationship Id="rId67" Type="http://schemas.openxmlformats.org/officeDocument/2006/relationships/hyperlink" Target="mailto:Mypass@23" TargetMode="External"/><Relationship Id="rId116" Type="http://schemas.openxmlformats.org/officeDocument/2006/relationships/hyperlink" Target="mailto:Mypass@2024" TargetMode="External"/><Relationship Id="rId137" Type="http://schemas.openxmlformats.org/officeDocument/2006/relationships/hyperlink" Target="mailto:Mypass@2024" TargetMode="External"/><Relationship Id="rId158" Type="http://schemas.openxmlformats.org/officeDocument/2006/relationships/hyperlink" Target="mailto:Mypass@2024" TargetMode="External"/><Relationship Id="rId20" Type="http://schemas.openxmlformats.org/officeDocument/2006/relationships/hyperlink" Target="mailto:Mypass@2022" TargetMode="External"/><Relationship Id="rId41" Type="http://schemas.openxmlformats.org/officeDocument/2006/relationships/hyperlink" Target="mailto:Mypass@2023" TargetMode="External"/><Relationship Id="rId62" Type="http://schemas.openxmlformats.org/officeDocument/2006/relationships/hyperlink" Target="mailto:Mypass@2023" TargetMode="External"/><Relationship Id="rId83" Type="http://schemas.openxmlformats.org/officeDocument/2006/relationships/hyperlink" Target="mailto:Mypass@2023" TargetMode="External"/><Relationship Id="rId88" Type="http://schemas.openxmlformats.org/officeDocument/2006/relationships/hyperlink" Target="mailto:Mypass@2024" TargetMode="External"/><Relationship Id="rId111" Type="http://schemas.openxmlformats.org/officeDocument/2006/relationships/hyperlink" Target="mailto:Mypass@2024" TargetMode="External"/><Relationship Id="rId132" Type="http://schemas.openxmlformats.org/officeDocument/2006/relationships/hyperlink" Target="mailto:Mypass@2024" TargetMode="External"/><Relationship Id="rId153" Type="http://schemas.openxmlformats.org/officeDocument/2006/relationships/hyperlink" Target="mailto:Mypass@2024" TargetMode="External"/><Relationship Id="rId174" Type="http://schemas.openxmlformats.org/officeDocument/2006/relationships/hyperlink" Target="mailto:Mypass@2025" TargetMode="External"/><Relationship Id="rId179" Type="http://schemas.openxmlformats.org/officeDocument/2006/relationships/hyperlink" Target="mailto:Mypass@2025" TargetMode="External"/><Relationship Id="rId15" Type="http://schemas.openxmlformats.org/officeDocument/2006/relationships/hyperlink" Target="mailto:Mypass@2022" TargetMode="External"/><Relationship Id="rId36" Type="http://schemas.openxmlformats.org/officeDocument/2006/relationships/hyperlink" Target="mailto:Mypass@2023" TargetMode="External"/><Relationship Id="rId57" Type="http://schemas.openxmlformats.org/officeDocument/2006/relationships/hyperlink" Target="mailto:Mypass@2023" TargetMode="External"/><Relationship Id="rId106" Type="http://schemas.openxmlformats.org/officeDocument/2006/relationships/hyperlink" Target="mailto:Mypass@2024" TargetMode="External"/><Relationship Id="rId127" Type="http://schemas.openxmlformats.org/officeDocument/2006/relationships/hyperlink" Target="mailto:Mypass@2024" TargetMode="External"/><Relationship Id="rId10" Type="http://schemas.openxmlformats.org/officeDocument/2006/relationships/hyperlink" Target="mailto:Pass@2022" TargetMode="External"/><Relationship Id="rId31" Type="http://schemas.openxmlformats.org/officeDocument/2006/relationships/hyperlink" Target="mailto:pASSs@2022" TargetMode="External"/><Relationship Id="rId52" Type="http://schemas.openxmlformats.org/officeDocument/2006/relationships/hyperlink" Target="mailto:Mypass@2023" TargetMode="External"/><Relationship Id="rId73" Type="http://schemas.openxmlformats.org/officeDocument/2006/relationships/hyperlink" Target="mailto:Mypass@23" TargetMode="External"/><Relationship Id="rId78" Type="http://schemas.openxmlformats.org/officeDocument/2006/relationships/hyperlink" Target="mailto:Mypass@2023" TargetMode="External"/><Relationship Id="rId94" Type="http://schemas.openxmlformats.org/officeDocument/2006/relationships/hyperlink" Target="mailto:Mypass@2024" TargetMode="External"/><Relationship Id="rId99" Type="http://schemas.openxmlformats.org/officeDocument/2006/relationships/hyperlink" Target="mailto:Mypass@2024" TargetMode="External"/><Relationship Id="rId101" Type="http://schemas.openxmlformats.org/officeDocument/2006/relationships/hyperlink" Target="mailto:Mypass@2024" TargetMode="External"/><Relationship Id="rId122" Type="http://schemas.openxmlformats.org/officeDocument/2006/relationships/hyperlink" Target="mailto:Mypass@2024" TargetMode="External"/><Relationship Id="rId143" Type="http://schemas.openxmlformats.org/officeDocument/2006/relationships/hyperlink" Target="mailto:Mypass@2025" TargetMode="External"/><Relationship Id="rId148" Type="http://schemas.openxmlformats.org/officeDocument/2006/relationships/hyperlink" Target="mailto:Mypass@2024" TargetMode="External"/><Relationship Id="rId164" Type="http://schemas.openxmlformats.org/officeDocument/2006/relationships/hyperlink" Target="mailto:Mypass@2025" TargetMode="External"/><Relationship Id="rId169" Type="http://schemas.openxmlformats.org/officeDocument/2006/relationships/hyperlink" Target="mailto:Mypass@2025" TargetMode="External"/><Relationship Id="rId185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Sattar@2024#" TargetMode="External"/><Relationship Id="rId21" Type="http://schemas.openxmlformats.org/officeDocument/2006/relationships/hyperlink" Target="mailto:Nikhil@1991" TargetMode="External"/><Relationship Id="rId42" Type="http://schemas.openxmlformats.org/officeDocument/2006/relationships/hyperlink" Target="mailto:Jy@ti1980" TargetMode="External"/><Relationship Id="rId63" Type="http://schemas.openxmlformats.org/officeDocument/2006/relationships/hyperlink" Target="mailto:Mummy@2023" TargetMode="External"/><Relationship Id="rId84" Type="http://schemas.openxmlformats.org/officeDocument/2006/relationships/hyperlink" Target="mailto:Vijay@1956" TargetMode="External"/><Relationship Id="rId138" Type="http://schemas.openxmlformats.org/officeDocument/2006/relationships/hyperlink" Target="mailto:Dhar@1979" TargetMode="External"/><Relationship Id="rId159" Type="http://schemas.openxmlformats.org/officeDocument/2006/relationships/hyperlink" Target="mailto:Vendu@4555#" TargetMode="External"/><Relationship Id="rId170" Type="http://schemas.openxmlformats.org/officeDocument/2006/relationships/hyperlink" Target="mailto:Manish@2022" TargetMode="External"/><Relationship Id="rId191" Type="http://schemas.openxmlformats.org/officeDocument/2006/relationships/hyperlink" Target="mailto:Manoj@2024#" TargetMode="External"/><Relationship Id="rId205" Type="http://schemas.openxmlformats.org/officeDocument/2006/relationships/hyperlink" Target="mailto:Nayak@2025#" TargetMode="External"/><Relationship Id="rId107" Type="http://schemas.openxmlformats.org/officeDocument/2006/relationships/hyperlink" Target="mailto:ajvpd8911f@" TargetMode="External"/><Relationship Id="rId11" Type="http://schemas.openxmlformats.org/officeDocument/2006/relationships/hyperlink" Target="mailto:Sinha@2022" TargetMode="External"/><Relationship Id="rId32" Type="http://schemas.openxmlformats.org/officeDocument/2006/relationships/hyperlink" Target="mailto:Binod@1991" TargetMode="External"/><Relationship Id="rId53" Type="http://schemas.openxmlformats.org/officeDocument/2006/relationships/hyperlink" Target="mailto:Islam@2023" TargetMode="External"/><Relationship Id="rId74" Type="http://schemas.openxmlformats.org/officeDocument/2006/relationships/hyperlink" Target="mailto:PAN@A" TargetMode="External"/><Relationship Id="rId128" Type="http://schemas.openxmlformats.org/officeDocument/2006/relationships/hyperlink" Target="mailto:Ghosh@2024" TargetMode="External"/><Relationship Id="rId149" Type="http://schemas.openxmlformats.org/officeDocument/2006/relationships/hyperlink" Target="mailto:Parida@2022" TargetMode="External"/><Relationship Id="rId5" Type="http://schemas.openxmlformats.org/officeDocument/2006/relationships/hyperlink" Target="mailto:Singh@2022" TargetMode="External"/><Relationship Id="rId95" Type="http://schemas.openxmlformats.org/officeDocument/2006/relationships/hyperlink" Target="mailto:Tiwary@1964" TargetMode="External"/><Relationship Id="rId160" Type="http://schemas.openxmlformats.org/officeDocument/2006/relationships/hyperlink" Target="mailto:Ajit@2024$$" TargetMode="External"/><Relationship Id="rId181" Type="http://schemas.openxmlformats.org/officeDocument/2006/relationships/hyperlink" Target="mailto:Arup@123" TargetMode="External"/><Relationship Id="rId216" Type="http://schemas.openxmlformats.org/officeDocument/2006/relationships/hyperlink" Target="mailto:Chhaya@2003" TargetMode="External"/><Relationship Id="rId211" Type="http://schemas.openxmlformats.org/officeDocument/2006/relationships/hyperlink" Target="mailto:Namanjha10@" TargetMode="External"/><Relationship Id="rId22" Type="http://schemas.openxmlformats.org/officeDocument/2006/relationships/hyperlink" Target="mailto:S@m#2023" TargetMode="External"/><Relationship Id="rId27" Type="http://schemas.openxmlformats.org/officeDocument/2006/relationships/hyperlink" Target="mailto:Prasad@1963" TargetMode="External"/><Relationship Id="rId43" Type="http://schemas.openxmlformats.org/officeDocument/2006/relationships/hyperlink" Target="mailto:Man@j1983" TargetMode="External"/><Relationship Id="rId48" Type="http://schemas.openxmlformats.org/officeDocument/2006/relationships/hyperlink" Target="mailto:ojhar8675@gmail.com" TargetMode="External"/><Relationship Id="rId64" Type="http://schemas.openxmlformats.org/officeDocument/2006/relationships/hyperlink" Target="mailto:ajvpd8911f@" TargetMode="External"/><Relationship Id="rId69" Type="http://schemas.openxmlformats.org/officeDocument/2006/relationships/hyperlink" Target="mailto:Cummins@1234" TargetMode="External"/><Relationship Id="rId113" Type="http://schemas.openxmlformats.org/officeDocument/2006/relationships/hyperlink" Target="mailto:Bera@2024#" TargetMode="External"/><Relationship Id="rId118" Type="http://schemas.openxmlformats.org/officeDocument/2006/relationships/hyperlink" Target="mailto:Kala@2002#" TargetMode="External"/><Relationship Id="rId134" Type="http://schemas.openxmlformats.org/officeDocument/2006/relationships/hyperlink" Target="mailto:Raman@2024#" TargetMode="External"/><Relationship Id="rId139" Type="http://schemas.openxmlformats.org/officeDocument/2006/relationships/hyperlink" Target="mailto:Kumar@1970#" TargetMode="External"/><Relationship Id="rId80" Type="http://schemas.openxmlformats.org/officeDocument/2006/relationships/hyperlink" Target="mailto:Tar@1657" TargetMode="External"/><Relationship Id="rId85" Type="http://schemas.openxmlformats.org/officeDocument/2006/relationships/hyperlink" Target="mailto:Sunita@2023" TargetMode="External"/><Relationship Id="rId150" Type="http://schemas.openxmlformats.org/officeDocument/2006/relationships/hyperlink" Target="mailto:Arati@1968" TargetMode="External"/><Relationship Id="rId155" Type="http://schemas.openxmlformats.org/officeDocument/2006/relationships/hyperlink" Target="mailto:Singh@2024$$" TargetMode="External"/><Relationship Id="rId171" Type="http://schemas.openxmlformats.org/officeDocument/2006/relationships/hyperlink" Target="mailto:Manish@2022" TargetMode="External"/><Relationship Id="rId176" Type="http://schemas.openxmlformats.org/officeDocument/2006/relationships/hyperlink" Target="mailto:Kumar@2024##" TargetMode="External"/><Relationship Id="rId192" Type="http://schemas.openxmlformats.org/officeDocument/2006/relationships/hyperlink" Target="mailto:Dutta@2023" TargetMode="External"/><Relationship Id="rId197" Type="http://schemas.openxmlformats.org/officeDocument/2006/relationships/hyperlink" Target="mailto:Sohrab@2025_" TargetMode="External"/><Relationship Id="rId206" Type="http://schemas.openxmlformats.org/officeDocument/2006/relationships/hyperlink" Target="mailto:Aslam@1205" TargetMode="External"/><Relationship Id="rId201" Type="http://schemas.openxmlformats.org/officeDocument/2006/relationships/hyperlink" Target="mailto:S@m#2023" TargetMode="External"/><Relationship Id="rId222" Type="http://schemas.openxmlformats.org/officeDocument/2006/relationships/hyperlink" Target="mailto:Gorai@2025#" TargetMode="External"/><Relationship Id="rId12" Type="http://schemas.openxmlformats.org/officeDocument/2006/relationships/hyperlink" Target="mailto:Sh@rma2022" TargetMode="External"/><Relationship Id="rId17" Type="http://schemas.openxmlformats.org/officeDocument/2006/relationships/hyperlink" Target="mailto:Kum@r2022" TargetMode="External"/><Relationship Id="rId33" Type="http://schemas.openxmlformats.org/officeDocument/2006/relationships/hyperlink" Target="mailto:Bihari@2022" TargetMode="External"/><Relationship Id="rId38" Type="http://schemas.openxmlformats.org/officeDocument/2006/relationships/hyperlink" Target="mailto:Raj@2014" TargetMode="External"/><Relationship Id="rId59" Type="http://schemas.openxmlformats.org/officeDocument/2006/relationships/hyperlink" Target="mailto:Ankit@02051999" TargetMode="External"/><Relationship Id="rId103" Type="http://schemas.openxmlformats.org/officeDocument/2006/relationships/hyperlink" Target="mailto:Bhushan@2024" TargetMode="External"/><Relationship Id="rId108" Type="http://schemas.openxmlformats.org/officeDocument/2006/relationships/hyperlink" Target="mailto:Lakra@1968" TargetMode="External"/><Relationship Id="rId124" Type="http://schemas.openxmlformats.org/officeDocument/2006/relationships/hyperlink" Target="mailto:Singh@1956" TargetMode="External"/><Relationship Id="rId129" Type="http://schemas.openxmlformats.org/officeDocument/2006/relationships/hyperlink" Target="mailto:Hussain@2024#" TargetMode="External"/><Relationship Id="rId54" Type="http://schemas.openxmlformats.org/officeDocument/2006/relationships/hyperlink" Target="mailto:LAL@2023" TargetMode="External"/><Relationship Id="rId70" Type="http://schemas.openxmlformats.org/officeDocument/2006/relationships/hyperlink" Target="mailto:Aslam@1205" TargetMode="External"/><Relationship Id="rId75" Type="http://schemas.openxmlformats.org/officeDocument/2006/relationships/hyperlink" Target="mailto:Manjit@1978" TargetMode="External"/><Relationship Id="rId91" Type="http://schemas.openxmlformats.org/officeDocument/2006/relationships/hyperlink" Target="mailto:Begum@1992@" TargetMode="External"/><Relationship Id="rId96" Type="http://schemas.openxmlformats.org/officeDocument/2006/relationships/hyperlink" Target="mailto:Man@j1983" TargetMode="External"/><Relationship Id="rId140" Type="http://schemas.openxmlformats.org/officeDocument/2006/relationships/hyperlink" Target="mailto:Biswas@2024#" TargetMode="External"/><Relationship Id="rId145" Type="http://schemas.openxmlformats.org/officeDocument/2006/relationships/hyperlink" Target="mailto:Gautam@2024#" TargetMode="External"/><Relationship Id="rId161" Type="http://schemas.openxmlformats.org/officeDocument/2006/relationships/hyperlink" Target="mailto:Ajit@2023" TargetMode="External"/><Relationship Id="rId166" Type="http://schemas.openxmlformats.org/officeDocument/2006/relationships/hyperlink" Target="mailto:Mishra@1973#" TargetMode="External"/><Relationship Id="rId182" Type="http://schemas.openxmlformats.org/officeDocument/2006/relationships/hyperlink" Target="mailto:Jagdish@1958" TargetMode="External"/><Relationship Id="rId187" Type="http://schemas.openxmlformats.org/officeDocument/2006/relationships/hyperlink" Target="mailto:India@1234#" TargetMode="External"/><Relationship Id="rId217" Type="http://schemas.openxmlformats.org/officeDocument/2006/relationships/hyperlink" Target="mailto:Munda@01" TargetMode="External"/><Relationship Id="rId1" Type="http://schemas.openxmlformats.org/officeDocument/2006/relationships/hyperlink" Target="mailto:Kumar@1979" TargetMode="External"/><Relationship Id="rId6" Type="http://schemas.openxmlformats.org/officeDocument/2006/relationships/hyperlink" Target="mailto:Naesh@2022" TargetMode="External"/><Relationship Id="rId212" Type="http://schemas.openxmlformats.org/officeDocument/2006/relationships/hyperlink" Target="mailto:Islam@2025#" TargetMode="External"/><Relationship Id="rId23" Type="http://schemas.openxmlformats.org/officeDocument/2006/relationships/hyperlink" Target="mailto:Singh@2022" TargetMode="External"/><Relationship Id="rId28" Type="http://schemas.openxmlformats.org/officeDocument/2006/relationships/hyperlink" Target="mailto:Tesh@1944" TargetMode="External"/><Relationship Id="rId49" Type="http://schemas.openxmlformats.org/officeDocument/2006/relationships/hyperlink" Target="mailto:Dinesh@1974" TargetMode="External"/><Relationship Id="rId114" Type="http://schemas.openxmlformats.org/officeDocument/2006/relationships/hyperlink" Target="mailto:Navin@2024jha" TargetMode="External"/><Relationship Id="rId119" Type="http://schemas.openxmlformats.org/officeDocument/2006/relationships/hyperlink" Target="mailto:mansI4455@" TargetMode="External"/><Relationship Id="rId44" Type="http://schemas.openxmlformats.org/officeDocument/2006/relationships/hyperlink" Target="mailto:Tiwary@2023" TargetMode="External"/><Relationship Id="rId60" Type="http://schemas.openxmlformats.org/officeDocument/2006/relationships/hyperlink" Target="mailto:nAvin1974@" TargetMode="External"/><Relationship Id="rId65" Type="http://schemas.openxmlformats.org/officeDocument/2006/relationships/hyperlink" Target="mailto:Kum@r1983" TargetMode="External"/><Relationship Id="rId81" Type="http://schemas.openxmlformats.org/officeDocument/2006/relationships/hyperlink" Target="mailto:Mumtaz@2023" TargetMode="External"/><Relationship Id="rId86" Type="http://schemas.openxmlformats.org/officeDocument/2006/relationships/hyperlink" Target="mailto:Dubey@2023" TargetMode="External"/><Relationship Id="rId130" Type="http://schemas.openxmlformats.org/officeDocument/2006/relationships/hyperlink" Target="mailto:S@m#2023" TargetMode="External"/><Relationship Id="rId135" Type="http://schemas.openxmlformats.org/officeDocument/2006/relationships/hyperlink" Target="mailto:Soni@1234" TargetMode="External"/><Relationship Id="rId151" Type="http://schemas.openxmlformats.org/officeDocument/2006/relationships/hyperlink" Target="mailto:Biswas@23##" TargetMode="External"/><Relationship Id="rId156" Type="http://schemas.openxmlformats.org/officeDocument/2006/relationships/hyperlink" Target="mailto:Prasad@1963" TargetMode="External"/><Relationship Id="rId177" Type="http://schemas.openxmlformats.org/officeDocument/2006/relationships/hyperlink" Target="mailto:Satish@2024##" TargetMode="External"/><Relationship Id="rId198" Type="http://schemas.openxmlformats.org/officeDocument/2006/relationships/hyperlink" Target="mailto:Mishra@2025" TargetMode="External"/><Relationship Id="rId172" Type="http://schemas.openxmlformats.org/officeDocument/2006/relationships/hyperlink" Target="mailto:Mamali@143" TargetMode="External"/><Relationship Id="rId193" Type="http://schemas.openxmlformats.org/officeDocument/2006/relationships/hyperlink" Target="mailto:Soma@0830" TargetMode="External"/><Relationship Id="rId202" Type="http://schemas.openxmlformats.org/officeDocument/2006/relationships/hyperlink" Target="mailto:Lakra@1968" TargetMode="External"/><Relationship Id="rId207" Type="http://schemas.openxmlformats.org/officeDocument/2006/relationships/hyperlink" Target="mailto:Sattar@2024#" TargetMode="External"/><Relationship Id="rId223" Type="http://schemas.openxmlformats.org/officeDocument/2006/relationships/printerSettings" Target="../printerSettings/printerSettings4.bin"/><Relationship Id="rId13" Type="http://schemas.openxmlformats.org/officeDocument/2006/relationships/hyperlink" Target="mailto:Manish@2022" TargetMode="External"/><Relationship Id="rId18" Type="http://schemas.openxmlformats.org/officeDocument/2006/relationships/hyperlink" Target="mailto:P@wan2022" TargetMode="External"/><Relationship Id="rId39" Type="http://schemas.openxmlformats.org/officeDocument/2006/relationships/hyperlink" Target="mailto:Barun@1971" TargetMode="External"/><Relationship Id="rId109" Type="http://schemas.openxmlformats.org/officeDocument/2006/relationships/hyperlink" Target="mailto:Kumar@2024#" TargetMode="External"/><Relationship Id="rId34" Type="http://schemas.openxmlformats.org/officeDocument/2006/relationships/hyperlink" Target="mailto:Mohammad@2022" TargetMode="External"/><Relationship Id="rId50" Type="http://schemas.openxmlformats.org/officeDocument/2006/relationships/hyperlink" Target="mailto:Kumar@2023" TargetMode="External"/><Relationship Id="rId55" Type="http://schemas.openxmlformats.org/officeDocument/2006/relationships/hyperlink" Target="mailto:Singh@2023" TargetMode="External"/><Relationship Id="rId76" Type="http://schemas.openxmlformats.org/officeDocument/2006/relationships/hyperlink" Target="mailto:Jeet@1975" TargetMode="External"/><Relationship Id="rId97" Type="http://schemas.openxmlformats.org/officeDocument/2006/relationships/hyperlink" Target="mailto:Ratha@2022" TargetMode="External"/><Relationship Id="rId104" Type="http://schemas.openxmlformats.org/officeDocument/2006/relationships/hyperlink" Target="mailto:Dutta@2023" TargetMode="External"/><Relationship Id="rId120" Type="http://schemas.openxmlformats.org/officeDocument/2006/relationships/hyperlink" Target="mailto:Raj@1995#" TargetMode="External"/><Relationship Id="rId125" Type="http://schemas.openxmlformats.org/officeDocument/2006/relationships/hyperlink" Target="mailto:Subal@2024#" TargetMode="External"/><Relationship Id="rId141" Type="http://schemas.openxmlformats.org/officeDocument/2006/relationships/hyperlink" Target="mailto:Verma@2024#" TargetMode="External"/><Relationship Id="rId146" Type="http://schemas.openxmlformats.org/officeDocument/2006/relationships/hyperlink" Target="mailto:Manz@r1969" TargetMode="External"/><Relationship Id="rId167" Type="http://schemas.openxmlformats.org/officeDocument/2006/relationships/hyperlink" Target="mailto:Singh@1975" TargetMode="External"/><Relationship Id="rId188" Type="http://schemas.openxmlformats.org/officeDocument/2006/relationships/hyperlink" Target="mailto:Kumar@2024" TargetMode="External"/><Relationship Id="rId7" Type="http://schemas.openxmlformats.org/officeDocument/2006/relationships/hyperlink" Target="mailto:n@TH1962" TargetMode="External"/><Relationship Id="rId71" Type="http://schemas.openxmlformats.org/officeDocument/2006/relationships/hyperlink" Target="mailto:Nerjee@23" TargetMode="External"/><Relationship Id="rId92" Type="http://schemas.openxmlformats.org/officeDocument/2006/relationships/hyperlink" Target="mailto:Devi@2024#" TargetMode="External"/><Relationship Id="rId162" Type="http://schemas.openxmlformats.org/officeDocument/2006/relationships/hyperlink" Target="mailto:Tar@1657" TargetMode="External"/><Relationship Id="rId183" Type="http://schemas.openxmlformats.org/officeDocument/2006/relationships/hyperlink" Target="mailto:Dab@1968" TargetMode="External"/><Relationship Id="rId213" Type="http://schemas.openxmlformats.org/officeDocument/2006/relationships/hyperlink" Target="mailto:Sanjay@1973" TargetMode="External"/><Relationship Id="rId218" Type="http://schemas.openxmlformats.org/officeDocument/2006/relationships/hyperlink" Target="mailto:Nupur@02" TargetMode="External"/><Relationship Id="rId2" Type="http://schemas.openxmlformats.org/officeDocument/2006/relationships/hyperlink" Target="mailto:Singh@1972" TargetMode="External"/><Relationship Id="rId29" Type="http://schemas.openxmlformats.org/officeDocument/2006/relationships/hyperlink" Target="mailto:Parida@2022" TargetMode="External"/><Relationship Id="rId24" Type="http://schemas.openxmlformats.org/officeDocument/2006/relationships/hyperlink" Target="mailto:Lakra@1968" TargetMode="External"/><Relationship Id="rId40" Type="http://schemas.openxmlformats.org/officeDocument/2006/relationships/hyperlink" Target="mailto:Tanti@1974$" TargetMode="External"/><Relationship Id="rId45" Type="http://schemas.openxmlformats.org/officeDocument/2006/relationships/hyperlink" Target="mailto:Singh@23" TargetMode="External"/><Relationship Id="rId66" Type="http://schemas.openxmlformats.org/officeDocument/2006/relationships/hyperlink" Target="mailto:Nath@2023" TargetMode="External"/><Relationship Id="rId87" Type="http://schemas.openxmlformats.org/officeDocument/2006/relationships/hyperlink" Target="mailto:Singh@1975" TargetMode="External"/><Relationship Id="rId110" Type="http://schemas.openxmlformats.org/officeDocument/2006/relationships/hyperlink" Target="mailto:Chiku@23032016" TargetMode="External"/><Relationship Id="rId115" Type="http://schemas.openxmlformats.org/officeDocument/2006/relationships/hyperlink" Target="mailto:Solanki@2024#" TargetMode="External"/><Relationship Id="rId131" Type="http://schemas.openxmlformats.org/officeDocument/2006/relationships/hyperlink" Target="mailto:Pieu@1987" TargetMode="External"/><Relationship Id="rId136" Type="http://schemas.openxmlformats.org/officeDocument/2006/relationships/hyperlink" Target="mailto:Barun@1971" TargetMode="External"/><Relationship Id="rId157" Type="http://schemas.openxmlformats.org/officeDocument/2006/relationships/hyperlink" Target="mailto:Mypass@2022" TargetMode="External"/><Relationship Id="rId178" Type="http://schemas.openxmlformats.org/officeDocument/2006/relationships/hyperlink" Target="mailto:Samal@2024##" TargetMode="External"/><Relationship Id="rId61" Type="http://schemas.openxmlformats.org/officeDocument/2006/relationships/hyperlink" Target="mailto:Singh@1956" TargetMode="External"/><Relationship Id="rId82" Type="http://schemas.openxmlformats.org/officeDocument/2006/relationships/hyperlink" Target="mailto:Sinha@841D" TargetMode="External"/><Relationship Id="rId152" Type="http://schemas.openxmlformats.org/officeDocument/2006/relationships/hyperlink" Target="mailto:Aslam@1205" TargetMode="External"/><Relationship Id="rId173" Type="http://schemas.openxmlformats.org/officeDocument/2006/relationships/hyperlink" Target="mailto:Das@2024##" TargetMode="External"/><Relationship Id="rId194" Type="http://schemas.openxmlformats.org/officeDocument/2006/relationships/hyperlink" Target="mailto:Mukhi@2024" TargetMode="External"/><Relationship Id="rId199" Type="http://schemas.openxmlformats.org/officeDocument/2006/relationships/hyperlink" Target="mailto:kUMAR@2024#" TargetMode="External"/><Relationship Id="rId203" Type="http://schemas.openxmlformats.org/officeDocument/2006/relationships/hyperlink" Target="mailto:Solanki@2024#" TargetMode="External"/><Relationship Id="rId208" Type="http://schemas.openxmlformats.org/officeDocument/2006/relationships/hyperlink" Target="mailto:Prakash@2025#" TargetMode="External"/><Relationship Id="rId19" Type="http://schemas.openxmlformats.org/officeDocument/2006/relationships/hyperlink" Target="mailto:Singh@1956" TargetMode="External"/><Relationship Id="rId14" Type="http://schemas.openxmlformats.org/officeDocument/2006/relationships/hyperlink" Target="mailto:Tamojit@23" TargetMode="External"/><Relationship Id="rId30" Type="http://schemas.openxmlformats.org/officeDocument/2006/relationships/hyperlink" Target="mailto:Arati@1968" TargetMode="External"/><Relationship Id="rId35" Type="http://schemas.openxmlformats.org/officeDocument/2006/relationships/hyperlink" Target="mailto:Mishra@2024" TargetMode="External"/><Relationship Id="rId56" Type="http://schemas.openxmlformats.org/officeDocument/2006/relationships/hyperlink" Target="mailto:Eric@2023" TargetMode="External"/><Relationship Id="rId77" Type="http://schemas.openxmlformats.org/officeDocument/2006/relationships/hyperlink" Target="mailto:Neha2000@" TargetMode="External"/><Relationship Id="rId100" Type="http://schemas.openxmlformats.org/officeDocument/2006/relationships/hyperlink" Target="mailto:Kamat@1944" TargetMode="External"/><Relationship Id="rId105" Type="http://schemas.openxmlformats.org/officeDocument/2006/relationships/hyperlink" Target="mailto:K@jal8665" TargetMode="External"/><Relationship Id="rId126" Type="http://schemas.openxmlformats.org/officeDocument/2006/relationships/hyperlink" Target="mailto:Eric@2023" TargetMode="External"/><Relationship Id="rId147" Type="http://schemas.openxmlformats.org/officeDocument/2006/relationships/hyperlink" Target="mailto:Wasim@2024#" TargetMode="External"/><Relationship Id="rId168" Type="http://schemas.openxmlformats.org/officeDocument/2006/relationships/hyperlink" Target="mailto:Singh@2024#" TargetMode="External"/><Relationship Id="rId8" Type="http://schemas.openxmlformats.org/officeDocument/2006/relationships/hyperlink" Target="mailto:Soni@1234" TargetMode="External"/><Relationship Id="rId51" Type="http://schemas.openxmlformats.org/officeDocument/2006/relationships/hyperlink" Target="mailto:Ajit@2" TargetMode="External"/><Relationship Id="rId72" Type="http://schemas.openxmlformats.org/officeDocument/2006/relationships/hyperlink" Target="mailto:Biswas@23" TargetMode="External"/><Relationship Id="rId93" Type="http://schemas.openxmlformats.org/officeDocument/2006/relationships/hyperlink" Target="mailto:Binod@0900" TargetMode="External"/><Relationship Id="rId98" Type="http://schemas.openxmlformats.org/officeDocument/2006/relationships/hyperlink" Target="mailto:Kumar@2024" TargetMode="External"/><Relationship Id="rId121" Type="http://schemas.openxmlformats.org/officeDocument/2006/relationships/hyperlink" Target="mailto:Islam@2023" TargetMode="External"/><Relationship Id="rId142" Type="http://schemas.openxmlformats.org/officeDocument/2006/relationships/hyperlink" Target="mailto:Namanjha10@" TargetMode="External"/><Relationship Id="rId163" Type="http://schemas.openxmlformats.org/officeDocument/2006/relationships/hyperlink" Target="mailto:Pandey@2024#" TargetMode="External"/><Relationship Id="rId184" Type="http://schemas.openxmlformats.org/officeDocument/2006/relationships/hyperlink" Target="mailto:Mukhi@2024" TargetMode="External"/><Relationship Id="rId189" Type="http://schemas.openxmlformats.org/officeDocument/2006/relationships/hyperlink" Target="mailto:Sarkar@1974" TargetMode="External"/><Relationship Id="rId219" Type="http://schemas.openxmlformats.org/officeDocument/2006/relationships/hyperlink" Target="mailto:Bh@kat2022" TargetMode="External"/><Relationship Id="rId3" Type="http://schemas.openxmlformats.org/officeDocument/2006/relationships/hyperlink" Target="mailto:Tiwary@1964" TargetMode="External"/><Relationship Id="rId214" Type="http://schemas.openxmlformats.org/officeDocument/2006/relationships/hyperlink" Target="mailto:Singh@1962#" TargetMode="External"/><Relationship Id="rId25" Type="http://schemas.openxmlformats.org/officeDocument/2006/relationships/hyperlink" Target="mailto:Manz@r1969" TargetMode="External"/><Relationship Id="rId46" Type="http://schemas.openxmlformats.org/officeDocument/2006/relationships/hyperlink" Target="mailto:Somnath@23" TargetMode="External"/><Relationship Id="rId67" Type="http://schemas.openxmlformats.org/officeDocument/2006/relationships/hyperlink" Target="mailto:Dubey@2023" TargetMode="External"/><Relationship Id="rId116" Type="http://schemas.openxmlformats.org/officeDocument/2006/relationships/hyperlink" Target="mailto:Singh@1962#" TargetMode="External"/><Relationship Id="rId137" Type="http://schemas.openxmlformats.org/officeDocument/2006/relationships/hyperlink" Target="mailto:Dennis@1995" TargetMode="External"/><Relationship Id="rId158" Type="http://schemas.openxmlformats.org/officeDocument/2006/relationships/hyperlink" Target="mailto:n@TH1962" TargetMode="External"/><Relationship Id="rId20" Type="http://schemas.openxmlformats.org/officeDocument/2006/relationships/hyperlink" Target="mailto:Mypass@2022" TargetMode="External"/><Relationship Id="rId41" Type="http://schemas.openxmlformats.org/officeDocument/2006/relationships/hyperlink" Target="mailto:Sanjev@1975" TargetMode="External"/><Relationship Id="rId62" Type="http://schemas.openxmlformats.org/officeDocument/2006/relationships/hyperlink" Target="mailto:mansI4455@" TargetMode="External"/><Relationship Id="rId83" Type="http://schemas.openxmlformats.org/officeDocument/2006/relationships/hyperlink" Target="mailto:Sah@23Sah" TargetMode="External"/><Relationship Id="rId88" Type="http://schemas.openxmlformats.org/officeDocument/2006/relationships/hyperlink" Target="mailto:mAHATO@0303" TargetMode="External"/><Relationship Id="rId111" Type="http://schemas.openxmlformats.org/officeDocument/2006/relationships/hyperlink" Target="mailto:Khan@2024#" TargetMode="External"/><Relationship Id="rId132" Type="http://schemas.openxmlformats.org/officeDocument/2006/relationships/hyperlink" Target="mailto:Shyam@2024#" TargetMode="External"/><Relationship Id="rId153" Type="http://schemas.openxmlformats.org/officeDocument/2006/relationships/hyperlink" Target="mailto:Kant@2024$$" TargetMode="External"/><Relationship Id="rId174" Type="http://schemas.openxmlformats.org/officeDocument/2006/relationships/hyperlink" Target="mailto:Lalit@2024##" TargetMode="External"/><Relationship Id="rId179" Type="http://schemas.openxmlformats.org/officeDocument/2006/relationships/hyperlink" Target="mailto:Sahu@2024##" TargetMode="External"/><Relationship Id="rId195" Type="http://schemas.openxmlformats.org/officeDocument/2006/relationships/hyperlink" Target="mailto:sHIVA@2025" TargetMode="External"/><Relationship Id="rId209" Type="http://schemas.openxmlformats.org/officeDocument/2006/relationships/hyperlink" Target="mailto:Verma@2024#" TargetMode="External"/><Relationship Id="rId190" Type="http://schemas.openxmlformats.org/officeDocument/2006/relationships/hyperlink" Target="mailto:Jagdish1958@" TargetMode="External"/><Relationship Id="rId204" Type="http://schemas.openxmlformats.org/officeDocument/2006/relationships/hyperlink" Target="mailto:Singh@2024$$" TargetMode="External"/><Relationship Id="rId220" Type="http://schemas.openxmlformats.org/officeDocument/2006/relationships/hyperlink" Target="mailto:JaiBheem@123" TargetMode="External"/><Relationship Id="rId15" Type="http://schemas.openxmlformats.org/officeDocument/2006/relationships/hyperlink" Target="mailto:Mypass@2022" TargetMode="External"/><Relationship Id="rId36" Type="http://schemas.openxmlformats.org/officeDocument/2006/relationships/hyperlink" Target="mailto:Mohini@2022" TargetMode="External"/><Relationship Id="rId57" Type="http://schemas.openxmlformats.org/officeDocument/2006/relationships/hyperlink" Target="mailto:aLAM@2023" TargetMode="External"/><Relationship Id="rId106" Type="http://schemas.openxmlformats.org/officeDocument/2006/relationships/hyperlink" Target="mailto:Dutta@2024" TargetMode="External"/><Relationship Id="rId127" Type="http://schemas.openxmlformats.org/officeDocument/2006/relationships/hyperlink" Target="mailto:kUMAR@2024#" TargetMode="External"/><Relationship Id="rId10" Type="http://schemas.openxmlformats.org/officeDocument/2006/relationships/hyperlink" Target="mailto:Mustafa@1971" TargetMode="External"/><Relationship Id="rId31" Type="http://schemas.openxmlformats.org/officeDocument/2006/relationships/hyperlink" Target="mailto:Pieu@1987" TargetMode="External"/><Relationship Id="rId52" Type="http://schemas.openxmlformats.org/officeDocument/2006/relationships/hyperlink" Target="mailto:Ajit@2" TargetMode="External"/><Relationship Id="rId73" Type="http://schemas.openxmlformats.org/officeDocument/2006/relationships/hyperlink" Target="mailto:vinAy91533@" TargetMode="External"/><Relationship Id="rId78" Type="http://schemas.openxmlformats.org/officeDocument/2006/relationships/hyperlink" Target="mailto:Singh@1967" TargetMode="External"/><Relationship Id="rId94" Type="http://schemas.openxmlformats.org/officeDocument/2006/relationships/hyperlink" Target="mailto:Mala@1990" TargetMode="External"/><Relationship Id="rId99" Type="http://schemas.openxmlformats.org/officeDocument/2006/relationships/hyperlink" Target="mailto:Sanjay@1973" TargetMode="External"/><Relationship Id="rId101" Type="http://schemas.openxmlformats.org/officeDocument/2006/relationships/hyperlink" Target="mailto:Kakoli@1960" TargetMode="External"/><Relationship Id="rId122" Type="http://schemas.openxmlformats.org/officeDocument/2006/relationships/hyperlink" Target="mailto:Nerjee@23" TargetMode="External"/><Relationship Id="rId143" Type="http://schemas.openxmlformats.org/officeDocument/2006/relationships/hyperlink" Target="mailto:Singh@" TargetMode="External"/><Relationship Id="rId148" Type="http://schemas.openxmlformats.org/officeDocument/2006/relationships/hyperlink" Target="mailto:Prasad@2024#" TargetMode="External"/><Relationship Id="rId164" Type="http://schemas.openxmlformats.org/officeDocument/2006/relationships/hyperlink" Target="mailto:Nivas@2024#" TargetMode="External"/><Relationship Id="rId169" Type="http://schemas.openxmlformats.org/officeDocument/2006/relationships/hyperlink" Target="mailto:Kumari@2024##" TargetMode="External"/><Relationship Id="rId185" Type="http://schemas.openxmlformats.org/officeDocument/2006/relationships/hyperlink" Target="mailto:Sardar@2024" TargetMode="External"/><Relationship Id="rId4" Type="http://schemas.openxmlformats.org/officeDocument/2006/relationships/hyperlink" Target="mailto:Ratha@2022" TargetMode="External"/><Relationship Id="rId9" Type="http://schemas.openxmlformats.org/officeDocument/2006/relationships/hyperlink" Target="mailto:Kum@41968" TargetMode="External"/><Relationship Id="rId180" Type="http://schemas.openxmlformats.org/officeDocument/2006/relationships/hyperlink" Target="mailto:Singh@2024##" TargetMode="External"/><Relationship Id="rId210" Type="http://schemas.openxmlformats.org/officeDocument/2006/relationships/hyperlink" Target="mailto:Lakshya@3001" TargetMode="External"/><Relationship Id="rId215" Type="http://schemas.openxmlformats.org/officeDocument/2006/relationships/hyperlink" Target="mailto:Singh@1972@" TargetMode="External"/><Relationship Id="rId26" Type="http://schemas.openxmlformats.org/officeDocument/2006/relationships/hyperlink" Target="mailto:Kantesh@82" TargetMode="External"/><Relationship Id="rId47" Type="http://schemas.openxmlformats.org/officeDocument/2006/relationships/hyperlink" Target="mailto:Ojha@1975" TargetMode="External"/><Relationship Id="rId68" Type="http://schemas.openxmlformats.org/officeDocument/2006/relationships/hyperlink" Target="mailto:Haque@0103" TargetMode="External"/><Relationship Id="rId89" Type="http://schemas.openxmlformats.org/officeDocument/2006/relationships/hyperlink" Target="mailto:Sundi@1234" TargetMode="External"/><Relationship Id="rId112" Type="http://schemas.openxmlformats.org/officeDocument/2006/relationships/hyperlink" Target="mailto:Manoj@2024#" TargetMode="External"/><Relationship Id="rId133" Type="http://schemas.openxmlformats.org/officeDocument/2006/relationships/hyperlink" Target="mailto:Anna@8892" TargetMode="External"/><Relationship Id="rId154" Type="http://schemas.openxmlformats.org/officeDocument/2006/relationships/hyperlink" Target="mailto:Singh@2024$$" TargetMode="External"/><Relationship Id="rId175" Type="http://schemas.openxmlformats.org/officeDocument/2006/relationships/hyperlink" Target="mailto:Singh@2023" TargetMode="External"/><Relationship Id="rId196" Type="http://schemas.openxmlformats.org/officeDocument/2006/relationships/hyperlink" Target="mailto:Vijay@1956" TargetMode="External"/><Relationship Id="rId200" Type="http://schemas.openxmlformats.org/officeDocument/2006/relationships/hyperlink" Target="mailto:Dhar@1979" TargetMode="External"/><Relationship Id="rId16" Type="http://schemas.openxmlformats.org/officeDocument/2006/relationships/hyperlink" Target="mailto:Bh@kat2022" TargetMode="External"/><Relationship Id="rId221" Type="http://schemas.openxmlformats.org/officeDocument/2006/relationships/hyperlink" Target="mailto:Sarkar@2025#" TargetMode="External"/><Relationship Id="rId37" Type="http://schemas.openxmlformats.org/officeDocument/2006/relationships/hyperlink" Target="mailto:Munda@1976" TargetMode="External"/><Relationship Id="rId58" Type="http://schemas.openxmlformats.org/officeDocument/2006/relationships/hyperlink" Target="mailto:Dhar@1979" TargetMode="External"/><Relationship Id="rId79" Type="http://schemas.openxmlformats.org/officeDocument/2006/relationships/hyperlink" Target="mailto:Shriya@092" TargetMode="External"/><Relationship Id="rId102" Type="http://schemas.openxmlformats.org/officeDocument/2006/relationships/hyperlink" Target="mailto:Babu@062024" TargetMode="External"/><Relationship Id="rId123" Type="http://schemas.openxmlformats.org/officeDocument/2006/relationships/hyperlink" Target="mailto:Acharjee@2024" TargetMode="External"/><Relationship Id="rId144" Type="http://schemas.openxmlformats.org/officeDocument/2006/relationships/hyperlink" Target="mailto:Bh@kat2022" TargetMode="External"/><Relationship Id="rId90" Type="http://schemas.openxmlformats.org/officeDocument/2006/relationships/hyperlink" Target="mailto:Dutta@2023" TargetMode="External"/><Relationship Id="rId165" Type="http://schemas.openxmlformats.org/officeDocument/2006/relationships/hyperlink" Target="mailto:Feha@~6574" TargetMode="External"/><Relationship Id="rId186" Type="http://schemas.openxmlformats.org/officeDocument/2006/relationships/hyperlink" Target="mailto:Biswas@2024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arathi.parivahan.gov.in/sarathiservice/applViewStages.do" TargetMode="External"/><Relationship Id="rId3" Type="http://schemas.openxmlformats.org/officeDocument/2006/relationships/hyperlink" Target="mailto:sandeepnweb129@gmail.com" TargetMode="External"/><Relationship Id="rId7" Type="http://schemas.openxmlformats.org/officeDocument/2006/relationships/hyperlink" Target="mailto:swansinweb@" TargetMode="External"/><Relationship Id="rId12" Type="http://schemas.openxmlformats.org/officeDocument/2006/relationships/printerSettings" Target="../printerSettings/printerSettings5.bin"/><Relationship Id="rId2" Type="http://schemas.openxmlformats.org/officeDocument/2006/relationships/hyperlink" Target="https://sarathi.parivahan.gov.in/sarathiservicecov3/applViewStages.do?applNum=3352360720&amp;dateOfBirth=12-09-1979" TargetMode="External"/><Relationship Id="rId1" Type="http://schemas.openxmlformats.org/officeDocument/2006/relationships/hyperlink" Target="https://sarathi.parivahan.gov.in/sarathiservicecov28/applViewStages.do?applNum=1083441220&amp;dateOfBirth=10-01-1988" TargetMode="External"/><Relationship Id="rId6" Type="http://schemas.openxmlformats.org/officeDocument/2006/relationships/hyperlink" Target="https://sarathi.parivahan.gov.in/sarathiservicecov19/applViewStages.do?applNum=3352289120&amp;dateOfBirth=01-12-1994" TargetMode="External"/><Relationship Id="rId11" Type="http://schemas.openxmlformats.org/officeDocument/2006/relationships/hyperlink" Target="https://sarathi.parivahan.gov.in/sarathiservice/applViewStages.do" TargetMode="External"/><Relationship Id="rId5" Type="http://schemas.openxmlformats.org/officeDocument/2006/relationships/hyperlink" Target="https://sarathi.parivahan.gov.in/sarathiservicecov3/applViewStages.do?applNum=3352316220&amp;dateOfBirth=01-01-1975" TargetMode="External"/><Relationship Id="rId10" Type="http://schemas.openxmlformats.org/officeDocument/2006/relationships/hyperlink" Target="https://sarathi.parivahan.gov.in/sarathiservice/applViewStages.do" TargetMode="External"/><Relationship Id="rId4" Type="http://schemas.openxmlformats.org/officeDocument/2006/relationships/hyperlink" Target="mailto:gurdeetnweb@gmail.com" TargetMode="External"/><Relationship Id="rId9" Type="http://schemas.openxmlformats.org/officeDocument/2006/relationships/hyperlink" Target="https://sarathi.parivahan.gov.in/sarathiservice/applViewStages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>
      <selection activeCell="U12" sqref="U12"/>
    </sheetView>
  </sheetViews>
  <sheetFormatPr defaultColWidth="14.42578125" defaultRowHeight="15" customHeight="1" x14ac:dyDescent="0.25"/>
  <cols>
    <col min="1" max="5" width="8.7109375" customWidth="1"/>
    <col min="6" max="6" width="1.85546875" customWidth="1"/>
    <col min="7" max="7" width="7.5703125" customWidth="1"/>
    <col min="8" max="8" width="7.28515625" customWidth="1"/>
    <col min="9" max="9" width="7.7109375" customWidth="1"/>
    <col min="10" max="10" width="2.28515625" customWidth="1"/>
    <col min="11" max="11" width="11.85546875" customWidth="1"/>
    <col min="12" max="12" width="12.140625" customWidth="1"/>
    <col min="13" max="13" width="10.85546875" customWidth="1"/>
    <col min="14" max="14" width="10.28515625" customWidth="1"/>
    <col min="15" max="15" width="6.42578125" customWidth="1"/>
    <col min="16" max="16" width="5.7109375" customWidth="1"/>
    <col min="17" max="17" width="10.85546875" customWidth="1"/>
    <col min="18" max="19" width="8.7109375" customWidth="1"/>
    <col min="20" max="20" width="11.42578125" customWidth="1"/>
    <col min="21" max="26" width="8.7109375" customWidth="1"/>
  </cols>
  <sheetData>
    <row r="1" spans="1:23" ht="14.25" customHeight="1" x14ac:dyDescent="0.25">
      <c r="F1" s="6"/>
      <c r="J1" s="6"/>
    </row>
    <row r="2" spans="1:23" ht="14.25" customHeight="1" x14ac:dyDescent="0.25">
      <c r="B2" s="3">
        <v>865</v>
      </c>
      <c r="C2" s="3">
        <v>945</v>
      </c>
      <c r="D2" s="3" t="s">
        <v>6</v>
      </c>
      <c r="E2" s="3" t="s">
        <v>7</v>
      </c>
      <c r="F2" s="6"/>
      <c r="J2" s="6"/>
    </row>
    <row r="3" spans="1:23" ht="14.25" customHeight="1" x14ac:dyDescent="0.25">
      <c r="F3" s="6"/>
      <c r="J3" s="6"/>
    </row>
    <row r="4" spans="1:23" ht="14.25" customHeight="1" x14ac:dyDescent="0.25">
      <c r="F4" s="6"/>
      <c r="G4" s="1623" t="s">
        <v>8</v>
      </c>
      <c r="H4" s="1624"/>
      <c r="I4" s="1624"/>
      <c r="J4" s="6"/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T4" s="1">
        <v>42593</v>
      </c>
    </row>
    <row r="5" spans="1:23" ht="14.25" customHeight="1" x14ac:dyDescent="0.25">
      <c r="A5" s="3" t="s">
        <v>14</v>
      </c>
      <c r="B5" s="3">
        <v>875</v>
      </c>
      <c r="C5" s="3">
        <v>1000</v>
      </c>
      <c r="D5" s="3">
        <v>1000</v>
      </c>
      <c r="E5" s="3">
        <v>1200</v>
      </c>
      <c r="F5" s="6"/>
      <c r="I5" s="3">
        <v>40</v>
      </c>
      <c r="J5" s="6"/>
      <c r="K5" s="1">
        <v>42262</v>
      </c>
      <c r="L5" s="7" t="s">
        <v>15</v>
      </c>
      <c r="M5" s="1">
        <f t="shared" ref="M5:M8" ca="1" si="0">TODAY()</f>
        <v>45832</v>
      </c>
      <c r="N5" s="3">
        <v>1850</v>
      </c>
      <c r="O5" s="3">
        <v>4.0999999999999996</v>
      </c>
      <c r="P5" s="8">
        <f t="shared" ref="P5:P8" ca="1" si="1">DAYS360(K5,M5)*14%/365</f>
        <v>1.3497534246575342</v>
      </c>
      <c r="Q5" s="9">
        <f t="shared" ref="Q5:Q8" ca="1" si="2">N5+N5*P5</f>
        <v>4347.0438356164377</v>
      </c>
      <c r="T5" s="9">
        <v>2081.3260273972605</v>
      </c>
    </row>
    <row r="6" spans="1:23" ht="14.25" customHeight="1" x14ac:dyDescent="0.25">
      <c r="A6" s="3" t="s">
        <v>16</v>
      </c>
      <c r="B6" s="3" t="s">
        <v>17</v>
      </c>
      <c r="C6" s="3">
        <v>7200</v>
      </c>
      <c r="D6" s="3">
        <v>600</v>
      </c>
      <c r="E6" s="3">
        <v>8200</v>
      </c>
      <c r="F6" s="6"/>
      <c r="G6" s="3">
        <v>810</v>
      </c>
      <c r="H6" s="3">
        <v>20</v>
      </c>
      <c r="I6" s="3">
        <v>40</v>
      </c>
      <c r="J6" s="6"/>
      <c r="K6" s="1">
        <v>42262</v>
      </c>
      <c r="L6" s="3" t="s">
        <v>18</v>
      </c>
      <c r="M6" s="1">
        <f t="shared" ca="1" si="0"/>
        <v>45832</v>
      </c>
      <c r="N6" s="3">
        <v>1950</v>
      </c>
      <c r="O6" s="3">
        <v>2.1</v>
      </c>
      <c r="P6" s="8">
        <f t="shared" ca="1" si="1"/>
        <v>1.3497534246575342</v>
      </c>
      <c r="Q6" s="9">
        <f t="shared" ca="1" si="2"/>
        <v>4582.0191780821915</v>
      </c>
      <c r="T6" s="9">
        <v>2193.8301369863016</v>
      </c>
    </row>
    <row r="7" spans="1:23" ht="14.25" customHeight="1" x14ac:dyDescent="0.25">
      <c r="A7" s="3" t="s">
        <v>19</v>
      </c>
      <c r="B7" s="3" t="s">
        <v>20</v>
      </c>
      <c r="C7" s="3">
        <v>0</v>
      </c>
      <c r="D7" s="3">
        <v>1900</v>
      </c>
      <c r="E7" s="3">
        <v>3250</v>
      </c>
      <c r="F7" s="6"/>
      <c r="G7" s="3">
        <v>811</v>
      </c>
      <c r="H7" s="3">
        <v>40</v>
      </c>
      <c r="I7" s="3">
        <v>80</v>
      </c>
      <c r="J7" s="6"/>
      <c r="K7" s="1">
        <v>42262</v>
      </c>
      <c r="L7" s="7" t="s">
        <v>21</v>
      </c>
      <c r="M7" s="1">
        <f t="shared" ca="1" si="0"/>
        <v>45832</v>
      </c>
      <c r="N7" s="3">
        <v>1950</v>
      </c>
      <c r="P7" s="8">
        <f t="shared" ca="1" si="1"/>
        <v>1.3497534246575342</v>
      </c>
      <c r="Q7" s="9">
        <f t="shared" ca="1" si="2"/>
        <v>4582.0191780821915</v>
      </c>
      <c r="T7" s="9">
        <v>2193.8301369863016</v>
      </c>
    </row>
    <row r="8" spans="1:23" ht="14.25" customHeight="1" x14ac:dyDescent="0.25">
      <c r="A8" s="3" t="s">
        <v>22</v>
      </c>
      <c r="B8" s="3">
        <v>4</v>
      </c>
      <c r="C8" s="3">
        <v>1350</v>
      </c>
      <c r="D8" s="3">
        <v>1200</v>
      </c>
      <c r="E8" s="3">
        <v>1500</v>
      </c>
      <c r="F8" s="6"/>
      <c r="G8" s="3">
        <v>1012</v>
      </c>
      <c r="H8" s="3">
        <v>40</v>
      </c>
      <c r="I8" s="3">
        <v>80</v>
      </c>
      <c r="J8" s="6"/>
      <c r="K8" s="1">
        <v>42203</v>
      </c>
      <c r="L8" s="7" t="s">
        <v>23</v>
      </c>
      <c r="M8" s="1">
        <f t="shared" ca="1" si="0"/>
        <v>45832</v>
      </c>
      <c r="N8" s="3">
        <v>1980</v>
      </c>
      <c r="O8" s="3">
        <v>2.1</v>
      </c>
      <c r="P8" s="8">
        <f t="shared" ca="1" si="1"/>
        <v>1.3716164383561644</v>
      </c>
      <c r="Q8" s="9">
        <f t="shared" ca="1" si="2"/>
        <v>4695.8005479452058</v>
      </c>
      <c r="T8" s="9">
        <v>2270.8701369863015</v>
      </c>
      <c r="W8" s="3">
        <f>12*18*0.85*2+120</f>
        <v>487.2</v>
      </c>
    </row>
    <row r="9" spans="1:23" ht="14.25" customHeight="1" x14ac:dyDescent="0.25">
      <c r="A9" s="3" t="s">
        <v>24</v>
      </c>
      <c r="B9" s="3" t="s">
        <v>25</v>
      </c>
      <c r="C9" s="3">
        <v>3250</v>
      </c>
      <c r="D9" s="3">
        <v>1200</v>
      </c>
      <c r="E9" s="3">
        <v>3300</v>
      </c>
      <c r="F9" s="6"/>
      <c r="G9" s="3">
        <v>1015</v>
      </c>
      <c r="H9" s="3">
        <v>40</v>
      </c>
      <c r="I9" s="3">
        <v>100</v>
      </c>
      <c r="J9" s="6"/>
    </row>
    <row r="10" spans="1:23" ht="14.25" hidden="1" customHeight="1" x14ac:dyDescent="0.25">
      <c r="A10" s="3" t="s">
        <v>5</v>
      </c>
      <c r="B10" s="3" t="s">
        <v>26</v>
      </c>
      <c r="C10" s="3">
        <v>1000</v>
      </c>
      <c r="D10" s="3">
        <v>0</v>
      </c>
      <c r="E10" s="3">
        <v>950</v>
      </c>
      <c r="F10" s="6"/>
      <c r="G10" s="3">
        <v>1215</v>
      </c>
      <c r="H10" s="3">
        <v>70</v>
      </c>
      <c r="I10" s="3">
        <v>140</v>
      </c>
      <c r="J10" s="6"/>
    </row>
    <row r="11" spans="1:23" ht="14.25" customHeight="1" x14ac:dyDescent="0.25">
      <c r="A11" s="3" t="s">
        <v>27</v>
      </c>
      <c r="D11" s="3">
        <v>200</v>
      </c>
      <c r="E11" s="3">
        <v>400</v>
      </c>
      <c r="F11" s="6"/>
      <c r="G11" s="3">
        <v>1218</v>
      </c>
      <c r="H11" s="3">
        <v>60</v>
      </c>
      <c r="I11" s="3">
        <v>150</v>
      </c>
      <c r="J11" s="6"/>
    </row>
    <row r="12" spans="1:23" ht="14.25" customHeight="1" x14ac:dyDescent="0.25">
      <c r="A12" s="3" t="s">
        <v>28</v>
      </c>
      <c r="D12" s="3">
        <v>200</v>
      </c>
      <c r="F12" s="6"/>
      <c r="G12" s="3">
        <v>1620</v>
      </c>
      <c r="H12" s="3">
        <v>180</v>
      </c>
      <c r="I12" s="3">
        <v>400</v>
      </c>
      <c r="J12" s="6"/>
    </row>
    <row r="13" spans="1:23" ht="14.25" customHeight="1" x14ac:dyDescent="0.25">
      <c r="A13" s="3" t="s">
        <v>29</v>
      </c>
      <c r="D13" s="3">
        <v>5400</v>
      </c>
      <c r="E13" s="3">
        <v>5350</v>
      </c>
      <c r="F13" s="6"/>
      <c r="G13" s="3">
        <v>2030</v>
      </c>
      <c r="J13" s="6"/>
    </row>
    <row r="14" spans="1:23" ht="14.25" customHeight="1" x14ac:dyDescent="0.25">
      <c r="A14" s="3" t="s">
        <v>30</v>
      </c>
      <c r="F14" s="6"/>
      <c r="J14" s="6"/>
    </row>
    <row r="15" spans="1:23" ht="14.25" customHeight="1" x14ac:dyDescent="0.25">
      <c r="F15" s="6"/>
      <c r="J15" s="6"/>
    </row>
    <row r="16" spans="1:23" ht="15" customHeight="1" x14ac:dyDescent="0.25">
      <c r="B16" s="3">
        <f t="shared" ref="B16:E16" si="3">SUM(B5:B15)</f>
        <v>879</v>
      </c>
      <c r="C16" s="3">
        <f t="shared" si="3"/>
        <v>13800</v>
      </c>
      <c r="D16" s="3">
        <f t="shared" si="3"/>
        <v>11700</v>
      </c>
      <c r="E16" s="3">
        <f t="shared" si="3"/>
        <v>24150</v>
      </c>
      <c r="F16" s="6"/>
      <c r="J16" s="6"/>
    </row>
    <row r="17" spans="6:10" ht="14.25" customHeight="1" x14ac:dyDescent="0.25">
      <c r="F17" s="6"/>
      <c r="J17" s="6"/>
    </row>
    <row r="18" spans="6:10" ht="14.25" customHeight="1" x14ac:dyDescent="0.25">
      <c r="F18" s="6"/>
      <c r="J18" s="6"/>
    </row>
    <row r="19" spans="6:10" ht="14.25" customHeight="1" x14ac:dyDescent="0.25">
      <c r="F19" s="6"/>
      <c r="J19" s="6"/>
    </row>
    <row r="20" spans="6:10" ht="14.25" customHeight="1" x14ac:dyDescent="0.25">
      <c r="F20" s="6"/>
      <c r="J20" s="6"/>
    </row>
    <row r="21" spans="6:10" ht="14.25" customHeight="1" x14ac:dyDescent="0.25">
      <c r="F21" s="6"/>
      <c r="J21" s="6"/>
    </row>
    <row r="22" spans="6:10" ht="14.25" customHeight="1" x14ac:dyDescent="0.25">
      <c r="F22" s="6"/>
      <c r="J22" s="6"/>
    </row>
    <row r="23" spans="6:10" ht="14.25" customHeight="1" x14ac:dyDescent="0.25">
      <c r="F23" s="6"/>
      <c r="J23" s="6"/>
    </row>
    <row r="24" spans="6:10" ht="14.25" customHeight="1" x14ac:dyDescent="0.25">
      <c r="F24" s="6"/>
      <c r="J24" s="6"/>
    </row>
    <row r="25" spans="6:10" ht="14.25" customHeight="1" x14ac:dyDescent="0.25">
      <c r="F25" s="6"/>
      <c r="J25" s="6"/>
    </row>
    <row r="26" spans="6:10" ht="14.25" customHeight="1" x14ac:dyDescent="0.25">
      <c r="F26" s="6"/>
      <c r="J26" s="6"/>
    </row>
    <row r="27" spans="6:10" ht="14.25" customHeight="1" x14ac:dyDescent="0.25">
      <c r="F27" s="6"/>
      <c r="J27" s="6"/>
    </row>
    <row r="28" spans="6:10" ht="14.25" customHeight="1" x14ac:dyDescent="0.25">
      <c r="F28" s="6"/>
      <c r="J28" s="6"/>
    </row>
    <row r="29" spans="6:10" ht="15" customHeight="1" x14ac:dyDescent="0.25">
      <c r="F29" s="6"/>
      <c r="J29" s="6"/>
    </row>
    <row r="30" spans="6:10" ht="14.25" customHeight="1" x14ac:dyDescent="0.25">
      <c r="F30" s="6"/>
      <c r="J30" s="6"/>
    </row>
    <row r="31" spans="6:10" ht="14.25" customHeight="1" x14ac:dyDescent="0.25">
      <c r="F31" s="6"/>
      <c r="J31" s="6"/>
    </row>
    <row r="32" spans="6:10" ht="14.25" customHeight="1" x14ac:dyDescent="0.25">
      <c r="F32" s="6"/>
      <c r="J32" s="6"/>
    </row>
    <row r="33" spans="6:10" ht="14.25" customHeight="1" x14ac:dyDescent="0.25">
      <c r="F33" s="6"/>
      <c r="J33" s="6"/>
    </row>
    <row r="34" spans="6:10" ht="14.25" customHeight="1" x14ac:dyDescent="0.25">
      <c r="F34" s="6"/>
      <c r="J34" s="6"/>
    </row>
    <row r="35" spans="6:10" ht="14.25" customHeight="1" x14ac:dyDescent="0.25">
      <c r="F35" s="6"/>
      <c r="J35" s="6"/>
    </row>
    <row r="36" spans="6:10" ht="14.25" customHeight="1" x14ac:dyDescent="0.25">
      <c r="F36" s="6"/>
      <c r="J36" s="6"/>
    </row>
    <row r="37" spans="6:10" ht="14.25" customHeight="1" x14ac:dyDescent="0.25">
      <c r="F37" s="6"/>
      <c r="J37" s="6"/>
    </row>
    <row r="38" spans="6:10" ht="14.25" customHeight="1" x14ac:dyDescent="0.25">
      <c r="F38" s="6"/>
      <c r="J38" s="6"/>
    </row>
    <row r="39" spans="6:10" ht="14.25" customHeight="1" x14ac:dyDescent="0.25">
      <c r="F39" s="6"/>
      <c r="J39" s="6"/>
    </row>
    <row r="40" spans="6:10" ht="14.25" customHeight="1" x14ac:dyDescent="0.25">
      <c r="F40" s="6"/>
      <c r="J40" s="6"/>
    </row>
    <row r="41" spans="6:10" ht="14.25" customHeight="1" x14ac:dyDescent="0.25">
      <c r="F41" s="6"/>
      <c r="J41" s="6"/>
    </row>
    <row r="42" spans="6:10" ht="14.25" customHeight="1" x14ac:dyDescent="0.25">
      <c r="F42" s="6"/>
      <c r="J42" s="6"/>
    </row>
    <row r="43" spans="6:10" ht="14.25" customHeight="1" x14ac:dyDescent="0.25">
      <c r="F43" s="6"/>
      <c r="J43" s="6"/>
    </row>
    <row r="44" spans="6:10" ht="14.25" customHeight="1" x14ac:dyDescent="0.25">
      <c r="F44" s="6"/>
      <c r="J44" s="6"/>
    </row>
    <row r="45" spans="6:10" ht="14.25" customHeight="1" x14ac:dyDescent="0.25">
      <c r="F45" s="6"/>
      <c r="J45" s="6"/>
    </row>
    <row r="46" spans="6:10" ht="14.25" customHeight="1" x14ac:dyDescent="0.25">
      <c r="F46" s="6"/>
      <c r="J46" s="6"/>
    </row>
    <row r="47" spans="6:10" ht="14.25" customHeight="1" x14ac:dyDescent="0.25">
      <c r="F47" s="6"/>
      <c r="J47" s="6"/>
    </row>
    <row r="48" spans="6:10" ht="14.25" customHeight="1" x14ac:dyDescent="0.25">
      <c r="F48" s="6"/>
      <c r="J48" s="6"/>
    </row>
    <row r="49" spans="6:10" ht="14.25" customHeight="1" x14ac:dyDescent="0.25">
      <c r="F49" s="6"/>
      <c r="J49" s="6"/>
    </row>
    <row r="50" spans="6:10" ht="14.25" customHeight="1" x14ac:dyDescent="0.25">
      <c r="F50" s="6"/>
      <c r="J50" s="6"/>
    </row>
    <row r="51" spans="6:10" ht="14.25" customHeight="1" x14ac:dyDescent="0.25">
      <c r="F51" s="6"/>
      <c r="J51" s="6"/>
    </row>
    <row r="52" spans="6:10" ht="14.25" customHeight="1" x14ac:dyDescent="0.25">
      <c r="F52" s="6"/>
      <c r="J52" s="6"/>
    </row>
    <row r="53" spans="6:10" ht="14.25" customHeight="1" x14ac:dyDescent="0.25">
      <c r="F53" s="6"/>
      <c r="J53" s="6"/>
    </row>
    <row r="54" spans="6:10" ht="14.25" customHeight="1" x14ac:dyDescent="0.25">
      <c r="F54" s="6"/>
      <c r="J54" s="6"/>
    </row>
    <row r="55" spans="6:10" ht="14.25" customHeight="1" x14ac:dyDescent="0.25">
      <c r="F55" s="6"/>
      <c r="J55" s="6"/>
    </row>
    <row r="56" spans="6:10" ht="14.25" customHeight="1" x14ac:dyDescent="0.25">
      <c r="F56" s="6"/>
      <c r="J56" s="6"/>
    </row>
    <row r="57" spans="6:10" ht="14.25" customHeight="1" x14ac:dyDescent="0.25">
      <c r="F57" s="6"/>
      <c r="J57" s="6"/>
    </row>
    <row r="58" spans="6:10" ht="14.25" customHeight="1" x14ac:dyDescent="0.25">
      <c r="F58" s="6"/>
      <c r="J58" s="6"/>
    </row>
    <row r="59" spans="6:10" ht="14.25" customHeight="1" x14ac:dyDescent="0.25">
      <c r="F59" s="6"/>
      <c r="J59" s="6"/>
    </row>
    <row r="60" spans="6:10" ht="14.25" customHeight="1" x14ac:dyDescent="0.25">
      <c r="F60" s="6"/>
      <c r="J60" s="6"/>
    </row>
    <row r="61" spans="6:10" ht="14.25" customHeight="1" x14ac:dyDescent="0.25">
      <c r="F61" s="6"/>
      <c r="J61" s="6"/>
    </row>
    <row r="62" spans="6:10" ht="14.25" customHeight="1" x14ac:dyDescent="0.25">
      <c r="F62" s="6"/>
      <c r="J62" s="6"/>
    </row>
    <row r="63" spans="6:10" ht="14.25" customHeight="1" x14ac:dyDescent="0.25">
      <c r="F63" s="6"/>
      <c r="J63" s="6"/>
    </row>
    <row r="64" spans="6:10" ht="14.25" customHeight="1" x14ac:dyDescent="0.25">
      <c r="F64" s="6"/>
      <c r="J64" s="6"/>
    </row>
    <row r="65" spans="6:10" ht="14.25" customHeight="1" x14ac:dyDescent="0.25">
      <c r="F65" s="6"/>
      <c r="J65" s="6"/>
    </row>
    <row r="66" spans="6:10" ht="14.25" customHeight="1" x14ac:dyDescent="0.25">
      <c r="F66" s="6"/>
      <c r="J66" s="6"/>
    </row>
    <row r="67" spans="6:10" ht="14.25" customHeight="1" x14ac:dyDescent="0.25">
      <c r="F67" s="6"/>
      <c r="J67" s="6"/>
    </row>
    <row r="68" spans="6:10" ht="14.25" customHeight="1" x14ac:dyDescent="0.25">
      <c r="F68" s="6"/>
      <c r="J68" s="6"/>
    </row>
    <row r="69" spans="6:10" ht="14.25" customHeight="1" x14ac:dyDescent="0.25">
      <c r="F69" s="6"/>
      <c r="J69" s="6"/>
    </row>
    <row r="70" spans="6:10" ht="14.25" customHeight="1" x14ac:dyDescent="0.25">
      <c r="F70" s="6"/>
      <c r="J70" s="6"/>
    </row>
    <row r="71" spans="6:10" ht="14.25" customHeight="1" x14ac:dyDescent="0.25">
      <c r="F71" s="6"/>
      <c r="J71" s="6"/>
    </row>
    <row r="72" spans="6:10" ht="14.25" customHeight="1" x14ac:dyDescent="0.25">
      <c r="F72" s="6"/>
      <c r="J72" s="6"/>
    </row>
    <row r="73" spans="6:10" ht="14.25" customHeight="1" x14ac:dyDescent="0.25">
      <c r="F73" s="6"/>
      <c r="J73" s="6"/>
    </row>
    <row r="74" spans="6:10" ht="14.25" customHeight="1" x14ac:dyDescent="0.25">
      <c r="F74" s="6"/>
      <c r="J74" s="6"/>
    </row>
    <row r="75" spans="6:10" ht="14.25" customHeight="1" x14ac:dyDescent="0.25">
      <c r="F75" s="6"/>
      <c r="J75" s="6"/>
    </row>
    <row r="76" spans="6:10" ht="14.25" customHeight="1" x14ac:dyDescent="0.25">
      <c r="F76" s="6"/>
      <c r="J76" s="6"/>
    </row>
    <row r="77" spans="6:10" ht="14.25" customHeight="1" x14ac:dyDescent="0.25">
      <c r="F77" s="6"/>
      <c r="J77" s="6"/>
    </row>
    <row r="78" spans="6:10" ht="14.25" customHeight="1" x14ac:dyDescent="0.25">
      <c r="F78" s="6"/>
      <c r="J78" s="6"/>
    </row>
    <row r="79" spans="6:10" ht="14.25" customHeight="1" x14ac:dyDescent="0.25">
      <c r="F79" s="6"/>
      <c r="J79" s="6"/>
    </row>
    <row r="80" spans="6:10" ht="14.25" customHeight="1" x14ac:dyDescent="0.25">
      <c r="F80" s="6"/>
      <c r="J80" s="6"/>
    </row>
    <row r="81" spans="6:10" ht="14.25" customHeight="1" x14ac:dyDescent="0.25">
      <c r="F81" s="6"/>
      <c r="J81" s="6"/>
    </row>
    <row r="82" spans="6:10" ht="14.25" customHeight="1" x14ac:dyDescent="0.25">
      <c r="F82" s="6"/>
      <c r="J82" s="6"/>
    </row>
    <row r="83" spans="6:10" ht="14.25" customHeight="1" x14ac:dyDescent="0.25">
      <c r="F83" s="6"/>
      <c r="J83" s="6"/>
    </row>
    <row r="84" spans="6:10" ht="14.25" customHeight="1" x14ac:dyDescent="0.25">
      <c r="F84" s="6"/>
      <c r="J84" s="6"/>
    </row>
    <row r="85" spans="6:10" ht="14.25" customHeight="1" x14ac:dyDescent="0.25">
      <c r="F85" s="6"/>
      <c r="J85" s="6"/>
    </row>
    <row r="86" spans="6:10" ht="14.25" customHeight="1" x14ac:dyDescent="0.25">
      <c r="F86" s="6"/>
      <c r="J86" s="6"/>
    </row>
    <row r="87" spans="6:10" ht="14.25" customHeight="1" x14ac:dyDescent="0.25">
      <c r="F87" s="6"/>
      <c r="J87" s="6"/>
    </row>
    <row r="88" spans="6:10" ht="14.25" customHeight="1" x14ac:dyDescent="0.25">
      <c r="F88" s="6"/>
      <c r="J88" s="6"/>
    </row>
    <row r="89" spans="6:10" ht="14.25" customHeight="1" x14ac:dyDescent="0.25">
      <c r="F89" s="6"/>
      <c r="J89" s="6"/>
    </row>
    <row r="90" spans="6:10" ht="14.25" customHeight="1" x14ac:dyDescent="0.25">
      <c r="F90" s="6"/>
      <c r="J90" s="6"/>
    </row>
    <row r="91" spans="6:10" ht="14.25" customHeight="1" x14ac:dyDescent="0.25">
      <c r="F91" s="6"/>
      <c r="J91" s="6"/>
    </row>
    <row r="92" spans="6:10" ht="14.25" customHeight="1" x14ac:dyDescent="0.25">
      <c r="F92" s="6"/>
      <c r="J92" s="6"/>
    </row>
    <row r="93" spans="6:10" ht="14.25" customHeight="1" x14ac:dyDescent="0.25">
      <c r="F93" s="6"/>
      <c r="J93" s="6"/>
    </row>
    <row r="94" spans="6:10" ht="14.25" customHeight="1" x14ac:dyDescent="0.25">
      <c r="F94" s="6"/>
      <c r="J94" s="6"/>
    </row>
    <row r="95" spans="6:10" ht="14.25" customHeight="1" x14ac:dyDescent="0.25">
      <c r="F95" s="6"/>
      <c r="J95" s="6"/>
    </row>
    <row r="96" spans="6:10" ht="14.25" customHeight="1" x14ac:dyDescent="0.25">
      <c r="F96" s="6"/>
      <c r="J96" s="6"/>
    </row>
    <row r="97" spans="6:10" ht="14.25" customHeight="1" x14ac:dyDescent="0.25">
      <c r="F97" s="6"/>
      <c r="J97" s="6"/>
    </row>
    <row r="98" spans="6:10" ht="14.25" customHeight="1" x14ac:dyDescent="0.25">
      <c r="F98" s="6"/>
      <c r="J98" s="6"/>
    </row>
    <row r="99" spans="6:10" ht="14.25" customHeight="1" x14ac:dyDescent="0.25">
      <c r="F99" s="6"/>
      <c r="J99" s="6"/>
    </row>
    <row r="100" spans="6:10" ht="14.25" customHeight="1" x14ac:dyDescent="0.25">
      <c r="F100" s="6"/>
      <c r="J100" s="6"/>
    </row>
    <row r="101" spans="6:10" ht="14.25" customHeight="1" x14ac:dyDescent="0.25">
      <c r="F101" s="6"/>
      <c r="J101" s="6"/>
    </row>
    <row r="102" spans="6:10" ht="14.25" customHeight="1" x14ac:dyDescent="0.25">
      <c r="F102" s="6"/>
      <c r="J102" s="6"/>
    </row>
    <row r="103" spans="6:10" ht="14.25" customHeight="1" x14ac:dyDescent="0.25">
      <c r="F103" s="6"/>
      <c r="J103" s="6"/>
    </row>
    <row r="104" spans="6:10" ht="14.25" customHeight="1" x14ac:dyDescent="0.25">
      <c r="F104" s="6"/>
      <c r="J104" s="6"/>
    </row>
    <row r="105" spans="6:10" ht="14.25" customHeight="1" x14ac:dyDescent="0.25">
      <c r="F105" s="6"/>
      <c r="J105" s="6"/>
    </row>
    <row r="106" spans="6:10" ht="14.25" customHeight="1" x14ac:dyDescent="0.25">
      <c r="F106" s="6"/>
      <c r="J106" s="6"/>
    </row>
    <row r="107" spans="6:10" ht="14.25" customHeight="1" x14ac:dyDescent="0.25">
      <c r="F107" s="6"/>
      <c r="J107" s="6"/>
    </row>
    <row r="108" spans="6:10" ht="14.25" customHeight="1" x14ac:dyDescent="0.25">
      <c r="F108" s="6"/>
      <c r="J108" s="6"/>
    </row>
    <row r="109" spans="6:10" ht="14.25" customHeight="1" x14ac:dyDescent="0.25">
      <c r="F109" s="6"/>
      <c r="J109" s="6"/>
    </row>
    <row r="110" spans="6:10" ht="14.25" customHeight="1" x14ac:dyDescent="0.25">
      <c r="F110" s="6"/>
      <c r="J110" s="6"/>
    </row>
    <row r="111" spans="6:10" ht="14.25" customHeight="1" x14ac:dyDescent="0.25">
      <c r="F111" s="6"/>
      <c r="J111" s="6"/>
    </row>
    <row r="112" spans="6:10" ht="14.25" customHeight="1" x14ac:dyDescent="0.25">
      <c r="F112" s="6"/>
      <c r="J112" s="6"/>
    </row>
    <row r="113" spans="6:10" ht="14.25" customHeight="1" x14ac:dyDescent="0.25">
      <c r="F113" s="6"/>
      <c r="J113" s="6"/>
    </row>
    <row r="114" spans="6:10" ht="14.25" customHeight="1" x14ac:dyDescent="0.25">
      <c r="F114" s="6"/>
      <c r="J114" s="6"/>
    </row>
    <row r="115" spans="6:10" ht="14.25" customHeight="1" x14ac:dyDescent="0.25">
      <c r="F115" s="6"/>
      <c r="J115" s="6"/>
    </row>
    <row r="116" spans="6:10" ht="14.25" customHeight="1" x14ac:dyDescent="0.25">
      <c r="F116" s="6"/>
      <c r="J116" s="6"/>
    </row>
    <row r="117" spans="6:10" ht="14.25" customHeight="1" x14ac:dyDescent="0.25">
      <c r="F117" s="6"/>
      <c r="J117" s="6"/>
    </row>
    <row r="118" spans="6:10" ht="14.25" customHeight="1" x14ac:dyDescent="0.25">
      <c r="F118" s="6"/>
      <c r="J118" s="6"/>
    </row>
    <row r="119" spans="6:10" ht="14.25" customHeight="1" x14ac:dyDescent="0.25">
      <c r="F119" s="6"/>
      <c r="J119" s="6"/>
    </row>
    <row r="120" spans="6:10" ht="14.25" customHeight="1" x14ac:dyDescent="0.25">
      <c r="F120" s="6"/>
      <c r="J120" s="6"/>
    </row>
    <row r="121" spans="6:10" ht="14.25" customHeight="1" x14ac:dyDescent="0.25">
      <c r="F121" s="6"/>
      <c r="J121" s="6"/>
    </row>
    <row r="122" spans="6:10" ht="14.25" customHeight="1" x14ac:dyDescent="0.25">
      <c r="F122" s="6"/>
      <c r="J122" s="6"/>
    </row>
    <row r="123" spans="6:10" ht="14.25" customHeight="1" x14ac:dyDescent="0.25">
      <c r="F123" s="6"/>
      <c r="J123" s="6"/>
    </row>
    <row r="124" spans="6:10" ht="14.25" customHeight="1" x14ac:dyDescent="0.25">
      <c r="F124" s="6"/>
      <c r="J124" s="6"/>
    </row>
    <row r="125" spans="6:10" ht="14.25" customHeight="1" x14ac:dyDescent="0.25">
      <c r="F125" s="6"/>
      <c r="J125" s="6"/>
    </row>
    <row r="126" spans="6:10" ht="14.25" customHeight="1" x14ac:dyDescent="0.25">
      <c r="F126" s="6"/>
      <c r="J126" s="6"/>
    </row>
    <row r="127" spans="6:10" ht="14.25" customHeight="1" x14ac:dyDescent="0.25">
      <c r="F127" s="6"/>
      <c r="J127" s="6"/>
    </row>
    <row r="128" spans="6:10" ht="14.25" customHeight="1" x14ac:dyDescent="0.25">
      <c r="F128" s="6"/>
      <c r="J128" s="6"/>
    </row>
    <row r="129" spans="6:10" ht="14.25" customHeight="1" x14ac:dyDescent="0.25">
      <c r="F129" s="6"/>
      <c r="J129" s="6"/>
    </row>
    <row r="130" spans="6:10" ht="14.25" customHeight="1" x14ac:dyDescent="0.25">
      <c r="F130" s="6"/>
      <c r="J130" s="6"/>
    </row>
    <row r="131" spans="6:10" ht="14.25" customHeight="1" x14ac:dyDescent="0.25">
      <c r="F131" s="6"/>
      <c r="J131" s="6"/>
    </row>
    <row r="132" spans="6:10" ht="14.25" customHeight="1" x14ac:dyDescent="0.25">
      <c r="F132" s="6"/>
      <c r="J132" s="6"/>
    </row>
    <row r="133" spans="6:10" ht="14.25" customHeight="1" x14ac:dyDescent="0.25">
      <c r="F133" s="6"/>
      <c r="J133" s="6"/>
    </row>
    <row r="134" spans="6:10" ht="14.25" customHeight="1" x14ac:dyDescent="0.25">
      <c r="F134" s="6"/>
      <c r="J134" s="6"/>
    </row>
    <row r="135" spans="6:10" ht="14.25" customHeight="1" x14ac:dyDescent="0.25">
      <c r="F135" s="6"/>
      <c r="J135" s="6"/>
    </row>
    <row r="136" spans="6:10" ht="14.25" customHeight="1" x14ac:dyDescent="0.25">
      <c r="F136" s="6"/>
      <c r="J136" s="6"/>
    </row>
    <row r="137" spans="6:10" ht="14.25" customHeight="1" x14ac:dyDescent="0.25">
      <c r="F137" s="6"/>
      <c r="J137" s="6"/>
    </row>
    <row r="138" spans="6:10" ht="14.25" customHeight="1" x14ac:dyDescent="0.25">
      <c r="F138" s="6"/>
      <c r="J138" s="6"/>
    </row>
    <row r="139" spans="6:10" ht="14.25" customHeight="1" x14ac:dyDescent="0.25">
      <c r="F139" s="6"/>
      <c r="J139" s="6"/>
    </row>
    <row r="140" spans="6:10" ht="14.25" customHeight="1" x14ac:dyDescent="0.25">
      <c r="F140" s="6"/>
      <c r="J140" s="6"/>
    </row>
    <row r="141" spans="6:10" ht="14.25" customHeight="1" x14ac:dyDescent="0.25">
      <c r="F141" s="6"/>
      <c r="J141" s="6"/>
    </row>
    <row r="142" spans="6:10" ht="14.25" customHeight="1" x14ac:dyDescent="0.25">
      <c r="F142" s="6"/>
      <c r="J142" s="6"/>
    </row>
    <row r="143" spans="6:10" ht="14.25" customHeight="1" x14ac:dyDescent="0.25">
      <c r="F143" s="6"/>
      <c r="J143" s="6"/>
    </row>
    <row r="144" spans="6:10" ht="14.25" customHeight="1" x14ac:dyDescent="0.25">
      <c r="F144" s="6"/>
      <c r="J144" s="6"/>
    </row>
    <row r="145" spans="6:10" ht="14.25" customHeight="1" x14ac:dyDescent="0.25">
      <c r="F145" s="6"/>
      <c r="J145" s="6"/>
    </row>
    <row r="146" spans="6:10" ht="14.25" customHeight="1" x14ac:dyDescent="0.25">
      <c r="F146" s="6"/>
      <c r="J146" s="6"/>
    </row>
    <row r="147" spans="6:10" ht="14.25" customHeight="1" x14ac:dyDescent="0.25">
      <c r="F147" s="6"/>
      <c r="J147" s="6"/>
    </row>
    <row r="148" spans="6:10" ht="14.25" customHeight="1" x14ac:dyDescent="0.25">
      <c r="F148" s="6"/>
      <c r="J148" s="6"/>
    </row>
    <row r="149" spans="6:10" ht="14.25" customHeight="1" x14ac:dyDescent="0.25">
      <c r="F149" s="6"/>
      <c r="J149" s="6"/>
    </row>
    <row r="150" spans="6:10" ht="14.25" customHeight="1" x14ac:dyDescent="0.25">
      <c r="F150" s="6"/>
      <c r="J150" s="6"/>
    </row>
    <row r="151" spans="6:10" ht="14.25" customHeight="1" x14ac:dyDescent="0.25">
      <c r="F151" s="6"/>
      <c r="J151" s="6"/>
    </row>
    <row r="152" spans="6:10" ht="14.25" customHeight="1" x14ac:dyDescent="0.25">
      <c r="F152" s="6"/>
      <c r="J152" s="6"/>
    </row>
    <row r="153" spans="6:10" ht="14.25" customHeight="1" x14ac:dyDescent="0.25">
      <c r="F153" s="6"/>
      <c r="J153" s="6"/>
    </row>
    <row r="154" spans="6:10" ht="14.25" customHeight="1" x14ac:dyDescent="0.25">
      <c r="F154" s="6"/>
      <c r="J154" s="6"/>
    </row>
    <row r="155" spans="6:10" ht="14.25" customHeight="1" x14ac:dyDescent="0.25">
      <c r="F155" s="6"/>
      <c r="J155" s="6"/>
    </row>
    <row r="156" spans="6:10" ht="14.25" customHeight="1" x14ac:dyDescent="0.25">
      <c r="F156" s="6"/>
      <c r="J156" s="6"/>
    </row>
    <row r="157" spans="6:10" ht="14.25" customHeight="1" x14ac:dyDescent="0.25">
      <c r="F157" s="6"/>
      <c r="J157" s="6"/>
    </row>
    <row r="158" spans="6:10" ht="14.25" customHeight="1" x14ac:dyDescent="0.25">
      <c r="F158" s="6"/>
      <c r="J158" s="6"/>
    </row>
    <row r="159" spans="6:10" ht="14.25" customHeight="1" x14ac:dyDescent="0.25">
      <c r="F159" s="6"/>
      <c r="J159" s="6"/>
    </row>
    <row r="160" spans="6:10" ht="14.25" customHeight="1" x14ac:dyDescent="0.25">
      <c r="F160" s="6"/>
      <c r="J160" s="6"/>
    </row>
    <row r="161" spans="6:10" ht="14.25" customHeight="1" x14ac:dyDescent="0.25">
      <c r="F161" s="6"/>
      <c r="J161" s="6"/>
    </row>
    <row r="162" spans="6:10" ht="14.25" customHeight="1" x14ac:dyDescent="0.25">
      <c r="F162" s="6"/>
      <c r="J162" s="6"/>
    </row>
    <row r="163" spans="6:10" ht="14.25" customHeight="1" x14ac:dyDescent="0.25">
      <c r="F163" s="6"/>
      <c r="J163" s="6"/>
    </row>
    <row r="164" spans="6:10" ht="14.25" customHeight="1" x14ac:dyDescent="0.25">
      <c r="F164" s="6"/>
      <c r="J164" s="6"/>
    </row>
    <row r="165" spans="6:10" ht="14.25" customHeight="1" x14ac:dyDescent="0.25">
      <c r="F165" s="6"/>
      <c r="J165" s="6"/>
    </row>
    <row r="166" spans="6:10" ht="14.25" customHeight="1" x14ac:dyDescent="0.25">
      <c r="F166" s="6"/>
      <c r="J166" s="6"/>
    </row>
    <row r="167" spans="6:10" ht="14.25" customHeight="1" x14ac:dyDescent="0.25">
      <c r="F167" s="6"/>
      <c r="J167" s="6"/>
    </row>
    <row r="168" spans="6:10" ht="14.25" customHeight="1" x14ac:dyDescent="0.25">
      <c r="F168" s="6"/>
      <c r="J168" s="6"/>
    </row>
    <row r="169" spans="6:10" ht="14.25" customHeight="1" x14ac:dyDescent="0.25">
      <c r="F169" s="6"/>
      <c r="J169" s="6"/>
    </row>
    <row r="170" spans="6:10" ht="14.25" customHeight="1" x14ac:dyDescent="0.25">
      <c r="F170" s="6"/>
      <c r="J170" s="6"/>
    </row>
    <row r="171" spans="6:10" ht="14.25" customHeight="1" x14ac:dyDescent="0.25">
      <c r="F171" s="6"/>
      <c r="J171" s="6"/>
    </row>
    <row r="172" spans="6:10" ht="14.25" customHeight="1" x14ac:dyDescent="0.25">
      <c r="F172" s="6"/>
      <c r="J172" s="6"/>
    </row>
    <row r="173" spans="6:10" ht="14.25" customHeight="1" x14ac:dyDescent="0.25">
      <c r="F173" s="6"/>
      <c r="J173" s="6"/>
    </row>
    <row r="174" spans="6:10" ht="14.25" customHeight="1" x14ac:dyDescent="0.25">
      <c r="F174" s="6"/>
      <c r="J174" s="6"/>
    </row>
    <row r="175" spans="6:10" ht="14.25" customHeight="1" x14ac:dyDescent="0.25">
      <c r="F175" s="6"/>
      <c r="J175" s="6"/>
    </row>
    <row r="176" spans="6:10" ht="14.25" customHeight="1" x14ac:dyDescent="0.25">
      <c r="F176" s="6"/>
      <c r="J176" s="6"/>
    </row>
    <row r="177" spans="6:10" ht="14.25" customHeight="1" x14ac:dyDescent="0.25">
      <c r="F177" s="6"/>
      <c r="J177" s="6"/>
    </row>
    <row r="178" spans="6:10" ht="14.25" customHeight="1" x14ac:dyDescent="0.25">
      <c r="F178" s="6"/>
      <c r="J178" s="6"/>
    </row>
    <row r="179" spans="6:10" ht="14.25" customHeight="1" x14ac:dyDescent="0.25">
      <c r="F179" s="6"/>
      <c r="J179" s="6"/>
    </row>
    <row r="180" spans="6:10" ht="14.25" customHeight="1" x14ac:dyDescent="0.25">
      <c r="F180" s="6"/>
      <c r="J180" s="6"/>
    </row>
    <row r="181" spans="6:10" ht="14.25" customHeight="1" x14ac:dyDescent="0.25">
      <c r="F181" s="6"/>
      <c r="J181" s="6"/>
    </row>
    <row r="182" spans="6:10" ht="14.25" customHeight="1" x14ac:dyDescent="0.25">
      <c r="F182" s="6"/>
      <c r="J182" s="6"/>
    </row>
    <row r="183" spans="6:10" ht="14.25" customHeight="1" x14ac:dyDescent="0.25">
      <c r="F183" s="6"/>
      <c r="J183" s="6"/>
    </row>
    <row r="184" spans="6:10" ht="14.25" customHeight="1" x14ac:dyDescent="0.25">
      <c r="F184" s="6"/>
      <c r="J184" s="6"/>
    </row>
    <row r="185" spans="6:10" ht="14.25" customHeight="1" x14ac:dyDescent="0.25">
      <c r="F185" s="6"/>
      <c r="J185" s="6"/>
    </row>
    <row r="186" spans="6:10" ht="14.25" customHeight="1" x14ac:dyDescent="0.25">
      <c r="F186" s="6"/>
      <c r="J186" s="6"/>
    </row>
    <row r="187" spans="6:10" ht="14.25" customHeight="1" x14ac:dyDescent="0.25">
      <c r="F187" s="6"/>
      <c r="J187" s="6"/>
    </row>
    <row r="188" spans="6:10" ht="14.25" customHeight="1" x14ac:dyDescent="0.25">
      <c r="F188" s="6"/>
      <c r="J188" s="6"/>
    </row>
    <row r="189" spans="6:10" ht="14.25" customHeight="1" x14ac:dyDescent="0.25">
      <c r="F189" s="6"/>
      <c r="J189" s="6"/>
    </row>
    <row r="190" spans="6:10" ht="14.25" customHeight="1" x14ac:dyDescent="0.25">
      <c r="F190" s="6"/>
      <c r="J190" s="6"/>
    </row>
    <row r="191" spans="6:10" ht="14.25" customHeight="1" x14ac:dyDescent="0.25">
      <c r="F191" s="6"/>
      <c r="J191" s="6"/>
    </row>
    <row r="192" spans="6:10" ht="14.25" customHeight="1" x14ac:dyDescent="0.25">
      <c r="F192" s="6"/>
      <c r="J192" s="6"/>
    </row>
    <row r="193" spans="6:10" ht="14.25" customHeight="1" x14ac:dyDescent="0.25">
      <c r="F193" s="6"/>
      <c r="J193" s="6"/>
    </row>
    <row r="194" spans="6:10" ht="14.25" customHeight="1" x14ac:dyDescent="0.25">
      <c r="F194" s="6"/>
      <c r="J194" s="6"/>
    </row>
    <row r="195" spans="6:10" ht="14.25" customHeight="1" x14ac:dyDescent="0.25">
      <c r="F195" s="6"/>
      <c r="J195" s="6"/>
    </row>
    <row r="196" spans="6:10" ht="14.25" customHeight="1" x14ac:dyDescent="0.25">
      <c r="F196" s="6"/>
      <c r="J196" s="6"/>
    </row>
    <row r="197" spans="6:10" ht="14.25" customHeight="1" x14ac:dyDescent="0.25">
      <c r="F197" s="6"/>
      <c r="J197" s="6"/>
    </row>
    <row r="198" spans="6:10" ht="14.25" customHeight="1" x14ac:dyDescent="0.25">
      <c r="F198" s="6"/>
      <c r="J198" s="6"/>
    </row>
    <row r="199" spans="6:10" ht="14.25" customHeight="1" x14ac:dyDescent="0.25">
      <c r="F199" s="6"/>
      <c r="J199" s="6"/>
    </row>
    <row r="200" spans="6:10" ht="14.25" customHeight="1" x14ac:dyDescent="0.25">
      <c r="F200" s="6"/>
      <c r="J200" s="6"/>
    </row>
    <row r="201" spans="6:10" ht="14.25" customHeight="1" x14ac:dyDescent="0.25">
      <c r="F201" s="6"/>
      <c r="J201" s="6"/>
    </row>
    <row r="202" spans="6:10" ht="14.25" customHeight="1" x14ac:dyDescent="0.25">
      <c r="F202" s="6"/>
      <c r="J202" s="6"/>
    </row>
    <row r="203" spans="6:10" ht="14.25" customHeight="1" x14ac:dyDescent="0.25">
      <c r="F203" s="6"/>
      <c r="J203" s="6"/>
    </row>
    <row r="204" spans="6:10" ht="14.25" customHeight="1" x14ac:dyDescent="0.25">
      <c r="F204" s="6"/>
      <c r="J204" s="6"/>
    </row>
    <row r="205" spans="6:10" ht="14.25" customHeight="1" x14ac:dyDescent="0.25">
      <c r="F205" s="6"/>
      <c r="J205" s="6"/>
    </row>
    <row r="206" spans="6:10" ht="14.25" customHeight="1" x14ac:dyDescent="0.25">
      <c r="F206" s="6"/>
      <c r="J206" s="6"/>
    </row>
    <row r="207" spans="6:10" ht="14.25" customHeight="1" x14ac:dyDescent="0.25">
      <c r="F207" s="6"/>
      <c r="J207" s="6"/>
    </row>
    <row r="208" spans="6:10" ht="14.25" customHeight="1" x14ac:dyDescent="0.25">
      <c r="F208" s="6"/>
      <c r="J208" s="6"/>
    </row>
    <row r="209" spans="6:10" ht="14.25" customHeight="1" x14ac:dyDescent="0.25">
      <c r="F209" s="6"/>
      <c r="J209" s="6"/>
    </row>
    <row r="210" spans="6:10" ht="14.25" customHeight="1" x14ac:dyDescent="0.25">
      <c r="F210" s="6"/>
      <c r="J210" s="6"/>
    </row>
    <row r="211" spans="6:10" ht="14.25" customHeight="1" x14ac:dyDescent="0.25">
      <c r="F211" s="6"/>
      <c r="J211" s="6"/>
    </row>
    <row r="212" spans="6:10" ht="14.25" customHeight="1" x14ac:dyDescent="0.25">
      <c r="F212" s="6"/>
      <c r="J212" s="6"/>
    </row>
    <row r="213" spans="6:10" ht="14.25" customHeight="1" x14ac:dyDescent="0.25">
      <c r="F213" s="6"/>
      <c r="J213" s="6"/>
    </row>
    <row r="214" spans="6:10" ht="14.25" customHeight="1" x14ac:dyDescent="0.25">
      <c r="F214" s="6"/>
      <c r="J214" s="6"/>
    </row>
    <row r="215" spans="6:10" ht="14.25" customHeight="1" x14ac:dyDescent="0.25">
      <c r="F215" s="6"/>
      <c r="J215" s="6"/>
    </row>
    <row r="216" spans="6:10" ht="14.25" customHeight="1" x14ac:dyDescent="0.25">
      <c r="F216" s="6"/>
      <c r="J216" s="6"/>
    </row>
    <row r="217" spans="6:10" ht="14.25" customHeight="1" x14ac:dyDescent="0.25">
      <c r="F217" s="6"/>
      <c r="J217" s="6"/>
    </row>
    <row r="218" spans="6:10" ht="14.25" customHeight="1" x14ac:dyDescent="0.25">
      <c r="F218" s="6"/>
      <c r="J218" s="6"/>
    </row>
    <row r="219" spans="6:10" ht="14.25" customHeight="1" x14ac:dyDescent="0.25">
      <c r="F219" s="6"/>
      <c r="J219" s="6"/>
    </row>
    <row r="220" spans="6:10" ht="14.25" customHeight="1" x14ac:dyDescent="0.25">
      <c r="F220" s="6"/>
      <c r="J220" s="6"/>
    </row>
    <row r="221" spans="6:10" ht="14.25" customHeight="1" x14ac:dyDescent="0.25">
      <c r="F221" s="6"/>
      <c r="J221" s="6"/>
    </row>
    <row r="222" spans="6:10" ht="14.25" customHeight="1" x14ac:dyDescent="0.25">
      <c r="F222" s="6"/>
      <c r="J222" s="6"/>
    </row>
    <row r="223" spans="6:10" ht="14.25" customHeight="1" x14ac:dyDescent="0.25">
      <c r="F223" s="6"/>
      <c r="J223" s="6"/>
    </row>
    <row r="224" spans="6:10" ht="14.25" customHeight="1" x14ac:dyDescent="0.25">
      <c r="F224" s="6"/>
      <c r="J224" s="6"/>
    </row>
    <row r="225" spans="6:10" ht="14.25" customHeight="1" x14ac:dyDescent="0.25">
      <c r="F225" s="6"/>
      <c r="J225" s="6"/>
    </row>
    <row r="226" spans="6:10" ht="14.25" customHeight="1" x14ac:dyDescent="0.25">
      <c r="F226" s="6"/>
      <c r="J226" s="6"/>
    </row>
    <row r="227" spans="6:10" ht="14.25" customHeight="1" x14ac:dyDescent="0.25">
      <c r="F227" s="6"/>
      <c r="J227" s="6"/>
    </row>
    <row r="228" spans="6:10" ht="14.25" customHeight="1" x14ac:dyDescent="0.25">
      <c r="F228" s="6"/>
      <c r="J228" s="6"/>
    </row>
    <row r="229" spans="6:10" ht="14.25" customHeight="1" x14ac:dyDescent="0.25">
      <c r="F229" s="6"/>
      <c r="J229" s="6"/>
    </row>
    <row r="230" spans="6:10" ht="14.25" customHeight="1" x14ac:dyDescent="0.25">
      <c r="F230" s="6"/>
      <c r="J230" s="6"/>
    </row>
    <row r="231" spans="6:10" ht="14.25" customHeight="1" x14ac:dyDescent="0.25">
      <c r="F231" s="6"/>
      <c r="J231" s="6"/>
    </row>
    <row r="232" spans="6:10" ht="14.25" customHeight="1" x14ac:dyDescent="0.25">
      <c r="F232" s="6"/>
      <c r="J232" s="6"/>
    </row>
    <row r="233" spans="6:10" ht="14.25" customHeight="1" x14ac:dyDescent="0.25">
      <c r="F233" s="6"/>
      <c r="J233" s="6"/>
    </row>
    <row r="234" spans="6:10" ht="14.25" customHeight="1" x14ac:dyDescent="0.25">
      <c r="F234" s="6"/>
      <c r="J234" s="6"/>
    </row>
    <row r="235" spans="6:10" ht="14.25" customHeight="1" x14ac:dyDescent="0.25">
      <c r="F235" s="6"/>
      <c r="J235" s="6"/>
    </row>
    <row r="236" spans="6:10" ht="14.25" customHeight="1" x14ac:dyDescent="0.25">
      <c r="F236" s="6"/>
      <c r="J236" s="6"/>
    </row>
    <row r="237" spans="6:10" ht="14.25" customHeight="1" x14ac:dyDescent="0.25">
      <c r="F237" s="6"/>
      <c r="J237" s="6"/>
    </row>
    <row r="238" spans="6:10" ht="14.25" customHeight="1" x14ac:dyDescent="0.25">
      <c r="F238" s="6"/>
      <c r="J238" s="6"/>
    </row>
    <row r="239" spans="6:10" ht="14.25" customHeight="1" x14ac:dyDescent="0.25">
      <c r="F239" s="6"/>
      <c r="J239" s="6"/>
    </row>
    <row r="240" spans="6:10" ht="14.25" customHeight="1" x14ac:dyDescent="0.25">
      <c r="F240" s="6"/>
      <c r="J240" s="6"/>
    </row>
    <row r="241" spans="6:10" ht="14.25" customHeight="1" x14ac:dyDescent="0.25">
      <c r="F241" s="6"/>
      <c r="J241" s="6"/>
    </row>
    <row r="242" spans="6:10" ht="14.25" customHeight="1" x14ac:dyDescent="0.25">
      <c r="F242" s="6"/>
      <c r="J242" s="6"/>
    </row>
    <row r="243" spans="6:10" ht="14.25" customHeight="1" x14ac:dyDescent="0.25">
      <c r="F243" s="6"/>
      <c r="J243" s="6"/>
    </row>
    <row r="244" spans="6:10" ht="14.25" customHeight="1" x14ac:dyDescent="0.25">
      <c r="F244" s="6"/>
      <c r="J244" s="6"/>
    </row>
    <row r="245" spans="6:10" ht="14.25" customHeight="1" x14ac:dyDescent="0.25">
      <c r="F245" s="6"/>
      <c r="J245" s="6"/>
    </row>
    <row r="246" spans="6:10" ht="14.25" customHeight="1" x14ac:dyDescent="0.25">
      <c r="F246" s="6"/>
      <c r="J246" s="6"/>
    </row>
    <row r="247" spans="6:10" ht="14.25" customHeight="1" x14ac:dyDescent="0.25">
      <c r="F247" s="6"/>
      <c r="J247" s="6"/>
    </row>
    <row r="248" spans="6:10" ht="14.25" customHeight="1" x14ac:dyDescent="0.25">
      <c r="F248" s="6"/>
      <c r="J248" s="6"/>
    </row>
    <row r="249" spans="6:10" ht="14.25" customHeight="1" x14ac:dyDescent="0.25">
      <c r="F249" s="6"/>
      <c r="J249" s="6"/>
    </row>
    <row r="250" spans="6:10" ht="14.25" customHeight="1" x14ac:dyDescent="0.25">
      <c r="F250" s="6"/>
      <c r="J250" s="6"/>
    </row>
    <row r="251" spans="6:10" ht="14.25" customHeight="1" x14ac:dyDescent="0.25">
      <c r="F251" s="6"/>
      <c r="J251" s="6"/>
    </row>
    <row r="252" spans="6:10" ht="14.25" customHeight="1" x14ac:dyDescent="0.25">
      <c r="F252" s="6"/>
      <c r="J252" s="6"/>
    </row>
    <row r="253" spans="6:10" ht="14.25" customHeight="1" x14ac:dyDescent="0.25">
      <c r="F253" s="6"/>
      <c r="J253" s="6"/>
    </row>
    <row r="254" spans="6:10" ht="14.25" customHeight="1" x14ac:dyDescent="0.25">
      <c r="F254" s="6"/>
      <c r="J254" s="6"/>
    </row>
    <row r="255" spans="6:10" ht="14.25" customHeight="1" x14ac:dyDescent="0.25">
      <c r="F255" s="6"/>
      <c r="J255" s="6"/>
    </row>
    <row r="256" spans="6:10" ht="14.25" customHeight="1" x14ac:dyDescent="0.25">
      <c r="F256" s="6"/>
      <c r="J256" s="6"/>
    </row>
    <row r="257" spans="6:10" ht="14.25" customHeight="1" x14ac:dyDescent="0.25">
      <c r="F257" s="6"/>
      <c r="J257" s="6"/>
    </row>
    <row r="258" spans="6:10" ht="14.25" customHeight="1" x14ac:dyDescent="0.25">
      <c r="F258" s="6"/>
      <c r="J258" s="6"/>
    </row>
    <row r="259" spans="6:10" ht="14.25" customHeight="1" x14ac:dyDescent="0.25">
      <c r="F259" s="6"/>
      <c r="J259" s="6"/>
    </row>
    <row r="260" spans="6:10" ht="14.25" customHeight="1" x14ac:dyDescent="0.25">
      <c r="F260" s="6"/>
      <c r="J260" s="6"/>
    </row>
    <row r="261" spans="6:10" ht="14.25" customHeight="1" x14ac:dyDescent="0.25">
      <c r="F261" s="6"/>
      <c r="J261" s="6"/>
    </row>
    <row r="262" spans="6:10" ht="14.25" customHeight="1" x14ac:dyDescent="0.25">
      <c r="F262" s="6"/>
      <c r="J262" s="6"/>
    </row>
    <row r="263" spans="6:10" ht="14.25" customHeight="1" x14ac:dyDescent="0.25">
      <c r="F263" s="6"/>
      <c r="J263" s="6"/>
    </row>
    <row r="264" spans="6:10" ht="14.25" customHeight="1" x14ac:dyDescent="0.25">
      <c r="F264" s="6"/>
      <c r="J264" s="6"/>
    </row>
    <row r="265" spans="6:10" ht="14.25" customHeight="1" x14ac:dyDescent="0.25">
      <c r="F265" s="6"/>
      <c r="J265" s="6"/>
    </row>
    <row r="266" spans="6:10" ht="14.25" customHeight="1" x14ac:dyDescent="0.25">
      <c r="F266" s="6"/>
      <c r="J266" s="6"/>
    </row>
    <row r="267" spans="6:10" ht="14.25" customHeight="1" x14ac:dyDescent="0.25">
      <c r="F267" s="6"/>
      <c r="J267" s="6"/>
    </row>
    <row r="268" spans="6:10" ht="14.25" customHeight="1" x14ac:dyDescent="0.25">
      <c r="F268" s="6"/>
      <c r="J268" s="6"/>
    </row>
    <row r="269" spans="6:10" ht="14.25" customHeight="1" x14ac:dyDescent="0.25">
      <c r="F269" s="6"/>
      <c r="J269" s="6"/>
    </row>
    <row r="270" spans="6:10" ht="14.25" customHeight="1" x14ac:dyDescent="0.25">
      <c r="F270" s="6"/>
      <c r="J270" s="6"/>
    </row>
    <row r="271" spans="6:10" ht="14.25" customHeight="1" x14ac:dyDescent="0.25">
      <c r="F271" s="6"/>
      <c r="J271" s="6"/>
    </row>
    <row r="272" spans="6:10" ht="14.25" customHeight="1" x14ac:dyDescent="0.25">
      <c r="F272" s="6"/>
      <c r="J272" s="6"/>
    </row>
    <row r="273" spans="6:10" ht="14.25" customHeight="1" x14ac:dyDescent="0.25">
      <c r="F273" s="6"/>
      <c r="J273" s="6"/>
    </row>
    <row r="274" spans="6:10" ht="14.25" customHeight="1" x14ac:dyDescent="0.25">
      <c r="F274" s="6"/>
      <c r="J274" s="6"/>
    </row>
    <row r="275" spans="6:10" ht="14.25" customHeight="1" x14ac:dyDescent="0.25">
      <c r="F275" s="6"/>
      <c r="J275" s="6"/>
    </row>
    <row r="276" spans="6:10" ht="14.25" customHeight="1" x14ac:dyDescent="0.25">
      <c r="F276" s="6"/>
      <c r="J276" s="6"/>
    </row>
    <row r="277" spans="6:10" ht="14.25" customHeight="1" x14ac:dyDescent="0.25">
      <c r="F277" s="6"/>
      <c r="J277" s="6"/>
    </row>
    <row r="278" spans="6:10" ht="14.25" customHeight="1" x14ac:dyDescent="0.25">
      <c r="F278" s="6"/>
      <c r="J278" s="6"/>
    </row>
    <row r="279" spans="6:10" ht="14.25" customHeight="1" x14ac:dyDescent="0.25">
      <c r="F279" s="6"/>
      <c r="J279" s="6"/>
    </row>
    <row r="280" spans="6:10" ht="14.25" customHeight="1" x14ac:dyDescent="0.25">
      <c r="F280" s="6"/>
      <c r="J280" s="6"/>
    </row>
    <row r="281" spans="6:10" ht="14.25" customHeight="1" x14ac:dyDescent="0.25">
      <c r="F281" s="6"/>
      <c r="J281" s="6"/>
    </row>
    <row r="282" spans="6:10" ht="14.25" customHeight="1" x14ac:dyDescent="0.25">
      <c r="F282" s="6"/>
      <c r="J282" s="6"/>
    </row>
    <row r="283" spans="6:10" ht="14.25" customHeight="1" x14ac:dyDescent="0.25">
      <c r="F283" s="6"/>
      <c r="J283" s="6"/>
    </row>
    <row r="284" spans="6:10" ht="14.25" customHeight="1" x14ac:dyDescent="0.25">
      <c r="F284" s="6"/>
      <c r="J284" s="6"/>
    </row>
    <row r="285" spans="6:10" ht="14.25" customHeight="1" x14ac:dyDescent="0.25">
      <c r="F285" s="6"/>
      <c r="J285" s="6"/>
    </row>
    <row r="286" spans="6:10" ht="14.25" customHeight="1" x14ac:dyDescent="0.25">
      <c r="F286" s="6"/>
      <c r="J286" s="6"/>
    </row>
    <row r="287" spans="6:10" ht="14.25" customHeight="1" x14ac:dyDescent="0.25">
      <c r="F287" s="6"/>
      <c r="J287" s="6"/>
    </row>
    <row r="288" spans="6:10" ht="14.25" customHeight="1" x14ac:dyDescent="0.25">
      <c r="F288" s="6"/>
      <c r="J288" s="6"/>
    </row>
    <row r="289" spans="6:10" ht="14.25" customHeight="1" x14ac:dyDescent="0.25">
      <c r="F289" s="6"/>
      <c r="J289" s="6"/>
    </row>
    <row r="290" spans="6:10" ht="14.25" customHeight="1" x14ac:dyDescent="0.25">
      <c r="F290" s="6"/>
      <c r="J290" s="6"/>
    </row>
    <row r="291" spans="6:10" ht="14.25" customHeight="1" x14ac:dyDescent="0.25">
      <c r="F291" s="6"/>
      <c r="J291" s="6"/>
    </row>
    <row r="292" spans="6:10" ht="14.25" customHeight="1" x14ac:dyDescent="0.25">
      <c r="F292" s="6"/>
      <c r="J292" s="6"/>
    </row>
    <row r="293" spans="6:10" ht="14.25" customHeight="1" x14ac:dyDescent="0.25">
      <c r="F293" s="6"/>
      <c r="J293" s="6"/>
    </row>
    <row r="294" spans="6:10" ht="14.25" customHeight="1" x14ac:dyDescent="0.25">
      <c r="F294" s="6"/>
      <c r="J294" s="6"/>
    </row>
    <row r="295" spans="6:10" ht="14.25" customHeight="1" x14ac:dyDescent="0.25">
      <c r="F295" s="6"/>
      <c r="J295" s="6"/>
    </row>
    <row r="296" spans="6:10" ht="14.25" customHeight="1" x14ac:dyDescent="0.25">
      <c r="F296" s="6"/>
      <c r="J296" s="6"/>
    </row>
    <row r="297" spans="6:10" ht="14.25" customHeight="1" x14ac:dyDescent="0.25">
      <c r="F297" s="6"/>
      <c r="J297" s="6"/>
    </row>
    <row r="298" spans="6:10" ht="14.25" customHeight="1" x14ac:dyDescent="0.25">
      <c r="F298" s="6"/>
      <c r="J298" s="6"/>
    </row>
    <row r="299" spans="6:10" ht="14.25" customHeight="1" x14ac:dyDescent="0.25">
      <c r="F299" s="6"/>
      <c r="J299" s="6"/>
    </row>
    <row r="300" spans="6:10" ht="14.25" customHeight="1" x14ac:dyDescent="0.25">
      <c r="F300" s="6"/>
      <c r="J300" s="6"/>
    </row>
    <row r="301" spans="6:10" ht="14.25" customHeight="1" x14ac:dyDescent="0.25">
      <c r="F301" s="6"/>
      <c r="J301" s="6"/>
    </row>
    <row r="302" spans="6:10" ht="14.25" customHeight="1" x14ac:dyDescent="0.25">
      <c r="F302" s="6"/>
      <c r="J302" s="6"/>
    </row>
    <row r="303" spans="6:10" ht="14.25" customHeight="1" x14ac:dyDescent="0.25">
      <c r="F303" s="6"/>
      <c r="J303" s="6"/>
    </row>
    <row r="304" spans="6:10" ht="14.25" customHeight="1" x14ac:dyDescent="0.25">
      <c r="F304" s="6"/>
      <c r="J304" s="6"/>
    </row>
    <row r="305" spans="6:10" ht="14.25" customHeight="1" x14ac:dyDescent="0.25">
      <c r="F305" s="6"/>
      <c r="J305" s="6"/>
    </row>
    <row r="306" spans="6:10" ht="14.25" customHeight="1" x14ac:dyDescent="0.25">
      <c r="F306" s="6"/>
      <c r="J306" s="6"/>
    </row>
    <row r="307" spans="6:10" ht="14.25" customHeight="1" x14ac:dyDescent="0.25">
      <c r="F307" s="6"/>
      <c r="J307" s="6"/>
    </row>
    <row r="308" spans="6:10" ht="14.25" customHeight="1" x14ac:dyDescent="0.25">
      <c r="F308" s="6"/>
      <c r="J308" s="6"/>
    </row>
    <row r="309" spans="6:10" ht="14.25" customHeight="1" x14ac:dyDescent="0.25">
      <c r="F309" s="6"/>
      <c r="J309" s="6"/>
    </row>
    <row r="310" spans="6:10" ht="14.25" customHeight="1" x14ac:dyDescent="0.25">
      <c r="F310" s="6"/>
      <c r="J310" s="6"/>
    </row>
    <row r="311" spans="6:10" ht="14.25" customHeight="1" x14ac:dyDescent="0.25">
      <c r="F311" s="6"/>
      <c r="J311" s="6"/>
    </row>
    <row r="312" spans="6:10" ht="14.25" customHeight="1" x14ac:dyDescent="0.25">
      <c r="F312" s="6"/>
      <c r="J312" s="6"/>
    </row>
    <row r="313" spans="6:10" ht="14.25" customHeight="1" x14ac:dyDescent="0.25">
      <c r="F313" s="6"/>
      <c r="J313" s="6"/>
    </row>
    <row r="314" spans="6:10" ht="14.25" customHeight="1" x14ac:dyDescent="0.25">
      <c r="F314" s="6"/>
      <c r="J314" s="6"/>
    </row>
    <row r="315" spans="6:10" ht="14.25" customHeight="1" x14ac:dyDescent="0.25">
      <c r="F315" s="6"/>
      <c r="J315" s="6"/>
    </row>
    <row r="316" spans="6:10" ht="14.25" customHeight="1" x14ac:dyDescent="0.25">
      <c r="F316" s="6"/>
      <c r="J316" s="6"/>
    </row>
    <row r="317" spans="6:10" ht="14.25" customHeight="1" x14ac:dyDescent="0.25">
      <c r="F317" s="6"/>
      <c r="J317" s="6"/>
    </row>
    <row r="318" spans="6:10" ht="14.25" customHeight="1" x14ac:dyDescent="0.25">
      <c r="F318" s="6"/>
      <c r="J318" s="6"/>
    </row>
    <row r="319" spans="6:10" ht="14.25" customHeight="1" x14ac:dyDescent="0.25">
      <c r="F319" s="6"/>
      <c r="J319" s="6"/>
    </row>
    <row r="320" spans="6:10" ht="14.25" customHeight="1" x14ac:dyDescent="0.25">
      <c r="F320" s="6"/>
      <c r="J320" s="6"/>
    </row>
    <row r="321" spans="6:10" ht="14.25" customHeight="1" x14ac:dyDescent="0.25">
      <c r="F321" s="6"/>
      <c r="J321" s="6"/>
    </row>
    <row r="322" spans="6:10" ht="14.25" customHeight="1" x14ac:dyDescent="0.25">
      <c r="F322" s="6"/>
      <c r="J322" s="6"/>
    </row>
    <row r="323" spans="6:10" ht="14.25" customHeight="1" x14ac:dyDescent="0.25">
      <c r="F323" s="6"/>
      <c r="J323" s="6"/>
    </row>
    <row r="324" spans="6:10" ht="14.25" customHeight="1" x14ac:dyDescent="0.25">
      <c r="F324" s="6"/>
      <c r="J324" s="6"/>
    </row>
    <row r="325" spans="6:10" ht="14.25" customHeight="1" x14ac:dyDescent="0.25">
      <c r="F325" s="6"/>
      <c r="J325" s="6"/>
    </row>
    <row r="326" spans="6:10" ht="14.25" customHeight="1" x14ac:dyDescent="0.25">
      <c r="F326" s="6"/>
      <c r="J326" s="6"/>
    </row>
    <row r="327" spans="6:10" ht="14.25" customHeight="1" x14ac:dyDescent="0.25">
      <c r="F327" s="6"/>
      <c r="J327" s="6"/>
    </row>
    <row r="328" spans="6:10" ht="14.25" customHeight="1" x14ac:dyDescent="0.25">
      <c r="F328" s="6"/>
      <c r="J328" s="6"/>
    </row>
    <row r="329" spans="6:10" ht="14.25" customHeight="1" x14ac:dyDescent="0.25">
      <c r="F329" s="6"/>
      <c r="J329" s="6"/>
    </row>
    <row r="330" spans="6:10" ht="14.25" customHeight="1" x14ac:dyDescent="0.25">
      <c r="F330" s="6"/>
      <c r="J330" s="6"/>
    </row>
    <row r="331" spans="6:10" ht="14.25" customHeight="1" x14ac:dyDescent="0.25">
      <c r="F331" s="6"/>
      <c r="J331" s="6"/>
    </row>
    <row r="332" spans="6:10" ht="14.25" customHeight="1" x14ac:dyDescent="0.25">
      <c r="F332" s="6"/>
      <c r="J332" s="6"/>
    </row>
    <row r="333" spans="6:10" ht="14.25" customHeight="1" x14ac:dyDescent="0.25">
      <c r="F333" s="6"/>
      <c r="J333" s="6"/>
    </row>
    <row r="334" spans="6:10" ht="14.25" customHeight="1" x14ac:dyDescent="0.25">
      <c r="F334" s="6"/>
      <c r="J334" s="6"/>
    </row>
    <row r="335" spans="6:10" ht="14.25" customHeight="1" x14ac:dyDescent="0.25">
      <c r="F335" s="6"/>
      <c r="J335" s="6"/>
    </row>
    <row r="336" spans="6:10" ht="14.25" customHeight="1" x14ac:dyDescent="0.25">
      <c r="F336" s="6"/>
      <c r="J336" s="6"/>
    </row>
    <row r="337" spans="6:10" ht="14.25" customHeight="1" x14ac:dyDescent="0.25">
      <c r="F337" s="6"/>
      <c r="J337" s="6"/>
    </row>
    <row r="338" spans="6:10" ht="14.25" customHeight="1" x14ac:dyDescent="0.25">
      <c r="F338" s="6"/>
      <c r="J338" s="6"/>
    </row>
    <row r="339" spans="6:10" ht="14.25" customHeight="1" x14ac:dyDescent="0.25">
      <c r="F339" s="6"/>
      <c r="J339" s="6"/>
    </row>
    <row r="340" spans="6:10" ht="14.25" customHeight="1" x14ac:dyDescent="0.25">
      <c r="F340" s="6"/>
      <c r="J340" s="6"/>
    </row>
    <row r="341" spans="6:10" ht="14.25" customHeight="1" x14ac:dyDescent="0.25">
      <c r="F341" s="6"/>
      <c r="J341" s="6"/>
    </row>
    <row r="342" spans="6:10" ht="14.25" customHeight="1" x14ac:dyDescent="0.25">
      <c r="F342" s="6"/>
      <c r="J342" s="6"/>
    </row>
    <row r="343" spans="6:10" ht="14.25" customHeight="1" x14ac:dyDescent="0.25">
      <c r="F343" s="6"/>
      <c r="J343" s="6"/>
    </row>
    <row r="344" spans="6:10" ht="14.25" customHeight="1" x14ac:dyDescent="0.25">
      <c r="F344" s="6"/>
      <c r="J344" s="6"/>
    </row>
    <row r="345" spans="6:10" ht="14.25" customHeight="1" x14ac:dyDescent="0.25">
      <c r="F345" s="6"/>
      <c r="J345" s="6"/>
    </row>
    <row r="346" spans="6:10" ht="14.25" customHeight="1" x14ac:dyDescent="0.25">
      <c r="F346" s="6"/>
      <c r="J346" s="6"/>
    </row>
    <row r="347" spans="6:10" ht="14.25" customHeight="1" x14ac:dyDescent="0.25">
      <c r="F347" s="6"/>
      <c r="J347" s="6"/>
    </row>
    <row r="348" spans="6:10" ht="14.25" customHeight="1" x14ac:dyDescent="0.25">
      <c r="F348" s="6"/>
      <c r="J348" s="6"/>
    </row>
    <row r="349" spans="6:10" ht="14.25" customHeight="1" x14ac:dyDescent="0.25">
      <c r="F349" s="6"/>
      <c r="J349" s="6"/>
    </row>
    <row r="350" spans="6:10" ht="14.25" customHeight="1" x14ac:dyDescent="0.25">
      <c r="F350" s="6"/>
      <c r="J350" s="6"/>
    </row>
    <row r="351" spans="6:10" ht="14.25" customHeight="1" x14ac:dyDescent="0.25">
      <c r="F351" s="6"/>
      <c r="J351" s="6"/>
    </row>
    <row r="352" spans="6:10" ht="14.25" customHeight="1" x14ac:dyDescent="0.25">
      <c r="F352" s="6"/>
      <c r="J352" s="6"/>
    </row>
    <row r="353" spans="6:10" ht="14.25" customHeight="1" x14ac:dyDescent="0.25">
      <c r="F353" s="6"/>
      <c r="J353" s="6"/>
    </row>
    <row r="354" spans="6:10" ht="14.25" customHeight="1" x14ac:dyDescent="0.25">
      <c r="F354" s="6"/>
      <c r="J354" s="6"/>
    </row>
    <row r="355" spans="6:10" ht="14.25" customHeight="1" x14ac:dyDescent="0.25">
      <c r="F355" s="6"/>
      <c r="J355" s="6"/>
    </row>
    <row r="356" spans="6:10" ht="14.25" customHeight="1" x14ac:dyDescent="0.25">
      <c r="F356" s="6"/>
      <c r="J356" s="6"/>
    </row>
    <row r="357" spans="6:10" ht="14.25" customHeight="1" x14ac:dyDescent="0.25">
      <c r="F357" s="6"/>
      <c r="J357" s="6"/>
    </row>
    <row r="358" spans="6:10" ht="14.25" customHeight="1" x14ac:dyDescent="0.25">
      <c r="F358" s="6"/>
      <c r="J358" s="6"/>
    </row>
    <row r="359" spans="6:10" ht="14.25" customHeight="1" x14ac:dyDescent="0.25">
      <c r="F359" s="6"/>
      <c r="J359" s="6"/>
    </row>
    <row r="360" spans="6:10" ht="14.25" customHeight="1" x14ac:dyDescent="0.25">
      <c r="F360" s="6"/>
      <c r="J360" s="6"/>
    </row>
    <row r="361" spans="6:10" ht="14.25" customHeight="1" x14ac:dyDescent="0.25">
      <c r="F361" s="6"/>
      <c r="J361" s="6"/>
    </row>
    <row r="362" spans="6:10" ht="14.25" customHeight="1" x14ac:dyDescent="0.25">
      <c r="F362" s="6"/>
      <c r="J362" s="6"/>
    </row>
    <row r="363" spans="6:10" ht="14.25" customHeight="1" x14ac:dyDescent="0.25">
      <c r="F363" s="6"/>
      <c r="J363" s="6"/>
    </row>
    <row r="364" spans="6:10" ht="14.25" customHeight="1" x14ac:dyDescent="0.25">
      <c r="F364" s="6"/>
      <c r="J364" s="6"/>
    </row>
    <row r="365" spans="6:10" ht="14.25" customHeight="1" x14ac:dyDescent="0.25">
      <c r="F365" s="6"/>
      <c r="J365" s="6"/>
    </row>
    <row r="366" spans="6:10" ht="14.25" customHeight="1" x14ac:dyDescent="0.25">
      <c r="F366" s="6"/>
      <c r="J366" s="6"/>
    </row>
    <row r="367" spans="6:10" ht="14.25" customHeight="1" x14ac:dyDescent="0.25">
      <c r="F367" s="6"/>
      <c r="J367" s="6"/>
    </row>
    <row r="368" spans="6:10" ht="14.25" customHeight="1" x14ac:dyDescent="0.25">
      <c r="F368" s="6"/>
      <c r="J368" s="6"/>
    </row>
    <row r="369" spans="6:10" ht="14.25" customHeight="1" x14ac:dyDescent="0.25">
      <c r="F369" s="6"/>
      <c r="J369" s="6"/>
    </row>
    <row r="370" spans="6:10" ht="14.25" customHeight="1" x14ac:dyDescent="0.25">
      <c r="F370" s="6"/>
      <c r="J370" s="6"/>
    </row>
    <row r="371" spans="6:10" ht="14.25" customHeight="1" x14ac:dyDescent="0.25">
      <c r="F371" s="6"/>
      <c r="J371" s="6"/>
    </row>
    <row r="372" spans="6:10" ht="14.25" customHeight="1" x14ac:dyDescent="0.25">
      <c r="F372" s="6"/>
      <c r="J372" s="6"/>
    </row>
    <row r="373" spans="6:10" ht="14.25" customHeight="1" x14ac:dyDescent="0.25">
      <c r="F373" s="6"/>
      <c r="J373" s="6"/>
    </row>
    <row r="374" spans="6:10" ht="14.25" customHeight="1" x14ac:dyDescent="0.25">
      <c r="F374" s="6"/>
      <c r="J374" s="6"/>
    </row>
    <row r="375" spans="6:10" ht="14.25" customHeight="1" x14ac:dyDescent="0.25">
      <c r="F375" s="6"/>
      <c r="J375" s="6"/>
    </row>
    <row r="376" spans="6:10" ht="14.25" customHeight="1" x14ac:dyDescent="0.25">
      <c r="F376" s="6"/>
      <c r="J376" s="6"/>
    </row>
    <row r="377" spans="6:10" ht="14.25" customHeight="1" x14ac:dyDescent="0.25">
      <c r="F377" s="6"/>
      <c r="J377" s="6"/>
    </row>
    <row r="378" spans="6:10" ht="14.25" customHeight="1" x14ac:dyDescent="0.25">
      <c r="F378" s="6"/>
      <c r="J378" s="6"/>
    </row>
    <row r="379" spans="6:10" ht="14.25" customHeight="1" x14ac:dyDescent="0.25">
      <c r="F379" s="6"/>
      <c r="J379" s="6"/>
    </row>
    <row r="380" spans="6:10" ht="14.25" customHeight="1" x14ac:dyDescent="0.25">
      <c r="F380" s="6"/>
      <c r="J380" s="6"/>
    </row>
    <row r="381" spans="6:10" ht="14.25" customHeight="1" x14ac:dyDescent="0.25">
      <c r="F381" s="6"/>
      <c r="J381" s="6"/>
    </row>
    <row r="382" spans="6:10" ht="14.25" customHeight="1" x14ac:dyDescent="0.25">
      <c r="F382" s="6"/>
      <c r="J382" s="6"/>
    </row>
    <row r="383" spans="6:10" ht="14.25" customHeight="1" x14ac:dyDescent="0.25">
      <c r="F383" s="6"/>
      <c r="J383" s="6"/>
    </row>
    <row r="384" spans="6:10" ht="14.25" customHeight="1" x14ac:dyDescent="0.25">
      <c r="F384" s="6"/>
      <c r="J384" s="6"/>
    </row>
    <row r="385" spans="6:10" ht="14.25" customHeight="1" x14ac:dyDescent="0.25">
      <c r="F385" s="6"/>
      <c r="J385" s="6"/>
    </row>
    <row r="386" spans="6:10" ht="14.25" customHeight="1" x14ac:dyDescent="0.25">
      <c r="F386" s="6"/>
      <c r="J386" s="6"/>
    </row>
    <row r="387" spans="6:10" ht="14.25" customHeight="1" x14ac:dyDescent="0.25">
      <c r="F387" s="6"/>
      <c r="J387" s="6"/>
    </row>
    <row r="388" spans="6:10" ht="14.25" customHeight="1" x14ac:dyDescent="0.25">
      <c r="F388" s="6"/>
      <c r="J388" s="6"/>
    </row>
    <row r="389" spans="6:10" ht="14.25" customHeight="1" x14ac:dyDescent="0.25">
      <c r="F389" s="6"/>
      <c r="J389" s="6"/>
    </row>
    <row r="390" spans="6:10" ht="14.25" customHeight="1" x14ac:dyDescent="0.25">
      <c r="F390" s="6"/>
      <c r="J390" s="6"/>
    </row>
    <row r="391" spans="6:10" ht="14.25" customHeight="1" x14ac:dyDescent="0.25">
      <c r="F391" s="6"/>
      <c r="J391" s="6"/>
    </row>
    <row r="392" spans="6:10" ht="14.25" customHeight="1" x14ac:dyDescent="0.25">
      <c r="F392" s="6"/>
      <c r="J392" s="6"/>
    </row>
    <row r="393" spans="6:10" ht="14.25" customHeight="1" x14ac:dyDescent="0.25">
      <c r="F393" s="6"/>
      <c r="J393" s="6"/>
    </row>
    <row r="394" spans="6:10" ht="14.25" customHeight="1" x14ac:dyDescent="0.25">
      <c r="F394" s="6"/>
      <c r="J394" s="6"/>
    </row>
    <row r="395" spans="6:10" ht="14.25" customHeight="1" x14ac:dyDescent="0.25">
      <c r="F395" s="6"/>
      <c r="J395" s="6"/>
    </row>
    <row r="396" spans="6:10" ht="14.25" customHeight="1" x14ac:dyDescent="0.25">
      <c r="F396" s="6"/>
      <c r="J396" s="6"/>
    </row>
    <row r="397" spans="6:10" ht="14.25" customHeight="1" x14ac:dyDescent="0.25">
      <c r="F397" s="6"/>
      <c r="J397" s="6"/>
    </row>
    <row r="398" spans="6:10" ht="14.25" customHeight="1" x14ac:dyDescent="0.25">
      <c r="F398" s="6"/>
      <c r="J398" s="6"/>
    </row>
    <row r="399" spans="6:10" ht="14.25" customHeight="1" x14ac:dyDescent="0.25">
      <c r="F399" s="6"/>
      <c r="J399" s="6"/>
    </row>
    <row r="400" spans="6:10" ht="14.25" customHeight="1" x14ac:dyDescent="0.25">
      <c r="F400" s="6"/>
      <c r="J400" s="6"/>
    </row>
    <row r="401" spans="6:10" ht="14.25" customHeight="1" x14ac:dyDescent="0.25">
      <c r="F401" s="6"/>
      <c r="J401" s="6"/>
    </row>
    <row r="402" spans="6:10" ht="14.25" customHeight="1" x14ac:dyDescent="0.25">
      <c r="F402" s="6"/>
      <c r="J402" s="6"/>
    </row>
    <row r="403" spans="6:10" ht="14.25" customHeight="1" x14ac:dyDescent="0.25">
      <c r="F403" s="6"/>
      <c r="J403" s="6"/>
    </row>
    <row r="404" spans="6:10" ht="14.25" customHeight="1" x14ac:dyDescent="0.25">
      <c r="F404" s="6"/>
      <c r="J404" s="6"/>
    </row>
    <row r="405" spans="6:10" ht="14.25" customHeight="1" x14ac:dyDescent="0.25">
      <c r="F405" s="6"/>
      <c r="J405" s="6"/>
    </row>
    <row r="406" spans="6:10" ht="14.25" customHeight="1" x14ac:dyDescent="0.25">
      <c r="F406" s="6"/>
      <c r="J406" s="6"/>
    </row>
    <row r="407" spans="6:10" ht="14.25" customHeight="1" x14ac:dyDescent="0.25">
      <c r="F407" s="6"/>
      <c r="J407" s="6"/>
    </row>
    <row r="408" spans="6:10" ht="14.25" customHeight="1" x14ac:dyDescent="0.25">
      <c r="F408" s="6"/>
      <c r="J408" s="6"/>
    </row>
    <row r="409" spans="6:10" ht="14.25" customHeight="1" x14ac:dyDescent="0.25">
      <c r="F409" s="6"/>
      <c r="J409" s="6"/>
    </row>
    <row r="410" spans="6:10" ht="14.25" customHeight="1" x14ac:dyDescent="0.25">
      <c r="F410" s="6"/>
      <c r="J410" s="6"/>
    </row>
    <row r="411" spans="6:10" ht="14.25" customHeight="1" x14ac:dyDescent="0.25">
      <c r="F411" s="6"/>
      <c r="J411" s="6"/>
    </row>
    <row r="412" spans="6:10" ht="14.25" customHeight="1" x14ac:dyDescent="0.25">
      <c r="F412" s="6"/>
      <c r="J412" s="6"/>
    </row>
    <row r="413" spans="6:10" ht="14.25" customHeight="1" x14ac:dyDescent="0.25">
      <c r="F413" s="6"/>
      <c r="J413" s="6"/>
    </row>
    <row r="414" spans="6:10" ht="14.25" customHeight="1" x14ac:dyDescent="0.25">
      <c r="F414" s="6"/>
      <c r="J414" s="6"/>
    </row>
    <row r="415" spans="6:10" ht="14.25" customHeight="1" x14ac:dyDescent="0.25">
      <c r="F415" s="6"/>
      <c r="J415" s="6"/>
    </row>
    <row r="416" spans="6:10" ht="14.25" customHeight="1" x14ac:dyDescent="0.25">
      <c r="F416" s="6"/>
      <c r="J416" s="6"/>
    </row>
    <row r="417" spans="6:10" ht="14.25" customHeight="1" x14ac:dyDescent="0.25">
      <c r="F417" s="6"/>
      <c r="J417" s="6"/>
    </row>
    <row r="418" spans="6:10" ht="14.25" customHeight="1" x14ac:dyDescent="0.25">
      <c r="F418" s="6"/>
      <c r="J418" s="6"/>
    </row>
    <row r="419" spans="6:10" ht="14.25" customHeight="1" x14ac:dyDescent="0.25">
      <c r="F419" s="6"/>
      <c r="J419" s="6"/>
    </row>
    <row r="420" spans="6:10" ht="14.25" customHeight="1" x14ac:dyDescent="0.25">
      <c r="F420" s="6"/>
      <c r="J420" s="6"/>
    </row>
    <row r="421" spans="6:10" ht="14.25" customHeight="1" x14ac:dyDescent="0.25">
      <c r="F421" s="6"/>
      <c r="J421" s="6"/>
    </row>
    <row r="422" spans="6:10" ht="14.25" customHeight="1" x14ac:dyDescent="0.25">
      <c r="F422" s="6"/>
      <c r="J422" s="6"/>
    </row>
    <row r="423" spans="6:10" ht="14.25" customHeight="1" x14ac:dyDescent="0.25">
      <c r="F423" s="6"/>
      <c r="J423" s="6"/>
    </row>
    <row r="424" spans="6:10" ht="14.25" customHeight="1" x14ac:dyDescent="0.25">
      <c r="F424" s="6"/>
      <c r="J424" s="6"/>
    </row>
    <row r="425" spans="6:10" ht="14.25" customHeight="1" x14ac:dyDescent="0.25">
      <c r="F425" s="6"/>
      <c r="J425" s="6"/>
    </row>
    <row r="426" spans="6:10" ht="14.25" customHeight="1" x14ac:dyDescent="0.25">
      <c r="F426" s="6"/>
      <c r="J426" s="6"/>
    </row>
    <row r="427" spans="6:10" ht="14.25" customHeight="1" x14ac:dyDescent="0.25">
      <c r="F427" s="6"/>
      <c r="J427" s="6"/>
    </row>
    <row r="428" spans="6:10" ht="14.25" customHeight="1" x14ac:dyDescent="0.25">
      <c r="F428" s="6"/>
      <c r="J428" s="6"/>
    </row>
    <row r="429" spans="6:10" ht="14.25" customHeight="1" x14ac:dyDescent="0.25">
      <c r="F429" s="6"/>
      <c r="J429" s="6"/>
    </row>
    <row r="430" spans="6:10" ht="14.25" customHeight="1" x14ac:dyDescent="0.25">
      <c r="F430" s="6"/>
      <c r="J430" s="6"/>
    </row>
    <row r="431" spans="6:10" ht="14.25" customHeight="1" x14ac:dyDescent="0.25">
      <c r="F431" s="6"/>
      <c r="J431" s="6"/>
    </row>
    <row r="432" spans="6:10" ht="14.25" customHeight="1" x14ac:dyDescent="0.25">
      <c r="F432" s="6"/>
      <c r="J432" s="6"/>
    </row>
    <row r="433" spans="6:10" ht="14.25" customHeight="1" x14ac:dyDescent="0.25">
      <c r="F433" s="6"/>
      <c r="J433" s="6"/>
    </row>
    <row r="434" spans="6:10" ht="14.25" customHeight="1" x14ac:dyDescent="0.25">
      <c r="F434" s="6"/>
      <c r="J434" s="6"/>
    </row>
    <row r="435" spans="6:10" ht="14.25" customHeight="1" x14ac:dyDescent="0.25">
      <c r="F435" s="6"/>
      <c r="J435" s="6"/>
    </row>
    <row r="436" spans="6:10" ht="14.25" customHeight="1" x14ac:dyDescent="0.25">
      <c r="F436" s="6"/>
      <c r="J436" s="6"/>
    </row>
    <row r="437" spans="6:10" ht="14.25" customHeight="1" x14ac:dyDescent="0.25">
      <c r="F437" s="6"/>
      <c r="J437" s="6"/>
    </row>
    <row r="438" spans="6:10" ht="14.25" customHeight="1" x14ac:dyDescent="0.25">
      <c r="F438" s="6"/>
      <c r="J438" s="6"/>
    </row>
    <row r="439" spans="6:10" ht="14.25" customHeight="1" x14ac:dyDescent="0.25">
      <c r="F439" s="6"/>
      <c r="J439" s="6"/>
    </row>
    <row r="440" spans="6:10" ht="14.25" customHeight="1" x14ac:dyDescent="0.25">
      <c r="F440" s="6"/>
      <c r="J440" s="6"/>
    </row>
    <row r="441" spans="6:10" ht="14.25" customHeight="1" x14ac:dyDescent="0.25">
      <c r="F441" s="6"/>
      <c r="J441" s="6"/>
    </row>
    <row r="442" spans="6:10" ht="14.25" customHeight="1" x14ac:dyDescent="0.25">
      <c r="F442" s="6"/>
      <c r="J442" s="6"/>
    </row>
    <row r="443" spans="6:10" ht="14.25" customHeight="1" x14ac:dyDescent="0.25">
      <c r="F443" s="6"/>
      <c r="J443" s="6"/>
    </row>
    <row r="444" spans="6:10" ht="14.25" customHeight="1" x14ac:dyDescent="0.25">
      <c r="F444" s="6"/>
      <c r="J444" s="6"/>
    </row>
    <row r="445" spans="6:10" ht="14.25" customHeight="1" x14ac:dyDescent="0.25">
      <c r="F445" s="6"/>
      <c r="J445" s="6"/>
    </row>
    <row r="446" spans="6:10" ht="14.25" customHeight="1" x14ac:dyDescent="0.25">
      <c r="F446" s="6"/>
      <c r="J446" s="6"/>
    </row>
    <row r="447" spans="6:10" ht="14.25" customHeight="1" x14ac:dyDescent="0.25">
      <c r="F447" s="6"/>
      <c r="J447" s="6"/>
    </row>
    <row r="448" spans="6:10" ht="14.25" customHeight="1" x14ac:dyDescent="0.25">
      <c r="F448" s="6"/>
      <c r="J448" s="6"/>
    </row>
    <row r="449" spans="6:10" ht="14.25" customHeight="1" x14ac:dyDescent="0.25">
      <c r="F449" s="6"/>
      <c r="J449" s="6"/>
    </row>
    <row r="450" spans="6:10" ht="14.25" customHeight="1" x14ac:dyDescent="0.25">
      <c r="F450" s="6"/>
      <c r="J450" s="6"/>
    </row>
    <row r="451" spans="6:10" ht="14.25" customHeight="1" x14ac:dyDescent="0.25">
      <c r="F451" s="6"/>
      <c r="J451" s="6"/>
    </row>
    <row r="452" spans="6:10" ht="14.25" customHeight="1" x14ac:dyDescent="0.25">
      <c r="F452" s="6"/>
      <c r="J452" s="6"/>
    </row>
    <row r="453" spans="6:10" ht="14.25" customHeight="1" x14ac:dyDescent="0.25">
      <c r="F453" s="6"/>
      <c r="J453" s="6"/>
    </row>
    <row r="454" spans="6:10" ht="14.25" customHeight="1" x14ac:dyDescent="0.25">
      <c r="F454" s="6"/>
      <c r="J454" s="6"/>
    </row>
    <row r="455" spans="6:10" ht="14.25" customHeight="1" x14ac:dyDescent="0.25">
      <c r="F455" s="6"/>
      <c r="J455" s="6"/>
    </row>
    <row r="456" spans="6:10" ht="14.25" customHeight="1" x14ac:dyDescent="0.25">
      <c r="F456" s="6"/>
      <c r="J456" s="6"/>
    </row>
    <row r="457" spans="6:10" ht="14.25" customHeight="1" x14ac:dyDescent="0.25">
      <c r="F457" s="6"/>
      <c r="J457" s="6"/>
    </row>
    <row r="458" spans="6:10" ht="14.25" customHeight="1" x14ac:dyDescent="0.25">
      <c r="F458" s="6"/>
      <c r="J458" s="6"/>
    </row>
    <row r="459" spans="6:10" ht="14.25" customHeight="1" x14ac:dyDescent="0.25">
      <c r="F459" s="6"/>
      <c r="J459" s="6"/>
    </row>
    <row r="460" spans="6:10" ht="14.25" customHeight="1" x14ac:dyDescent="0.25">
      <c r="F460" s="6"/>
      <c r="J460" s="6"/>
    </row>
    <row r="461" spans="6:10" ht="14.25" customHeight="1" x14ac:dyDescent="0.25">
      <c r="F461" s="6"/>
      <c r="J461" s="6"/>
    </row>
    <row r="462" spans="6:10" ht="14.25" customHeight="1" x14ac:dyDescent="0.25">
      <c r="F462" s="6"/>
      <c r="J462" s="6"/>
    </row>
    <row r="463" spans="6:10" ht="14.25" customHeight="1" x14ac:dyDescent="0.25">
      <c r="F463" s="6"/>
      <c r="J463" s="6"/>
    </row>
    <row r="464" spans="6:10" ht="14.25" customHeight="1" x14ac:dyDescent="0.25">
      <c r="F464" s="6"/>
      <c r="J464" s="6"/>
    </row>
    <row r="465" spans="6:10" ht="14.25" customHeight="1" x14ac:dyDescent="0.25">
      <c r="F465" s="6"/>
      <c r="J465" s="6"/>
    </row>
    <row r="466" spans="6:10" ht="14.25" customHeight="1" x14ac:dyDescent="0.25">
      <c r="F466" s="6"/>
      <c r="J466" s="6"/>
    </row>
    <row r="467" spans="6:10" ht="14.25" customHeight="1" x14ac:dyDescent="0.25">
      <c r="F467" s="6"/>
      <c r="J467" s="6"/>
    </row>
    <row r="468" spans="6:10" ht="14.25" customHeight="1" x14ac:dyDescent="0.25">
      <c r="F468" s="6"/>
      <c r="J468" s="6"/>
    </row>
    <row r="469" spans="6:10" ht="14.25" customHeight="1" x14ac:dyDescent="0.25">
      <c r="F469" s="6"/>
      <c r="J469" s="6"/>
    </row>
    <row r="470" spans="6:10" ht="14.25" customHeight="1" x14ac:dyDescent="0.25">
      <c r="F470" s="6"/>
      <c r="J470" s="6"/>
    </row>
    <row r="471" spans="6:10" ht="14.25" customHeight="1" x14ac:dyDescent="0.25">
      <c r="F471" s="6"/>
      <c r="J471" s="6"/>
    </row>
    <row r="472" spans="6:10" ht="14.25" customHeight="1" x14ac:dyDescent="0.25">
      <c r="F472" s="6"/>
      <c r="J472" s="6"/>
    </row>
    <row r="473" spans="6:10" ht="14.25" customHeight="1" x14ac:dyDescent="0.25">
      <c r="F473" s="6"/>
      <c r="J473" s="6"/>
    </row>
    <row r="474" spans="6:10" ht="14.25" customHeight="1" x14ac:dyDescent="0.25">
      <c r="F474" s="6"/>
      <c r="J474" s="6"/>
    </row>
    <row r="475" spans="6:10" ht="14.25" customHeight="1" x14ac:dyDescent="0.25">
      <c r="F475" s="6"/>
      <c r="J475" s="6"/>
    </row>
    <row r="476" spans="6:10" ht="14.25" customHeight="1" x14ac:dyDescent="0.25">
      <c r="F476" s="6"/>
      <c r="J476" s="6"/>
    </row>
    <row r="477" spans="6:10" ht="14.25" customHeight="1" x14ac:dyDescent="0.25">
      <c r="F477" s="6"/>
      <c r="J477" s="6"/>
    </row>
    <row r="478" spans="6:10" ht="14.25" customHeight="1" x14ac:dyDescent="0.25">
      <c r="F478" s="6"/>
      <c r="J478" s="6"/>
    </row>
    <row r="479" spans="6:10" ht="14.25" customHeight="1" x14ac:dyDescent="0.25">
      <c r="F479" s="6"/>
      <c r="J479" s="6"/>
    </row>
    <row r="480" spans="6:10" ht="14.25" customHeight="1" x14ac:dyDescent="0.25">
      <c r="F480" s="6"/>
      <c r="J480" s="6"/>
    </row>
    <row r="481" spans="6:10" ht="14.25" customHeight="1" x14ac:dyDescent="0.25">
      <c r="F481" s="6"/>
      <c r="J481" s="6"/>
    </row>
    <row r="482" spans="6:10" ht="14.25" customHeight="1" x14ac:dyDescent="0.25">
      <c r="F482" s="6"/>
      <c r="J482" s="6"/>
    </row>
    <row r="483" spans="6:10" ht="14.25" customHeight="1" x14ac:dyDescent="0.25">
      <c r="F483" s="6"/>
      <c r="J483" s="6"/>
    </row>
    <row r="484" spans="6:10" ht="14.25" customHeight="1" x14ac:dyDescent="0.25">
      <c r="F484" s="6"/>
      <c r="J484" s="6"/>
    </row>
    <row r="485" spans="6:10" ht="14.25" customHeight="1" x14ac:dyDescent="0.25">
      <c r="F485" s="6"/>
      <c r="J485" s="6"/>
    </row>
    <row r="486" spans="6:10" ht="14.25" customHeight="1" x14ac:dyDescent="0.25">
      <c r="F486" s="6"/>
      <c r="J486" s="6"/>
    </row>
    <row r="487" spans="6:10" ht="14.25" customHeight="1" x14ac:dyDescent="0.25">
      <c r="F487" s="6"/>
      <c r="J487" s="6"/>
    </row>
    <row r="488" spans="6:10" ht="14.25" customHeight="1" x14ac:dyDescent="0.25">
      <c r="F488" s="6"/>
      <c r="J488" s="6"/>
    </row>
    <row r="489" spans="6:10" ht="14.25" customHeight="1" x14ac:dyDescent="0.25">
      <c r="F489" s="6"/>
      <c r="J489" s="6"/>
    </row>
    <row r="490" spans="6:10" ht="14.25" customHeight="1" x14ac:dyDescent="0.25">
      <c r="F490" s="6"/>
      <c r="J490" s="6"/>
    </row>
    <row r="491" spans="6:10" ht="14.25" customHeight="1" x14ac:dyDescent="0.25">
      <c r="F491" s="6"/>
      <c r="J491" s="6"/>
    </row>
    <row r="492" spans="6:10" ht="14.25" customHeight="1" x14ac:dyDescent="0.25">
      <c r="F492" s="6"/>
      <c r="J492" s="6"/>
    </row>
    <row r="493" spans="6:10" ht="14.25" customHeight="1" x14ac:dyDescent="0.25">
      <c r="F493" s="6"/>
      <c r="J493" s="6"/>
    </row>
    <row r="494" spans="6:10" ht="14.25" customHeight="1" x14ac:dyDescent="0.25">
      <c r="F494" s="6"/>
      <c r="J494" s="6"/>
    </row>
    <row r="495" spans="6:10" ht="14.25" customHeight="1" x14ac:dyDescent="0.25">
      <c r="F495" s="6"/>
      <c r="J495" s="6"/>
    </row>
    <row r="496" spans="6:10" ht="14.25" customHeight="1" x14ac:dyDescent="0.25">
      <c r="F496" s="6"/>
      <c r="J496" s="6"/>
    </row>
    <row r="497" spans="6:10" ht="14.25" customHeight="1" x14ac:dyDescent="0.25">
      <c r="F497" s="6"/>
      <c r="J497" s="6"/>
    </row>
    <row r="498" spans="6:10" ht="14.25" customHeight="1" x14ac:dyDescent="0.25">
      <c r="F498" s="6"/>
      <c r="J498" s="6"/>
    </row>
    <row r="499" spans="6:10" ht="14.25" customHeight="1" x14ac:dyDescent="0.25">
      <c r="F499" s="6"/>
      <c r="J499" s="6"/>
    </row>
    <row r="500" spans="6:10" ht="14.25" customHeight="1" x14ac:dyDescent="0.25">
      <c r="F500" s="6"/>
      <c r="J500" s="6"/>
    </row>
    <row r="501" spans="6:10" ht="14.25" customHeight="1" x14ac:dyDescent="0.25">
      <c r="F501" s="6"/>
      <c r="J501" s="6"/>
    </row>
    <row r="502" spans="6:10" ht="14.25" customHeight="1" x14ac:dyDescent="0.25">
      <c r="F502" s="6"/>
      <c r="J502" s="6"/>
    </row>
    <row r="503" spans="6:10" ht="14.25" customHeight="1" x14ac:dyDescent="0.25">
      <c r="F503" s="6"/>
      <c r="J503" s="6"/>
    </row>
    <row r="504" spans="6:10" ht="14.25" customHeight="1" x14ac:dyDescent="0.25">
      <c r="F504" s="6"/>
      <c r="J504" s="6"/>
    </row>
    <row r="505" spans="6:10" ht="14.25" customHeight="1" x14ac:dyDescent="0.25">
      <c r="F505" s="6"/>
      <c r="J505" s="6"/>
    </row>
    <row r="506" spans="6:10" ht="14.25" customHeight="1" x14ac:dyDescent="0.25">
      <c r="F506" s="6"/>
      <c r="J506" s="6"/>
    </row>
    <row r="507" spans="6:10" ht="14.25" customHeight="1" x14ac:dyDescent="0.25">
      <c r="F507" s="6"/>
      <c r="J507" s="6"/>
    </row>
    <row r="508" spans="6:10" ht="14.25" customHeight="1" x14ac:dyDescent="0.25">
      <c r="F508" s="6"/>
      <c r="J508" s="6"/>
    </row>
    <row r="509" spans="6:10" ht="14.25" customHeight="1" x14ac:dyDescent="0.25">
      <c r="F509" s="6"/>
      <c r="J509" s="6"/>
    </row>
    <row r="510" spans="6:10" ht="14.25" customHeight="1" x14ac:dyDescent="0.25">
      <c r="F510" s="6"/>
      <c r="J510" s="6"/>
    </row>
    <row r="511" spans="6:10" ht="14.25" customHeight="1" x14ac:dyDescent="0.25">
      <c r="F511" s="6"/>
      <c r="J511" s="6"/>
    </row>
    <row r="512" spans="6:10" ht="14.25" customHeight="1" x14ac:dyDescent="0.25">
      <c r="F512" s="6"/>
      <c r="J512" s="6"/>
    </row>
    <row r="513" spans="6:10" ht="14.25" customHeight="1" x14ac:dyDescent="0.25">
      <c r="F513" s="6"/>
      <c r="J513" s="6"/>
    </row>
    <row r="514" spans="6:10" ht="14.25" customHeight="1" x14ac:dyDescent="0.25">
      <c r="F514" s="6"/>
      <c r="J514" s="6"/>
    </row>
    <row r="515" spans="6:10" ht="14.25" customHeight="1" x14ac:dyDescent="0.25">
      <c r="F515" s="6"/>
      <c r="J515" s="6"/>
    </row>
    <row r="516" spans="6:10" ht="14.25" customHeight="1" x14ac:dyDescent="0.25">
      <c r="F516" s="6"/>
      <c r="J516" s="6"/>
    </row>
    <row r="517" spans="6:10" ht="14.25" customHeight="1" x14ac:dyDescent="0.25">
      <c r="F517" s="6"/>
      <c r="J517" s="6"/>
    </row>
    <row r="518" spans="6:10" ht="14.25" customHeight="1" x14ac:dyDescent="0.25">
      <c r="F518" s="6"/>
      <c r="J518" s="6"/>
    </row>
    <row r="519" spans="6:10" ht="14.25" customHeight="1" x14ac:dyDescent="0.25">
      <c r="F519" s="6"/>
      <c r="J519" s="6"/>
    </row>
    <row r="520" spans="6:10" ht="14.25" customHeight="1" x14ac:dyDescent="0.25">
      <c r="F520" s="6"/>
      <c r="J520" s="6"/>
    </row>
    <row r="521" spans="6:10" ht="14.25" customHeight="1" x14ac:dyDescent="0.25">
      <c r="F521" s="6"/>
      <c r="J521" s="6"/>
    </row>
    <row r="522" spans="6:10" ht="14.25" customHeight="1" x14ac:dyDescent="0.25">
      <c r="F522" s="6"/>
      <c r="J522" s="6"/>
    </row>
    <row r="523" spans="6:10" ht="14.25" customHeight="1" x14ac:dyDescent="0.25">
      <c r="F523" s="6"/>
      <c r="J523" s="6"/>
    </row>
    <row r="524" spans="6:10" ht="14.25" customHeight="1" x14ac:dyDescent="0.25">
      <c r="F524" s="6"/>
      <c r="J524" s="6"/>
    </row>
    <row r="525" spans="6:10" ht="14.25" customHeight="1" x14ac:dyDescent="0.25">
      <c r="F525" s="6"/>
      <c r="J525" s="6"/>
    </row>
    <row r="526" spans="6:10" ht="14.25" customHeight="1" x14ac:dyDescent="0.25">
      <c r="F526" s="6"/>
      <c r="J526" s="6"/>
    </row>
    <row r="527" spans="6:10" ht="14.25" customHeight="1" x14ac:dyDescent="0.25">
      <c r="F527" s="6"/>
      <c r="J527" s="6"/>
    </row>
    <row r="528" spans="6:10" ht="14.25" customHeight="1" x14ac:dyDescent="0.25">
      <c r="F528" s="6"/>
      <c r="J528" s="6"/>
    </row>
    <row r="529" spans="6:10" ht="14.25" customHeight="1" x14ac:dyDescent="0.25">
      <c r="F529" s="6"/>
      <c r="J529" s="6"/>
    </row>
    <row r="530" spans="6:10" ht="14.25" customHeight="1" x14ac:dyDescent="0.25">
      <c r="F530" s="6"/>
      <c r="J530" s="6"/>
    </row>
    <row r="531" spans="6:10" ht="14.25" customHeight="1" x14ac:dyDescent="0.25">
      <c r="F531" s="6"/>
      <c r="J531" s="6"/>
    </row>
    <row r="532" spans="6:10" ht="14.25" customHeight="1" x14ac:dyDescent="0.25">
      <c r="F532" s="6"/>
      <c r="J532" s="6"/>
    </row>
    <row r="533" spans="6:10" ht="14.25" customHeight="1" x14ac:dyDescent="0.25">
      <c r="F533" s="6"/>
      <c r="J533" s="6"/>
    </row>
    <row r="534" spans="6:10" ht="14.25" customHeight="1" x14ac:dyDescent="0.25">
      <c r="F534" s="6"/>
      <c r="J534" s="6"/>
    </row>
    <row r="535" spans="6:10" ht="14.25" customHeight="1" x14ac:dyDescent="0.25">
      <c r="F535" s="6"/>
      <c r="J535" s="6"/>
    </row>
    <row r="536" spans="6:10" ht="14.25" customHeight="1" x14ac:dyDescent="0.25">
      <c r="F536" s="6"/>
      <c r="J536" s="6"/>
    </row>
    <row r="537" spans="6:10" ht="14.25" customHeight="1" x14ac:dyDescent="0.25">
      <c r="F537" s="6"/>
      <c r="J537" s="6"/>
    </row>
    <row r="538" spans="6:10" ht="14.25" customHeight="1" x14ac:dyDescent="0.25">
      <c r="F538" s="6"/>
      <c r="J538" s="6"/>
    </row>
    <row r="539" spans="6:10" ht="14.25" customHeight="1" x14ac:dyDescent="0.25">
      <c r="F539" s="6"/>
      <c r="J539" s="6"/>
    </row>
    <row r="540" spans="6:10" ht="14.25" customHeight="1" x14ac:dyDescent="0.25">
      <c r="F540" s="6"/>
      <c r="J540" s="6"/>
    </row>
    <row r="541" spans="6:10" ht="14.25" customHeight="1" x14ac:dyDescent="0.25">
      <c r="F541" s="6"/>
      <c r="J541" s="6"/>
    </row>
    <row r="542" spans="6:10" ht="14.25" customHeight="1" x14ac:dyDescent="0.25">
      <c r="F542" s="6"/>
      <c r="J542" s="6"/>
    </row>
    <row r="543" spans="6:10" ht="14.25" customHeight="1" x14ac:dyDescent="0.25">
      <c r="F543" s="6"/>
      <c r="J543" s="6"/>
    </row>
    <row r="544" spans="6:10" ht="14.25" customHeight="1" x14ac:dyDescent="0.25">
      <c r="F544" s="6"/>
      <c r="J544" s="6"/>
    </row>
    <row r="545" spans="6:10" ht="14.25" customHeight="1" x14ac:dyDescent="0.25">
      <c r="F545" s="6"/>
      <c r="J545" s="6"/>
    </row>
    <row r="546" spans="6:10" ht="14.25" customHeight="1" x14ac:dyDescent="0.25">
      <c r="F546" s="6"/>
      <c r="J546" s="6"/>
    </row>
    <row r="547" spans="6:10" ht="14.25" customHeight="1" x14ac:dyDescent="0.25">
      <c r="F547" s="6"/>
      <c r="J547" s="6"/>
    </row>
    <row r="548" spans="6:10" ht="14.25" customHeight="1" x14ac:dyDescent="0.25">
      <c r="F548" s="6"/>
      <c r="J548" s="6"/>
    </row>
    <row r="549" spans="6:10" ht="14.25" customHeight="1" x14ac:dyDescent="0.25">
      <c r="F549" s="6"/>
      <c r="J549" s="6"/>
    </row>
    <row r="550" spans="6:10" ht="14.25" customHeight="1" x14ac:dyDescent="0.25">
      <c r="F550" s="6"/>
      <c r="J550" s="6"/>
    </row>
    <row r="551" spans="6:10" ht="14.25" customHeight="1" x14ac:dyDescent="0.25">
      <c r="F551" s="6"/>
      <c r="J551" s="6"/>
    </row>
    <row r="552" spans="6:10" ht="14.25" customHeight="1" x14ac:dyDescent="0.25">
      <c r="F552" s="6"/>
      <c r="J552" s="6"/>
    </row>
    <row r="553" spans="6:10" ht="14.25" customHeight="1" x14ac:dyDescent="0.25">
      <c r="F553" s="6"/>
      <c r="J553" s="6"/>
    </row>
    <row r="554" spans="6:10" ht="14.25" customHeight="1" x14ac:dyDescent="0.25">
      <c r="F554" s="6"/>
      <c r="J554" s="6"/>
    </row>
    <row r="555" spans="6:10" ht="14.25" customHeight="1" x14ac:dyDescent="0.25">
      <c r="F555" s="6"/>
      <c r="J555" s="6"/>
    </row>
    <row r="556" spans="6:10" ht="14.25" customHeight="1" x14ac:dyDescent="0.25">
      <c r="F556" s="6"/>
      <c r="J556" s="6"/>
    </row>
    <row r="557" spans="6:10" ht="14.25" customHeight="1" x14ac:dyDescent="0.25">
      <c r="F557" s="6"/>
      <c r="J557" s="6"/>
    </row>
    <row r="558" spans="6:10" ht="14.25" customHeight="1" x14ac:dyDescent="0.25">
      <c r="F558" s="6"/>
      <c r="J558" s="6"/>
    </row>
    <row r="559" spans="6:10" ht="14.25" customHeight="1" x14ac:dyDescent="0.25">
      <c r="F559" s="6"/>
      <c r="J559" s="6"/>
    </row>
    <row r="560" spans="6:10" ht="14.25" customHeight="1" x14ac:dyDescent="0.25">
      <c r="F560" s="6"/>
      <c r="J560" s="6"/>
    </row>
    <row r="561" spans="6:10" ht="14.25" customHeight="1" x14ac:dyDescent="0.25">
      <c r="F561" s="6"/>
      <c r="J561" s="6"/>
    </row>
    <row r="562" spans="6:10" ht="14.25" customHeight="1" x14ac:dyDescent="0.25">
      <c r="F562" s="6"/>
      <c r="J562" s="6"/>
    </row>
    <row r="563" spans="6:10" ht="14.25" customHeight="1" x14ac:dyDescent="0.25">
      <c r="F563" s="6"/>
      <c r="J563" s="6"/>
    </row>
    <row r="564" spans="6:10" ht="14.25" customHeight="1" x14ac:dyDescent="0.25">
      <c r="F564" s="6"/>
      <c r="J564" s="6"/>
    </row>
    <row r="565" spans="6:10" ht="14.25" customHeight="1" x14ac:dyDescent="0.25">
      <c r="F565" s="6"/>
      <c r="J565" s="6"/>
    </row>
    <row r="566" spans="6:10" ht="14.25" customHeight="1" x14ac:dyDescent="0.25">
      <c r="F566" s="6"/>
      <c r="J566" s="6"/>
    </row>
    <row r="567" spans="6:10" ht="14.25" customHeight="1" x14ac:dyDescent="0.25">
      <c r="F567" s="6"/>
      <c r="J567" s="6"/>
    </row>
    <row r="568" spans="6:10" ht="14.25" customHeight="1" x14ac:dyDescent="0.25">
      <c r="F568" s="6"/>
      <c r="J568" s="6"/>
    </row>
    <row r="569" spans="6:10" ht="14.25" customHeight="1" x14ac:dyDescent="0.25">
      <c r="F569" s="6"/>
      <c r="J569" s="6"/>
    </row>
    <row r="570" spans="6:10" ht="14.25" customHeight="1" x14ac:dyDescent="0.25">
      <c r="F570" s="6"/>
      <c r="J570" s="6"/>
    </row>
    <row r="571" spans="6:10" ht="14.25" customHeight="1" x14ac:dyDescent="0.25">
      <c r="F571" s="6"/>
      <c r="J571" s="6"/>
    </row>
    <row r="572" spans="6:10" ht="14.25" customHeight="1" x14ac:dyDescent="0.25">
      <c r="F572" s="6"/>
      <c r="J572" s="6"/>
    </row>
    <row r="573" spans="6:10" ht="14.25" customHeight="1" x14ac:dyDescent="0.25">
      <c r="F573" s="6"/>
      <c r="J573" s="6"/>
    </row>
    <row r="574" spans="6:10" ht="14.25" customHeight="1" x14ac:dyDescent="0.25">
      <c r="F574" s="6"/>
      <c r="J574" s="6"/>
    </row>
    <row r="575" spans="6:10" ht="14.25" customHeight="1" x14ac:dyDescent="0.25">
      <c r="F575" s="6"/>
      <c r="J575" s="6"/>
    </row>
    <row r="576" spans="6:10" ht="14.25" customHeight="1" x14ac:dyDescent="0.25">
      <c r="F576" s="6"/>
      <c r="J576" s="6"/>
    </row>
    <row r="577" spans="6:10" ht="14.25" customHeight="1" x14ac:dyDescent="0.25">
      <c r="F577" s="6"/>
      <c r="J577" s="6"/>
    </row>
    <row r="578" spans="6:10" ht="14.25" customHeight="1" x14ac:dyDescent="0.25">
      <c r="F578" s="6"/>
      <c r="J578" s="6"/>
    </row>
    <row r="579" spans="6:10" ht="14.25" customHeight="1" x14ac:dyDescent="0.25">
      <c r="F579" s="6"/>
      <c r="J579" s="6"/>
    </row>
    <row r="580" spans="6:10" ht="14.25" customHeight="1" x14ac:dyDescent="0.25">
      <c r="F580" s="6"/>
      <c r="J580" s="6"/>
    </row>
    <row r="581" spans="6:10" ht="14.25" customHeight="1" x14ac:dyDescent="0.25">
      <c r="F581" s="6"/>
      <c r="J581" s="6"/>
    </row>
    <row r="582" spans="6:10" ht="14.25" customHeight="1" x14ac:dyDescent="0.25">
      <c r="F582" s="6"/>
      <c r="J582" s="6"/>
    </row>
    <row r="583" spans="6:10" ht="14.25" customHeight="1" x14ac:dyDescent="0.25">
      <c r="F583" s="6"/>
      <c r="J583" s="6"/>
    </row>
    <row r="584" spans="6:10" ht="14.25" customHeight="1" x14ac:dyDescent="0.25">
      <c r="F584" s="6"/>
      <c r="J584" s="6"/>
    </row>
    <row r="585" spans="6:10" ht="14.25" customHeight="1" x14ac:dyDescent="0.25">
      <c r="F585" s="6"/>
      <c r="J585" s="6"/>
    </row>
    <row r="586" spans="6:10" ht="14.25" customHeight="1" x14ac:dyDescent="0.25">
      <c r="F586" s="6"/>
      <c r="J586" s="6"/>
    </row>
    <row r="587" spans="6:10" ht="14.25" customHeight="1" x14ac:dyDescent="0.25">
      <c r="F587" s="6"/>
      <c r="J587" s="6"/>
    </row>
    <row r="588" spans="6:10" ht="14.25" customHeight="1" x14ac:dyDescent="0.25">
      <c r="F588" s="6"/>
      <c r="J588" s="6"/>
    </row>
    <row r="589" spans="6:10" ht="14.25" customHeight="1" x14ac:dyDescent="0.25">
      <c r="F589" s="6"/>
      <c r="J589" s="6"/>
    </row>
    <row r="590" spans="6:10" ht="14.25" customHeight="1" x14ac:dyDescent="0.25">
      <c r="F590" s="6"/>
      <c r="J590" s="6"/>
    </row>
    <row r="591" spans="6:10" ht="14.25" customHeight="1" x14ac:dyDescent="0.25">
      <c r="F591" s="6"/>
      <c r="J591" s="6"/>
    </row>
    <row r="592" spans="6:10" ht="14.25" customHeight="1" x14ac:dyDescent="0.25">
      <c r="F592" s="6"/>
      <c r="J592" s="6"/>
    </row>
    <row r="593" spans="6:10" ht="14.25" customHeight="1" x14ac:dyDescent="0.25">
      <c r="F593" s="6"/>
      <c r="J593" s="6"/>
    </row>
    <row r="594" spans="6:10" ht="14.25" customHeight="1" x14ac:dyDescent="0.25">
      <c r="F594" s="6"/>
      <c r="J594" s="6"/>
    </row>
    <row r="595" spans="6:10" ht="14.25" customHeight="1" x14ac:dyDescent="0.25">
      <c r="F595" s="6"/>
      <c r="J595" s="6"/>
    </row>
    <row r="596" spans="6:10" ht="14.25" customHeight="1" x14ac:dyDescent="0.25">
      <c r="F596" s="6"/>
      <c r="J596" s="6"/>
    </row>
    <row r="597" spans="6:10" ht="14.25" customHeight="1" x14ac:dyDescent="0.25">
      <c r="F597" s="6"/>
      <c r="J597" s="6"/>
    </row>
    <row r="598" spans="6:10" ht="14.25" customHeight="1" x14ac:dyDescent="0.25">
      <c r="F598" s="6"/>
      <c r="J598" s="6"/>
    </row>
    <row r="599" spans="6:10" ht="14.25" customHeight="1" x14ac:dyDescent="0.25">
      <c r="F599" s="6"/>
      <c r="J599" s="6"/>
    </row>
    <row r="600" spans="6:10" ht="14.25" customHeight="1" x14ac:dyDescent="0.25">
      <c r="F600" s="6"/>
      <c r="J600" s="6"/>
    </row>
    <row r="601" spans="6:10" ht="14.25" customHeight="1" x14ac:dyDescent="0.25">
      <c r="F601" s="6"/>
      <c r="J601" s="6"/>
    </row>
    <row r="602" spans="6:10" ht="14.25" customHeight="1" x14ac:dyDescent="0.25">
      <c r="F602" s="6"/>
      <c r="J602" s="6"/>
    </row>
    <row r="603" spans="6:10" ht="14.25" customHeight="1" x14ac:dyDescent="0.25">
      <c r="F603" s="6"/>
      <c r="J603" s="6"/>
    </row>
    <row r="604" spans="6:10" ht="14.25" customHeight="1" x14ac:dyDescent="0.25">
      <c r="F604" s="6"/>
      <c r="J604" s="6"/>
    </row>
    <row r="605" spans="6:10" ht="14.25" customHeight="1" x14ac:dyDescent="0.25">
      <c r="F605" s="6"/>
      <c r="J605" s="6"/>
    </row>
    <row r="606" spans="6:10" ht="14.25" customHeight="1" x14ac:dyDescent="0.25">
      <c r="F606" s="6"/>
      <c r="J606" s="6"/>
    </row>
    <row r="607" spans="6:10" ht="14.25" customHeight="1" x14ac:dyDescent="0.25">
      <c r="F607" s="6"/>
      <c r="J607" s="6"/>
    </row>
    <row r="608" spans="6:10" ht="14.25" customHeight="1" x14ac:dyDescent="0.25">
      <c r="F608" s="6"/>
      <c r="J608" s="6"/>
    </row>
    <row r="609" spans="6:10" ht="14.25" customHeight="1" x14ac:dyDescent="0.25">
      <c r="F609" s="6"/>
      <c r="J609" s="6"/>
    </row>
    <row r="610" spans="6:10" ht="14.25" customHeight="1" x14ac:dyDescent="0.25">
      <c r="F610" s="6"/>
      <c r="J610" s="6"/>
    </row>
    <row r="611" spans="6:10" ht="14.25" customHeight="1" x14ac:dyDescent="0.25">
      <c r="F611" s="6"/>
      <c r="J611" s="6"/>
    </row>
    <row r="612" spans="6:10" ht="14.25" customHeight="1" x14ac:dyDescent="0.25">
      <c r="F612" s="6"/>
      <c r="J612" s="6"/>
    </row>
    <row r="613" spans="6:10" ht="14.25" customHeight="1" x14ac:dyDescent="0.25">
      <c r="F613" s="6"/>
      <c r="J613" s="6"/>
    </row>
    <row r="614" spans="6:10" ht="14.25" customHeight="1" x14ac:dyDescent="0.25">
      <c r="F614" s="6"/>
      <c r="J614" s="6"/>
    </row>
    <row r="615" spans="6:10" ht="14.25" customHeight="1" x14ac:dyDescent="0.25">
      <c r="F615" s="6"/>
      <c r="J615" s="6"/>
    </row>
    <row r="616" spans="6:10" ht="14.25" customHeight="1" x14ac:dyDescent="0.25">
      <c r="F616" s="6"/>
      <c r="J616" s="6"/>
    </row>
    <row r="617" spans="6:10" ht="14.25" customHeight="1" x14ac:dyDescent="0.25">
      <c r="F617" s="6"/>
      <c r="J617" s="6"/>
    </row>
    <row r="618" spans="6:10" ht="14.25" customHeight="1" x14ac:dyDescent="0.25">
      <c r="F618" s="6"/>
      <c r="J618" s="6"/>
    </row>
    <row r="619" spans="6:10" ht="14.25" customHeight="1" x14ac:dyDescent="0.25">
      <c r="F619" s="6"/>
      <c r="J619" s="6"/>
    </row>
    <row r="620" spans="6:10" ht="14.25" customHeight="1" x14ac:dyDescent="0.25">
      <c r="F620" s="6"/>
      <c r="J620" s="6"/>
    </row>
    <row r="621" spans="6:10" ht="14.25" customHeight="1" x14ac:dyDescent="0.25">
      <c r="F621" s="6"/>
      <c r="J621" s="6"/>
    </row>
    <row r="622" spans="6:10" ht="14.25" customHeight="1" x14ac:dyDescent="0.25">
      <c r="F622" s="6"/>
      <c r="J622" s="6"/>
    </row>
    <row r="623" spans="6:10" ht="14.25" customHeight="1" x14ac:dyDescent="0.25">
      <c r="F623" s="6"/>
      <c r="J623" s="6"/>
    </row>
    <row r="624" spans="6:10" ht="14.25" customHeight="1" x14ac:dyDescent="0.25">
      <c r="F624" s="6"/>
      <c r="J624" s="6"/>
    </row>
    <row r="625" spans="6:10" ht="14.25" customHeight="1" x14ac:dyDescent="0.25">
      <c r="F625" s="6"/>
      <c r="J625" s="6"/>
    </row>
    <row r="626" spans="6:10" ht="14.25" customHeight="1" x14ac:dyDescent="0.25">
      <c r="F626" s="6"/>
      <c r="J626" s="6"/>
    </row>
    <row r="627" spans="6:10" ht="14.25" customHeight="1" x14ac:dyDescent="0.25">
      <c r="F627" s="6"/>
      <c r="J627" s="6"/>
    </row>
    <row r="628" spans="6:10" ht="14.25" customHeight="1" x14ac:dyDescent="0.25">
      <c r="F628" s="6"/>
      <c r="J628" s="6"/>
    </row>
    <row r="629" spans="6:10" ht="14.25" customHeight="1" x14ac:dyDescent="0.25">
      <c r="F629" s="6"/>
      <c r="J629" s="6"/>
    </row>
    <row r="630" spans="6:10" ht="14.25" customHeight="1" x14ac:dyDescent="0.25">
      <c r="F630" s="6"/>
      <c r="J630" s="6"/>
    </row>
    <row r="631" spans="6:10" ht="14.25" customHeight="1" x14ac:dyDescent="0.25">
      <c r="F631" s="6"/>
      <c r="J631" s="6"/>
    </row>
    <row r="632" spans="6:10" ht="14.25" customHeight="1" x14ac:dyDescent="0.25">
      <c r="F632" s="6"/>
      <c r="J632" s="6"/>
    </row>
    <row r="633" spans="6:10" ht="14.25" customHeight="1" x14ac:dyDescent="0.25">
      <c r="F633" s="6"/>
      <c r="J633" s="6"/>
    </row>
    <row r="634" spans="6:10" ht="14.25" customHeight="1" x14ac:dyDescent="0.25">
      <c r="F634" s="6"/>
      <c r="J634" s="6"/>
    </row>
    <row r="635" spans="6:10" ht="14.25" customHeight="1" x14ac:dyDescent="0.25">
      <c r="F635" s="6"/>
      <c r="J635" s="6"/>
    </row>
    <row r="636" spans="6:10" ht="14.25" customHeight="1" x14ac:dyDescent="0.25">
      <c r="F636" s="6"/>
      <c r="J636" s="6"/>
    </row>
    <row r="637" spans="6:10" ht="14.25" customHeight="1" x14ac:dyDescent="0.25">
      <c r="F637" s="6"/>
      <c r="J637" s="6"/>
    </row>
    <row r="638" spans="6:10" ht="14.25" customHeight="1" x14ac:dyDescent="0.25">
      <c r="F638" s="6"/>
      <c r="J638" s="6"/>
    </row>
    <row r="639" spans="6:10" ht="14.25" customHeight="1" x14ac:dyDescent="0.25">
      <c r="F639" s="6"/>
      <c r="J639" s="6"/>
    </row>
    <row r="640" spans="6:10" ht="14.25" customHeight="1" x14ac:dyDescent="0.25">
      <c r="F640" s="6"/>
      <c r="J640" s="6"/>
    </row>
    <row r="641" spans="6:10" ht="14.25" customHeight="1" x14ac:dyDescent="0.25">
      <c r="F641" s="6"/>
      <c r="J641" s="6"/>
    </row>
    <row r="642" spans="6:10" ht="14.25" customHeight="1" x14ac:dyDescent="0.25">
      <c r="F642" s="6"/>
      <c r="J642" s="6"/>
    </row>
    <row r="643" spans="6:10" ht="14.25" customHeight="1" x14ac:dyDescent="0.25">
      <c r="F643" s="6"/>
      <c r="J643" s="6"/>
    </row>
    <row r="644" spans="6:10" ht="14.25" customHeight="1" x14ac:dyDescent="0.25">
      <c r="F644" s="6"/>
      <c r="J644" s="6"/>
    </row>
    <row r="645" spans="6:10" ht="14.25" customHeight="1" x14ac:dyDescent="0.25">
      <c r="F645" s="6"/>
      <c r="J645" s="6"/>
    </row>
    <row r="646" spans="6:10" ht="14.25" customHeight="1" x14ac:dyDescent="0.25">
      <c r="F646" s="6"/>
      <c r="J646" s="6"/>
    </row>
    <row r="647" spans="6:10" ht="14.25" customHeight="1" x14ac:dyDescent="0.25">
      <c r="F647" s="6"/>
      <c r="J647" s="6"/>
    </row>
    <row r="648" spans="6:10" ht="14.25" customHeight="1" x14ac:dyDescent="0.25">
      <c r="F648" s="6"/>
      <c r="J648" s="6"/>
    </row>
    <row r="649" spans="6:10" ht="14.25" customHeight="1" x14ac:dyDescent="0.25">
      <c r="F649" s="6"/>
      <c r="J649" s="6"/>
    </row>
    <row r="650" spans="6:10" ht="14.25" customHeight="1" x14ac:dyDescent="0.25">
      <c r="F650" s="6"/>
      <c r="J650" s="6"/>
    </row>
    <row r="651" spans="6:10" ht="14.25" customHeight="1" x14ac:dyDescent="0.25">
      <c r="F651" s="6"/>
      <c r="J651" s="6"/>
    </row>
    <row r="652" spans="6:10" ht="14.25" customHeight="1" x14ac:dyDescent="0.25">
      <c r="F652" s="6"/>
      <c r="J652" s="6"/>
    </row>
    <row r="653" spans="6:10" ht="14.25" customHeight="1" x14ac:dyDescent="0.25">
      <c r="F653" s="6"/>
      <c r="J653" s="6"/>
    </row>
    <row r="654" spans="6:10" ht="14.25" customHeight="1" x14ac:dyDescent="0.25">
      <c r="F654" s="6"/>
      <c r="J654" s="6"/>
    </row>
    <row r="655" spans="6:10" ht="14.25" customHeight="1" x14ac:dyDescent="0.25">
      <c r="F655" s="6"/>
      <c r="J655" s="6"/>
    </row>
    <row r="656" spans="6:10" ht="14.25" customHeight="1" x14ac:dyDescent="0.25">
      <c r="F656" s="6"/>
      <c r="J656" s="6"/>
    </row>
    <row r="657" spans="6:10" ht="14.25" customHeight="1" x14ac:dyDescent="0.25">
      <c r="F657" s="6"/>
      <c r="J657" s="6"/>
    </row>
    <row r="658" spans="6:10" ht="14.25" customHeight="1" x14ac:dyDescent="0.25">
      <c r="F658" s="6"/>
      <c r="J658" s="6"/>
    </row>
    <row r="659" spans="6:10" ht="14.25" customHeight="1" x14ac:dyDescent="0.25">
      <c r="F659" s="6"/>
      <c r="J659" s="6"/>
    </row>
    <row r="660" spans="6:10" ht="14.25" customHeight="1" x14ac:dyDescent="0.25">
      <c r="F660" s="6"/>
      <c r="J660" s="6"/>
    </row>
    <row r="661" spans="6:10" ht="14.25" customHeight="1" x14ac:dyDescent="0.25">
      <c r="F661" s="6"/>
      <c r="J661" s="6"/>
    </row>
    <row r="662" spans="6:10" ht="14.25" customHeight="1" x14ac:dyDescent="0.25">
      <c r="F662" s="6"/>
      <c r="J662" s="6"/>
    </row>
    <row r="663" spans="6:10" ht="14.25" customHeight="1" x14ac:dyDescent="0.25">
      <c r="F663" s="6"/>
      <c r="J663" s="6"/>
    </row>
    <row r="664" spans="6:10" ht="14.25" customHeight="1" x14ac:dyDescent="0.25">
      <c r="F664" s="6"/>
      <c r="J664" s="6"/>
    </row>
    <row r="665" spans="6:10" ht="14.25" customHeight="1" x14ac:dyDescent="0.25">
      <c r="F665" s="6"/>
      <c r="J665" s="6"/>
    </row>
    <row r="666" spans="6:10" ht="14.25" customHeight="1" x14ac:dyDescent="0.25">
      <c r="F666" s="6"/>
      <c r="J666" s="6"/>
    </row>
    <row r="667" spans="6:10" ht="14.25" customHeight="1" x14ac:dyDescent="0.25">
      <c r="F667" s="6"/>
      <c r="J667" s="6"/>
    </row>
    <row r="668" spans="6:10" ht="14.25" customHeight="1" x14ac:dyDescent="0.25">
      <c r="F668" s="6"/>
      <c r="J668" s="6"/>
    </row>
    <row r="669" spans="6:10" ht="14.25" customHeight="1" x14ac:dyDescent="0.25">
      <c r="F669" s="6"/>
      <c r="J669" s="6"/>
    </row>
    <row r="670" spans="6:10" ht="14.25" customHeight="1" x14ac:dyDescent="0.25">
      <c r="F670" s="6"/>
      <c r="J670" s="6"/>
    </row>
    <row r="671" spans="6:10" ht="14.25" customHeight="1" x14ac:dyDescent="0.25">
      <c r="F671" s="6"/>
      <c r="J671" s="6"/>
    </row>
    <row r="672" spans="6:10" ht="14.25" customHeight="1" x14ac:dyDescent="0.25">
      <c r="F672" s="6"/>
      <c r="J672" s="6"/>
    </row>
    <row r="673" spans="6:10" ht="14.25" customHeight="1" x14ac:dyDescent="0.25">
      <c r="F673" s="6"/>
      <c r="J673" s="6"/>
    </row>
    <row r="674" spans="6:10" ht="14.25" customHeight="1" x14ac:dyDescent="0.25">
      <c r="F674" s="6"/>
      <c r="J674" s="6"/>
    </row>
    <row r="675" spans="6:10" ht="14.25" customHeight="1" x14ac:dyDescent="0.25">
      <c r="F675" s="6"/>
      <c r="J675" s="6"/>
    </row>
    <row r="676" spans="6:10" ht="14.25" customHeight="1" x14ac:dyDescent="0.25">
      <c r="F676" s="6"/>
      <c r="J676" s="6"/>
    </row>
    <row r="677" spans="6:10" ht="14.25" customHeight="1" x14ac:dyDescent="0.25">
      <c r="F677" s="6"/>
      <c r="J677" s="6"/>
    </row>
    <row r="678" spans="6:10" ht="14.25" customHeight="1" x14ac:dyDescent="0.25">
      <c r="F678" s="6"/>
      <c r="J678" s="6"/>
    </row>
    <row r="679" spans="6:10" ht="14.25" customHeight="1" x14ac:dyDescent="0.25">
      <c r="F679" s="6"/>
      <c r="J679" s="6"/>
    </row>
    <row r="680" spans="6:10" ht="14.25" customHeight="1" x14ac:dyDescent="0.25">
      <c r="F680" s="6"/>
      <c r="J680" s="6"/>
    </row>
    <row r="681" spans="6:10" ht="14.25" customHeight="1" x14ac:dyDescent="0.25">
      <c r="F681" s="6"/>
      <c r="J681" s="6"/>
    </row>
    <row r="682" spans="6:10" ht="14.25" customHeight="1" x14ac:dyDescent="0.25">
      <c r="F682" s="6"/>
      <c r="J682" s="6"/>
    </row>
    <row r="683" spans="6:10" ht="14.25" customHeight="1" x14ac:dyDescent="0.25">
      <c r="F683" s="6"/>
      <c r="J683" s="6"/>
    </row>
    <row r="684" spans="6:10" ht="14.25" customHeight="1" x14ac:dyDescent="0.25">
      <c r="F684" s="6"/>
      <c r="J684" s="6"/>
    </row>
    <row r="685" spans="6:10" ht="14.25" customHeight="1" x14ac:dyDescent="0.25">
      <c r="F685" s="6"/>
      <c r="J685" s="6"/>
    </row>
    <row r="686" spans="6:10" ht="14.25" customHeight="1" x14ac:dyDescent="0.25">
      <c r="F686" s="6"/>
      <c r="J686" s="6"/>
    </row>
    <row r="687" spans="6:10" ht="14.25" customHeight="1" x14ac:dyDescent="0.25">
      <c r="F687" s="6"/>
      <c r="J687" s="6"/>
    </row>
    <row r="688" spans="6:10" ht="14.25" customHeight="1" x14ac:dyDescent="0.25">
      <c r="F688" s="6"/>
      <c r="J688" s="6"/>
    </row>
    <row r="689" spans="6:10" ht="14.25" customHeight="1" x14ac:dyDescent="0.25">
      <c r="F689" s="6"/>
      <c r="J689" s="6"/>
    </row>
    <row r="690" spans="6:10" ht="14.25" customHeight="1" x14ac:dyDescent="0.25">
      <c r="F690" s="6"/>
      <c r="J690" s="6"/>
    </row>
    <row r="691" spans="6:10" ht="14.25" customHeight="1" x14ac:dyDescent="0.25">
      <c r="F691" s="6"/>
      <c r="J691" s="6"/>
    </row>
    <row r="692" spans="6:10" ht="14.25" customHeight="1" x14ac:dyDescent="0.25">
      <c r="F692" s="6"/>
      <c r="J692" s="6"/>
    </row>
    <row r="693" spans="6:10" ht="14.25" customHeight="1" x14ac:dyDescent="0.25">
      <c r="F693" s="6"/>
      <c r="J693" s="6"/>
    </row>
    <row r="694" spans="6:10" ht="14.25" customHeight="1" x14ac:dyDescent="0.25">
      <c r="F694" s="6"/>
      <c r="J694" s="6"/>
    </row>
    <row r="695" spans="6:10" ht="14.25" customHeight="1" x14ac:dyDescent="0.25">
      <c r="F695" s="6"/>
      <c r="J695" s="6"/>
    </row>
    <row r="696" spans="6:10" ht="14.25" customHeight="1" x14ac:dyDescent="0.25">
      <c r="F696" s="6"/>
      <c r="J696" s="6"/>
    </row>
    <row r="697" spans="6:10" ht="14.25" customHeight="1" x14ac:dyDescent="0.25">
      <c r="F697" s="6"/>
      <c r="J697" s="6"/>
    </row>
    <row r="698" spans="6:10" ht="14.25" customHeight="1" x14ac:dyDescent="0.25">
      <c r="F698" s="6"/>
      <c r="J698" s="6"/>
    </row>
    <row r="699" spans="6:10" ht="14.25" customHeight="1" x14ac:dyDescent="0.25">
      <c r="F699" s="6"/>
      <c r="J699" s="6"/>
    </row>
    <row r="700" spans="6:10" ht="14.25" customHeight="1" x14ac:dyDescent="0.25">
      <c r="F700" s="6"/>
      <c r="J700" s="6"/>
    </row>
    <row r="701" spans="6:10" ht="14.25" customHeight="1" x14ac:dyDescent="0.25">
      <c r="F701" s="6"/>
      <c r="J701" s="6"/>
    </row>
    <row r="702" spans="6:10" ht="14.25" customHeight="1" x14ac:dyDescent="0.25">
      <c r="F702" s="6"/>
      <c r="J702" s="6"/>
    </row>
    <row r="703" spans="6:10" ht="14.25" customHeight="1" x14ac:dyDescent="0.25">
      <c r="F703" s="6"/>
      <c r="J703" s="6"/>
    </row>
    <row r="704" spans="6:10" ht="14.25" customHeight="1" x14ac:dyDescent="0.25">
      <c r="F704" s="6"/>
      <c r="J704" s="6"/>
    </row>
    <row r="705" spans="6:10" ht="14.25" customHeight="1" x14ac:dyDescent="0.25">
      <c r="F705" s="6"/>
      <c r="J705" s="6"/>
    </row>
    <row r="706" spans="6:10" ht="14.25" customHeight="1" x14ac:dyDescent="0.25">
      <c r="F706" s="6"/>
      <c r="J706" s="6"/>
    </row>
    <row r="707" spans="6:10" ht="14.25" customHeight="1" x14ac:dyDescent="0.25">
      <c r="F707" s="6"/>
      <c r="J707" s="6"/>
    </row>
    <row r="708" spans="6:10" ht="14.25" customHeight="1" x14ac:dyDescent="0.25">
      <c r="F708" s="6"/>
      <c r="J708" s="6"/>
    </row>
    <row r="709" spans="6:10" ht="14.25" customHeight="1" x14ac:dyDescent="0.25">
      <c r="F709" s="6"/>
      <c r="J709" s="6"/>
    </row>
    <row r="710" spans="6:10" ht="14.25" customHeight="1" x14ac:dyDescent="0.25">
      <c r="F710" s="6"/>
      <c r="J710" s="6"/>
    </row>
    <row r="711" spans="6:10" ht="14.25" customHeight="1" x14ac:dyDescent="0.25">
      <c r="F711" s="6"/>
      <c r="J711" s="6"/>
    </row>
    <row r="712" spans="6:10" ht="14.25" customHeight="1" x14ac:dyDescent="0.25">
      <c r="F712" s="6"/>
      <c r="J712" s="6"/>
    </row>
    <row r="713" spans="6:10" ht="14.25" customHeight="1" x14ac:dyDescent="0.25">
      <c r="F713" s="6"/>
      <c r="J713" s="6"/>
    </row>
    <row r="714" spans="6:10" ht="14.25" customHeight="1" x14ac:dyDescent="0.25">
      <c r="F714" s="6"/>
      <c r="J714" s="6"/>
    </row>
    <row r="715" spans="6:10" ht="14.25" customHeight="1" x14ac:dyDescent="0.25">
      <c r="F715" s="6"/>
      <c r="J715" s="6"/>
    </row>
    <row r="716" spans="6:10" ht="14.25" customHeight="1" x14ac:dyDescent="0.25">
      <c r="F716" s="6"/>
      <c r="J716" s="6"/>
    </row>
    <row r="717" spans="6:10" ht="14.25" customHeight="1" x14ac:dyDescent="0.25">
      <c r="F717" s="6"/>
      <c r="J717" s="6"/>
    </row>
    <row r="718" spans="6:10" ht="14.25" customHeight="1" x14ac:dyDescent="0.25">
      <c r="F718" s="6"/>
      <c r="J718" s="6"/>
    </row>
    <row r="719" spans="6:10" ht="14.25" customHeight="1" x14ac:dyDescent="0.25">
      <c r="F719" s="6"/>
      <c r="J719" s="6"/>
    </row>
    <row r="720" spans="6:10" ht="14.25" customHeight="1" x14ac:dyDescent="0.25">
      <c r="F720" s="6"/>
      <c r="J720" s="6"/>
    </row>
    <row r="721" spans="6:10" ht="14.25" customHeight="1" x14ac:dyDescent="0.25">
      <c r="F721" s="6"/>
      <c r="J721" s="6"/>
    </row>
    <row r="722" spans="6:10" ht="14.25" customHeight="1" x14ac:dyDescent="0.25">
      <c r="F722" s="6"/>
      <c r="J722" s="6"/>
    </row>
    <row r="723" spans="6:10" ht="14.25" customHeight="1" x14ac:dyDescent="0.25">
      <c r="F723" s="6"/>
      <c r="J723" s="6"/>
    </row>
    <row r="724" spans="6:10" ht="14.25" customHeight="1" x14ac:dyDescent="0.25">
      <c r="F724" s="6"/>
      <c r="J724" s="6"/>
    </row>
    <row r="725" spans="6:10" ht="14.25" customHeight="1" x14ac:dyDescent="0.25">
      <c r="F725" s="6"/>
      <c r="J725" s="6"/>
    </row>
    <row r="726" spans="6:10" ht="14.25" customHeight="1" x14ac:dyDescent="0.25">
      <c r="F726" s="6"/>
      <c r="J726" s="6"/>
    </row>
    <row r="727" spans="6:10" ht="14.25" customHeight="1" x14ac:dyDescent="0.25">
      <c r="F727" s="6"/>
      <c r="J727" s="6"/>
    </row>
    <row r="728" spans="6:10" ht="14.25" customHeight="1" x14ac:dyDescent="0.25">
      <c r="F728" s="6"/>
      <c r="J728" s="6"/>
    </row>
    <row r="729" spans="6:10" ht="14.25" customHeight="1" x14ac:dyDescent="0.25">
      <c r="F729" s="6"/>
      <c r="J729" s="6"/>
    </row>
    <row r="730" spans="6:10" ht="14.25" customHeight="1" x14ac:dyDescent="0.25">
      <c r="F730" s="6"/>
      <c r="J730" s="6"/>
    </row>
    <row r="731" spans="6:10" ht="14.25" customHeight="1" x14ac:dyDescent="0.25">
      <c r="F731" s="6"/>
      <c r="J731" s="6"/>
    </row>
    <row r="732" spans="6:10" ht="14.25" customHeight="1" x14ac:dyDescent="0.25">
      <c r="F732" s="6"/>
      <c r="J732" s="6"/>
    </row>
    <row r="733" spans="6:10" ht="14.25" customHeight="1" x14ac:dyDescent="0.25">
      <c r="F733" s="6"/>
      <c r="J733" s="6"/>
    </row>
    <row r="734" spans="6:10" ht="14.25" customHeight="1" x14ac:dyDescent="0.25">
      <c r="F734" s="6"/>
      <c r="J734" s="6"/>
    </row>
    <row r="735" spans="6:10" ht="14.25" customHeight="1" x14ac:dyDescent="0.25">
      <c r="F735" s="6"/>
      <c r="J735" s="6"/>
    </row>
    <row r="736" spans="6:10" ht="14.25" customHeight="1" x14ac:dyDescent="0.25">
      <c r="F736" s="6"/>
      <c r="J736" s="6"/>
    </row>
    <row r="737" spans="6:10" ht="14.25" customHeight="1" x14ac:dyDescent="0.25">
      <c r="F737" s="6"/>
      <c r="J737" s="6"/>
    </row>
    <row r="738" spans="6:10" ht="14.25" customHeight="1" x14ac:dyDescent="0.25">
      <c r="F738" s="6"/>
      <c r="J738" s="6"/>
    </row>
    <row r="739" spans="6:10" ht="14.25" customHeight="1" x14ac:dyDescent="0.25">
      <c r="F739" s="6"/>
      <c r="J739" s="6"/>
    </row>
    <row r="740" spans="6:10" ht="14.25" customHeight="1" x14ac:dyDescent="0.25">
      <c r="F740" s="6"/>
      <c r="J740" s="6"/>
    </row>
    <row r="741" spans="6:10" ht="14.25" customHeight="1" x14ac:dyDescent="0.25">
      <c r="F741" s="6"/>
      <c r="J741" s="6"/>
    </row>
    <row r="742" spans="6:10" ht="14.25" customHeight="1" x14ac:dyDescent="0.25">
      <c r="F742" s="6"/>
      <c r="J742" s="6"/>
    </row>
    <row r="743" spans="6:10" ht="14.25" customHeight="1" x14ac:dyDescent="0.25">
      <c r="F743" s="6"/>
      <c r="J743" s="6"/>
    </row>
    <row r="744" spans="6:10" ht="14.25" customHeight="1" x14ac:dyDescent="0.25">
      <c r="F744" s="6"/>
      <c r="J744" s="6"/>
    </row>
    <row r="745" spans="6:10" ht="14.25" customHeight="1" x14ac:dyDescent="0.25">
      <c r="F745" s="6"/>
      <c r="J745" s="6"/>
    </row>
    <row r="746" spans="6:10" ht="14.25" customHeight="1" x14ac:dyDescent="0.25">
      <c r="F746" s="6"/>
      <c r="J746" s="6"/>
    </row>
    <row r="747" spans="6:10" ht="14.25" customHeight="1" x14ac:dyDescent="0.25">
      <c r="F747" s="6"/>
      <c r="J747" s="6"/>
    </row>
    <row r="748" spans="6:10" ht="14.25" customHeight="1" x14ac:dyDescent="0.25">
      <c r="F748" s="6"/>
      <c r="J748" s="6"/>
    </row>
    <row r="749" spans="6:10" ht="14.25" customHeight="1" x14ac:dyDescent="0.25">
      <c r="F749" s="6"/>
      <c r="J749" s="6"/>
    </row>
    <row r="750" spans="6:10" ht="14.25" customHeight="1" x14ac:dyDescent="0.25">
      <c r="F750" s="6"/>
      <c r="J750" s="6"/>
    </row>
    <row r="751" spans="6:10" ht="14.25" customHeight="1" x14ac:dyDescent="0.25">
      <c r="F751" s="6"/>
      <c r="J751" s="6"/>
    </row>
    <row r="752" spans="6:10" ht="14.25" customHeight="1" x14ac:dyDescent="0.25">
      <c r="F752" s="6"/>
      <c r="J752" s="6"/>
    </row>
    <row r="753" spans="6:10" ht="14.25" customHeight="1" x14ac:dyDescent="0.25">
      <c r="F753" s="6"/>
      <c r="J753" s="6"/>
    </row>
    <row r="754" spans="6:10" ht="14.25" customHeight="1" x14ac:dyDescent="0.25">
      <c r="F754" s="6"/>
      <c r="J754" s="6"/>
    </row>
    <row r="755" spans="6:10" ht="14.25" customHeight="1" x14ac:dyDescent="0.25">
      <c r="F755" s="6"/>
      <c r="J755" s="6"/>
    </row>
    <row r="756" spans="6:10" ht="14.25" customHeight="1" x14ac:dyDescent="0.25">
      <c r="F756" s="6"/>
      <c r="J756" s="6"/>
    </row>
    <row r="757" spans="6:10" ht="14.25" customHeight="1" x14ac:dyDescent="0.25">
      <c r="F757" s="6"/>
      <c r="J757" s="6"/>
    </row>
    <row r="758" spans="6:10" ht="14.25" customHeight="1" x14ac:dyDescent="0.25">
      <c r="F758" s="6"/>
      <c r="J758" s="6"/>
    </row>
    <row r="759" spans="6:10" ht="14.25" customHeight="1" x14ac:dyDescent="0.25">
      <c r="F759" s="6"/>
      <c r="J759" s="6"/>
    </row>
    <row r="760" spans="6:10" ht="14.25" customHeight="1" x14ac:dyDescent="0.25">
      <c r="F760" s="6"/>
      <c r="J760" s="6"/>
    </row>
    <row r="761" spans="6:10" ht="14.25" customHeight="1" x14ac:dyDescent="0.25">
      <c r="F761" s="6"/>
      <c r="J761" s="6"/>
    </row>
    <row r="762" spans="6:10" ht="14.25" customHeight="1" x14ac:dyDescent="0.25">
      <c r="F762" s="6"/>
      <c r="J762" s="6"/>
    </row>
    <row r="763" spans="6:10" ht="14.25" customHeight="1" x14ac:dyDescent="0.25">
      <c r="F763" s="6"/>
      <c r="J763" s="6"/>
    </row>
    <row r="764" spans="6:10" ht="14.25" customHeight="1" x14ac:dyDescent="0.25">
      <c r="F764" s="6"/>
      <c r="J764" s="6"/>
    </row>
    <row r="765" spans="6:10" ht="14.25" customHeight="1" x14ac:dyDescent="0.25">
      <c r="F765" s="6"/>
      <c r="J765" s="6"/>
    </row>
    <row r="766" spans="6:10" ht="14.25" customHeight="1" x14ac:dyDescent="0.25">
      <c r="F766" s="6"/>
      <c r="J766" s="6"/>
    </row>
    <row r="767" spans="6:10" ht="14.25" customHeight="1" x14ac:dyDescent="0.25">
      <c r="F767" s="6"/>
      <c r="J767" s="6"/>
    </row>
    <row r="768" spans="6:10" ht="14.25" customHeight="1" x14ac:dyDescent="0.25">
      <c r="F768" s="6"/>
      <c r="J768" s="6"/>
    </row>
    <row r="769" spans="6:10" ht="14.25" customHeight="1" x14ac:dyDescent="0.25">
      <c r="F769" s="6"/>
      <c r="J769" s="6"/>
    </row>
    <row r="770" spans="6:10" ht="14.25" customHeight="1" x14ac:dyDescent="0.25">
      <c r="F770" s="6"/>
      <c r="J770" s="6"/>
    </row>
    <row r="771" spans="6:10" ht="14.25" customHeight="1" x14ac:dyDescent="0.25">
      <c r="F771" s="6"/>
      <c r="J771" s="6"/>
    </row>
    <row r="772" spans="6:10" ht="14.25" customHeight="1" x14ac:dyDescent="0.25">
      <c r="F772" s="6"/>
      <c r="J772" s="6"/>
    </row>
    <row r="773" spans="6:10" ht="14.25" customHeight="1" x14ac:dyDescent="0.25">
      <c r="F773" s="6"/>
      <c r="J773" s="6"/>
    </row>
    <row r="774" spans="6:10" ht="14.25" customHeight="1" x14ac:dyDescent="0.25">
      <c r="F774" s="6"/>
      <c r="J774" s="6"/>
    </row>
    <row r="775" spans="6:10" ht="14.25" customHeight="1" x14ac:dyDescent="0.25">
      <c r="F775" s="6"/>
      <c r="J775" s="6"/>
    </row>
    <row r="776" spans="6:10" ht="14.25" customHeight="1" x14ac:dyDescent="0.25">
      <c r="F776" s="6"/>
      <c r="J776" s="6"/>
    </row>
    <row r="777" spans="6:10" ht="14.25" customHeight="1" x14ac:dyDescent="0.25">
      <c r="F777" s="6"/>
      <c r="J777" s="6"/>
    </row>
    <row r="778" spans="6:10" ht="14.25" customHeight="1" x14ac:dyDescent="0.25">
      <c r="F778" s="6"/>
      <c r="J778" s="6"/>
    </row>
    <row r="779" spans="6:10" ht="14.25" customHeight="1" x14ac:dyDescent="0.25">
      <c r="F779" s="6"/>
      <c r="J779" s="6"/>
    </row>
    <row r="780" spans="6:10" ht="14.25" customHeight="1" x14ac:dyDescent="0.25">
      <c r="F780" s="6"/>
      <c r="J780" s="6"/>
    </row>
    <row r="781" spans="6:10" ht="14.25" customHeight="1" x14ac:dyDescent="0.25">
      <c r="F781" s="6"/>
      <c r="J781" s="6"/>
    </row>
    <row r="782" spans="6:10" ht="14.25" customHeight="1" x14ac:dyDescent="0.25">
      <c r="F782" s="6"/>
      <c r="J782" s="6"/>
    </row>
    <row r="783" spans="6:10" ht="14.25" customHeight="1" x14ac:dyDescent="0.25">
      <c r="F783" s="6"/>
      <c r="J783" s="6"/>
    </row>
    <row r="784" spans="6:10" ht="14.25" customHeight="1" x14ac:dyDescent="0.25">
      <c r="F784" s="6"/>
      <c r="J784" s="6"/>
    </row>
    <row r="785" spans="6:10" ht="14.25" customHeight="1" x14ac:dyDescent="0.25">
      <c r="F785" s="6"/>
      <c r="J785" s="6"/>
    </row>
    <row r="786" spans="6:10" ht="14.25" customHeight="1" x14ac:dyDescent="0.25">
      <c r="F786" s="6"/>
      <c r="J786" s="6"/>
    </row>
    <row r="787" spans="6:10" ht="14.25" customHeight="1" x14ac:dyDescent="0.25">
      <c r="F787" s="6"/>
      <c r="J787" s="6"/>
    </row>
    <row r="788" spans="6:10" ht="14.25" customHeight="1" x14ac:dyDescent="0.25">
      <c r="F788" s="6"/>
      <c r="J788" s="6"/>
    </row>
    <row r="789" spans="6:10" ht="14.25" customHeight="1" x14ac:dyDescent="0.25">
      <c r="F789" s="6"/>
      <c r="J789" s="6"/>
    </row>
    <row r="790" spans="6:10" ht="14.25" customHeight="1" x14ac:dyDescent="0.25">
      <c r="F790" s="6"/>
      <c r="J790" s="6"/>
    </row>
    <row r="791" spans="6:10" ht="14.25" customHeight="1" x14ac:dyDescent="0.25">
      <c r="F791" s="6"/>
      <c r="J791" s="6"/>
    </row>
    <row r="792" spans="6:10" ht="14.25" customHeight="1" x14ac:dyDescent="0.25">
      <c r="F792" s="6"/>
      <c r="J792" s="6"/>
    </row>
    <row r="793" spans="6:10" ht="14.25" customHeight="1" x14ac:dyDescent="0.25">
      <c r="F793" s="6"/>
      <c r="J793" s="6"/>
    </row>
    <row r="794" spans="6:10" ht="14.25" customHeight="1" x14ac:dyDescent="0.25">
      <c r="F794" s="6"/>
      <c r="J794" s="6"/>
    </row>
    <row r="795" spans="6:10" ht="14.25" customHeight="1" x14ac:dyDescent="0.25">
      <c r="F795" s="6"/>
      <c r="J795" s="6"/>
    </row>
    <row r="796" spans="6:10" ht="14.25" customHeight="1" x14ac:dyDescent="0.25">
      <c r="F796" s="6"/>
      <c r="J796" s="6"/>
    </row>
    <row r="797" spans="6:10" ht="14.25" customHeight="1" x14ac:dyDescent="0.25">
      <c r="F797" s="6"/>
      <c r="J797" s="6"/>
    </row>
    <row r="798" spans="6:10" ht="14.25" customHeight="1" x14ac:dyDescent="0.25">
      <c r="F798" s="6"/>
      <c r="J798" s="6"/>
    </row>
    <row r="799" spans="6:10" ht="14.25" customHeight="1" x14ac:dyDescent="0.25">
      <c r="F799" s="6"/>
      <c r="J799" s="6"/>
    </row>
    <row r="800" spans="6:10" ht="14.25" customHeight="1" x14ac:dyDescent="0.25">
      <c r="F800" s="6"/>
      <c r="J800" s="6"/>
    </row>
    <row r="801" spans="6:10" ht="14.25" customHeight="1" x14ac:dyDescent="0.25">
      <c r="F801" s="6"/>
      <c r="J801" s="6"/>
    </row>
    <row r="802" spans="6:10" ht="14.25" customHeight="1" x14ac:dyDescent="0.25">
      <c r="F802" s="6"/>
      <c r="J802" s="6"/>
    </row>
    <row r="803" spans="6:10" ht="14.25" customHeight="1" x14ac:dyDescent="0.25">
      <c r="F803" s="6"/>
      <c r="J803" s="6"/>
    </row>
    <row r="804" spans="6:10" ht="14.25" customHeight="1" x14ac:dyDescent="0.25">
      <c r="F804" s="6"/>
      <c r="J804" s="6"/>
    </row>
    <row r="805" spans="6:10" ht="14.25" customHeight="1" x14ac:dyDescent="0.25">
      <c r="F805" s="6"/>
      <c r="J805" s="6"/>
    </row>
    <row r="806" spans="6:10" ht="14.25" customHeight="1" x14ac:dyDescent="0.25">
      <c r="F806" s="6"/>
      <c r="J806" s="6"/>
    </row>
    <row r="807" spans="6:10" ht="14.25" customHeight="1" x14ac:dyDescent="0.25">
      <c r="F807" s="6"/>
      <c r="J807" s="6"/>
    </row>
    <row r="808" spans="6:10" ht="14.25" customHeight="1" x14ac:dyDescent="0.25">
      <c r="F808" s="6"/>
      <c r="J808" s="6"/>
    </row>
    <row r="809" spans="6:10" ht="14.25" customHeight="1" x14ac:dyDescent="0.25">
      <c r="F809" s="6"/>
      <c r="J809" s="6"/>
    </row>
    <row r="810" spans="6:10" ht="14.25" customHeight="1" x14ac:dyDescent="0.25">
      <c r="F810" s="6"/>
      <c r="J810" s="6"/>
    </row>
    <row r="811" spans="6:10" ht="14.25" customHeight="1" x14ac:dyDescent="0.25">
      <c r="F811" s="6"/>
      <c r="J811" s="6"/>
    </row>
    <row r="812" spans="6:10" ht="14.25" customHeight="1" x14ac:dyDescent="0.25">
      <c r="F812" s="6"/>
      <c r="J812" s="6"/>
    </row>
    <row r="813" spans="6:10" ht="14.25" customHeight="1" x14ac:dyDescent="0.25">
      <c r="F813" s="6"/>
      <c r="J813" s="6"/>
    </row>
    <row r="814" spans="6:10" ht="14.25" customHeight="1" x14ac:dyDescent="0.25">
      <c r="F814" s="6"/>
      <c r="J814" s="6"/>
    </row>
    <row r="815" spans="6:10" ht="14.25" customHeight="1" x14ac:dyDescent="0.25">
      <c r="F815" s="6"/>
      <c r="J815" s="6"/>
    </row>
    <row r="816" spans="6:10" ht="14.25" customHeight="1" x14ac:dyDescent="0.25">
      <c r="F816" s="6"/>
      <c r="J816" s="6"/>
    </row>
    <row r="817" spans="6:10" ht="14.25" customHeight="1" x14ac:dyDescent="0.25">
      <c r="F817" s="6"/>
      <c r="J817" s="6"/>
    </row>
    <row r="818" spans="6:10" ht="14.25" customHeight="1" x14ac:dyDescent="0.25">
      <c r="F818" s="6"/>
      <c r="J818" s="6"/>
    </row>
    <row r="819" spans="6:10" ht="14.25" customHeight="1" x14ac:dyDescent="0.25">
      <c r="F819" s="6"/>
      <c r="J819" s="6"/>
    </row>
    <row r="820" spans="6:10" ht="14.25" customHeight="1" x14ac:dyDescent="0.25">
      <c r="F820" s="6"/>
      <c r="J820" s="6"/>
    </row>
    <row r="821" spans="6:10" ht="14.25" customHeight="1" x14ac:dyDescent="0.25">
      <c r="F821" s="6"/>
      <c r="J821" s="6"/>
    </row>
    <row r="822" spans="6:10" ht="14.25" customHeight="1" x14ac:dyDescent="0.25">
      <c r="F822" s="6"/>
      <c r="J822" s="6"/>
    </row>
    <row r="823" spans="6:10" ht="14.25" customHeight="1" x14ac:dyDescent="0.25">
      <c r="F823" s="6"/>
      <c r="J823" s="6"/>
    </row>
    <row r="824" spans="6:10" ht="14.25" customHeight="1" x14ac:dyDescent="0.25">
      <c r="F824" s="6"/>
      <c r="J824" s="6"/>
    </row>
    <row r="825" spans="6:10" ht="14.25" customHeight="1" x14ac:dyDescent="0.25">
      <c r="F825" s="6"/>
      <c r="J825" s="6"/>
    </row>
    <row r="826" spans="6:10" ht="14.25" customHeight="1" x14ac:dyDescent="0.25">
      <c r="F826" s="6"/>
      <c r="J826" s="6"/>
    </row>
    <row r="827" spans="6:10" ht="14.25" customHeight="1" x14ac:dyDescent="0.25">
      <c r="F827" s="6"/>
      <c r="J827" s="6"/>
    </row>
    <row r="828" spans="6:10" ht="14.25" customHeight="1" x14ac:dyDescent="0.25">
      <c r="F828" s="6"/>
      <c r="J828" s="6"/>
    </row>
    <row r="829" spans="6:10" ht="14.25" customHeight="1" x14ac:dyDescent="0.25">
      <c r="F829" s="6"/>
      <c r="J829" s="6"/>
    </row>
    <row r="830" spans="6:10" ht="14.25" customHeight="1" x14ac:dyDescent="0.25">
      <c r="F830" s="6"/>
      <c r="J830" s="6"/>
    </row>
    <row r="831" spans="6:10" ht="14.25" customHeight="1" x14ac:dyDescent="0.25">
      <c r="F831" s="6"/>
      <c r="J831" s="6"/>
    </row>
    <row r="832" spans="6:10" ht="14.25" customHeight="1" x14ac:dyDescent="0.25">
      <c r="F832" s="6"/>
      <c r="J832" s="6"/>
    </row>
    <row r="833" spans="6:10" ht="14.25" customHeight="1" x14ac:dyDescent="0.25">
      <c r="F833" s="6"/>
      <c r="J833" s="6"/>
    </row>
    <row r="834" spans="6:10" ht="14.25" customHeight="1" x14ac:dyDescent="0.25">
      <c r="F834" s="6"/>
      <c r="J834" s="6"/>
    </row>
    <row r="835" spans="6:10" ht="14.25" customHeight="1" x14ac:dyDescent="0.25">
      <c r="F835" s="6"/>
      <c r="J835" s="6"/>
    </row>
    <row r="836" spans="6:10" ht="14.25" customHeight="1" x14ac:dyDescent="0.25">
      <c r="F836" s="6"/>
      <c r="J836" s="6"/>
    </row>
    <row r="837" spans="6:10" ht="14.25" customHeight="1" x14ac:dyDescent="0.25">
      <c r="F837" s="6"/>
      <c r="J837" s="6"/>
    </row>
    <row r="838" spans="6:10" ht="14.25" customHeight="1" x14ac:dyDescent="0.25">
      <c r="F838" s="6"/>
      <c r="J838" s="6"/>
    </row>
    <row r="839" spans="6:10" ht="14.25" customHeight="1" x14ac:dyDescent="0.25">
      <c r="F839" s="6"/>
      <c r="J839" s="6"/>
    </row>
    <row r="840" spans="6:10" ht="14.25" customHeight="1" x14ac:dyDescent="0.25">
      <c r="F840" s="6"/>
      <c r="J840" s="6"/>
    </row>
    <row r="841" spans="6:10" ht="14.25" customHeight="1" x14ac:dyDescent="0.25">
      <c r="F841" s="6"/>
      <c r="J841" s="6"/>
    </row>
    <row r="842" spans="6:10" ht="14.25" customHeight="1" x14ac:dyDescent="0.25">
      <c r="F842" s="6"/>
      <c r="J842" s="6"/>
    </row>
    <row r="843" spans="6:10" ht="14.25" customHeight="1" x14ac:dyDescent="0.25">
      <c r="F843" s="6"/>
      <c r="J843" s="6"/>
    </row>
    <row r="844" spans="6:10" ht="14.25" customHeight="1" x14ac:dyDescent="0.25">
      <c r="F844" s="6"/>
      <c r="J844" s="6"/>
    </row>
    <row r="845" spans="6:10" ht="14.25" customHeight="1" x14ac:dyDescent="0.25">
      <c r="F845" s="6"/>
      <c r="J845" s="6"/>
    </row>
    <row r="846" spans="6:10" ht="14.25" customHeight="1" x14ac:dyDescent="0.25">
      <c r="F846" s="6"/>
      <c r="J846" s="6"/>
    </row>
    <row r="847" spans="6:10" ht="14.25" customHeight="1" x14ac:dyDescent="0.25">
      <c r="F847" s="6"/>
      <c r="J847" s="6"/>
    </row>
    <row r="848" spans="6:10" ht="14.25" customHeight="1" x14ac:dyDescent="0.25">
      <c r="F848" s="6"/>
      <c r="J848" s="6"/>
    </row>
    <row r="849" spans="6:10" ht="14.25" customHeight="1" x14ac:dyDescent="0.25">
      <c r="F849" s="6"/>
      <c r="J849" s="6"/>
    </row>
    <row r="850" spans="6:10" ht="14.25" customHeight="1" x14ac:dyDescent="0.25">
      <c r="F850" s="6"/>
      <c r="J850" s="6"/>
    </row>
    <row r="851" spans="6:10" ht="14.25" customHeight="1" x14ac:dyDescent="0.25">
      <c r="F851" s="6"/>
      <c r="J851" s="6"/>
    </row>
    <row r="852" spans="6:10" ht="14.25" customHeight="1" x14ac:dyDescent="0.25">
      <c r="F852" s="6"/>
      <c r="J852" s="6"/>
    </row>
    <row r="853" spans="6:10" ht="14.25" customHeight="1" x14ac:dyDescent="0.25">
      <c r="F853" s="6"/>
      <c r="J853" s="6"/>
    </row>
    <row r="854" spans="6:10" ht="14.25" customHeight="1" x14ac:dyDescent="0.25">
      <c r="F854" s="6"/>
      <c r="J854" s="6"/>
    </row>
    <row r="855" spans="6:10" ht="14.25" customHeight="1" x14ac:dyDescent="0.25">
      <c r="F855" s="6"/>
      <c r="J855" s="6"/>
    </row>
    <row r="856" spans="6:10" ht="14.25" customHeight="1" x14ac:dyDescent="0.25">
      <c r="F856" s="6"/>
      <c r="J856" s="6"/>
    </row>
    <row r="857" spans="6:10" ht="14.25" customHeight="1" x14ac:dyDescent="0.25">
      <c r="F857" s="6"/>
      <c r="J857" s="6"/>
    </row>
    <row r="858" spans="6:10" ht="14.25" customHeight="1" x14ac:dyDescent="0.25">
      <c r="F858" s="6"/>
      <c r="J858" s="6"/>
    </row>
    <row r="859" spans="6:10" ht="14.25" customHeight="1" x14ac:dyDescent="0.25">
      <c r="F859" s="6"/>
      <c r="J859" s="6"/>
    </row>
    <row r="860" spans="6:10" ht="14.25" customHeight="1" x14ac:dyDescent="0.25">
      <c r="F860" s="6"/>
      <c r="J860" s="6"/>
    </row>
    <row r="861" spans="6:10" ht="14.25" customHeight="1" x14ac:dyDescent="0.25">
      <c r="F861" s="6"/>
      <c r="J861" s="6"/>
    </row>
    <row r="862" spans="6:10" ht="14.25" customHeight="1" x14ac:dyDescent="0.25">
      <c r="F862" s="6"/>
      <c r="J862" s="6"/>
    </row>
    <row r="863" spans="6:10" ht="14.25" customHeight="1" x14ac:dyDescent="0.25">
      <c r="F863" s="6"/>
      <c r="J863" s="6"/>
    </row>
    <row r="864" spans="6:10" ht="14.25" customHeight="1" x14ac:dyDescent="0.25">
      <c r="F864" s="6"/>
      <c r="J864" s="6"/>
    </row>
    <row r="865" spans="6:10" ht="14.25" customHeight="1" x14ac:dyDescent="0.25">
      <c r="F865" s="6"/>
      <c r="J865" s="6"/>
    </row>
    <row r="866" spans="6:10" ht="14.25" customHeight="1" x14ac:dyDescent="0.25">
      <c r="F866" s="6"/>
      <c r="J866" s="6"/>
    </row>
    <row r="867" spans="6:10" ht="14.25" customHeight="1" x14ac:dyDescent="0.25">
      <c r="F867" s="6"/>
      <c r="J867" s="6"/>
    </row>
    <row r="868" spans="6:10" ht="14.25" customHeight="1" x14ac:dyDescent="0.25">
      <c r="F868" s="6"/>
      <c r="J868" s="6"/>
    </row>
    <row r="869" spans="6:10" ht="14.25" customHeight="1" x14ac:dyDescent="0.25">
      <c r="F869" s="6"/>
      <c r="J869" s="6"/>
    </row>
    <row r="870" spans="6:10" ht="14.25" customHeight="1" x14ac:dyDescent="0.25">
      <c r="F870" s="6"/>
      <c r="J870" s="6"/>
    </row>
    <row r="871" spans="6:10" ht="14.25" customHeight="1" x14ac:dyDescent="0.25">
      <c r="F871" s="6"/>
      <c r="J871" s="6"/>
    </row>
    <row r="872" spans="6:10" ht="14.25" customHeight="1" x14ac:dyDescent="0.25">
      <c r="F872" s="6"/>
      <c r="J872" s="6"/>
    </row>
    <row r="873" spans="6:10" ht="14.25" customHeight="1" x14ac:dyDescent="0.25">
      <c r="F873" s="6"/>
      <c r="J873" s="6"/>
    </row>
    <row r="874" spans="6:10" ht="14.25" customHeight="1" x14ac:dyDescent="0.25">
      <c r="F874" s="6"/>
      <c r="J874" s="6"/>
    </row>
    <row r="875" spans="6:10" ht="14.25" customHeight="1" x14ac:dyDescent="0.25">
      <c r="F875" s="6"/>
      <c r="J875" s="6"/>
    </row>
    <row r="876" spans="6:10" ht="14.25" customHeight="1" x14ac:dyDescent="0.25">
      <c r="F876" s="6"/>
      <c r="J876" s="6"/>
    </row>
    <row r="877" spans="6:10" ht="14.25" customHeight="1" x14ac:dyDescent="0.25">
      <c r="F877" s="6"/>
      <c r="J877" s="6"/>
    </row>
    <row r="878" spans="6:10" ht="14.25" customHeight="1" x14ac:dyDescent="0.25">
      <c r="F878" s="6"/>
      <c r="J878" s="6"/>
    </row>
    <row r="879" spans="6:10" ht="14.25" customHeight="1" x14ac:dyDescent="0.25">
      <c r="F879" s="6"/>
      <c r="J879" s="6"/>
    </row>
    <row r="880" spans="6:10" ht="14.25" customHeight="1" x14ac:dyDescent="0.25">
      <c r="F880" s="6"/>
      <c r="J880" s="6"/>
    </row>
    <row r="881" spans="6:10" ht="14.25" customHeight="1" x14ac:dyDescent="0.25">
      <c r="F881" s="6"/>
      <c r="J881" s="6"/>
    </row>
    <row r="882" spans="6:10" ht="14.25" customHeight="1" x14ac:dyDescent="0.25">
      <c r="F882" s="6"/>
      <c r="J882" s="6"/>
    </row>
    <row r="883" spans="6:10" ht="14.25" customHeight="1" x14ac:dyDescent="0.25">
      <c r="F883" s="6"/>
      <c r="J883" s="6"/>
    </row>
    <row r="884" spans="6:10" ht="14.25" customHeight="1" x14ac:dyDescent="0.25">
      <c r="F884" s="6"/>
      <c r="J884" s="6"/>
    </row>
    <row r="885" spans="6:10" ht="14.25" customHeight="1" x14ac:dyDescent="0.25">
      <c r="F885" s="6"/>
      <c r="J885" s="6"/>
    </row>
    <row r="886" spans="6:10" ht="14.25" customHeight="1" x14ac:dyDescent="0.25">
      <c r="F886" s="6"/>
      <c r="J886" s="6"/>
    </row>
    <row r="887" spans="6:10" ht="14.25" customHeight="1" x14ac:dyDescent="0.25">
      <c r="F887" s="6"/>
      <c r="J887" s="6"/>
    </row>
    <row r="888" spans="6:10" ht="14.25" customHeight="1" x14ac:dyDescent="0.25">
      <c r="F888" s="6"/>
      <c r="J888" s="6"/>
    </row>
    <row r="889" spans="6:10" ht="14.25" customHeight="1" x14ac:dyDescent="0.25">
      <c r="F889" s="6"/>
      <c r="J889" s="6"/>
    </row>
    <row r="890" spans="6:10" ht="14.25" customHeight="1" x14ac:dyDescent="0.25">
      <c r="F890" s="6"/>
      <c r="J890" s="6"/>
    </row>
    <row r="891" spans="6:10" ht="14.25" customHeight="1" x14ac:dyDescent="0.25">
      <c r="F891" s="6"/>
      <c r="J891" s="6"/>
    </row>
    <row r="892" spans="6:10" ht="14.25" customHeight="1" x14ac:dyDescent="0.25">
      <c r="F892" s="6"/>
      <c r="J892" s="6"/>
    </row>
    <row r="893" spans="6:10" ht="14.25" customHeight="1" x14ac:dyDescent="0.25">
      <c r="F893" s="6"/>
      <c r="J893" s="6"/>
    </row>
    <row r="894" spans="6:10" ht="14.25" customHeight="1" x14ac:dyDescent="0.25">
      <c r="F894" s="6"/>
      <c r="J894" s="6"/>
    </row>
    <row r="895" spans="6:10" ht="14.25" customHeight="1" x14ac:dyDescent="0.25">
      <c r="F895" s="6"/>
      <c r="J895" s="6"/>
    </row>
    <row r="896" spans="6:10" ht="14.25" customHeight="1" x14ac:dyDescent="0.25">
      <c r="F896" s="6"/>
      <c r="J896" s="6"/>
    </row>
    <row r="897" spans="6:10" ht="14.25" customHeight="1" x14ac:dyDescent="0.25">
      <c r="F897" s="6"/>
      <c r="J897" s="6"/>
    </row>
    <row r="898" spans="6:10" ht="14.25" customHeight="1" x14ac:dyDescent="0.25">
      <c r="F898" s="6"/>
      <c r="J898" s="6"/>
    </row>
    <row r="899" spans="6:10" ht="14.25" customHeight="1" x14ac:dyDescent="0.25">
      <c r="F899" s="6"/>
      <c r="J899" s="6"/>
    </row>
    <row r="900" spans="6:10" ht="14.25" customHeight="1" x14ac:dyDescent="0.25">
      <c r="F900" s="6"/>
      <c r="J900" s="6"/>
    </row>
    <row r="901" spans="6:10" ht="14.25" customHeight="1" x14ac:dyDescent="0.25">
      <c r="F901" s="6"/>
      <c r="J901" s="6"/>
    </row>
    <row r="902" spans="6:10" ht="14.25" customHeight="1" x14ac:dyDescent="0.25">
      <c r="F902" s="6"/>
      <c r="J902" s="6"/>
    </row>
    <row r="903" spans="6:10" ht="14.25" customHeight="1" x14ac:dyDescent="0.25">
      <c r="F903" s="6"/>
      <c r="J903" s="6"/>
    </row>
    <row r="904" spans="6:10" ht="14.25" customHeight="1" x14ac:dyDescent="0.25">
      <c r="F904" s="6"/>
      <c r="J904" s="6"/>
    </row>
    <row r="905" spans="6:10" ht="14.25" customHeight="1" x14ac:dyDescent="0.25">
      <c r="F905" s="6"/>
      <c r="J905" s="6"/>
    </row>
    <row r="906" spans="6:10" ht="14.25" customHeight="1" x14ac:dyDescent="0.25">
      <c r="F906" s="6"/>
      <c r="J906" s="6"/>
    </row>
    <row r="907" spans="6:10" ht="14.25" customHeight="1" x14ac:dyDescent="0.25">
      <c r="F907" s="6"/>
      <c r="J907" s="6"/>
    </row>
    <row r="908" spans="6:10" ht="14.25" customHeight="1" x14ac:dyDescent="0.25">
      <c r="F908" s="6"/>
      <c r="J908" s="6"/>
    </row>
    <row r="909" spans="6:10" ht="14.25" customHeight="1" x14ac:dyDescent="0.25">
      <c r="F909" s="6"/>
      <c r="J909" s="6"/>
    </row>
    <row r="910" spans="6:10" ht="14.25" customHeight="1" x14ac:dyDescent="0.25">
      <c r="F910" s="6"/>
      <c r="J910" s="6"/>
    </row>
    <row r="911" spans="6:10" ht="14.25" customHeight="1" x14ac:dyDescent="0.25">
      <c r="F911" s="6"/>
      <c r="J911" s="6"/>
    </row>
    <row r="912" spans="6:10" ht="14.25" customHeight="1" x14ac:dyDescent="0.25">
      <c r="F912" s="6"/>
      <c r="J912" s="6"/>
    </row>
    <row r="913" spans="6:10" ht="14.25" customHeight="1" x14ac:dyDescent="0.25">
      <c r="F913" s="6"/>
      <c r="J913" s="6"/>
    </row>
    <row r="914" spans="6:10" ht="14.25" customHeight="1" x14ac:dyDescent="0.25">
      <c r="F914" s="6"/>
      <c r="J914" s="6"/>
    </row>
    <row r="915" spans="6:10" ht="14.25" customHeight="1" x14ac:dyDescent="0.25">
      <c r="F915" s="6"/>
      <c r="J915" s="6"/>
    </row>
    <row r="916" spans="6:10" ht="14.25" customHeight="1" x14ac:dyDescent="0.25">
      <c r="F916" s="6"/>
      <c r="J916" s="6"/>
    </row>
    <row r="917" spans="6:10" ht="14.25" customHeight="1" x14ac:dyDescent="0.25">
      <c r="F917" s="6"/>
      <c r="J917" s="6"/>
    </row>
    <row r="918" spans="6:10" ht="14.25" customHeight="1" x14ac:dyDescent="0.25">
      <c r="F918" s="6"/>
      <c r="J918" s="6"/>
    </row>
    <row r="919" spans="6:10" ht="14.25" customHeight="1" x14ac:dyDescent="0.25">
      <c r="F919" s="6"/>
      <c r="J919" s="6"/>
    </row>
    <row r="920" spans="6:10" ht="14.25" customHeight="1" x14ac:dyDescent="0.25">
      <c r="F920" s="6"/>
      <c r="J920" s="6"/>
    </row>
    <row r="921" spans="6:10" ht="14.25" customHeight="1" x14ac:dyDescent="0.25">
      <c r="F921" s="6"/>
      <c r="J921" s="6"/>
    </row>
    <row r="922" spans="6:10" ht="14.25" customHeight="1" x14ac:dyDescent="0.25">
      <c r="F922" s="6"/>
      <c r="J922" s="6"/>
    </row>
    <row r="923" spans="6:10" ht="14.25" customHeight="1" x14ac:dyDescent="0.25">
      <c r="F923" s="6"/>
      <c r="J923" s="6"/>
    </row>
    <row r="924" spans="6:10" ht="14.25" customHeight="1" x14ac:dyDescent="0.25">
      <c r="F924" s="6"/>
      <c r="J924" s="6"/>
    </row>
    <row r="925" spans="6:10" ht="14.25" customHeight="1" x14ac:dyDescent="0.25">
      <c r="F925" s="6"/>
      <c r="J925" s="6"/>
    </row>
    <row r="926" spans="6:10" ht="14.25" customHeight="1" x14ac:dyDescent="0.25">
      <c r="F926" s="6"/>
      <c r="J926" s="6"/>
    </row>
    <row r="927" spans="6:10" ht="14.25" customHeight="1" x14ac:dyDescent="0.25">
      <c r="F927" s="6"/>
      <c r="J927" s="6"/>
    </row>
    <row r="928" spans="6:10" ht="14.25" customHeight="1" x14ac:dyDescent="0.25">
      <c r="F928" s="6"/>
      <c r="J928" s="6"/>
    </row>
    <row r="929" spans="6:10" ht="14.25" customHeight="1" x14ac:dyDescent="0.25">
      <c r="F929" s="6"/>
      <c r="J929" s="6"/>
    </row>
    <row r="930" spans="6:10" ht="14.25" customHeight="1" x14ac:dyDescent="0.25">
      <c r="F930" s="6"/>
      <c r="J930" s="6"/>
    </row>
    <row r="931" spans="6:10" ht="14.25" customHeight="1" x14ac:dyDescent="0.25">
      <c r="F931" s="6"/>
      <c r="J931" s="6"/>
    </row>
    <row r="932" spans="6:10" ht="14.25" customHeight="1" x14ac:dyDescent="0.25">
      <c r="F932" s="6"/>
      <c r="J932" s="6"/>
    </row>
    <row r="933" spans="6:10" ht="14.25" customHeight="1" x14ac:dyDescent="0.25">
      <c r="F933" s="6"/>
      <c r="J933" s="6"/>
    </row>
    <row r="934" spans="6:10" ht="14.25" customHeight="1" x14ac:dyDescent="0.25">
      <c r="F934" s="6"/>
      <c r="J934" s="6"/>
    </row>
    <row r="935" spans="6:10" ht="14.25" customHeight="1" x14ac:dyDescent="0.25">
      <c r="F935" s="6"/>
      <c r="J935" s="6"/>
    </row>
    <row r="936" spans="6:10" ht="14.25" customHeight="1" x14ac:dyDescent="0.25">
      <c r="F936" s="6"/>
      <c r="J936" s="6"/>
    </row>
    <row r="937" spans="6:10" ht="14.25" customHeight="1" x14ac:dyDescent="0.25">
      <c r="F937" s="6"/>
      <c r="J937" s="6"/>
    </row>
    <row r="938" spans="6:10" ht="14.25" customHeight="1" x14ac:dyDescent="0.25">
      <c r="F938" s="6"/>
      <c r="J938" s="6"/>
    </row>
    <row r="939" spans="6:10" ht="14.25" customHeight="1" x14ac:dyDescent="0.25">
      <c r="F939" s="6"/>
      <c r="J939" s="6"/>
    </row>
    <row r="940" spans="6:10" ht="14.25" customHeight="1" x14ac:dyDescent="0.25">
      <c r="F940" s="6"/>
      <c r="J940" s="6"/>
    </row>
    <row r="941" spans="6:10" ht="14.25" customHeight="1" x14ac:dyDescent="0.25">
      <c r="F941" s="6"/>
      <c r="J941" s="6"/>
    </row>
    <row r="942" spans="6:10" ht="14.25" customHeight="1" x14ac:dyDescent="0.25">
      <c r="F942" s="6"/>
      <c r="J942" s="6"/>
    </row>
    <row r="943" spans="6:10" ht="14.25" customHeight="1" x14ac:dyDescent="0.25">
      <c r="F943" s="6"/>
      <c r="J943" s="6"/>
    </row>
    <row r="944" spans="6:10" ht="14.25" customHeight="1" x14ac:dyDescent="0.25">
      <c r="F944" s="6"/>
      <c r="J944" s="6"/>
    </row>
    <row r="945" spans="6:10" ht="14.25" customHeight="1" x14ac:dyDescent="0.25">
      <c r="F945" s="6"/>
      <c r="J945" s="6"/>
    </row>
    <row r="946" spans="6:10" ht="14.25" customHeight="1" x14ac:dyDescent="0.25">
      <c r="F946" s="6"/>
      <c r="J946" s="6"/>
    </row>
    <row r="947" spans="6:10" ht="14.25" customHeight="1" x14ac:dyDescent="0.25">
      <c r="F947" s="6"/>
      <c r="J947" s="6"/>
    </row>
    <row r="948" spans="6:10" ht="14.25" customHeight="1" x14ac:dyDescent="0.25">
      <c r="F948" s="6"/>
      <c r="J948" s="6"/>
    </row>
    <row r="949" spans="6:10" ht="14.25" customHeight="1" x14ac:dyDescent="0.25">
      <c r="F949" s="6"/>
      <c r="J949" s="6"/>
    </row>
    <row r="950" spans="6:10" ht="14.25" customHeight="1" x14ac:dyDescent="0.25">
      <c r="F950" s="6"/>
      <c r="J950" s="6"/>
    </row>
    <row r="951" spans="6:10" ht="14.25" customHeight="1" x14ac:dyDescent="0.25">
      <c r="F951" s="6"/>
      <c r="J951" s="6"/>
    </row>
    <row r="952" spans="6:10" ht="14.25" customHeight="1" x14ac:dyDescent="0.25">
      <c r="F952" s="6"/>
      <c r="J952" s="6"/>
    </row>
    <row r="953" spans="6:10" ht="14.25" customHeight="1" x14ac:dyDescent="0.25">
      <c r="F953" s="6"/>
      <c r="J953" s="6"/>
    </row>
    <row r="954" spans="6:10" ht="14.25" customHeight="1" x14ac:dyDescent="0.25">
      <c r="F954" s="6"/>
      <c r="J954" s="6"/>
    </row>
    <row r="955" spans="6:10" ht="14.25" customHeight="1" x14ac:dyDescent="0.25">
      <c r="F955" s="6"/>
      <c r="J955" s="6"/>
    </row>
    <row r="956" spans="6:10" ht="14.25" customHeight="1" x14ac:dyDescent="0.25">
      <c r="F956" s="6"/>
      <c r="J956" s="6"/>
    </row>
    <row r="957" spans="6:10" ht="14.25" customHeight="1" x14ac:dyDescent="0.25">
      <c r="F957" s="6"/>
      <c r="J957" s="6"/>
    </row>
    <row r="958" spans="6:10" ht="14.25" customHeight="1" x14ac:dyDescent="0.25">
      <c r="F958" s="6"/>
      <c r="J958" s="6"/>
    </row>
    <row r="959" spans="6:10" ht="14.25" customHeight="1" x14ac:dyDescent="0.25">
      <c r="F959" s="6"/>
      <c r="J959" s="6"/>
    </row>
    <row r="960" spans="6:10" ht="14.25" customHeight="1" x14ac:dyDescent="0.25">
      <c r="F960" s="6"/>
      <c r="J960" s="6"/>
    </row>
    <row r="961" spans="6:10" ht="14.25" customHeight="1" x14ac:dyDescent="0.25">
      <c r="F961" s="6"/>
      <c r="J961" s="6"/>
    </row>
    <row r="962" spans="6:10" ht="14.25" customHeight="1" x14ac:dyDescent="0.25">
      <c r="F962" s="6"/>
      <c r="J962" s="6"/>
    </row>
    <row r="963" spans="6:10" ht="14.25" customHeight="1" x14ac:dyDescent="0.25">
      <c r="F963" s="6"/>
      <c r="J963" s="6"/>
    </row>
    <row r="964" spans="6:10" ht="14.25" customHeight="1" x14ac:dyDescent="0.25">
      <c r="F964" s="6"/>
      <c r="J964" s="6"/>
    </row>
    <row r="965" spans="6:10" ht="14.25" customHeight="1" x14ac:dyDescent="0.25">
      <c r="F965" s="6"/>
      <c r="J965" s="6"/>
    </row>
    <row r="966" spans="6:10" ht="14.25" customHeight="1" x14ac:dyDescent="0.25">
      <c r="F966" s="6"/>
      <c r="J966" s="6"/>
    </row>
    <row r="967" spans="6:10" ht="14.25" customHeight="1" x14ac:dyDescent="0.25">
      <c r="F967" s="6"/>
      <c r="J967" s="6"/>
    </row>
    <row r="968" spans="6:10" ht="14.25" customHeight="1" x14ac:dyDescent="0.25">
      <c r="F968" s="6"/>
      <c r="J968" s="6"/>
    </row>
    <row r="969" spans="6:10" ht="14.25" customHeight="1" x14ac:dyDescent="0.25">
      <c r="F969" s="6"/>
      <c r="J969" s="6"/>
    </row>
    <row r="970" spans="6:10" ht="14.25" customHeight="1" x14ac:dyDescent="0.25">
      <c r="F970" s="6"/>
      <c r="J970" s="6"/>
    </row>
    <row r="971" spans="6:10" ht="14.25" customHeight="1" x14ac:dyDescent="0.25">
      <c r="F971" s="6"/>
      <c r="J971" s="6"/>
    </row>
    <row r="972" spans="6:10" ht="14.25" customHeight="1" x14ac:dyDescent="0.25">
      <c r="F972" s="6"/>
      <c r="J972" s="6"/>
    </row>
    <row r="973" spans="6:10" ht="14.25" customHeight="1" x14ac:dyDescent="0.25">
      <c r="F973" s="6"/>
      <c r="J973" s="6"/>
    </row>
    <row r="974" spans="6:10" ht="14.25" customHeight="1" x14ac:dyDescent="0.25">
      <c r="F974" s="6"/>
      <c r="J974" s="6"/>
    </row>
    <row r="975" spans="6:10" ht="14.25" customHeight="1" x14ac:dyDescent="0.25">
      <c r="F975" s="6"/>
      <c r="J975" s="6"/>
    </row>
    <row r="976" spans="6:10" ht="14.25" customHeight="1" x14ac:dyDescent="0.25">
      <c r="F976" s="6"/>
      <c r="J976" s="6"/>
    </row>
    <row r="977" spans="6:10" ht="14.25" customHeight="1" x14ac:dyDescent="0.25">
      <c r="F977" s="6"/>
      <c r="J977" s="6"/>
    </row>
    <row r="978" spans="6:10" ht="14.25" customHeight="1" x14ac:dyDescent="0.25">
      <c r="F978" s="6"/>
      <c r="J978" s="6"/>
    </row>
    <row r="979" spans="6:10" ht="14.25" customHeight="1" x14ac:dyDescent="0.25">
      <c r="F979" s="6"/>
      <c r="J979" s="6"/>
    </row>
    <row r="980" spans="6:10" ht="14.25" customHeight="1" x14ac:dyDescent="0.25">
      <c r="F980" s="6"/>
      <c r="J980" s="6"/>
    </row>
    <row r="981" spans="6:10" ht="14.25" customHeight="1" x14ac:dyDescent="0.25">
      <c r="F981" s="6"/>
      <c r="J981" s="6"/>
    </row>
    <row r="982" spans="6:10" ht="14.25" customHeight="1" x14ac:dyDescent="0.25">
      <c r="F982" s="6"/>
      <c r="J982" s="6"/>
    </row>
    <row r="983" spans="6:10" ht="14.25" customHeight="1" x14ac:dyDescent="0.25">
      <c r="F983" s="6"/>
      <c r="J983" s="6"/>
    </row>
    <row r="984" spans="6:10" ht="14.25" customHeight="1" x14ac:dyDescent="0.25">
      <c r="F984" s="6"/>
      <c r="J984" s="6"/>
    </row>
    <row r="985" spans="6:10" ht="14.25" customHeight="1" x14ac:dyDescent="0.25">
      <c r="F985" s="6"/>
      <c r="J985" s="6"/>
    </row>
    <row r="986" spans="6:10" ht="14.25" customHeight="1" x14ac:dyDescent="0.25">
      <c r="F986" s="6"/>
      <c r="J986" s="6"/>
    </row>
    <row r="987" spans="6:10" ht="14.25" customHeight="1" x14ac:dyDescent="0.25">
      <c r="F987" s="6"/>
      <c r="J987" s="6"/>
    </row>
    <row r="988" spans="6:10" ht="14.25" customHeight="1" x14ac:dyDescent="0.25">
      <c r="F988" s="6"/>
      <c r="J988" s="6"/>
    </row>
    <row r="989" spans="6:10" ht="14.25" customHeight="1" x14ac:dyDescent="0.25">
      <c r="F989" s="6"/>
      <c r="J989" s="6"/>
    </row>
    <row r="990" spans="6:10" ht="14.25" customHeight="1" x14ac:dyDescent="0.25">
      <c r="F990" s="6"/>
      <c r="J990" s="6"/>
    </row>
    <row r="991" spans="6:10" ht="14.25" customHeight="1" x14ac:dyDescent="0.25">
      <c r="F991" s="6"/>
      <c r="J991" s="6"/>
    </row>
    <row r="992" spans="6:10" ht="14.25" customHeight="1" x14ac:dyDescent="0.25">
      <c r="F992" s="6"/>
      <c r="J992" s="6"/>
    </row>
    <row r="993" spans="6:10" ht="14.25" customHeight="1" x14ac:dyDescent="0.25">
      <c r="F993" s="6"/>
      <c r="J993" s="6"/>
    </row>
    <row r="994" spans="6:10" ht="14.25" customHeight="1" x14ac:dyDescent="0.25">
      <c r="F994" s="6"/>
      <c r="J994" s="6"/>
    </row>
    <row r="995" spans="6:10" ht="14.25" customHeight="1" x14ac:dyDescent="0.25">
      <c r="F995" s="6"/>
      <c r="J995" s="6"/>
    </row>
    <row r="996" spans="6:10" ht="14.25" customHeight="1" x14ac:dyDescent="0.25">
      <c r="F996" s="6"/>
      <c r="J996" s="6"/>
    </row>
    <row r="997" spans="6:10" ht="14.25" customHeight="1" x14ac:dyDescent="0.25">
      <c r="F997" s="6"/>
      <c r="J997" s="6"/>
    </row>
    <row r="998" spans="6:10" ht="14.25" customHeight="1" x14ac:dyDescent="0.25">
      <c r="F998" s="6"/>
      <c r="J998" s="6"/>
    </row>
    <row r="999" spans="6:10" ht="14.25" customHeight="1" x14ac:dyDescent="0.25">
      <c r="F999" s="6"/>
      <c r="J999" s="6"/>
    </row>
    <row r="1000" spans="6:10" ht="14.25" customHeight="1" x14ac:dyDescent="0.25">
      <c r="F1000" s="6"/>
      <c r="J1000" s="6"/>
    </row>
  </sheetData>
  <mergeCells count="1">
    <mergeCell ref="G4:I4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4"/>
  <sheetViews>
    <sheetView tabSelected="1" zoomScale="145" zoomScaleNormal="145" workbookViewId="0">
      <pane ySplit="1" topLeftCell="A372" activePane="bottomLeft" state="frozen"/>
      <selection pane="bottomLeft" activeCell="G387" sqref="G387"/>
    </sheetView>
  </sheetViews>
  <sheetFormatPr defaultColWidth="14.42578125" defaultRowHeight="15" customHeight="1" x14ac:dyDescent="0.25"/>
  <cols>
    <col min="1" max="1" width="5.5703125" customWidth="1"/>
    <col min="2" max="2" width="10.7109375" customWidth="1"/>
    <col min="3" max="3" width="24.5703125" customWidth="1"/>
    <col min="4" max="4" width="13.5703125" customWidth="1"/>
    <col min="5" max="5" width="11.85546875" customWidth="1"/>
    <col min="6" max="6" width="14.7109375" customWidth="1"/>
    <col min="7" max="7" width="12" customWidth="1"/>
    <col min="8" max="8" width="15.85546875" customWidth="1"/>
    <col min="9" max="9" width="13.28515625" customWidth="1"/>
    <col min="10" max="10" width="18.7109375" customWidth="1"/>
    <col min="11" max="11" width="21.42578125" customWidth="1"/>
    <col min="12" max="12" width="28.28515625" customWidth="1"/>
    <col min="13" max="26" width="8.7109375" customWidth="1"/>
  </cols>
  <sheetData>
    <row r="1" spans="1:12" ht="14.25" customHeight="1" x14ac:dyDescent="0.25">
      <c r="A1" s="3" t="s">
        <v>7143</v>
      </c>
      <c r="B1" s="3" t="s">
        <v>2</v>
      </c>
      <c r="C1" s="3" t="s">
        <v>7064</v>
      </c>
      <c r="D1" s="3" t="s">
        <v>7144</v>
      </c>
      <c r="E1" s="3" t="s">
        <v>9537</v>
      </c>
      <c r="G1" s="3" t="s">
        <v>33</v>
      </c>
      <c r="H1" s="3" t="s">
        <v>7145</v>
      </c>
      <c r="I1" s="3" t="s">
        <v>7146</v>
      </c>
      <c r="J1" s="3" t="s">
        <v>7147</v>
      </c>
      <c r="K1" s="8" t="s">
        <v>7148</v>
      </c>
      <c r="L1" s="8" t="s">
        <v>7149</v>
      </c>
    </row>
    <row r="2" spans="1:12" ht="14.25" customHeight="1" x14ac:dyDescent="0.25">
      <c r="A2" s="3">
        <v>1</v>
      </c>
      <c r="B2" s="1">
        <v>43128</v>
      </c>
      <c r="C2" s="3" t="s">
        <v>7150</v>
      </c>
      <c r="D2" s="3">
        <v>9810495368</v>
      </c>
      <c r="H2" s="3" t="s">
        <v>7151</v>
      </c>
      <c r="I2" s="133" t="s">
        <v>7152</v>
      </c>
      <c r="J2" s="3" t="s">
        <v>6487</v>
      </c>
      <c r="K2" s="8" t="s">
        <v>7153</v>
      </c>
      <c r="L2" s="8"/>
    </row>
    <row r="3" spans="1:12" ht="14.25" customHeight="1" x14ac:dyDescent="0.25">
      <c r="A3" s="3">
        <v>2</v>
      </c>
      <c r="B3" s="1">
        <v>43128</v>
      </c>
      <c r="C3" s="3" t="s">
        <v>7154</v>
      </c>
      <c r="D3" s="3">
        <v>7665006623</v>
      </c>
      <c r="H3" s="3" t="s">
        <v>7151</v>
      </c>
      <c r="I3" s="133" t="s">
        <v>7152</v>
      </c>
      <c r="J3" s="3" t="s">
        <v>6487</v>
      </c>
      <c r="K3" s="8" t="s">
        <v>7153</v>
      </c>
      <c r="L3" s="8"/>
    </row>
    <row r="4" spans="1:12" ht="14.25" customHeight="1" x14ac:dyDescent="0.25">
      <c r="A4" s="3">
        <v>3</v>
      </c>
      <c r="B4" s="1">
        <v>43147</v>
      </c>
      <c r="C4" s="3" t="s">
        <v>7155</v>
      </c>
      <c r="H4" s="3" t="s">
        <v>7151</v>
      </c>
      <c r="I4" s="133" t="s">
        <v>7152</v>
      </c>
      <c r="J4" s="3" t="s">
        <v>6487</v>
      </c>
      <c r="K4" s="8"/>
      <c r="L4" s="8"/>
    </row>
    <row r="5" spans="1:12" ht="14.25" customHeight="1" x14ac:dyDescent="0.25">
      <c r="A5" s="3">
        <v>4</v>
      </c>
      <c r="B5" s="1">
        <v>43147</v>
      </c>
      <c r="C5" s="3" t="s">
        <v>7156</v>
      </c>
      <c r="D5" s="3">
        <v>9031396437</v>
      </c>
      <c r="H5" s="3" t="s">
        <v>7157</v>
      </c>
      <c r="I5" s="133" t="s">
        <v>7152</v>
      </c>
      <c r="J5" s="3" t="s">
        <v>6487</v>
      </c>
      <c r="K5" s="8"/>
      <c r="L5" s="8"/>
    </row>
    <row r="6" spans="1:12" ht="14.25" customHeight="1" x14ac:dyDescent="0.25">
      <c r="A6" s="3">
        <v>5</v>
      </c>
      <c r="B6" s="1">
        <v>43147</v>
      </c>
      <c r="C6" s="3" t="s">
        <v>7158</v>
      </c>
      <c r="D6" s="3">
        <v>9031396437</v>
      </c>
      <c r="H6" s="3" t="s">
        <v>7157</v>
      </c>
      <c r="I6" s="133" t="s">
        <v>7152</v>
      </c>
      <c r="J6" s="3" t="s">
        <v>6487</v>
      </c>
      <c r="K6" s="8"/>
      <c r="L6" s="8"/>
    </row>
    <row r="7" spans="1:12" ht="14.25" customHeight="1" x14ac:dyDescent="0.25">
      <c r="A7" s="3">
        <v>6</v>
      </c>
      <c r="B7" s="1">
        <v>43168</v>
      </c>
      <c r="C7" s="3" t="s">
        <v>7158</v>
      </c>
      <c r="H7" s="3" t="s">
        <v>7157</v>
      </c>
      <c r="I7" s="34" t="s">
        <v>7152</v>
      </c>
      <c r="J7" s="3" t="s">
        <v>6487</v>
      </c>
      <c r="K7" s="8"/>
      <c r="L7" s="8"/>
    </row>
    <row r="8" spans="1:12" ht="14.25" customHeight="1" x14ac:dyDescent="0.25">
      <c r="A8" s="3">
        <v>7</v>
      </c>
      <c r="B8" s="1">
        <v>43170</v>
      </c>
      <c r="C8" s="3" t="s">
        <v>7159</v>
      </c>
      <c r="H8" s="3" t="s">
        <v>7157</v>
      </c>
      <c r="I8" s="34" t="s">
        <v>7152</v>
      </c>
      <c r="J8" s="3" t="s">
        <v>6487</v>
      </c>
      <c r="K8" s="8"/>
      <c r="L8" s="8"/>
    </row>
    <row r="9" spans="1:12" ht="14.25" customHeight="1" x14ac:dyDescent="0.25">
      <c r="A9" s="3">
        <v>7</v>
      </c>
      <c r="B9" s="1">
        <v>43171</v>
      </c>
      <c r="C9" s="3" t="s">
        <v>7160</v>
      </c>
      <c r="D9" s="3">
        <v>8228070960</v>
      </c>
      <c r="H9" s="3" t="s">
        <v>7161</v>
      </c>
      <c r="I9" s="34" t="s">
        <v>7152</v>
      </c>
      <c r="J9" s="3" t="s">
        <v>6487</v>
      </c>
      <c r="K9" s="8"/>
      <c r="L9" s="8"/>
    </row>
    <row r="10" spans="1:12" ht="14.25" customHeight="1" x14ac:dyDescent="0.25">
      <c r="B10" s="1">
        <v>43180</v>
      </c>
      <c r="C10" s="3" t="s">
        <v>7162</v>
      </c>
      <c r="D10" s="3">
        <v>9931830641</v>
      </c>
      <c r="H10" s="3" t="s">
        <v>7161</v>
      </c>
      <c r="I10" s="34" t="s">
        <v>7152</v>
      </c>
      <c r="J10" s="3" t="s">
        <v>6487</v>
      </c>
      <c r="K10" s="8"/>
      <c r="L10" s="8"/>
    </row>
    <row r="11" spans="1:12" ht="14.25" customHeight="1" x14ac:dyDescent="0.25">
      <c r="B11" s="1">
        <v>43182</v>
      </c>
      <c r="C11" s="3" t="s">
        <v>7088</v>
      </c>
      <c r="D11" s="3">
        <v>9304524553</v>
      </c>
      <c r="H11" s="3" t="s">
        <v>7161</v>
      </c>
      <c r="I11" s="34" t="s">
        <v>7152</v>
      </c>
      <c r="J11" s="3" t="s">
        <v>6487</v>
      </c>
      <c r="K11" s="8"/>
      <c r="L11" s="8"/>
    </row>
    <row r="12" spans="1:12" ht="14.25" customHeight="1" x14ac:dyDescent="0.25">
      <c r="B12" s="1">
        <v>43182</v>
      </c>
      <c r="C12" s="3" t="s">
        <v>7163</v>
      </c>
      <c r="D12" s="3">
        <v>8581812162</v>
      </c>
      <c r="H12" s="3" t="s">
        <v>7161</v>
      </c>
      <c r="I12" s="34" t="s">
        <v>7152</v>
      </c>
      <c r="J12" s="3" t="s">
        <v>6487</v>
      </c>
      <c r="K12" s="8"/>
      <c r="L12" s="8"/>
    </row>
    <row r="13" spans="1:12" ht="14.25" customHeight="1" x14ac:dyDescent="0.25">
      <c r="B13" s="1">
        <v>43182</v>
      </c>
      <c r="C13" s="3" t="s">
        <v>7164</v>
      </c>
      <c r="H13" s="3" t="s">
        <v>7151</v>
      </c>
      <c r="I13" s="34" t="s">
        <v>7152</v>
      </c>
      <c r="J13" s="3" t="s">
        <v>6487</v>
      </c>
      <c r="K13" s="8"/>
      <c r="L13" s="8"/>
    </row>
    <row r="14" spans="1:12" ht="14.25" customHeight="1" x14ac:dyDescent="0.25">
      <c r="B14" s="1">
        <v>43183</v>
      </c>
      <c r="C14" s="3" t="s">
        <v>7165</v>
      </c>
      <c r="D14" s="3">
        <v>9234628324</v>
      </c>
      <c r="E14" s="3" t="s">
        <v>7166</v>
      </c>
      <c r="H14" s="3" t="s">
        <v>7151</v>
      </c>
      <c r="I14" s="34" t="s">
        <v>7152</v>
      </c>
      <c r="J14" s="3" t="s">
        <v>2216</v>
      </c>
      <c r="K14" s="8">
        <v>9431755312</v>
      </c>
      <c r="L14" s="8">
        <v>9471309728</v>
      </c>
    </row>
    <row r="15" spans="1:12" ht="14.25" customHeight="1" x14ac:dyDescent="0.25">
      <c r="B15" s="1">
        <v>43196</v>
      </c>
      <c r="C15" s="3" t="s">
        <v>7167</v>
      </c>
      <c r="E15" s="3" t="s">
        <v>7168</v>
      </c>
      <c r="H15" s="3" t="s">
        <v>7169</v>
      </c>
      <c r="I15" s="34" t="s">
        <v>7152</v>
      </c>
      <c r="K15" s="8"/>
      <c r="L15" s="8"/>
    </row>
    <row r="16" spans="1:12" ht="14.25" customHeight="1" x14ac:dyDescent="0.25">
      <c r="B16" s="1">
        <v>43196</v>
      </c>
      <c r="C16" s="3" t="s">
        <v>7170</v>
      </c>
      <c r="E16" s="3" t="s">
        <v>7171</v>
      </c>
      <c r="H16" s="3" t="s">
        <v>7169</v>
      </c>
      <c r="I16" s="34" t="s">
        <v>7152</v>
      </c>
      <c r="K16" s="8"/>
      <c r="L16" s="8"/>
    </row>
    <row r="17" spans="2:12" ht="14.25" customHeight="1" x14ac:dyDescent="0.25">
      <c r="B17" s="1">
        <v>43196</v>
      </c>
      <c r="C17" s="3" t="s">
        <v>7170</v>
      </c>
      <c r="E17" s="3" t="s">
        <v>7172</v>
      </c>
      <c r="H17" s="3" t="s">
        <v>7169</v>
      </c>
      <c r="I17" s="34" t="s">
        <v>7152</v>
      </c>
      <c r="K17" s="8"/>
      <c r="L17" s="8"/>
    </row>
    <row r="18" spans="2:12" ht="14.25" customHeight="1" x14ac:dyDescent="0.25">
      <c r="B18" s="1">
        <v>43196</v>
      </c>
      <c r="C18" s="3" t="s">
        <v>7173</v>
      </c>
      <c r="E18" s="3" t="s">
        <v>7053</v>
      </c>
      <c r="H18" s="3" t="s">
        <v>7169</v>
      </c>
      <c r="I18" s="34" t="s">
        <v>7152</v>
      </c>
      <c r="K18" s="8"/>
      <c r="L18" s="8"/>
    </row>
    <row r="19" spans="2:12" ht="14.25" customHeight="1" x14ac:dyDescent="0.25">
      <c r="C19" s="3" t="s">
        <v>7174</v>
      </c>
      <c r="D19" s="3">
        <v>6200304767</v>
      </c>
      <c r="H19" s="148" t="s">
        <v>7175</v>
      </c>
      <c r="I19" s="149" t="s">
        <v>7152</v>
      </c>
      <c r="K19" s="8"/>
      <c r="L19" s="8"/>
    </row>
    <row r="20" spans="2:12" ht="14.25" customHeight="1" x14ac:dyDescent="0.25">
      <c r="C20" s="26" t="s">
        <v>7176</v>
      </c>
      <c r="H20" s="148"/>
      <c r="I20" s="149"/>
      <c r="K20" s="8"/>
      <c r="L20" s="8"/>
    </row>
    <row r="21" spans="2:12" ht="14.25" customHeight="1" x14ac:dyDescent="0.25">
      <c r="C21" s="26" t="s">
        <v>7177</v>
      </c>
      <c r="H21" s="148"/>
      <c r="I21" s="149"/>
      <c r="K21" s="8"/>
      <c r="L21" s="8"/>
    </row>
    <row r="22" spans="2:12" ht="14.25" customHeight="1" x14ac:dyDescent="0.25">
      <c r="C22" s="26" t="s">
        <v>7178</v>
      </c>
      <c r="H22" s="148"/>
      <c r="I22" s="149"/>
      <c r="K22" s="8"/>
      <c r="L22" s="8"/>
    </row>
    <row r="23" spans="2:12" ht="14.25" customHeight="1" x14ac:dyDescent="0.25">
      <c r="C23" s="26" t="s">
        <v>7179</v>
      </c>
      <c r="H23" s="148"/>
      <c r="I23" s="149"/>
      <c r="K23" s="8"/>
      <c r="L23" s="8"/>
    </row>
    <row r="24" spans="2:12" ht="14.25" customHeight="1" x14ac:dyDescent="0.25">
      <c r="B24" s="1">
        <v>43708</v>
      </c>
      <c r="C24" s="26" t="s">
        <v>7180</v>
      </c>
      <c r="D24" s="3">
        <v>7043617971</v>
      </c>
      <c r="E24" s="3" t="s">
        <v>7053</v>
      </c>
      <c r="H24" s="3" t="s">
        <v>7181</v>
      </c>
      <c r="I24" s="133" t="s">
        <v>7075</v>
      </c>
      <c r="J24" s="3" t="s">
        <v>7079</v>
      </c>
      <c r="K24" s="8"/>
      <c r="L24" s="8"/>
    </row>
    <row r="25" spans="2:12" ht="14.25" customHeight="1" x14ac:dyDescent="0.25">
      <c r="B25" s="1">
        <v>43674</v>
      </c>
      <c r="C25" s="26" t="s">
        <v>7182</v>
      </c>
      <c r="E25" s="3" t="s">
        <v>7053</v>
      </c>
      <c r="H25" s="3" t="s">
        <v>7183</v>
      </c>
      <c r="I25" s="133" t="s">
        <v>7082</v>
      </c>
      <c r="K25" s="8"/>
      <c r="L25" s="8"/>
    </row>
    <row r="26" spans="2:12" ht="14.25" customHeight="1" x14ac:dyDescent="0.25">
      <c r="B26" s="1">
        <v>43687</v>
      </c>
      <c r="C26" s="26" t="s">
        <v>7184</v>
      </c>
      <c r="E26" s="3" t="s">
        <v>7053</v>
      </c>
      <c r="H26" s="3" t="s">
        <v>7183</v>
      </c>
      <c r="I26" s="133" t="s">
        <v>7082</v>
      </c>
      <c r="K26" s="8"/>
      <c r="L26" s="8"/>
    </row>
    <row r="27" spans="2:12" ht="14.25" customHeight="1" x14ac:dyDescent="0.25">
      <c r="B27" s="1">
        <v>43695</v>
      </c>
      <c r="C27" s="26" t="s">
        <v>7185</v>
      </c>
      <c r="E27" s="3" t="s">
        <v>7053</v>
      </c>
      <c r="H27" s="3" t="s">
        <v>7183</v>
      </c>
      <c r="I27" s="133" t="s">
        <v>7082</v>
      </c>
      <c r="K27" s="8"/>
      <c r="L27" s="8"/>
    </row>
    <row r="28" spans="2:12" ht="14.25" customHeight="1" x14ac:dyDescent="0.25">
      <c r="B28" s="1">
        <v>43706</v>
      </c>
      <c r="C28" s="26" t="s">
        <v>7186</v>
      </c>
      <c r="E28" s="3" t="s">
        <v>7053</v>
      </c>
      <c r="H28" s="3" t="s">
        <v>7183</v>
      </c>
      <c r="I28" s="133" t="s">
        <v>7082</v>
      </c>
      <c r="K28" s="8"/>
      <c r="L28" s="8"/>
    </row>
    <row r="29" spans="2:12" ht="14.25" customHeight="1" x14ac:dyDescent="0.25">
      <c r="B29" s="1">
        <v>43713</v>
      </c>
      <c r="C29" s="26" t="s">
        <v>7187</v>
      </c>
      <c r="D29" s="3">
        <v>9431345759</v>
      </c>
      <c r="E29" s="3" t="s">
        <v>7188</v>
      </c>
      <c r="H29" s="3" t="s">
        <v>7181</v>
      </c>
      <c r="I29" s="133" t="s">
        <v>7075</v>
      </c>
      <c r="J29" s="3" t="s">
        <v>6487</v>
      </c>
      <c r="K29" s="8"/>
      <c r="L29" s="8"/>
    </row>
    <row r="30" spans="2:12" ht="14.25" customHeight="1" x14ac:dyDescent="0.25">
      <c r="B30" s="1">
        <v>43713</v>
      </c>
      <c r="C30" s="26" t="s">
        <v>7189</v>
      </c>
      <c r="D30" s="3">
        <v>7209310758</v>
      </c>
      <c r="E30" s="3" t="s">
        <v>7053</v>
      </c>
      <c r="H30" s="3" t="s">
        <v>7181</v>
      </c>
      <c r="I30" s="133" t="s">
        <v>7075</v>
      </c>
      <c r="K30" s="8"/>
      <c r="L30" s="8"/>
    </row>
    <row r="31" spans="2:12" ht="14.25" customHeight="1" x14ac:dyDescent="0.25">
      <c r="B31" s="1">
        <v>43716</v>
      </c>
      <c r="C31" s="26" t="s">
        <v>7190</v>
      </c>
      <c r="D31" s="3">
        <v>8809365355</v>
      </c>
      <c r="E31" s="3" t="s">
        <v>7053</v>
      </c>
      <c r="H31" s="3" t="s">
        <v>7181</v>
      </c>
      <c r="I31" s="133" t="s">
        <v>7075</v>
      </c>
      <c r="K31" s="150">
        <v>100015126910119</v>
      </c>
      <c r="L31" s="150" t="s">
        <v>7191</v>
      </c>
    </row>
    <row r="32" spans="2:12" ht="14.25" customHeight="1" x14ac:dyDescent="0.25">
      <c r="B32" s="1">
        <v>43722</v>
      </c>
      <c r="C32" s="26" t="s">
        <v>7078</v>
      </c>
      <c r="D32" s="3">
        <v>7903798550</v>
      </c>
      <c r="E32" s="3" t="s">
        <v>7053</v>
      </c>
      <c r="H32" s="3" t="s">
        <v>7192</v>
      </c>
      <c r="I32" s="133" t="s">
        <v>3455</v>
      </c>
      <c r="K32" s="8">
        <v>190012889486</v>
      </c>
      <c r="L32" s="8"/>
    </row>
    <row r="33" spans="2:12" ht="14.25" customHeight="1" x14ac:dyDescent="0.25">
      <c r="B33" s="1">
        <v>43725</v>
      </c>
      <c r="C33" s="26" t="s">
        <v>7193</v>
      </c>
      <c r="D33" s="3">
        <v>9955531957</v>
      </c>
      <c r="E33" s="3" t="s">
        <v>7053</v>
      </c>
      <c r="H33" s="3" t="s">
        <v>7192</v>
      </c>
      <c r="I33" s="133" t="s">
        <v>3455</v>
      </c>
      <c r="K33" s="8"/>
      <c r="L33" s="8"/>
    </row>
    <row r="34" spans="2:12" ht="14.25" customHeight="1" x14ac:dyDescent="0.25">
      <c r="B34" s="1">
        <v>43725</v>
      </c>
      <c r="C34" s="26" t="s">
        <v>7194</v>
      </c>
      <c r="D34" s="3">
        <v>9835337812</v>
      </c>
      <c r="E34" s="3" t="s">
        <v>7053</v>
      </c>
      <c r="H34" s="3" t="s">
        <v>7192</v>
      </c>
      <c r="I34" s="133" t="s">
        <v>3455</v>
      </c>
      <c r="K34" s="8">
        <v>6</v>
      </c>
      <c r="L34" s="8"/>
    </row>
    <row r="35" spans="2:12" ht="14.25" customHeight="1" x14ac:dyDescent="0.25">
      <c r="B35" s="1">
        <v>43730</v>
      </c>
      <c r="C35" s="26" t="s">
        <v>7195</v>
      </c>
      <c r="D35" s="3">
        <v>8340318636</v>
      </c>
      <c r="E35" s="3" t="s">
        <v>7053</v>
      </c>
      <c r="H35" s="3" t="s">
        <v>7192</v>
      </c>
      <c r="I35" s="133" t="s">
        <v>3455</v>
      </c>
      <c r="K35" s="8"/>
      <c r="L35" s="8"/>
    </row>
    <row r="36" spans="2:12" ht="14.25" customHeight="1" x14ac:dyDescent="0.25">
      <c r="B36" s="1">
        <v>43733</v>
      </c>
      <c r="C36" s="26" t="s">
        <v>7196</v>
      </c>
      <c r="D36" s="3">
        <v>9031905223</v>
      </c>
      <c r="E36" s="3" t="s">
        <v>7053</v>
      </c>
      <c r="H36" s="3" t="s">
        <v>7197</v>
      </c>
      <c r="I36" s="133" t="s">
        <v>7075</v>
      </c>
      <c r="K36" s="8">
        <v>100015279045519</v>
      </c>
      <c r="L36" s="8" t="s">
        <v>7198</v>
      </c>
    </row>
    <row r="37" spans="2:12" ht="14.25" customHeight="1" x14ac:dyDescent="0.25">
      <c r="B37" s="1">
        <v>43743</v>
      </c>
      <c r="C37" s="26" t="s">
        <v>7091</v>
      </c>
      <c r="D37" s="3">
        <v>8294696993</v>
      </c>
      <c r="E37" s="3" t="s">
        <v>7053</v>
      </c>
      <c r="H37" s="3" t="s">
        <v>7199</v>
      </c>
      <c r="I37" s="133" t="s">
        <v>7075</v>
      </c>
      <c r="J37" s="1">
        <v>43761</v>
      </c>
      <c r="K37" s="8">
        <v>100015311004919</v>
      </c>
      <c r="L37" s="8" t="s">
        <v>7200</v>
      </c>
    </row>
    <row r="38" spans="2:12" ht="14.25" customHeight="1" x14ac:dyDescent="0.25">
      <c r="B38" s="1">
        <v>43746</v>
      </c>
      <c r="H38" s="3" t="s">
        <v>7199</v>
      </c>
      <c r="I38" s="133" t="s">
        <v>7075</v>
      </c>
      <c r="K38" s="8"/>
      <c r="L38" s="8"/>
    </row>
    <row r="39" spans="2:12" ht="14.25" customHeight="1" x14ac:dyDescent="0.25">
      <c r="B39" s="1">
        <v>43750</v>
      </c>
      <c r="C39" s="26" t="s">
        <v>7201</v>
      </c>
      <c r="H39" s="3" t="s">
        <v>7199</v>
      </c>
      <c r="I39" s="133" t="s">
        <v>7075</v>
      </c>
      <c r="J39" s="1">
        <v>43767</v>
      </c>
      <c r="K39" s="8"/>
      <c r="L39" s="8"/>
    </row>
    <row r="40" spans="2:12" ht="14.25" customHeight="1" x14ac:dyDescent="0.25">
      <c r="C40" s="26" t="s">
        <v>7202</v>
      </c>
      <c r="H40" s="3" t="s">
        <v>1637</v>
      </c>
      <c r="K40" s="8"/>
      <c r="L40" s="8"/>
    </row>
    <row r="41" spans="2:12" ht="14.25" customHeight="1" x14ac:dyDescent="0.25">
      <c r="B41" s="1">
        <v>43754</v>
      </c>
      <c r="C41" s="26" t="s">
        <v>7203</v>
      </c>
      <c r="H41" s="3" t="s">
        <v>7204</v>
      </c>
      <c r="I41" s="133" t="s">
        <v>7082</v>
      </c>
      <c r="K41" s="8"/>
      <c r="L41" s="8"/>
    </row>
    <row r="42" spans="2:12" ht="14.25" customHeight="1" x14ac:dyDescent="0.25">
      <c r="B42" s="1">
        <v>43754</v>
      </c>
      <c r="C42" s="26" t="s">
        <v>7205</v>
      </c>
      <c r="H42" s="3" t="s">
        <v>7204</v>
      </c>
      <c r="I42" s="133" t="s">
        <v>7082</v>
      </c>
      <c r="K42" s="8"/>
      <c r="L42" s="8"/>
    </row>
    <row r="43" spans="2:12" ht="14.25" customHeight="1" x14ac:dyDescent="0.25">
      <c r="B43" s="1">
        <v>43754</v>
      </c>
      <c r="C43" s="26" t="s">
        <v>7206</v>
      </c>
      <c r="H43" s="3" t="s">
        <v>7204</v>
      </c>
      <c r="I43" s="133" t="s">
        <v>7082</v>
      </c>
      <c r="K43" s="8"/>
      <c r="L43" s="8"/>
    </row>
    <row r="44" spans="2:12" ht="14.25" customHeight="1" x14ac:dyDescent="0.25">
      <c r="C44" s="26" t="s">
        <v>1286</v>
      </c>
      <c r="H44" s="3" t="s">
        <v>7207</v>
      </c>
      <c r="I44" s="133" t="s">
        <v>7082</v>
      </c>
      <c r="K44" s="8"/>
      <c r="L44" s="8"/>
    </row>
    <row r="45" spans="2:12" ht="14.25" customHeight="1" x14ac:dyDescent="0.25">
      <c r="C45" s="26" t="s">
        <v>1286</v>
      </c>
      <c r="H45" s="3" t="s">
        <v>7207</v>
      </c>
      <c r="I45" s="133" t="s">
        <v>7082</v>
      </c>
      <c r="K45" s="8"/>
      <c r="L45" s="8"/>
    </row>
    <row r="46" spans="2:12" ht="14.25" customHeight="1" x14ac:dyDescent="0.25">
      <c r="C46" s="26" t="s">
        <v>1286</v>
      </c>
      <c r="H46" s="3" t="s">
        <v>7207</v>
      </c>
      <c r="I46" s="133" t="s">
        <v>7082</v>
      </c>
      <c r="K46" s="8"/>
      <c r="L46" s="8"/>
    </row>
    <row r="47" spans="2:12" ht="14.25" customHeight="1" x14ac:dyDescent="0.25">
      <c r="B47" s="1">
        <v>43759</v>
      </c>
      <c r="C47" s="26" t="s">
        <v>7208</v>
      </c>
      <c r="D47" s="3">
        <v>7295876646</v>
      </c>
      <c r="E47" s="3" t="s">
        <v>7188</v>
      </c>
      <c r="H47" s="3" t="s">
        <v>7199</v>
      </c>
      <c r="I47" s="133" t="s">
        <v>7082</v>
      </c>
      <c r="K47" s="8"/>
      <c r="L47" s="8"/>
    </row>
    <row r="48" spans="2:12" ht="14.25" customHeight="1" x14ac:dyDescent="0.25">
      <c r="B48" s="1">
        <v>43766</v>
      </c>
      <c r="C48" s="26" t="s">
        <v>7209</v>
      </c>
      <c r="D48" s="3">
        <v>7033985889</v>
      </c>
      <c r="E48" s="3" t="s">
        <v>7188</v>
      </c>
      <c r="H48" s="3" t="s">
        <v>7199</v>
      </c>
      <c r="I48" s="133" t="s">
        <v>7082</v>
      </c>
      <c r="K48" s="8"/>
      <c r="L48" s="8"/>
    </row>
    <row r="49" spans="1:12" ht="14.25" customHeight="1" x14ac:dyDescent="0.25">
      <c r="C49" s="26" t="s">
        <v>3014</v>
      </c>
      <c r="D49" s="3">
        <v>8227064613</v>
      </c>
      <c r="H49" s="3" t="s">
        <v>7204</v>
      </c>
      <c r="I49" s="133" t="s">
        <v>7082</v>
      </c>
      <c r="J49" s="1">
        <v>43795</v>
      </c>
      <c r="K49" s="8">
        <v>100015547972919</v>
      </c>
      <c r="L49" s="8" t="s">
        <v>7210</v>
      </c>
    </row>
    <row r="50" spans="1:12" ht="14.25" customHeight="1" x14ac:dyDescent="0.25">
      <c r="A50" s="3" t="s">
        <v>7098</v>
      </c>
      <c r="B50" s="1">
        <v>43787</v>
      </c>
      <c r="C50" s="26" t="s">
        <v>7211</v>
      </c>
      <c r="D50" s="3">
        <v>9572856979</v>
      </c>
      <c r="H50" s="3" t="s">
        <v>7212</v>
      </c>
      <c r="I50" s="133" t="s">
        <v>7082</v>
      </c>
      <c r="J50" s="1">
        <v>43791</v>
      </c>
      <c r="K50" s="8">
        <v>100015724286319</v>
      </c>
      <c r="L50" s="8" t="s">
        <v>7213</v>
      </c>
    </row>
    <row r="51" spans="1:12" ht="14.25" customHeight="1" x14ac:dyDescent="0.25">
      <c r="B51" s="1">
        <v>43797</v>
      </c>
      <c r="C51" s="26" t="s">
        <v>7214</v>
      </c>
      <c r="D51" s="3">
        <v>7209501855</v>
      </c>
      <c r="H51" s="3" t="s">
        <v>7215</v>
      </c>
      <c r="I51" s="133" t="s">
        <v>7216</v>
      </c>
      <c r="K51" s="8"/>
      <c r="L51" s="8"/>
    </row>
    <row r="52" spans="1:12" ht="14.25" customHeight="1" x14ac:dyDescent="0.25">
      <c r="B52" s="1">
        <v>43800</v>
      </c>
      <c r="C52" s="26" t="s">
        <v>7066</v>
      </c>
      <c r="D52" s="3">
        <v>8804803000</v>
      </c>
      <c r="E52" s="3" t="s">
        <v>7057</v>
      </c>
      <c r="H52" s="3" t="s">
        <v>7217</v>
      </c>
      <c r="I52" s="133" t="s">
        <v>7075</v>
      </c>
      <c r="J52" s="1">
        <v>43815</v>
      </c>
      <c r="K52" s="8">
        <v>100015676172919</v>
      </c>
      <c r="L52" s="8" t="s">
        <v>7218</v>
      </c>
    </row>
    <row r="53" spans="1:12" ht="14.25" customHeight="1" x14ac:dyDescent="0.25">
      <c r="B53" s="1">
        <v>43822</v>
      </c>
      <c r="C53" s="26" t="s">
        <v>7219</v>
      </c>
      <c r="D53" s="3">
        <v>8092231804</v>
      </c>
      <c r="E53" s="3" t="s">
        <v>7057</v>
      </c>
      <c r="H53" s="3" t="s">
        <v>7217</v>
      </c>
      <c r="I53" s="133" t="s">
        <v>7075</v>
      </c>
      <c r="J53" s="1">
        <v>43838</v>
      </c>
      <c r="K53" s="151">
        <v>100015825786119</v>
      </c>
      <c r="L53" s="151" t="s">
        <v>7220</v>
      </c>
    </row>
    <row r="54" spans="1:12" ht="14.25" customHeight="1" x14ac:dyDescent="0.25">
      <c r="B54" s="1">
        <v>43824</v>
      </c>
      <c r="C54" s="26" t="s">
        <v>7221</v>
      </c>
      <c r="D54" s="3">
        <v>9263448314</v>
      </c>
      <c r="E54" s="3" t="s">
        <v>7057</v>
      </c>
      <c r="H54" s="3" t="s">
        <v>7217</v>
      </c>
      <c r="I54" s="133" t="s">
        <v>7075</v>
      </c>
      <c r="J54" s="1">
        <v>43839</v>
      </c>
      <c r="K54" s="8"/>
      <c r="L54" s="8"/>
    </row>
    <row r="55" spans="1:12" ht="14.25" customHeight="1" x14ac:dyDescent="0.25">
      <c r="B55" s="1">
        <v>43824</v>
      </c>
      <c r="C55" s="26" t="s">
        <v>7060</v>
      </c>
      <c r="D55" s="3">
        <v>7631194435</v>
      </c>
      <c r="H55" s="3" t="s">
        <v>7217</v>
      </c>
      <c r="I55" s="133" t="s">
        <v>7075</v>
      </c>
      <c r="J55" s="1">
        <v>43839</v>
      </c>
      <c r="K55" s="8"/>
      <c r="L55" s="8"/>
    </row>
    <row r="56" spans="1:12" ht="14.25" customHeight="1" x14ac:dyDescent="0.25">
      <c r="B56" s="1">
        <v>43828</v>
      </c>
      <c r="C56" s="26" t="s">
        <v>7222</v>
      </c>
      <c r="D56" s="3">
        <v>9939278339</v>
      </c>
      <c r="E56" s="3" t="s">
        <v>7223</v>
      </c>
      <c r="H56" s="3" t="s">
        <v>7224</v>
      </c>
      <c r="I56" s="133" t="s">
        <v>7075</v>
      </c>
      <c r="J56" s="1">
        <v>43844</v>
      </c>
      <c r="K56" s="8">
        <v>100015873488319</v>
      </c>
      <c r="L56" s="8" t="s">
        <v>7225</v>
      </c>
    </row>
    <row r="57" spans="1:12" ht="14.25" customHeight="1" x14ac:dyDescent="0.25">
      <c r="B57" s="1">
        <v>43838</v>
      </c>
      <c r="C57" s="26" t="s">
        <v>7226</v>
      </c>
      <c r="D57" s="3">
        <v>8789590873</v>
      </c>
      <c r="E57" s="3" t="s">
        <v>7053</v>
      </c>
      <c r="H57" s="3" t="s">
        <v>7224</v>
      </c>
      <c r="I57" s="133" t="s">
        <v>7075</v>
      </c>
      <c r="J57" s="1">
        <v>43854</v>
      </c>
      <c r="K57" s="8"/>
      <c r="L57" s="8"/>
    </row>
    <row r="58" spans="1:12" ht="14.25" customHeight="1" x14ac:dyDescent="0.25">
      <c r="C58" s="26" t="s">
        <v>7227</v>
      </c>
      <c r="H58" s="3" t="s">
        <v>7224</v>
      </c>
      <c r="I58" s="133" t="s">
        <v>7075</v>
      </c>
      <c r="K58" s="8"/>
      <c r="L58" s="8"/>
    </row>
    <row r="59" spans="1:12" ht="14.25" customHeight="1" x14ac:dyDescent="0.25">
      <c r="A59" s="3" t="s">
        <v>7228</v>
      </c>
      <c r="C59" s="26" t="s">
        <v>7229</v>
      </c>
      <c r="D59" s="3">
        <v>9955462727</v>
      </c>
      <c r="E59" s="3" t="s">
        <v>7053</v>
      </c>
      <c r="H59" s="3" t="s">
        <v>7230</v>
      </c>
      <c r="I59" s="133" t="s">
        <v>7075</v>
      </c>
      <c r="K59" s="8"/>
      <c r="L59" s="8"/>
    </row>
    <row r="60" spans="1:12" ht="14.25" customHeight="1" x14ac:dyDescent="0.25">
      <c r="A60" s="3" t="s">
        <v>7231</v>
      </c>
      <c r="B60" s="1">
        <v>43851</v>
      </c>
      <c r="C60" s="26" t="s">
        <v>7232</v>
      </c>
      <c r="D60" s="3">
        <v>9123468947</v>
      </c>
      <c r="H60" s="3" t="s">
        <v>7233</v>
      </c>
      <c r="I60" s="133" t="s">
        <v>7096</v>
      </c>
      <c r="K60" s="8"/>
      <c r="L60" s="8"/>
    </row>
    <row r="61" spans="1:12" ht="14.25" customHeight="1" x14ac:dyDescent="0.25">
      <c r="A61" s="3" t="s">
        <v>7231</v>
      </c>
      <c r="B61" s="1">
        <v>43851</v>
      </c>
      <c r="C61" s="152" t="s">
        <v>7234</v>
      </c>
      <c r="H61" s="3" t="s">
        <v>7233</v>
      </c>
      <c r="I61" s="133" t="s">
        <v>7096</v>
      </c>
      <c r="K61" s="8"/>
      <c r="L61" s="8"/>
    </row>
    <row r="62" spans="1:12" ht="14.25" customHeight="1" x14ac:dyDescent="0.25">
      <c r="B62" s="1">
        <v>43883</v>
      </c>
      <c r="C62" s="26" t="s">
        <v>7235</v>
      </c>
      <c r="H62" s="3" t="s">
        <v>7233</v>
      </c>
      <c r="I62" s="133" t="s">
        <v>7096</v>
      </c>
      <c r="K62" s="8"/>
      <c r="L62" s="8"/>
    </row>
    <row r="63" spans="1:12" ht="14.25" customHeight="1" x14ac:dyDescent="0.25">
      <c r="C63" s="26" t="s">
        <v>7236</v>
      </c>
      <c r="H63" s="3" t="s">
        <v>7233</v>
      </c>
      <c r="I63" s="133" t="s">
        <v>7096</v>
      </c>
      <c r="K63" s="8"/>
      <c r="L63" s="8"/>
    </row>
    <row r="64" spans="1:12" ht="14.25" customHeight="1" x14ac:dyDescent="0.25">
      <c r="C64" s="26" t="s">
        <v>7237</v>
      </c>
      <c r="H64" s="3" t="s">
        <v>7233</v>
      </c>
      <c r="I64" s="133" t="s">
        <v>7096</v>
      </c>
      <c r="K64" s="8"/>
      <c r="L64" s="8"/>
    </row>
    <row r="65" spans="1:13" ht="14.25" customHeight="1" x14ac:dyDescent="0.25">
      <c r="B65" s="1">
        <v>43871</v>
      </c>
      <c r="C65" s="26" t="s">
        <v>7238</v>
      </c>
      <c r="D65" s="3">
        <v>7979020542</v>
      </c>
      <c r="E65" s="3" t="s">
        <v>7053</v>
      </c>
      <c r="H65" s="3" t="s">
        <v>7239</v>
      </c>
      <c r="I65" s="133" t="s">
        <v>3455</v>
      </c>
      <c r="J65" s="1">
        <v>43888</v>
      </c>
      <c r="K65" s="8" t="s">
        <v>7240</v>
      </c>
      <c r="L65" s="8"/>
    </row>
    <row r="66" spans="1:13" ht="14.25" customHeight="1" x14ac:dyDescent="0.25">
      <c r="B66" s="1">
        <v>43874</v>
      </c>
      <c r="C66" s="26" t="s">
        <v>7241</v>
      </c>
      <c r="D66" s="3">
        <v>7979707686</v>
      </c>
      <c r="E66" s="3" t="s">
        <v>7053</v>
      </c>
      <c r="H66" s="3" t="s">
        <v>7239</v>
      </c>
      <c r="I66" s="133" t="s">
        <v>3455</v>
      </c>
      <c r="K66" s="8"/>
      <c r="L66" s="8"/>
    </row>
    <row r="67" spans="1:13" ht="14.25" customHeight="1" x14ac:dyDescent="0.25">
      <c r="B67" s="1">
        <v>43875</v>
      </c>
      <c r="C67" s="26" t="s">
        <v>7142</v>
      </c>
      <c r="D67" s="3">
        <v>9102777856</v>
      </c>
      <c r="E67" s="3" t="s">
        <v>7053</v>
      </c>
      <c r="H67" s="3" t="s">
        <v>7239</v>
      </c>
      <c r="I67" s="133" t="s">
        <v>3455</v>
      </c>
      <c r="K67" s="8"/>
      <c r="L67" s="8"/>
    </row>
    <row r="68" spans="1:13" ht="14.25" customHeight="1" x14ac:dyDescent="0.25">
      <c r="B68" s="1">
        <v>43875</v>
      </c>
      <c r="C68" s="26" t="s">
        <v>7242</v>
      </c>
      <c r="D68" s="3">
        <v>9708277278</v>
      </c>
      <c r="E68" s="3" t="s">
        <v>7053</v>
      </c>
      <c r="H68" s="3" t="s">
        <v>7239</v>
      </c>
      <c r="I68" s="133" t="s">
        <v>3455</v>
      </c>
      <c r="J68" s="1">
        <v>43893</v>
      </c>
      <c r="K68" s="8">
        <v>100016231408720</v>
      </c>
      <c r="L68" s="152" t="s">
        <v>7243</v>
      </c>
    </row>
    <row r="69" spans="1:13" ht="14.25" customHeight="1" x14ac:dyDescent="0.25">
      <c r="A69" s="3" t="s">
        <v>7231</v>
      </c>
      <c r="B69" s="1">
        <v>43902</v>
      </c>
      <c r="C69" s="26" t="s">
        <v>1790</v>
      </c>
      <c r="D69" s="3">
        <v>7091556451</v>
      </c>
      <c r="E69" s="3" t="s">
        <v>7053</v>
      </c>
      <c r="H69" s="3" t="s">
        <v>7244</v>
      </c>
      <c r="I69" s="133" t="s">
        <v>7101</v>
      </c>
      <c r="J69" s="1">
        <v>43916</v>
      </c>
      <c r="K69" s="8"/>
      <c r="L69" s="8" t="s">
        <v>7245</v>
      </c>
    </row>
    <row r="70" spans="1:13" ht="14.25" customHeight="1" x14ac:dyDescent="0.25">
      <c r="A70" s="3" t="s">
        <v>7246</v>
      </c>
      <c r="B70" s="1">
        <v>29572</v>
      </c>
      <c r="C70" s="26" t="s">
        <v>7247</v>
      </c>
      <c r="D70" s="3">
        <v>6205211012</v>
      </c>
      <c r="E70" s="3" t="s">
        <v>7053</v>
      </c>
      <c r="H70" s="3" t="s">
        <v>7244</v>
      </c>
      <c r="I70" s="133" t="s">
        <v>7101</v>
      </c>
      <c r="J70" s="1">
        <v>43920</v>
      </c>
      <c r="K70" s="8">
        <v>100016393276120</v>
      </c>
      <c r="L70" s="8" t="s">
        <v>7248</v>
      </c>
    </row>
    <row r="71" spans="1:13" ht="14.25" customHeight="1" x14ac:dyDescent="0.25">
      <c r="A71" s="3" t="s">
        <v>7249</v>
      </c>
      <c r="B71" s="1">
        <v>43991</v>
      </c>
      <c r="C71" s="26" t="s">
        <v>7250</v>
      </c>
      <c r="D71" s="3">
        <v>8825195700</v>
      </c>
      <c r="E71" s="3" t="s">
        <v>7053</v>
      </c>
      <c r="H71" s="34" t="s">
        <v>7251</v>
      </c>
      <c r="I71" s="133" t="s">
        <v>3455</v>
      </c>
      <c r="J71" s="1">
        <v>44082</v>
      </c>
      <c r="K71" s="8"/>
      <c r="L71" s="8"/>
    </row>
    <row r="72" spans="1:13" ht="14.25" customHeight="1" x14ac:dyDescent="0.25">
      <c r="E72" s="3" t="s">
        <v>7053</v>
      </c>
      <c r="H72" s="3" t="s">
        <v>1637</v>
      </c>
      <c r="K72" s="8"/>
      <c r="L72" s="8"/>
    </row>
    <row r="73" spans="1:13" ht="14.25" customHeight="1" x14ac:dyDescent="0.25">
      <c r="H73" s="3" t="s">
        <v>1637</v>
      </c>
      <c r="K73" s="8"/>
      <c r="L73" s="8"/>
    </row>
    <row r="74" spans="1:13" ht="14.25" customHeight="1" x14ac:dyDescent="0.25">
      <c r="A74" s="3" t="s">
        <v>7246</v>
      </c>
      <c r="B74" s="1">
        <v>44013</v>
      </c>
      <c r="C74" s="26" t="s">
        <v>3838</v>
      </c>
      <c r="D74" s="3">
        <v>9031734009</v>
      </c>
      <c r="H74" s="3" t="s">
        <v>7252</v>
      </c>
      <c r="I74" s="133" t="s">
        <v>3455</v>
      </c>
      <c r="K74" s="8"/>
      <c r="L74" s="153" t="s">
        <v>7253</v>
      </c>
      <c r="M74" s="153"/>
    </row>
    <row r="75" spans="1:13" ht="14.25" customHeight="1" x14ac:dyDescent="0.25">
      <c r="B75" s="1">
        <v>44082</v>
      </c>
      <c r="C75" s="26" t="s">
        <v>7254</v>
      </c>
      <c r="D75" s="3">
        <v>9334332165</v>
      </c>
      <c r="E75" s="3" t="s">
        <v>7053</v>
      </c>
      <c r="H75" s="34" t="s">
        <v>7251</v>
      </c>
      <c r="I75" s="133" t="s">
        <v>3455</v>
      </c>
      <c r="J75" s="1">
        <v>44084</v>
      </c>
      <c r="K75" s="8">
        <v>100017307254320</v>
      </c>
      <c r="L75" s="153" t="s">
        <v>7255</v>
      </c>
      <c r="M75" s="153"/>
    </row>
    <row r="76" spans="1:13" ht="14.25" customHeight="1" x14ac:dyDescent="0.25">
      <c r="B76" s="1">
        <v>44105</v>
      </c>
      <c r="C76" s="26" t="s">
        <v>7071</v>
      </c>
      <c r="D76" s="3">
        <v>7260045036</v>
      </c>
      <c r="E76" s="3" t="s">
        <v>7053</v>
      </c>
      <c r="H76" s="34" t="s">
        <v>7256</v>
      </c>
      <c r="I76" s="133" t="s">
        <v>3455</v>
      </c>
      <c r="J76" s="1">
        <v>44123</v>
      </c>
      <c r="K76" s="8"/>
      <c r="L76" s="8"/>
    </row>
    <row r="77" spans="1:13" ht="14.25" customHeight="1" x14ac:dyDescent="0.25">
      <c r="B77" s="1">
        <v>44113</v>
      </c>
      <c r="C77" s="26" t="s">
        <v>4408</v>
      </c>
      <c r="D77" s="3">
        <v>8210463626</v>
      </c>
      <c r="E77" s="3" t="s">
        <v>7053</v>
      </c>
      <c r="H77" s="3" t="s">
        <v>7257</v>
      </c>
      <c r="I77" s="133" t="s">
        <v>7101</v>
      </c>
      <c r="J77" s="3" t="s">
        <v>7258</v>
      </c>
      <c r="K77" s="1">
        <v>36221</v>
      </c>
      <c r="L77" s="8"/>
    </row>
    <row r="78" spans="1:13" ht="14.25" customHeight="1" x14ac:dyDescent="0.25">
      <c r="B78" s="1">
        <v>44113</v>
      </c>
      <c r="C78" s="26" t="s">
        <v>7259</v>
      </c>
      <c r="D78" s="3">
        <v>82</v>
      </c>
      <c r="E78" s="3" t="s">
        <v>7053</v>
      </c>
      <c r="H78" s="3" t="s">
        <v>7257</v>
      </c>
      <c r="I78" s="133" t="s">
        <v>7101</v>
      </c>
      <c r="J78" s="3" t="s">
        <v>7258</v>
      </c>
      <c r="K78" s="8"/>
      <c r="L78" s="8"/>
    </row>
    <row r="79" spans="1:13" ht="14.25" customHeight="1" x14ac:dyDescent="0.25">
      <c r="A79" s="3" t="s">
        <v>7246</v>
      </c>
      <c r="B79" s="1">
        <v>44119</v>
      </c>
      <c r="C79" s="26" t="s">
        <v>7260</v>
      </c>
      <c r="D79" s="3">
        <v>8235238981</v>
      </c>
      <c r="E79" s="3" t="s">
        <v>7261</v>
      </c>
      <c r="H79" s="3" t="s">
        <v>7262</v>
      </c>
      <c r="I79" s="133" t="s">
        <v>3455</v>
      </c>
      <c r="J79" s="3" t="s">
        <v>7085</v>
      </c>
      <c r="K79" s="8"/>
      <c r="L79" s="8"/>
    </row>
    <row r="80" spans="1:13" ht="14.25" customHeight="1" x14ac:dyDescent="0.25">
      <c r="B80" s="1">
        <v>44126</v>
      </c>
      <c r="C80" s="26" t="s">
        <v>7263</v>
      </c>
      <c r="D80" s="3">
        <v>9508218504</v>
      </c>
      <c r="E80" s="3" t="s">
        <v>7053</v>
      </c>
      <c r="H80" s="3" t="s">
        <v>7264</v>
      </c>
      <c r="I80" s="133" t="s">
        <v>7101</v>
      </c>
      <c r="J80" s="1">
        <v>44245</v>
      </c>
      <c r="K80" s="8"/>
      <c r="L80" s="8"/>
    </row>
    <row r="81" spans="2:12" ht="14.25" customHeight="1" x14ac:dyDescent="0.25">
      <c r="B81" s="1">
        <v>44135</v>
      </c>
      <c r="C81" s="26" t="s">
        <v>7265</v>
      </c>
      <c r="H81" s="3" t="s">
        <v>7257</v>
      </c>
      <c r="I81" s="133" t="s">
        <v>7101</v>
      </c>
      <c r="J81" s="3" t="s">
        <v>7085</v>
      </c>
      <c r="K81" s="8"/>
      <c r="L81" s="8"/>
    </row>
    <row r="82" spans="2:12" ht="14.25" customHeight="1" x14ac:dyDescent="0.25">
      <c r="B82" s="1">
        <v>44160</v>
      </c>
      <c r="C82" s="26" t="s">
        <v>7266</v>
      </c>
      <c r="E82" s="3" t="s">
        <v>7057</v>
      </c>
      <c r="H82" s="3" t="s">
        <v>7257</v>
      </c>
      <c r="I82" s="133" t="s">
        <v>7101</v>
      </c>
      <c r="J82" s="1">
        <v>44182</v>
      </c>
      <c r="K82" s="8"/>
      <c r="L82" s="8"/>
    </row>
    <row r="83" spans="2:12" ht="14.25" customHeight="1" x14ac:dyDescent="0.25">
      <c r="B83" s="1">
        <v>44160</v>
      </c>
      <c r="C83" s="26" t="s">
        <v>7267</v>
      </c>
      <c r="E83" s="3" t="s">
        <v>7057</v>
      </c>
      <c r="H83" s="3" t="s">
        <v>7257</v>
      </c>
      <c r="I83" s="133" t="s">
        <v>7101</v>
      </c>
      <c r="J83" s="1">
        <v>44245</v>
      </c>
      <c r="K83" s="8"/>
      <c r="L83" s="8"/>
    </row>
    <row r="84" spans="2:12" ht="14.25" customHeight="1" x14ac:dyDescent="0.25">
      <c r="B84" s="1">
        <v>44161</v>
      </c>
      <c r="C84" s="26" t="s">
        <v>7268</v>
      </c>
      <c r="D84" s="3">
        <v>9931018604</v>
      </c>
      <c r="E84" s="3" t="s">
        <v>7261</v>
      </c>
      <c r="H84" s="3" t="s">
        <v>7269</v>
      </c>
      <c r="I84" s="133" t="s">
        <v>3455</v>
      </c>
      <c r="J84" s="1">
        <v>44186</v>
      </c>
      <c r="K84" s="1">
        <v>44183</v>
      </c>
      <c r="L84" s="8"/>
    </row>
    <row r="85" spans="2:12" ht="14.25" customHeight="1" x14ac:dyDescent="0.25">
      <c r="B85" s="1">
        <v>44174</v>
      </c>
      <c r="C85" s="26" t="s">
        <v>7270</v>
      </c>
      <c r="D85" s="3">
        <v>7021099764</v>
      </c>
      <c r="E85" s="3" t="s">
        <v>7057</v>
      </c>
      <c r="H85" s="3" t="s">
        <v>7271</v>
      </c>
      <c r="I85" s="133" t="s">
        <v>3455</v>
      </c>
      <c r="J85" s="1">
        <v>44185</v>
      </c>
      <c r="K85" s="8">
        <v>100018114601320</v>
      </c>
      <c r="L85" s="8" t="s">
        <v>7272</v>
      </c>
    </row>
    <row r="86" spans="2:12" ht="14.25" customHeight="1" x14ac:dyDescent="0.25">
      <c r="B86" s="1">
        <v>44174</v>
      </c>
      <c r="C86" s="26" t="s">
        <v>2868</v>
      </c>
      <c r="D86" s="3">
        <v>9304439663</v>
      </c>
      <c r="E86" s="3" t="s">
        <v>7057</v>
      </c>
      <c r="H86" s="3" t="s">
        <v>7271</v>
      </c>
      <c r="I86" s="133" t="s">
        <v>3455</v>
      </c>
      <c r="J86" s="1">
        <v>44185</v>
      </c>
      <c r="K86" s="8">
        <v>100018114601720</v>
      </c>
      <c r="L86" s="77" t="s">
        <v>7273</v>
      </c>
    </row>
    <row r="87" spans="2:12" ht="14.25" customHeight="1" x14ac:dyDescent="0.25">
      <c r="B87" s="1">
        <v>44181</v>
      </c>
      <c r="C87" s="26" t="s">
        <v>7274</v>
      </c>
      <c r="D87" s="3">
        <v>9031787790</v>
      </c>
      <c r="E87" s="3" t="s">
        <v>7057</v>
      </c>
      <c r="H87" s="3" t="s">
        <v>7271</v>
      </c>
      <c r="I87" s="133" t="s">
        <v>3455</v>
      </c>
      <c r="J87" s="1">
        <v>44245</v>
      </c>
      <c r="K87" s="8">
        <v>100018164924921</v>
      </c>
      <c r="L87" s="154" t="s">
        <v>7275</v>
      </c>
    </row>
    <row r="88" spans="2:12" ht="14.25" customHeight="1" x14ac:dyDescent="0.25">
      <c r="B88" s="1">
        <v>44167</v>
      </c>
      <c r="C88" s="26" t="s">
        <v>4444</v>
      </c>
      <c r="D88" s="3">
        <v>6202144394</v>
      </c>
      <c r="E88" s="3" t="s">
        <v>7057</v>
      </c>
      <c r="H88" s="3" t="s">
        <v>7276</v>
      </c>
      <c r="I88" s="133" t="s">
        <v>3455</v>
      </c>
      <c r="K88" s="8">
        <v>100018114637520</v>
      </c>
      <c r="L88" s="8" t="s">
        <v>7277</v>
      </c>
    </row>
    <row r="89" spans="2:12" ht="14.25" customHeight="1" x14ac:dyDescent="0.25">
      <c r="B89" s="1">
        <v>44199</v>
      </c>
      <c r="C89" s="26" t="s">
        <v>767</v>
      </c>
      <c r="D89" s="3">
        <v>8340157175</v>
      </c>
      <c r="E89" s="3" t="s">
        <v>7057</v>
      </c>
      <c r="H89" s="3" t="s">
        <v>7276</v>
      </c>
      <c r="I89" s="133" t="s">
        <v>3455</v>
      </c>
      <c r="J89" s="3" t="s">
        <v>7278</v>
      </c>
      <c r="K89" s="8"/>
      <c r="L89" s="8"/>
    </row>
    <row r="90" spans="2:12" ht="14.25" customHeight="1" x14ac:dyDescent="0.25">
      <c r="B90" s="1">
        <v>44228</v>
      </c>
      <c r="C90" s="26" t="s">
        <v>7279</v>
      </c>
      <c r="D90" s="3">
        <v>9608387160</v>
      </c>
      <c r="E90" s="3" t="s">
        <v>7057</v>
      </c>
      <c r="H90" s="3" t="s">
        <v>7276</v>
      </c>
      <c r="I90" s="133" t="s">
        <v>3455</v>
      </c>
      <c r="K90" s="8"/>
      <c r="L90" s="8"/>
    </row>
    <row r="91" spans="2:12" ht="14.25" customHeight="1" x14ac:dyDescent="0.25">
      <c r="B91" s="1">
        <v>44237</v>
      </c>
      <c r="C91" s="26" t="s">
        <v>7194</v>
      </c>
      <c r="D91" s="3">
        <v>9835337812</v>
      </c>
      <c r="E91" s="3" t="s">
        <v>7057</v>
      </c>
      <c r="H91" s="3" t="s">
        <v>7276</v>
      </c>
      <c r="I91" s="133" t="s">
        <v>3455</v>
      </c>
      <c r="J91" s="1">
        <v>44260</v>
      </c>
      <c r="K91" s="8"/>
      <c r="L91" s="8"/>
    </row>
    <row r="92" spans="2:12" ht="14.25" customHeight="1" x14ac:dyDescent="0.25">
      <c r="B92" s="1">
        <v>44240</v>
      </c>
      <c r="C92" s="26" t="s">
        <v>7280</v>
      </c>
      <c r="D92" s="3">
        <v>9693273379</v>
      </c>
      <c r="E92" s="3" t="s">
        <v>7057</v>
      </c>
      <c r="H92" s="3" t="s">
        <v>7281</v>
      </c>
      <c r="I92" s="133" t="s">
        <v>7101</v>
      </c>
      <c r="J92" s="1">
        <v>44243</v>
      </c>
      <c r="K92" s="8">
        <v>100018173841121</v>
      </c>
      <c r="L92" s="154" t="s">
        <v>7282</v>
      </c>
    </row>
    <row r="93" spans="2:12" ht="14.25" customHeight="1" x14ac:dyDescent="0.25">
      <c r="B93" s="1">
        <v>44240</v>
      </c>
      <c r="C93" s="26" t="s">
        <v>7283</v>
      </c>
      <c r="D93" s="3">
        <v>8797690557</v>
      </c>
      <c r="E93" s="3" t="s">
        <v>7057</v>
      </c>
      <c r="H93" s="3" t="s">
        <v>7281</v>
      </c>
      <c r="I93" s="133" t="s">
        <v>7101</v>
      </c>
      <c r="J93" s="1">
        <v>44243</v>
      </c>
      <c r="K93" s="8">
        <v>100018173841321</v>
      </c>
      <c r="L93" s="154" t="s">
        <v>7284</v>
      </c>
    </row>
    <row r="94" spans="2:12" ht="14.25" customHeight="1" x14ac:dyDescent="0.25">
      <c r="B94" s="1">
        <v>44244</v>
      </c>
      <c r="C94" s="26" t="s">
        <v>7285</v>
      </c>
      <c r="D94" s="3">
        <v>8789585949</v>
      </c>
      <c r="E94" s="3" t="s">
        <v>7057</v>
      </c>
      <c r="H94" s="3" t="s">
        <v>7286</v>
      </c>
      <c r="I94" s="133" t="s">
        <v>7101</v>
      </c>
      <c r="J94" s="1">
        <v>44246</v>
      </c>
      <c r="K94" s="8">
        <v>100018173864921</v>
      </c>
      <c r="L94" s="8" t="s">
        <v>7287</v>
      </c>
    </row>
    <row r="95" spans="2:12" ht="14.25" customHeight="1" x14ac:dyDescent="0.25">
      <c r="B95" s="1">
        <v>44254</v>
      </c>
      <c r="C95" s="26" t="s">
        <v>7288</v>
      </c>
      <c r="D95" s="3">
        <v>8092171255</v>
      </c>
      <c r="E95" s="3" t="s">
        <v>7057</v>
      </c>
      <c r="H95" s="3" t="s">
        <v>7276</v>
      </c>
      <c r="I95" s="133" t="s">
        <v>3455</v>
      </c>
      <c r="J95" s="1">
        <v>44279</v>
      </c>
      <c r="K95" s="8"/>
      <c r="L95" s="8"/>
    </row>
    <row r="96" spans="2:12" ht="14.25" customHeight="1" x14ac:dyDescent="0.25">
      <c r="B96" s="1">
        <v>44256</v>
      </c>
      <c r="C96" s="26" t="s">
        <v>1843</v>
      </c>
      <c r="D96" s="3">
        <v>8797804720</v>
      </c>
      <c r="E96" s="3" t="s">
        <v>7057</v>
      </c>
      <c r="H96" s="3" t="s">
        <v>7289</v>
      </c>
      <c r="I96" s="133" t="s">
        <v>7101</v>
      </c>
      <c r="J96" s="1">
        <v>44257</v>
      </c>
      <c r="K96" s="8"/>
      <c r="L96" s="8"/>
    </row>
    <row r="97" spans="2:12" ht="14.25" customHeight="1" x14ac:dyDescent="0.25">
      <c r="B97" s="1">
        <v>44263</v>
      </c>
      <c r="C97" s="26" t="s">
        <v>2610</v>
      </c>
      <c r="D97" s="3">
        <v>9102977767</v>
      </c>
      <c r="E97" s="3" t="s">
        <v>7057</v>
      </c>
      <c r="H97" s="3" t="s">
        <v>7289</v>
      </c>
      <c r="I97" s="133" t="s">
        <v>7101</v>
      </c>
      <c r="J97" s="1">
        <v>44265</v>
      </c>
      <c r="K97" s="8"/>
      <c r="L97" s="8"/>
    </row>
    <row r="98" spans="2:12" ht="14.25" customHeight="1" x14ac:dyDescent="0.25">
      <c r="B98" s="1">
        <v>44268</v>
      </c>
      <c r="C98" s="26" t="s">
        <v>4991</v>
      </c>
      <c r="D98" s="3">
        <v>8709464598</v>
      </c>
      <c r="E98" s="3" t="s">
        <v>7057</v>
      </c>
      <c r="H98" s="3" t="s">
        <v>7289</v>
      </c>
      <c r="I98" s="133" t="s">
        <v>7101</v>
      </c>
      <c r="J98" s="1">
        <v>44270</v>
      </c>
      <c r="K98" s="8" t="s">
        <v>7290</v>
      </c>
      <c r="L98" s="8"/>
    </row>
    <row r="99" spans="2:12" ht="14.25" customHeight="1" x14ac:dyDescent="0.25">
      <c r="B99" s="1">
        <v>44272</v>
      </c>
      <c r="C99" s="26" t="s">
        <v>7291</v>
      </c>
      <c r="D99" s="3">
        <v>7033661166</v>
      </c>
      <c r="E99" s="3" t="s">
        <v>7057</v>
      </c>
      <c r="H99" s="3" t="s">
        <v>7292</v>
      </c>
      <c r="I99" s="133" t="s">
        <v>3455</v>
      </c>
      <c r="K99" s="8"/>
      <c r="L99" s="8"/>
    </row>
    <row r="100" spans="2:12" ht="14.25" customHeight="1" x14ac:dyDescent="0.25">
      <c r="B100" s="1">
        <v>44279</v>
      </c>
      <c r="C100" s="26" t="s">
        <v>7293</v>
      </c>
      <c r="D100" s="3">
        <v>8825273705</v>
      </c>
      <c r="E100" s="3" t="s">
        <v>7057</v>
      </c>
      <c r="H100" s="3" t="s">
        <v>7292</v>
      </c>
      <c r="I100" s="133" t="s">
        <v>3455</v>
      </c>
      <c r="K100" s="8"/>
      <c r="L100" s="155" t="s">
        <v>7294</v>
      </c>
    </row>
    <row r="101" spans="2:12" ht="14.25" customHeight="1" x14ac:dyDescent="0.25">
      <c r="C101" s="26" t="s">
        <v>7295</v>
      </c>
      <c r="H101" s="3" t="s">
        <v>7292</v>
      </c>
      <c r="I101" s="133" t="s">
        <v>3455</v>
      </c>
      <c r="K101" s="8"/>
      <c r="L101" s="8"/>
    </row>
    <row r="102" spans="2:12" ht="14.25" customHeight="1" x14ac:dyDescent="0.25">
      <c r="B102" s="145">
        <v>44290</v>
      </c>
      <c r="C102" s="44" t="s">
        <v>7296</v>
      </c>
      <c r="D102" s="43">
        <v>7091336551</v>
      </c>
      <c r="E102" s="43" t="s">
        <v>7188</v>
      </c>
      <c r="F102" s="43"/>
      <c r="G102" s="43"/>
      <c r="H102" s="43" t="s">
        <v>7297</v>
      </c>
      <c r="I102" s="43" t="s">
        <v>7101</v>
      </c>
      <c r="J102" s="43"/>
      <c r="K102" s="156" t="s">
        <v>7298</v>
      </c>
      <c r="L102" s="156"/>
    </row>
    <row r="103" spans="2:12" ht="14.25" customHeight="1" x14ac:dyDescent="0.25">
      <c r="B103" s="1">
        <v>44291</v>
      </c>
      <c r="C103" s="26" t="s">
        <v>7299</v>
      </c>
      <c r="D103" s="3">
        <v>9205019131</v>
      </c>
      <c r="E103" s="3" t="s">
        <v>7057</v>
      </c>
      <c r="H103" s="3" t="s">
        <v>7297</v>
      </c>
      <c r="I103" s="133" t="s">
        <v>7101</v>
      </c>
      <c r="K103" s="8"/>
      <c r="L103" s="8"/>
    </row>
    <row r="104" spans="2:12" ht="14.25" customHeight="1" x14ac:dyDescent="0.25">
      <c r="B104" s="1">
        <v>44292</v>
      </c>
      <c r="C104" s="44" t="s">
        <v>7300</v>
      </c>
      <c r="D104" s="3">
        <v>9934188094</v>
      </c>
      <c r="E104" s="3" t="s">
        <v>7057</v>
      </c>
      <c r="H104" s="3" t="s">
        <v>7297</v>
      </c>
      <c r="I104" s="133" t="s">
        <v>7101</v>
      </c>
      <c r="J104" s="1">
        <v>44319</v>
      </c>
      <c r="K104" s="8" t="s">
        <v>7301</v>
      </c>
      <c r="L104" s="8"/>
    </row>
    <row r="105" spans="2:12" ht="14.25" customHeight="1" x14ac:dyDescent="0.25">
      <c r="C105" s="26" t="s">
        <v>7302</v>
      </c>
      <c r="D105" s="3">
        <v>9556961015</v>
      </c>
      <c r="G105" s="1">
        <v>35794</v>
      </c>
      <c r="H105" s="3" t="s">
        <v>7303</v>
      </c>
      <c r="I105" s="133" t="s">
        <v>7304</v>
      </c>
      <c r="J105" s="1">
        <v>44321</v>
      </c>
      <c r="K105" s="8"/>
      <c r="L105" s="8" t="s">
        <v>7305</v>
      </c>
    </row>
    <row r="106" spans="2:12" ht="14.25" customHeight="1" x14ac:dyDescent="0.25">
      <c r="B106" s="1">
        <v>44305</v>
      </c>
      <c r="C106" s="26" t="s">
        <v>7306</v>
      </c>
      <c r="D106" s="26">
        <v>7759072420</v>
      </c>
      <c r="E106" s="3" t="s">
        <v>7057</v>
      </c>
      <c r="H106" s="3" t="s">
        <v>7303</v>
      </c>
      <c r="I106" s="133" t="s">
        <v>7304</v>
      </c>
      <c r="K106" s="8" t="s">
        <v>7307</v>
      </c>
      <c r="L106" s="8"/>
    </row>
    <row r="107" spans="2:12" ht="14.25" customHeight="1" x14ac:dyDescent="0.25">
      <c r="B107" s="1">
        <v>44306</v>
      </c>
      <c r="C107" s="26" t="s">
        <v>7308</v>
      </c>
      <c r="D107" s="3">
        <v>7004661019</v>
      </c>
      <c r="E107" s="3" t="s">
        <v>7057</v>
      </c>
      <c r="H107" s="3" t="s">
        <v>7309</v>
      </c>
      <c r="I107" s="34" t="s">
        <v>7101</v>
      </c>
      <c r="J107" s="1">
        <v>44328</v>
      </c>
      <c r="K107" s="8" t="s">
        <v>7246</v>
      </c>
      <c r="L107" s="8"/>
    </row>
    <row r="108" spans="2:12" ht="14.25" customHeight="1" x14ac:dyDescent="0.25">
      <c r="B108" s="1">
        <v>44309</v>
      </c>
      <c r="C108" s="26" t="s">
        <v>4797</v>
      </c>
      <c r="D108" s="3">
        <v>8409169079</v>
      </c>
      <c r="E108" s="3" t="s">
        <v>7057</v>
      </c>
      <c r="H108" s="3" t="s">
        <v>7303</v>
      </c>
      <c r="I108" s="34" t="s">
        <v>7101</v>
      </c>
      <c r="J108" s="1">
        <v>44333</v>
      </c>
      <c r="K108" s="8" t="s">
        <v>7246</v>
      </c>
      <c r="L108" s="8"/>
    </row>
    <row r="109" spans="2:12" ht="14.25" customHeight="1" x14ac:dyDescent="0.25">
      <c r="C109" s="26" t="s">
        <v>7310</v>
      </c>
      <c r="H109" s="3" t="s">
        <v>7303</v>
      </c>
      <c r="I109" s="34" t="s">
        <v>7101</v>
      </c>
      <c r="K109" s="8"/>
      <c r="L109" s="8"/>
    </row>
    <row r="110" spans="2:12" ht="14.25" customHeight="1" x14ac:dyDescent="0.25">
      <c r="B110" s="1">
        <v>44328</v>
      </c>
      <c r="C110" s="26" t="s">
        <v>7311</v>
      </c>
      <c r="D110" s="3">
        <v>6302972253</v>
      </c>
      <c r="E110" s="3" t="s">
        <v>7057</v>
      </c>
      <c r="H110" s="3" t="s">
        <v>7312</v>
      </c>
      <c r="I110" s="34" t="s">
        <v>7101</v>
      </c>
      <c r="K110" s="8"/>
      <c r="L110" s="8"/>
    </row>
    <row r="111" spans="2:12" ht="14.25" customHeight="1" x14ac:dyDescent="0.25">
      <c r="B111" s="1">
        <v>44358</v>
      </c>
      <c r="C111" s="26" t="s">
        <v>7313</v>
      </c>
      <c r="D111" s="3">
        <v>9162525813</v>
      </c>
      <c r="E111" s="3" t="s">
        <v>7057</v>
      </c>
      <c r="H111" s="3" t="s">
        <v>7312</v>
      </c>
      <c r="I111" s="34" t="s">
        <v>7101</v>
      </c>
      <c r="J111" s="1">
        <v>44362</v>
      </c>
      <c r="K111" s="8" t="s">
        <v>7298</v>
      </c>
      <c r="L111" s="3" t="s">
        <v>7314</v>
      </c>
    </row>
    <row r="112" spans="2:12" ht="14.25" customHeight="1" x14ac:dyDescent="0.25">
      <c r="B112" s="1">
        <v>44361</v>
      </c>
      <c r="C112" s="26" t="s">
        <v>5246</v>
      </c>
      <c r="D112" s="3">
        <v>9955494023</v>
      </c>
      <c r="E112" s="3" t="s">
        <v>7057</v>
      </c>
      <c r="H112" s="3" t="s">
        <v>7312</v>
      </c>
      <c r="I112" s="34" t="s">
        <v>7101</v>
      </c>
      <c r="J112" s="1">
        <v>44362</v>
      </c>
      <c r="K112" s="8" t="s">
        <v>7249</v>
      </c>
      <c r="L112" s="8"/>
    </row>
    <row r="113" spans="2:12" ht="14.25" customHeight="1" x14ac:dyDescent="0.25">
      <c r="B113" s="1">
        <v>44366</v>
      </c>
      <c r="C113" s="26" t="s">
        <v>7315</v>
      </c>
      <c r="D113" s="3">
        <v>9931316895</v>
      </c>
      <c r="K113" s="8"/>
      <c r="L113" s="8"/>
    </row>
    <row r="114" spans="2:12" ht="14.25" customHeight="1" x14ac:dyDescent="0.25">
      <c r="B114" s="1">
        <v>44370</v>
      </c>
      <c r="C114" s="26" t="s">
        <v>5410</v>
      </c>
      <c r="D114" s="3">
        <v>8969726404</v>
      </c>
      <c r="H114" s="3" t="s">
        <v>7316</v>
      </c>
      <c r="I114" s="34" t="s">
        <v>7101</v>
      </c>
      <c r="J114" s="1">
        <v>44379</v>
      </c>
      <c r="K114" s="8" t="s">
        <v>7298</v>
      </c>
      <c r="L114" s="8"/>
    </row>
    <row r="115" spans="2:12" ht="14.25" customHeight="1" x14ac:dyDescent="0.25">
      <c r="B115" s="1">
        <v>44370</v>
      </c>
      <c r="C115" s="26" t="s">
        <v>7317</v>
      </c>
      <c r="D115" s="3">
        <v>9955025985</v>
      </c>
      <c r="H115" s="3" t="s">
        <v>7316</v>
      </c>
      <c r="I115" s="34" t="s">
        <v>7101</v>
      </c>
      <c r="J115" s="1">
        <v>44379</v>
      </c>
      <c r="K115" s="8" t="s">
        <v>7298</v>
      </c>
      <c r="L115" s="8"/>
    </row>
    <row r="116" spans="2:12" ht="14.25" customHeight="1" x14ac:dyDescent="0.25">
      <c r="B116" s="1">
        <v>44373</v>
      </c>
      <c r="C116" s="26" t="s">
        <v>7318</v>
      </c>
      <c r="D116" s="3">
        <v>9431953434</v>
      </c>
      <c r="H116" s="3" t="s">
        <v>7319</v>
      </c>
      <c r="I116" s="34" t="s">
        <v>7101</v>
      </c>
      <c r="K116" s="8"/>
      <c r="L116" s="8"/>
    </row>
    <row r="117" spans="2:12" ht="14.25" customHeight="1" x14ac:dyDescent="0.25">
      <c r="B117" s="1">
        <v>44380</v>
      </c>
      <c r="C117" s="26" t="s">
        <v>5173</v>
      </c>
      <c r="H117" s="3" t="s">
        <v>7320</v>
      </c>
      <c r="I117" s="34" t="s">
        <v>7101</v>
      </c>
      <c r="J117" s="1">
        <v>44384</v>
      </c>
      <c r="K117" s="8" t="s">
        <v>7249</v>
      </c>
      <c r="L117" s="8"/>
    </row>
    <row r="118" spans="2:12" ht="14.25" customHeight="1" x14ac:dyDescent="0.25">
      <c r="B118" s="1">
        <v>44383</v>
      </c>
      <c r="C118" s="26" t="s">
        <v>7321</v>
      </c>
      <c r="D118" s="3">
        <v>8789408277</v>
      </c>
      <c r="G118" s="1">
        <v>37471</v>
      </c>
      <c r="H118" s="3" t="s">
        <v>7322</v>
      </c>
      <c r="I118" s="34" t="s">
        <v>7323</v>
      </c>
      <c r="K118" s="8"/>
      <c r="L118" s="8"/>
    </row>
    <row r="119" spans="2:12" ht="14.25" customHeight="1" x14ac:dyDescent="0.25">
      <c r="C119" s="26" t="s">
        <v>7324</v>
      </c>
      <c r="D119" s="3">
        <v>8809070417</v>
      </c>
      <c r="G119" s="1">
        <v>35767</v>
      </c>
      <c r="H119" s="3" t="s">
        <v>7325</v>
      </c>
      <c r="I119" s="34" t="s">
        <v>7326</v>
      </c>
      <c r="J119" s="1">
        <v>44495</v>
      </c>
      <c r="K119" s="3" t="s">
        <v>7327</v>
      </c>
      <c r="L119" s="8"/>
    </row>
    <row r="120" spans="2:12" ht="14.25" customHeight="1" x14ac:dyDescent="0.25">
      <c r="B120" s="1">
        <v>44445</v>
      </c>
      <c r="C120" s="26" t="s">
        <v>4266</v>
      </c>
      <c r="D120" s="3">
        <v>8235432847</v>
      </c>
      <c r="E120" s="3" t="s">
        <v>7057</v>
      </c>
      <c r="G120" s="1">
        <v>35125</v>
      </c>
      <c r="H120" s="3" t="s">
        <v>7328</v>
      </c>
      <c r="I120" s="34" t="s">
        <v>7101</v>
      </c>
      <c r="J120" s="1">
        <v>44481</v>
      </c>
      <c r="K120" s="8" t="s">
        <v>7246</v>
      </c>
      <c r="L120" s="8" t="s">
        <v>7329</v>
      </c>
    </row>
    <row r="121" spans="2:12" ht="14.25" customHeight="1" x14ac:dyDescent="0.25">
      <c r="B121" s="1">
        <v>44445</v>
      </c>
      <c r="C121" s="26" t="s">
        <v>7330</v>
      </c>
      <c r="D121" s="3">
        <v>9641125137</v>
      </c>
      <c r="E121" s="3" t="s">
        <v>7057</v>
      </c>
      <c r="G121" s="1">
        <v>29932</v>
      </c>
      <c r="H121" s="3" t="s">
        <v>7331</v>
      </c>
      <c r="I121" s="34" t="s">
        <v>7101</v>
      </c>
      <c r="K121" s="8"/>
      <c r="L121" s="8" t="s">
        <v>7329</v>
      </c>
    </row>
    <row r="122" spans="2:12" ht="14.25" customHeight="1" x14ac:dyDescent="0.25">
      <c r="C122" s="26" t="s">
        <v>7332</v>
      </c>
      <c r="D122" s="3">
        <v>9641125137</v>
      </c>
      <c r="H122" s="3" t="s">
        <v>7331</v>
      </c>
      <c r="I122" s="34" t="s">
        <v>7101</v>
      </c>
      <c r="K122" s="8"/>
      <c r="L122" s="8"/>
    </row>
    <row r="123" spans="2:12" ht="14.25" customHeight="1" x14ac:dyDescent="0.25">
      <c r="C123" s="26" t="s">
        <v>7333</v>
      </c>
      <c r="D123" s="3">
        <v>9641125137</v>
      </c>
      <c r="H123" s="3" t="s">
        <v>7331</v>
      </c>
      <c r="I123" s="34" t="s">
        <v>7101</v>
      </c>
      <c r="K123" s="8"/>
      <c r="L123" s="8"/>
    </row>
    <row r="124" spans="2:12" ht="14.25" customHeight="1" x14ac:dyDescent="0.25">
      <c r="C124" s="26" t="s">
        <v>5131</v>
      </c>
      <c r="D124" s="3">
        <v>8757307377</v>
      </c>
      <c r="G124" s="1">
        <v>37723</v>
      </c>
      <c r="H124" s="3" t="s">
        <v>7334</v>
      </c>
      <c r="I124" s="34" t="s">
        <v>7335</v>
      </c>
      <c r="J124" s="1">
        <v>37723</v>
      </c>
      <c r="K124" s="8"/>
      <c r="L124" s="8"/>
    </row>
    <row r="125" spans="2:12" ht="14.25" customHeight="1" x14ac:dyDescent="0.25">
      <c r="B125" s="1">
        <v>44463</v>
      </c>
      <c r="C125" s="26" t="s">
        <v>6349</v>
      </c>
      <c r="D125" s="3">
        <v>8210825009</v>
      </c>
      <c r="E125" s="3" t="s">
        <v>7053</v>
      </c>
      <c r="G125" s="1">
        <v>35927</v>
      </c>
      <c r="H125" s="3" t="s">
        <v>7336</v>
      </c>
      <c r="I125" s="34" t="s">
        <v>7101</v>
      </c>
      <c r="J125" s="1">
        <v>44503</v>
      </c>
      <c r="K125" s="8"/>
      <c r="L125" s="8"/>
    </row>
    <row r="126" spans="2:12" ht="14.25" customHeight="1" x14ac:dyDescent="0.25">
      <c r="B126" s="1">
        <v>44464</v>
      </c>
      <c r="C126" s="26" t="s">
        <v>5875</v>
      </c>
      <c r="D126" s="3">
        <v>8409949983</v>
      </c>
      <c r="E126" s="3" t="s">
        <v>7098</v>
      </c>
      <c r="G126" s="1">
        <v>37824</v>
      </c>
      <c r="H126" s="3" t="s">
        <v>7337</v>
      </c>
      <c r="I126" s="34" t="s">
        <v>7101</v>
      </c>
      <c r="K126" s="8"/>
      <c r="L126" s="8"/>
    </row>
    <row r="127" spans="2:12" ht="14.25" customHeight="1" x14ac:dyDescent="0.25">
      <c r="B127" s="1">
        <v>44485</v>
      </c>
      <c r="C127" s="26" t="s">
        <v>7338</v>
      </c>
      <c r="D127" s="3">
        <v>7050378791</v>
      </c>
      <c r="E127" s="3" t="s">
        <v>7057</v>
      </c>
      <c r="F127" s="3" t="s">
        <v>7329</v>
      </c>
      <c r="G127" s="1">
        <v>36472</v>
      </c>
      <c r="H127" s="3" t="s">
        <v>7339</v>
      </c>
      <c r="I127" s="34" t="s">
        <v>7101</v>
      </c>
      <c r="K127" s="8" t="s">
        <v>7340</v>
      </c>
      <c r="L127" s="8"/>
    </row>
    <row r="128" spans="2:12" ht="14.25" customHeight="1" x14ac:dyDescent="0.25">
      <c r="B128" s="1">
        <v>44485</v>
      </c>
      <c r="C128" s="26" t="s">
        <v>7341</v>
      </c>
      <c r="D128" s="3">
        <v>7050378791</v>
      </c>
      <c r="E128" s="3" t="s">
        <v>7057</v>
      </c>
      <c r="F128" s="3" t="s">
        <v>7329</v>
      </c>
      <c r="G128" s="1">
        <v>37867</v>
      </c>
      <c r="H128" s="3" t="s">
        <v>7339</v>
      </c>
      <c r="I128" s="34" t="s">
        <v>7101</v>
      </c>
      <c r="K128" s="8" t="s">
        <v>7340</v>
      </c>
      <c r="L128" s="8"/>
    </row>
    <row r="129" spans="2:12" ht="14.25" customHeight="1" x14ac:dyDescent="0.25">
      <c r="B129" s="1">
        <v>44499</v>
      </c>
      <c r="C129" s="26" t="s">
        <v>7342</v>
      </c>
      <c r="D129" s="3">
        <v>8825395036</v>
      </c>
      <c r="E129" s="3" t="s">
        <v>7057</v>
      </c>
      <c r="F129" s="3" t="s">
        <v>7246</v>
      </c>
      <c r="G129" s="1">
        <v>36146</v>
      </c>
      <c r="H129" s="3" t="s">
        <v>7343</v>
      </c>
      <c r="I129" s="34" t="s">
        <v>7101</v>
      </c>
      <c r="K129" s="8"/>
      <c r="L129" s="8"/>
    </row>
    <row r="130" spans="2:12" ht="14.25" customHeight="1" x14ac:dyDescent="0.25">
      <c r="B130" s="1">
        <v>44499</v>
      </c>
      <c r="C130" s="26" t="s">
        <v>7268</v>
      </c>
      <c r="E130" s="3" t="s">
        <v>7166</v>
      </c>
      <c r="F130" s="3" t="s">
        <v>7329</v>
      </c>
      <c r="H130" s="3" t="s">
        <v>7344</v>
      </c>
      <c r="I130" s="34" t="s">
        <v>7101</v>
      </c>
      <c r="J130" s="1">
        <v>44537</v>
      </c>
      <c r="K130" s="8" t="s">
        <v>7340</v>
      </c>
      <c r="L130" s="8"/>
    </row>
    <row r="131" spans="2:12" ht="14.25" customHeight="1" x14ac:dyDescent="0.25">
      <c r="B131" s="1">
        <v>44513</v>
      </c>
      <c r="C131" s="26" t="s">
        <v>7345</v>
      </c>
      <c r="D131" s="3">
        <v>8897956136</v>
      </c>
      <c r="E131" s="3" t="s">
        <v>7057</v>
      </c>
      <c r="F131" s="3" t="s">
        <v>7329</v>
      </c>
      <c r="G131" s="1">
        <v>37616</v>
      </c>
      <c r="H131" s="3" t="s">
        <v>7346</v>
      </c>
      <c r="I131" s="34" t="s">
        <v>7101</v>
      </c>
      <c r="K131" s="8"/>
      <c r="L131" s="8"/>
    </row>
    <row r="132" spans="2:12" ht="14.25" customHeight="1" x14ac:dyDescent="0.25">
      <c r="B132" s="1">
        <v>44511</v>
      </c>
      <c r="C132" s="26" t="s">
        <v>7268</v>
      </c>
      <c r="E132" s="3" t="s">
        <v>7166</v>
      </c>
      <c r="F132" s="3" t="s">
        <v>7329</v>
      </c>
      <c r="H132" s="3" t="s">
        <v>7344</v>
      </c>
      <c r="I132" s="34" t="s">
        <v>7101</v>
      </c>
      <c r="J132" s="1">
        <v>44537</v>
      </c>
      <c r="K132" s="8" t="s">
        <v>7340</v>
      </c>
      <c r="L132" s="8"/>
    </row>
    <row r="133" spans="2:12" ht="14.25" customHeight="1" x14ac:dyDescent="0.25">
      <c r="B133" s="1">
        <v>44517</v>
      </c>
      <c r="C133" s="26" t="s">
        <v>7347</v>
      </c>
      <c r="D133" s="3">
        <v>8789882083</v>
      </c>
      <c r="E133" s="3" t="s">
        <v>7057</v>
      </c>
      <c r="H133" s="3" t="s">
        <v>7348</v>
      </c>
      <c r="I133" s="34" t="s">
        <v>7101</v>
      </c>
      <c r="J133" s="1">
        <v>37672</v>
      </c>
      <c r="K133" s="8" t="s">
        <v>7340</v>
      </c>
      <c r="L133" s="8" t="s">
        <v>7246</v>
      </c>
    </row>
    <row r="134" spans="2:12" ht="14.25" customHeight="1" x14ac:dyDescent="0.25">
      <c r="B134" s="1">
        <v>44524</v>
      </c>
      <c r="C134" s="26" t="s">
        <v>7349</v>
      </c>
      <c r="D134" s="3">
        <v>7631066168</v>
      </c>
      <c r="E134" s="3" t="s">
        <v>7057</v>
      </c>
      <c r="F134" s="3" t="s">
        <v>7329</v>
      </c>
      <c r="G134" s="1">
        <v>30979</v>
      </c>
      <c r="H134" s="3" t="s">
        <v>7350</v>
      </c>
      <c r="I134" s="34" t="s">
        <v>7101</v>
      </c>
      <c r="K134" s="8"/>
      <c r="L134" s="8"/>
    </row>
    <row r="135" spans="2:12" ht="14.25" customHeight="1" x14ac:dyDescent="0.25">
      <c r="C135" s="26" t="s">
        <v>2818</v>
      </c>
      <c r="D135" s="3">
        <v>9007882224</v>
      </c>
      <c r="E135" s="3" t="s">
        <v>7351</v>
      </c>
      <c r="F135" s="3" t="s">
        <v>7329</v>
      </c>
      <c r="G135" s="1">
        <v>33847</v>
      </c>
      <c r="H135" s="3" t="s">
        <v>7352</v>
      </c>
      <c r="I135" s="34" t="s">
        <v>7101</v>
      </c>
      <c r="K135" s="8" t="s">
        <v>7340</v>
      </c>
      <c r="L135" s="8"/>
    </row>
    <row r="136" spans="2:12" ht="14.25" customHeight="1" x14ac:dyDescent="0.25">
      <c r="C136" s="26" t="s">
        <v>7299</v>
      </c>
      <c r="D136" s="3">
        <v>9205019131</v>
      </c>
      <c r="E136" s="3" t="s">
        <v>7057</v>
      </c>
      <c r="F136" s="3" t="s">
        <v>7329</v>
      </c>
      <c r="G136" s="1">
        <v>33507</v>
      </c>
      <c r="H136" s="3" t="s">
        <v>7353</v>
      </c>
      <c r="I136" s="34" t="s">
        <v>7101</v>
      </c>
      <c r="K136" s="8" t="s">
        <v>7340</v>
      </c>
      <c r="L136" s="8"/>
    </row>
    <row r="137" spans="2:12" ht="14.25" customHeight="1" x14ac:dyDescent="0.25">
      <c r="B137" s="1">
        <v>44399</v>
      </c>
      <c r="C137" s="26" t="s">
        <v>5875</v>
      </c>
      <c r="D137" s="3">
        <v>8409949983</v>
      </c>
      <c r="E137" s="3" t="s">
        <v>7057</v>
      </c>
      <c r="F137" s="3" t="s">
        <v>7329</v>
      </c>
      <c r="G137" s="1">
        <v>37824</v>
      </c>
      <c r="H137" s="3" t="s">
        <v>7354</v>
      </c>
      <c r="I137" s="34" t="s">
        <v>7101</v>
      </c>
      <c r="K137" s="8" t="s">
        <v>7340</v>
      </c>
      <c r="L137" s="8"/>
    </row>
    <row r="138" spans="2:12" ht="14.25" customHeight="1" x14ac:dyDescent="0.25">
      <c r="B138" s="1">
        <v>44399</v>
      </c>
      <c r="C138" s="26" t="s">
        <v>7355</v>
      </c>
      <c r="D138" s="3">
        <v>6202900720</v>
      </c>
      <c r="E138" s="3" t="s">
        <v>7057</v>
      </c>
      <c r="F138" s="3" t="s">
        <v>7329</v>
      </c>
      <c r="G138" s="1">
        <v>36821</v>
      </c>
      <c r="H138" s="3" t="s">
        <v>7356</v>
      </c>
      <c r="I138" s="34" t="s">
        <v>7101</v>
      </c>
      <c r="K138" s="8" t="s">
        <v>7340</v>
      </c>
      <c r="L138" s="8"/>
    </row>
    <row r="139" spans="2:12" ht="14.25" customHeight="1" x14ac:dyDescent="0.25">
      <c r="C139" s="26" t="s">
        <v>7357</v>
      </c>
      <c r="D139" s="3">
        <v>7563061743</v>
      </c>
      <c r="E139" s="3" t="s">
        <v>7057</v>
      </c>
      <c r="F139" s="3" t="s">
        <v>7358</v>
      </c>
      <c r="G139" s="1">
        <v>35987</v>
      </c>
      <c r="H139" s="3" t="s">
        <v>7359</v>
      </c>
      <c r="I139" s="34" t="s">
        <v>7101</v>
      </c>
      <c r="J139" s="43"/>
      <c r="K139" s="8" t="s">
        <v>7340</v>
      </c>
      <c r="L139" s="156"/>
    </row>
    <row r="140" spans="2:12" ht="14.25" customHeight="1" x14ac:dyDescent="0.25">
      <c r="B140" s="1">
        <v>44568</v>
      </c>
      <c r="C140" s="26" t="s">
        <v>6441</v>
      </c>
      <c r="D140" s="3">
        <v>7856886204</v>
      </c>
      <c r="E140" s="3" t="s">
        <v>7057</v>
      </c>
      <c r="G140" s="1">
        <v>37946</v>
      </c>
      <c r="H140" s="3" t="s">
        <v>7360</v>
      </c>
      <c r="I140" s="34" t="s">
        <v>7101</v>
      </c>
      <c r="K140" s="8" t="s">
        <v>7340</v>
      </c>
      <c r="L140" s="8"/>
    </row>
    <row r="141" spans="2:12" ht="14.25" customHeight="1" x14ac:dyDescent="0.25">
      <c r="B141" s="1">
        <v>44568</v>
      </c>
      <c r="C141" s="26" t="s">
        <v>7361</v>
      </c>
      <c r="D141" s="3">
        <v>6200356242</v>
      </c>
      <c r="E141" s="3" t="s">
        <v>7057</v>
      </c>
      <c r="F141" s="3" t="s">
        <v>7329</v>
      </c>
      <c r="G141" s="1">
        <v>27417</v>
      </c>
      <c r="H141" s="3" t="s">
        <v>7362</v>
      </c>
      <c r="I141" s="323" t="s">
        <v>7373</v>
      </c>
      <c r="K141" s="8" t="s">
        <v>7340</v>
      </c>
      <c r="L141" s="8"/>
    </row>
    <row r="142" spans="2:12" ht="14.25" customHeight="1" x14ac:dyDescent="0.25">
      <c r="C142" s="26" t="s">
        <v>7363</v>
      </c>
      <c r="D142" s="3">
        <v>7260062347</v>
      </c>
      <c r="E142" s="3" t="s">
        <v>7057</v>
      </c>
      <c r="F142" s="3" t="s">
        <v>7329</v>
      </c>
      <c r="G142" s="1">
        <v>35728</v>
      </c>
      <c r="H142" s="3" t="s">
        <v>7364</v>
      </c>
      <c r="I142" s="34" t="s">
        <v>7335</v>
      </c>
      <c r="K142" s="8"/>
      <c r="L142" s="8"/>
    </row>
    <row r="143" spans="2:12" ht="14.25" customHeight="1" x14ac:dyDescent="0.25">
      <c r="B143" s="1">
        <v>44580</v>
      </c>
      <c r="C143" s="26" t="s">
        <v>7365</v>
      </c>
      <c r="D143" s="3">
        <v>7091493399</v>
      </c>
      <c r="E143" s="3" t="s">
        <v>7057</v>
      </c>
      <c r="F143" s="3" t="s">
        <v>7329</v>
      </c>
      <c r="G143" s="1">
        <v>32605</v>
      </c>
      <c r="H143" s="3" t="s">
        <v>7366</v>
      </c>
      <c r="I143" s="34" t="s">
        <v>7335</v>
      </c>
      <c r="K143" s="8"/>
      <c r="L143" s="8"/>
    </row>
    <row r="144" spans="2:12" ht="14.25" customHeight="1" x14ac:dyDescent="0.25">
      <c r="B144" s="1">
        <v>44581</v>
      </c>
      <c r="C144" s="26" t="s">
        <v>7367</v>
      </c>
      <c r="D144" s="3">
        <v>7011152603</v>
      </c>
      <c r="E144" s="3" t="s">
        <v>7057</v>
      </c>
      <c r="G144" s="1">
        <v>36007</v>
      </c>
      <c r="H144" s="3" t="s">
        <v>7366</v>
      </c>
      <c r="I144" s="34" t="s">
        <v>7335</v>
      </c>
      <c r="K144" s="8"/>
      <c r="L144" s="8" t="s">
        <v>7368</v>
      </c>
    </row>
    <row r="145" spans="2:12" ht="14.25" customHeight="1" x14ac:dyDescent="0.25">
      <c r="B145" s="1">
        <v>44581</v>
      </c>
      <c r="C145" s="26" t="s">
        <v>2745</v>
      </c>
      <c r="D145" s="3">
        <v>8207352736</v>
      </c>
      <c r="E145" s="3" t="s">
        <v>7057</v>
      </c>
      <c r="G145" s="1">
        <v>37110</v>
      </c>
      <c r="H145" s="3" t="s">
        <v>7369</v>
      </c>
      <c r="I145" s="34" t="s">
        <v>7335</v>
      </c>
      <c r="K145" s="8"/>
      <c r="L145" s="8" t="s">
        <v>7278</v>
      </c>
    </row>
    <row r="146" spans="2:12" ht="14.25" customHeight="1" x14ac:dyDescent="0.25">
      <c r="B146" s="1">
        <v>44582</v>
      </c>
      <c r="C146" s="26" t="s">
        <v>7370</v>
      </c>
      <c r="D146" s="3">
        <v>9835356644</v>
      </c>
      <c r="E146" s="3" t="s">
        <v>7188</v>
      </c>
      <c r="F146" s="3" t="s">
        <v>7358</v>
      </c>
      <c r="G146" s="1">
        <v>27191</v>
      </c>
      <c r="H146" s="3" t="s">
        <v>7369</v>
      </c>
      <c r="I146" s="34" t="s">
        <v>7335</v>
      </c>
      <c r="J146" s="1">
        <v>44585</v>
      </c>
      <c r="K146" s="8"/>
      <c r="L146" s="8"/>
    </row>
    <row r="147" spans="2:12" ht="14.25" customHeight="1" x14ac:dyDescent="0.25">
      <c r="B147" s="1">
        <v>44575</v>
      </c>
      <c r="C147" s="26" t="s">
        <v>8271</v>
      </c>
      <c r="D147" s="3"/>
      <c r="E147" s="3"/>
      <c r="F147" s="3"/>
      <c r="G147" s="1">
        <v>37147</v>
      </c>
      <c r="H147" s="3" t="s">
        <v>8272</v>
      </c>
      <c r="I147" s="34"/>
      <c r="J147" s="1"/>
      <c r="K147" s="8"/>
      <c r="L147" s="8"/>
    </row>
    <row r="148" spans="2:12" ht="14.25" customHeight="1" x14ac:dyDescent="0.25">
      <c r="B148" s="1">
        <v>44603</v>
      </c>
      <c r="C148" s="26" t="s">
        <v>7371</v>
      </c>
      <c r="D148" s="3">
        <v>9160692545</v>
      </c>
      <c r="E148" s="3" t="s">
        <v>7057</v>
      </c>
      <c r="G148" s="1">
        <v>31350</v>
      </c>
      <c r="H148" s="3" t="s">
        <v>7372</v>
      </c>
      <c r="I148" s="34" t="s">
        <v>7373</v>
      </c>
      <c r="K148" s="8"/>
      <c r="L148" s="8"/>
    </row>
    <row r="149" spans="2:12" ht="14.25" customHeight="1" x14ac:dyDescent="0.25">
      <c r="B149" s="1">
        <v>44603</v>
      </c>
      <c r="C149" s="26" t="s">
        <v>7374</v>
      </c>
      <c r="D149" s="3">
        <v>7488717436</v>
      </c>
      <c r="E149" s="3" t="s">
        <v>7057</v>
      </c>
      <c r="G149" s="1">
        <v>35125</v>
      </c>
      <c r="H149" s="3" t="s">
        <v>7372</v>
      </c>
      <c r="I149" s="34" t="s">
        <v>7373</v>
      </c>
      <c r="K149" s="8"/>
      <c r="L149" s="8"/>
    </row>
    <row r="150" spans="2:12" ht="14.25" customHeight="1" x14ac:dyDescent="0.25">
      <c r="B150" s="1">
        <v>44603</v>
      </c>
      <c r="C150" s="26" t="s">
        <v>6815</v>
      </c>
      <c r="D150" s="3">
        <v>6206035278</v>
      </c>
      <c r="E150" s="3" t="s">
        <v>7057</v>
      </c>
      <c r="G150" s="1">
        <v>37820</v>
      </c>
      <c r="H150" s="3" t="s">
        <v>7372</v>
      </c>
      <c r="I150" s="34" t="s">
        <v>7373</v>
      </c>
      <c r="K150" s="8"/>
      <c r="L150" s="8"/>
    </row>
    <row r="151" spans="2:12" ht="14.25" customHeight="1" x14ac:dyDescent="0.25">
      <c r="B151" s="1">
        <v>44612</v>
      </c>
      <c r="C151" s="26" t="s">
        <v>3445</v>
      </c>
      <c r="D151" s="3">
        <v>9696615803</v>
      </c>
      <c r="E151" s="3" t="s">
        <v>7057</v>
      </c>
      <c r="G151" s="1">
        <v>36855</v>
      </c>
      <c r="H151" s="3" t="s">
        <v>7375</v>
      </c>
      <c r="I151" s="3" t="s">
        <v>7373</v>
      </c>
      <c r="K151" s="8"/>
      <c r="L151" s="8"/>
    </row>
    <row r="152" spans="2:12" ht="14.25" customHeight="1" x14ac:dyDescent="0.25">
      <c r="B152" s="1">
        <v>44612</v>
      </c>
      <c r="C152" s="26" t="s">
        <v>4528</v>
      </c>
      <c r="D152" s="3">
        <v>9696615803</v>
      </c>
      <c r="E152" s="3" t="s">
        <v>7057</v>
      </c>
      <c r="G152" s="1">
        <v>28960</v>
      </c>
      <c r="H152" s="3" t="s">
        <v>7375</v>
      </c>
      <c r="I152" s="3" t="s">
        <v>7373</v>
      </c>
      <c r="K152" s="8"/>
      <c r="L152" s="8"/>
    </row>
    <row r="153" spans="2:12" ht="14.25" customHeight="1" x14ac:dyDescent="0.25">
      <c r="C153" s="26" t="s">
        <v>7376</v>
      </c>
      <c r="H153" s="3" t="s">
        <v>7377</v>
      </c>
      <c r="I153" s="323" t="s">
        <v>8800</v>
      </c>
      <c r="K153" s="8"/>
      <c r="L153" s="8"/>
    </row>
    <row r="154" spans="2:12" ht="14.25" customHeight="1" x14ac:dyDescent="0.25">
      <c r="C154" s="26" t="s">
        <v>7378</v>
      </c>
      <c r="I154" s="323" t="s">
        <v>8800</v>
      </c>
      <c r="K154" s="8"/>
      <c r="L154" s="8"/>
    </row>
    <row r="155" spans="2:12" ht="14.25" customHeight="1" x14ac:dyDescent="0.25">
      <c r="B155" s="222">
        <v>44646</v>
      </c>
      <c r="C155" s="221" t="s">
        <v>7749</v>
      </c>
      <c r="D155">
        <v>7979984867</v>
      </c>
      <c r="E155" s="220" t="s">
        <v>7057</v>
      </c>
      <c r="F155" s="220" t="s">
        <v>7329</v>
      </c>
      <c r="G155" s="222">
        <v>34662</v>
      </c>
      <c r="H155" s="220" t="s">
        <v>7748</v>
      </c>
      <c r="I155" s="323" t="s">
        <v>8800</v>
      </c>
      <c r="J155" s="219" t="s">
        <v>7747</v>
      </c>
      <c r="K155" s="223" t="s">
        <v>7340</v>
      </c>
      <c r="L155" s="8"/>
    </row>
    <row r="156" spans="2:12" ht="14.25" customHeight="1" x14ac:dyDescent="0.25">
      <c r="B156" s="222">
        <v>44648</v>
      </c>
      <c r="C156" s="26" t="s">
        <v>7760</v>
      </c>
      <c r="D156">
        <v>9534014199</v>
      </c>
      <c r="E156" s="220" t="s">
        <v>7057</v>
      </c>
      <c r="F156" s="220" t="s">
        <v>7329</v>
      </c>
      <c r="G156" s="222">
        <v>33623</v>
      </c>
      <c r="H156" s="224" t="s">
        <v>1637</v>
      </c>
      <c r="K156" s="8"/>
      <c r="L156" s="8" t="s">
        <v>7761</v>
      </c>
    </row>
    <row r="157" spans="2:12" ht="14.25" customHeight="1" x14ac:dyDescent="0.25">
      <c r="C157" s="26" t="s">
        <v>5875</v>
      </c>
      <c r="D157">
        <v>8409949983</v>
      </c>
      <c r="E157" s="226" t="s">
        <v>7057</v>
      </c>
      <c r="F157" s="220" t="s">
        <v>7329</v>
      </c>
      <c r="G157" s="222">
        <v>37824</v>
      </c>
      <c r="H157" s="226" t="s">
        <v>7785</v>
      </c>
      <c r="I157" s="227" t="s">
        <v>7335</v>
      </c>
      <c r="K157" s="8"/>
      <c r="L157" s="8"/>
    </row>
    <row r="158" spans="2:12" ht="14.25" customHeight="1" x14ac:dyDescent="0.25">
      <c r="C158" s="26" t="s">
        <v>7798</v>
      </c>
      <c r="F158" s="229" t="s">
        <v>7298</v>
      </c>
      <c r="H158" s="226" t="s">
        <v>7785</v>
      </c>
      <c r="I158" s="227" t="s">
        <v>7335</v>
      </c>
      <c r="K158" s="8"/>
      <c r="L158" s="8"/>
    </row>
    <row r="159" spans="2:12" ht="14.25" customHeight="1" x14ac:dyDescent="0.25">
      <c r="C159" s="26" t="s">
        <v>7813</v>
      </c>
      <c r="D159">
        <v>7992278846</v>
      </c>
      <c r="E159" t="s">
        <v>7057</v>
      </c>
      <c r="F159" s="229" t="s">
        <v>7298</v>
      </c>
      <c r="H159" s="226" t="s">
        <v>7785</v>
      </c>
      <c r="I159" s="227" t="s">
        <v>7335</v>
      </c>
      <c r="K159" s="8"/>
      <c r="L159" s="8"/>
    </row>
    <row r="160" spans="2:12" ht="14.25" customHeight="1" x14ac:dyDescent="0.25">
      <c r="C160" s="26" t="s">
        <v>8009</v>
      </c>
      <c r="D160">
        <v>8102132787</v>
      </c>
      <c r="E160" t="s">
        <v>7057</v>
      </c>
      <c r="G160" s="222">
        <v>35211</v>
      </c>
      <c r="H160" s="242" t="s">
        <v>8018</v>
      </c>
      <c r="I160" s="227" t="s">
        <v>7335</v>
      </c>
      <c r="K160" s="8"/>
      <c r="L160" s="8"/>
    </row>
    <row r="161" spans="2:12" ht="14.25" customHeight="1" x14ac:dyDescent="0.25">
      <c r="G161" s="222">
        <v>24330</v>
      </c>
      <c r="H161" s="242" t="s">
        <v>8019</v>
      </c>
      <c r="I161" s="227" t="s">
        <v>7335</v>
      </c>
      <c r="K161" s="8"/>
      <c r="L161" s="8"/>
    </row>
    <row r="162" spans="2:12" ht="14.25" customHeight="1" x14ac:dyDescent="0.25">
      <c r="B162" s="222">
        <v>44693</v>
      </c>
      <c r="C162" s="26" t="s">
        <v>8050</v>
      </c>
      <c r="D162">
        <v>9060888390</v>
      </c>
      <c r="E162" t="s">
        <v>7057</v>
      </c>
      <c r="F162" t="s">
        <v>7358</v>
      </c>
      <c r="G162" s="222">
        <v>35136</v>
      </c>
      <c r="H162" s="242" t="s">
        <v>8018</v>
      </c>
      <c r="I162" s="227" t="s">
        <v>7304</v>
      </c>
      <c r="K162" s="8"/>
      <c r="L162" s="8"/>
    </row>
    <row r="163" spans="2:12" ht="14.25" customHeight="1" x14ac:dyDescent="0.25">
      <c r="B163" s="222">
        <v>44714</v>
      </c>
      <c r="C163" s="26" t="s">
        <v>2332</v>
      </c>
      <c r="F163" t="s">
        <v>7301</v>
      </c>
      <c r="H163" s="242" t="s">
        <v>8018</v>
      </c>
      <c r="I163" s="227" t="s">
        <v>7373</v>
      </c>
      <c r="K163" s="8"/>
      <c r="L163" s="8">
        <v>52000</v>
      </c>
    </row>
    <row r="164" spans="2:12" ht="14.25" customHeight="1" x14ac:dyDescent="0.25">
      <c r="B164" s="222">
        <v>44716</v>
      </c>
      <c r="C164" s="26" t="s">
        <v>8134</v>
      </c>
      <c r="D164">
        <v>9199562454</v>
      </c>
      <c r="E164" t="s">
        <v>7057</v>
      </c>
      <c r="F164" t="s">
        <v>7301</v>
      </c>
      <c r="G164" s="222">
        <v>37353</v>
      </c>
      <c r="H164" s="267" t="s">
        <v>8135</v>
      </c>
      <c r="I164" s="227" t="s">
        <v>7335</v>
      </c>
      <c r="K164" s="8"/>
      <c r="L164" s="8">
        <f>2840*24</f>
        <v>68160</v>
      </c>
    </row>
    <row r="165" spans="2:12" ht="14.25" customHeight="1" x14ac:dyDescent="0.25">
      <c r="B165" s="222">
        <v>44716</v>
      </c>
      <c r="C165" s="26" t="s">
        <v>8139</v>
      </c>
      <c r="D165">
        <v>9263445537</v>
      </c>
      <c r="E165" t="s">
        <v>7057</v>
      </c>
      <c r="F165" t="s">
        <v>7301</v>
      </c>
      <c r="G165" s="222">
        <v>28101</v>
      </c>
      <c r="H165" s="267" t="s">
        <v>8135</v>
      </c>
      <c r="I165" s="227" t="s">
        <v>7335</v>
      </c>
      <c r="K165" s="8"/>
      <c r="L165" s="8"/>
    </row>
    <row r="166" spans="2:12" ht="14.25" customHeight="1" x14ac:dyDescent="0.25">
      <c r="C166" s="26" t="s">
        <v>2105</v>
      </c>
      <c r="F166" t="s">
        <v>7301</v>
      </c>
      <c r="H166" s="267" t="s">
        <v>8135</v>
      </c>
      <c r="I166" s="227" t="s">
        <v>7335</v>
      </c>
      <c r="K166" s="8"/>
      <c r="L166" s="8">
        <f>L164-L163</f>
        <v>16160</v>
      </c>
    </row>
    <row r="167" spans="2:12" ht="14.25" customHeight="1" x14ac:dyDescent="0.25">
      <c r="B167" s="222">
        <v>44732</v>
      </c>
      <c r="C167" s="26" t="s">
        <v>8217</v>
      </c>
      <c r="D167">
        <v>9123405500</v>
      </c>
      <c r="G167" s="305">
        <v>36977</v>
      </c>
      <c r="H167" s="242" t="s">
        <v>8018</v>
      </c>
      <c r="I167" s="227" t="s">
        <v>7335</v>
      </c>
      <c r="K167" s="8"/>
      <c r="L167" s="8"/>
    </row>
    <row r="168" spans="2:12" ht="14.25" customHeight="1" x14ac:dyDescent="0.25">
      <c r="B168" s="222">
        <v>44732</v>
      </c>
      <c r="C168" s="26" t="s">
        <v>8218</v>
      </c>
      <c r="D168">
        <v>8210087356</v>
      </c>
      <c r="G168" s="222">
        <v>34485</v>
      </c>
      <c r="H168" s="304" t="s">
        <v>8219</v>
      </c>
      <c r="I168" s="227" t="s">
        <v>7335</v>
      </c>
      <c r="K168" s="8"/>
      <c r="L168" s="8"/>
    </row>
    <row r="169" spans="2:12" ht="14.25" customHeight="1" x14ac:dyDescent="0.25">
      <c r="B169" s="222">
        <v>44742</v>
      </c>
      <c r="C169" s="26" t="s">
        <v>8271</v>
      </c>
      <c r="F169" t="s">
        <v>7301</v>
      </c>
      <c r="G169" s="222">
        <v>37147</v>
      </c>
      <c r="H169" s="337" t="s">
        <v>8273</v>
      </c>
      <c r="I169" s="227" t="s">
        <v>7373</v>
      </c>
      <c r="K169" s="8"/>
      <c r="L169" s="8"/>
    </row>
    <row r="170" spans="2:12" ht="14.25" customHeight="1" x14ac:dyDescent="0.25">
      <c r="B170" s="222">
        <v>44743</v>
      </c>
      <c r="C170" s="26" t="s">
        <v>8281</v>
      </c>
      <c r="D170">
        <v>7903082835</v>
      </c>
      <c r="F170" t="s">
        <v>7329</v>
      </c>
      <c r="G170" s="222">
        <v>37268</v>
      </c>
      <c r="H170" s="324" t="s">
        <v>8282</v>
      </c>
      <c r="I170" s="227" t="s">
        <v>7335</v>
      </c>
      <c r="K170" s="8"/>
      <c r="L170" s="8"/>
    </row>
    <row r="171" spans="2:12" ht="14.25" customHeight="1" x14ac:dyDescent="0.25">
      <c r="B171" s="222">
        <v>44743</v>
      </c>
      <c r="C171" s="26" t="s">
        <v>8333</v>
      </c>
      <c r="D171">
        <v>8709866299</v>
      </c>
      <c r="G171" s="222">
        <v>37978</v>
      </c>
      <c r="K171" s="8"/>
      <c r="L171" s="8"/>
    </row>
    <row r="172" spans="2:12" ht="14.25" customHeight="1" x14ac:dyDescent="0.25">
      <c r="B172" s="222">
        <v>44754</v>
      </c>
      <c r="C172" s="26" t="s">
        <v>8344</v>
      </c>
      <c r="D172">
        <v>8444854188</v>
      </c>
      <c r="E172" t="s">
        <v>7057</v>
      </c>
      <c r="F172" t="s">
        <v>7329</v>
      </c>
      <c r="G172" s="222">
        <v>33367</v>
      </c>
      <c r="H172" t="s">
        <v>8345</v>
      </c>
      <c r="I172" s="227" t="s">
        <v>7335</v>
      </c>
      <c r="J172" s="222">
        <v>44780</v>
      </c>
      <c r="K172" s="8"/>
      <c r="L172" s="8"/>
    </row>
    <row r="173" spans="2:12" ht="14.25" customHeight="1" x14ac:dyDescent="0.25">
      <c r="B173" s="222">
        <v>44780</v>
      </c>
      <c r="C173" s="26" t="s">
        <v>8549</v>
      </c>
      <c r="D173">
        <v>8102554200</v>
      </c>
      <c r="E173" t="s">
        <v>7057</v>
      </c>
      <c r="F173" t="s">
        <v>7329</v>
      </c>
      <c r="G173" s="222">
        <v>37518</v>
      </c>
      <c r="H173" t="s">
        <v>8550</v>
      </c>
      <c r="I173" s="227" t="s">
        <v>7335</v>
      </c>
      <c r="K173" s="8"/>
      <c r="L173" s="8"/>
    </row>
    <row r="174" spans="2:12" ht="14.25" customHeight="1" x14ac:dyDescent="0.25">
      <c r="B174" s="222">
        <v>44791</v>
      </c>
      <c r="C174" s="26" t="s">
        <v>8589</v>
      </c>
      <c r="D174">
        <v>9576199025</v>
      </c>
      <c r="E174" t="s">
        <v>7057</v>
      </c>
      <c r="F174" t="s">
        <v>7329</v>
      </c>
      <c r="G174" s="222">
        <v>27020</v>
      </c>
      <c r="H174" t="s">
        <v>8585</v>
      </c>
      <c r="I174" s="227" t="s">
        <v>7335</v>
      </c>
      <c r="J174" t="s">
        <v>8590</v>
      </c>
      <c r="K174" s="8"/>
      <c r="L174" s="8"/>
    </row>
    <row r="175" spans="2:12" ht="14.25" customHeight="1" x14ac:dyDescent="0.25">
      <c r="C175" s="26" t="s">
        <v>8586</v>
      </c>
      <c r="F175" t="s">
        <v>7329</v>
      </c>
      <c r="H175" t="s">
        <v>8585</v>
      </c>
      <c r="I175" s="227" t="s">
        <v>7335</v>
      </c>
      <c r="J175" s="222">
        <v>44810</v>
      </c>
      <c r="K175" s="8"/>
      <c r="L175" s="8"/>
    </row>
    <row r="176" spans="2:12" ht="14.25" customHeight="1" x14ac:dyDescent="0.25">
      <c r="C176" s="26" t="s">
        <v>8587</v>
      </c>
      <c r="F176" t="s">
        <v>7329</v>
      </c>
      <c r="H176" t="s">
        <v>8585</v>
      </c>
      <c r="I176" s="227" t="s">
        <v>7335</v>
      </c>
      <c r="J176" s="222">
        <v>44810</v>
      </c>
      <c r="K176" s="8"/>
      <c r="L176" s="8"/>
    </row>
    <row r="177" spans="2:12" ht="14.25" customHeight="1" x14ac:dyDescent="0.25">
      <c r="B177" s="222">
        <v>44791</v>
      </c>
      <c r="C177" s="26" t="s">
        <v>8588</v>
      </c>
      <c r="F177" t="s">
        <v>7329</v>
      </c>
      <c r="H177" t="s">
        <v>8585</v>
      </c>
      <c r="I177" s="227" t="s">
        <v>7335</v>
      </c>
      <c r="J177" s="222">
        <v>44810</v>
      </c>
      <c r="K177" s="8"/>
      <c r="L177" s="8"/>
    </row>
    <row r="178" spans="2:12" ht="14.25" customHeight="1" x14ac:dyDescent="0.25">
      <c r="B178" s="222">
        <v>44791</v>
      </c>
      <c r="C178" s="26" t="s">
        <v>8594</v>
      </c>
      <c r="D178">
        <v>9060063554</v>
      </c>
      <c r="F178" t="s">
        <v>7246</v>
      </c>
      <c r="G178" s="222">
        <v>38211</v>
      </c>
      <c r="H178" t="s">
        <v>8593</v>
      </c>
      <c r="I178" s="227" t="s">
        <v>7335</v>
      </c>
      <c r="K178" s="8"/>
      <c r="L178" s="8"/>
    </row>
    <row r="179" spans="2:12" ht="14.25" customHeight="1" x14ac:dyDescent="0.25">
      <c r="B179" s="222">
        <v>44802</v>
      </c>
      <c r="C179" s="26" t="s">
        <v>8635</v>
      </c>
      <c r="D179">
        <v>8697541070</v>
      </c>
      <c r="F179" t="s">
        <v>7246</v>
      </c>
      <c r="G179" s="222">
        <v>17750</v>
      </c>
      <c r="H179" t="s">
        <v>8636</v>
      </c>
      <c r="I179" s="227" t="s">
        <v>7335</v>
      </c>
      <c r="J179" s="222">
        <v>44824</v>
      </c>
      <c r="K179" s="8"/>
      <c r="L179" s="8"/>
    </row>
    <row r="180" spans="2:12" ht="14.25" customHeight="1" x14ac:dyDescent="0.25">
      <c r="B180" s="222">
        <v>44808</v>
      </c>
      <c r="C180" s="26" t="s">
        <v>8650</v>
      </c>
      <c r="D180">
        <v>9798777928</v>
      </c>
      <c r="F180" t="s">
        <v>7329</v>
      </c>
      <c r="G180" s="222">
        <v>23091</v>
      </c>
      <c r="H180" t="s">
        <v>8651</v>
      </c>
      <c r="I180" s="227" t="s">
        <v>7335</v>
      </c>
      <c r="J180" s="222">
        <v>44833</v>
      </c>
      <c r="K180" s="8"/>
      <c r="L180" s="8"/>
    </row>
    <row r="181" spans="2:12" ht="14.25" customHeight="1" x14ac:dyDescent="0.25">
      <c r="B181" s="222">
        <v>44810</v>
      </c>
      <c r="C181" s="26" t="s">
        <v>8665</v>
      </c>
      <c r="D181">
        <v>6207198064</v>
      </c>
      <c r="F181" t="s">
        <v>7329</v>
      </c>
      <c r="G181" s="222">
        <v>36273</v>
      </c>
      <c r="H181" t="s">
        <v>8664</v>
      </c>
      <c r="I181" s="227" t="s">
        <v>7335</v>
      </c>
      <c r="K181" s="8"/>
      <c r="L181" s="8"/>
    </row>
    <row r="182" spans="2:12" ht="14.25" customHeight="1" x14ac:dyDescent="0.25">
      <c r="B182" s="222">
        <v>44814</v>
      </c>
      <c r="C182" s="26" t="s">
        <v>8691</v>
      </c>
      <c r="D182">
        <v>8789886585</v>
      </c>
      <c r="F182" t="s">
        <v>7358</v>
      </c>
      <c r="G182" s="222">
        <v>25914</v>
      </c>
      <c r="H182" t="s">
        <v>8693</v>
      </c>
      <c r="K182" s="8"/>
      <c r="L182" s="8"/>
    </row>
    <row r="183" spans="2:12" ht="14.25" customHeight="1" x14ac:dyDescent="0.25">
      <c r="B183" s="222">
        <v>44814</v>
      </c>
      <c r="C183" s="26" t="s">
        <v>8692</v>
      </c>
      <c r="D183">
        <v>9053101827</v>
      </c>
      <c r="F183" t="s">
        <v>7358</v>
      </c>
      <c r="G183" s="222">
        <v>35701</v>
      </c>
      <c r="H183" t="s">
        <v>8693</v>
      </c>
      <c r="K183" s="8"/>
      <c r="L183" s="8"/>
    </row>
    <row r="184" spans="2:12" ht="14.25" customHeight="1" x14ac:dyDescent="0.25">
      <c r="C184" s="26" t="s">
        <v>8722</v>
      </c>
      <c r="D184">
        <v>9031505571</v>
      </c>
      <c r="G184" s="222">
        <v>38211</v>
      </c>
      <c r="H184" t="s">
        <v>8593</v>
      </c>
      <c r="I184" s="227" t="s">
        <v>8915</v>
      </c>
      <c r="K184" s="8"/>
      <c r="L184" s="8"/>
    </row>
    <row r="185" spans="2:12" ht="14.25" customHeight="1" x14ac:dyDescent="0.25">
      <c r="C185" s="26" t="s">
        <v>8747</v>
      </c>
      <c r="G185" s="222">
        <v>37046</v>
      </c>
      <c r="H185" t="s">
        <v>8593</v>
      </c>
      <c r="I185" s="227" t="s">
        <v>8915</v>
      </c>
      <c r="K185" s="8"/>
      <c r="L185" s="8"/>
    </row>
    <row r="186" spans="2:12" ht="14.25" customHeight="1" x14ac:dyDescent="0.25">
      <c r="C186" s="26" t="s">
        <v>8755</v>
      </c>
      <c r="D186">
        <v>9200648891</v>
      </c>
      <c r="G186" s="222">
        <v>36256</v>
      </c>
      <c r="H186" t="s">
        <v>8757</v>
      </c>
      <c r="I186" s="415" t="s">
        <v>7335</v>
      </c>
      <c r="K186" s="8"/>
      <c r="L186" s="8"/>
    </row>
    <row r="187" spans="2:12" ht="14.25" customHeight="1" x14ac:dyDescent="0.25">
      <c r="C187" s="26" t="s">
        <v>8756</v>
      </c>
      <c r="D187">
        <v>7667602718</v>
      </c>
      <c r="G187" s="222">
        <v>36188</v>
      </c>
      <c r="H187" t="s">
        <v>8757</v>
      </c>
      <c r="I187" s="415" t="s">
        <v>7335</v>
      </c>
      <c r="K187" s="8"/>
      <c r="L187" s="8"/>
    </row>
    <row r="188" spans="2:12" ht="14.25" customHeight="1" x14ac:dyDescent="0.25">
      <c r="B188" s="222">
        <v>44854</v>
      </c>
      <c r="C188" s="26" t="s">
        <v>4983</v>
      </c>
      <c r="D188">
        <v>8789552082</v>
      </c>
      <c r="F188" t="s">
        <v>7358</v>
      </c>
      <c r="H188" t="s">
        <v>8757</v>
      </c>
      <c r="I188" s="227"/>
      <c r="K188" s="8"/>
      <c r="L188" s="8"/>
    </row>
    <row r="189" spans="2:12" ht="14.25" customHeight="1" x14ac:dyDescent="0.25">
      <c r="B189" s="222">
        <v>44855</v>
      </c>
      <c r="C189" s="26" t="s">
        <v>8780</v>
      </c>
      <c r="D189">
        <v>8107133654</v>
      </c>
      <c r="F189" t="s">
        <v>7358</v>
      </c>
      <c r="G189" s="222">
        <v>37046</v>
      </c>
      <c r="H189" t="s">
        <v>8593</v>
      </c>
      <c r="I189" s="415" t="s">
        <v>7335</v>
      </c>
      <c r="K189" s="8"/>
      <c r="L189" s="8"/>
    </row>
    <row r="190" spans="2:12" ht="14.25" customHeight="1" x14ac:dyDescent="0.25">
      <c r="C190" s="26" t="s">
        <v>8799</v>
      </c>
      <c r="D190">
        <v>9297699926</v>
      </c>
      <c r="H190" t="s">
        <v>8757</v>
      </c>
      <c r="K190" s="8"/>
      <c r="L190" s="8"/>
    </row>
    <row r="191" spans="2:12" ht="14.25" customHeight="1" x14ac:dyDescent="0.25">
      <c r="C191" s="26" t="s">
        <v>8802</v>
      </c>
      <c r="D191">
        <v>8210774870</v>
      </c>
      <c r="H191" t="s">
        <v>8757</v>
      </c>
      <c r="K191" s="8"/>
      <c r="L191" s="8"/>
    </row>
    <row r="192" spans="2:12" ht="14.25" customHeight="1" x14ac:dyDescent="0.25">
      <c r="B192" s="222">
        <v>44888</v>
      </c>
      <c r="C192" s="26" t="s">
        <v>8862</v>
      </c>
      <c r="D192">
        <v>8210796022</v>
      </c>
      <c r="F192" t="s">
        <v>7329</v>
      </c>
      <c r="G192" s="222">
        <v>28208</v>
      </c>
      <c r="H192" t="s">
        <v>8863</v>
      </c>
      <c r="I192" s="415" t="s">
        <v>7335</v>
      </c>
      <c r="J192" s="222">
        <v>44903</v>
      </c>
      <c r="K192" s="8"/>
      <c r="L192" s="8"/>
    </row>
    <row r="193" spans="2:12" ht="14.25" customHeight="1" x14ac:dyDescent="0.25">
      <c r="B193" s="222">
        <v>44892</v>
      </c>
      <c r="C193" s="26" t="s">
        <v>8877</v>
      </c>
      <c r="D193">
        <v>8210089396</v>
      </c>
      <c r="F193" t="s">
        <v>7329</v>
      </c>
      <c r="G193" s="222">
        <v>34481</v>
      </c>
      <c r="H193" t="s">
        <v>8876</v>
      </c>
      <c r="I193" s="415" t="s">
        <v>7335</v>
      </c>
      <c r="J193" s="442" t="s">
        <v>8878</v>
      </c>
      <c r="K193" s="8"/>
      <c r="L193" s="8"/>
    </row>
    <row r="194" spans="2:12" ht="14.25" customHeight="1" x14ac:dyDescent="0.25">
      <c r="B194" s="222">
        <v>44894</v>
      </c>
      <c r="C194" s="26" t="s">
        <v>8886</v>
      </c>
      <c r="D194">
        <v>9031703893</v>
      </c>
      <c r="F194" t="s">
        <v>7329</v>
      </c>
      <c r="G194" s="222">
        <v>38009</v>
      </c>
      <c r="H194" t="s">
        <v>8876</v>
      </c>
      <c r="I194" s="415" t="s">
        <v>7335</v>
      </c>
      <c r="K194" s="8"/>
      <c r="L194" s="8"/>
    </row>
    <row r="195" spans="2:12" ht="14.25" customHeight="1" x14ac:dyDescent="0.25">
      <c r="B195" s="222">
        <v>44897</v>
      </c>
      <c r="C195" s="26" t="s">
        <v>8814</v>
      </c>
      <c r="D195">
        <v>9608956144</v>
      </c>
      <c r="F195" t="s">
        <v>7329</v>
      </c>
      <c r="G195" s="222">
        <v>38240</v>
      </c>
      <c r="H195" t="s">
        <v>8890</v>
      </c>
      <c r="I195" s="415" t="s">
        <v>7335</v>
      </c>
      <c r="K195" s="8"/>
      <c r="L195" s="8"/>
    </row>
    <row r="196" spans="2:12" ht="14.25" customHeight="1" x14ac:dyDescent="0.25">
      <c r="B196" s="222">
        <v>44906</v>
      </c>
      <c r="C196" s="26" t="s">
        <v>8905</v>
      </c>
      <c r="D196">
        <v>9199929672</v>
      </c>
      <c r="F196" t="s">
        <v>7329</v>
      </c>
      <c r="G196" s="222">
        <v>41908</v>
      </c>
      <c r="H196" t="s">
        <v>8906</v>
      </c>
      <c r="I196" s="415" t="s">
        <v>7335</v>
      </c>
      <c r="K196" s="8"/>
      <c r="L196" s="8"/>
    </row>
    <row r="197" spans="2:12" ht="14.25" customHeight="1" x14ac:dyDescent="0.25">
      <c r="B197" s="222">
        <v>44906</v>
      </c>
      <c r="C197" s="26" t="s">
        <v>7139</v>
      </c>
      <c r="D197">
        <v>9199929672</v>
      </c>
      <c r="F197" t="s">
        <v>7329</v>
      </c>
      <c r="G197" s="222">
        <v>28287</v>
      </c>
      <c r="H197" t="s">
        <v>8906</v>
      </c>
      <c r="I197" s="415" t="s">
        <v>7335</v>
      </c>
      <c r="K197" s="8"/>
      <c r="L197" s="8"/>
    </row>
    <row r="198" spans="2:12" ht="14.25" customHeight="1" x14ac:dyDescent="0.25">
      <c r="B198" s="222">
        <v>44913</v>
      </c>
      <c r="C198" s="26" t="s">
        <v>1319</v>
      </c>
      <c r="D198">
        <v>7979718006</v>
      </c>
      <c r="F198" t="s">
        <v>7329</v>
      </c>
      <c r="G198" s="222">
        <v>35115</v>
      </c>
      <c r="H198" t="s">
        <v>8919</v>
      </c>
      <c r="I198" s="455" t="s">
        <v>8915</v>
      </c>
      <c r="K198" s="8"/>
      <c r="L198" s="8"/>
    </row>
    <row r="199" spans="2:12" ht="14.25" customHeight="1" x14ac:dyDescent="0.25">
      <c r="B199" s="222">
        <v>44916</v>
      </c>
      <c r="C199" s="26" t="s">
        <v>8929</v>
      </c>
      <c r="D199">
        <v>7488095011</v>
      </c>
      <c r="F199" t="s">
        <v>7329</v>
      </c>
      <c r="G199" s="222">
        <v>35820</v>
      </c>
      <c r="H199" t="s">
        <v>8930</v>
      </c>
      <c r="I199" s="455" t="s">
        <v>8915</v>
      </c>
      <c r="J199" s="222">
        <v>44932</v>
      </c>
      <c r="K199" s="8"/>
      <c r="L199" s="8"/>
    </row>
    <row r="200" spans="2:12" ht="14.25" customHeight="1" x14ac:dyDescent="0.25">
      <c r="B200" s="222">
        <v>44940</v>
      </c>
      <c r="C200" s="26" t="s">
        <v>8977</v>
      </c>
      <c r="D200">
        <v>9334237402</v>
      </c>
      <c r="F200" t="s">
        <v>7329</v>
      </c>
      <c r="G200" s="222">
        <v>26299</v>
      </c>
      <c r="H200" t="s">
        <v>8930</v>
      </c>
      <c r="I200" s="455" t="s">
        <v>8915</v>
      </c>
      <c r="K200" s="8"/>
      <c r="L200" s="8"/>
    </row>
    <row r="201" spans="2:12" ht="14.25" customHeight="1" x14ac:dyDescent="0.25">
      <c r="B201" s="222">
        <v>44954</v>
      </c>
      <c r="C201" s="26" t="s">
        <v>8998</v>
      </c>
      <c r="D201">
        <v>7061011009</v>
      </c>
      <c r="F201" t="s">
        <v>7231</v>
      </c>
      <c r="H201" t="s">
        <v>8930</v>
      </c>
      <c r="I201" s="455" t="s">
        <v>8915</v>
      </c>
      <c r="K201" s="8"/>
      <c r="L201" s="8"/>
    </row>
    <row r="202" spans="2:12" ht="14.25" customHeight="1" x14ac:dyDescent="0.25">
      <c r="C202" s="26" t="s">
        <v>879</v>
      </c>
      <c r="H202" t="s">
        <v>8919</v>
      </c>
      <c r="I202" s="455" t="s">
        <v>8915</v>
      </c>
      <c r="K202" s="8"/>
      <c r="L202" s="8"/>
    </row>
    <row r="203" spans="2:12" ht="14.25" customHeight="1" x14ac:dyDescent="0.25">
      <c r="C203" s="26" t="s">
        <v>9001</v>
      </c>
      <c r="H203" t="s">
        <v>8930</v>
      </c>
      <c r="I203" s="455" t="s">
        <v>8915</v>
      </c>
      <c r="K203" s="8"/>
      <c r="L203" s="8"/>
    </row>
    <row r="204" spans="2:12" ht="14.25" customHeight="1" x14ac:dyDescent="0.25">
      <c r="C204" s="26" t="s">
        <v>9000</v>
      </c>
      <c r="H204" t="s">
        <v>8919</v>
      </c>
      <c r="I204" s="455" t="s">
        <v>8915</v>
      </c>
      <c r="K204" s="8"/>
      <c r="L204" s="8"/>
    </row>
    <row r="205" spans="2:12" ht="14.25" customHeight="1" x14ac:dyDescent="0.25">
      <c r="C205" s="26" t="s">
        <v>9002</v>
      </c>
      <c r="H205" t="s">
        <v>8906</v>
      </c>
      <c r="I205" s="415" t="s">
        <v>7335</v>
      </c>
      <c r="K205" s="8"/>
      <c r="L205" s="8"/>
    </row>
    <row r="206" spans="2:12" ht="14.25" customHeight="1" x14ac:dyDescent="0.25">
      <c r="B206" s="222">
        <v>44964</v>
      </c>
      <c r="C206" s="26" t="s">
        <v>9013</v>
      </c>
      <c r="D206">
        <v>7004479558</v>
      </c>
      <c r="F206" t="s">
        <v>7329</v>
      </c>
      <c r="H206" t="s">
        <v>9014</v>
      </c>
      <c r="I206" s="455" t="s">
        <v>8915</v>
      </c>
      <c r="K206" s="8"/>
      <c r="L206" s="8"/>
    </row>
    <row r="207" spans="2:12" ht="14.25" customHeight="1" x14ac:dyDescent="0.25">
      <c r="B207" s="222">
        <v>44965</v>
      </c>
      <c r="C207" s="26" t="s">
        <v>9020</v>
      </c>
      <c r="D207">
        <v>7255854088</v>
      </c>
      <c r="F207" t="s">
        <v>7329</v>
      </c>
      <c r="G207" s="222">
        <v>44977</v>
      </c>
      <c r="H207" t="s">
        <v>9021</v>
      </c>
      <c r="I207" s="455" t="s">
        <v>8915</v>
      </c>
      <c r="K207" s="8"/>
      <c r="L207" s="8"/>
    </row>
    <row r="208" spans="2:12" ht="14.25" customHeight="1" x14ac:dyDescent="0.25">
      <c r="B208" s="222">
        <v>44967</v>
      </c>
      <c r="C208" s="26" t="s">
        <v>9030</v>
      </c>
      <c r="D208">
        <v>7979728816</v>
      </c>
      <c r="F208" t="s">
        <v>7329</v>
      </c>
      <c r="G208" s="222">
        <v>44978</v>
      </c>
      <c r="H208" t="s">
        <v>9021</v>
      </c>
      <c r="I208" s="455" t="s">
        <v>8915</v>
      </c>
      <c r="K208" s="8"/>
      <c r="L208" s="8"/>
    </row>
    <row r="209" spans="2:12" ht="14.25" customHeight="1" x14ac:dyDescent="0.25">
      <c r="B209" s="222">
        <v>44972</v>
      </c>
      <c r="C209" s="26" t="s">
        <v>9036</v>
      </c>
      <c r="F209" t="s">
        <v>7329</v>
      </c>
      <c r="G209" s="222"/>
      <c r="H209" t="s">
        <v>9021</v>
      </c>
      <c r="I209" s="455" t="s">
        <v>8915</v>
      </c>
      <c r="J209" t="s">
        <v>9037</v>
      </c>
      <c r="K209" s="8"/>
      <c r="L209" s="8"/>
    </row>
    <row r="210" spans="2:12" ht="14.25" customHeight="1" x14ac:dyDescent="0.25">
      <c r="B210" s="222">
        <v>44979</v>
      </c>
      <c r="C210" s="26" t="s">
        <v>9052</v>
      </c>
      <c r="D210">
        <v>7260031160</v>
      </c>
      <c r="F210" t="s">
        <v>7329</v>
      </c>
      <c r="G210" s="222">
        <v>44991</v>
      </c>
      <c r="H210" t="s">
        <v>9014</v>
      </c>
      <c r="I210" s="455" t="s">
        <v>8915</v>
      </c>
      <c r="J210" t="s">
        <v>693</v>
      </c>
      <c r="K210" s="8"/>
      <c r="L210" s="8"/>
    </row>
    <row r="211" spans="2:12" ht="14.25" customHeight="1" x14ac:dyDescent="0.25">
      <c r="B211" s="222">
        <v>44980</v>
      </c>
      <c r="C211" s="26" t="s">
        <v>9053</v>
      </c>
      <c r="D211">
        <v>9431393604</v>
      </c>
      <c r="F211" t="s">
        <v>7329</v>
      </c>
      <c r="G211" s="222">
        <v>44991</v>
      </c>
      <c r="H211" t="s">
        <v>9014</v>
      </c>
      <c r="I211" s="455" t="s">
        <v>8915</v>
      </c>
      <c r="K211" s="8"/>
      <c r="L211" s="8"/>
    </row>
    <row r="212" spans="2:12" ht="14.25" customHeight="1" x14ac:dyDescent="0.25">
      <c r="B212" s="222">
        <v>44981</v>
      </c>
      <c r="C212" s="26" t="s">
        <v>9054</v>
      </c>
      <c r="D212">
        <v>9431393604</v>
      </c>
      <c r="F212" t="s">
        <v>7329</v>
      </c>
      <c r="G212" s="222">
        <v>44991</v>
      </c>
      <c r="H212" t="s">
        <v>9014</v>
      </c>
      <c r="I212" s="455" t="s">
        <v>8915</v>
      </c>
      <c r="K212" s="8"/>
      <c r="L212" s="8"/>
    </row>
    <row r="213" spans="2:12" ht="14.25" customHeight="1" x14ac:dyDescent="0.25">
      <c r="B213" s="222">
        <v>44982</v>
      </c>
      <c r="C213" s="26" t="s">
        <v>9055</v>
      </c>
      <c r="D213">
        <v>9431393604</v>
      </c>
      <c r="F213" t="s">
        <v>7329</v>
      </c>
      <c r="G213" s="222">
        <v>44991</v>
      </c>
      <c r="H213" t="s">
        <v>9014</v>
      </c>
      <c r="I213" s="455" t="s">
        <v>8915</v>
      </c>
      <c r="K213" s="8"/>
      <c r="L213" s="8"/>
    </row>
    <row r="214" spans="2:12" ht="14.25" customHeight="1" x14ac:dyDescent="0.25">
      <c r="B214" s="222">
        <v>44982</v>
      </c>
      <c r="C214" s="26" t="s">
        <v>9056</v>
      </c>
      <c r="D214">
        <v>9431393604</v>
      </c>
      <c r="F214" t="s">
        <v>7329</v>
      </c>
      <c r="I214" s="455" t="s">
        <v>8915</v>
      </c>
      <c r="K214" s="8"/>
      <c r="L214" s="8"/>
    </row>
    <row r="215" spans="2:12" ht="14.25" customHeight="1" x14ac:dyDescent="0.25">
      <c r="B215" s="222">
        <v>44958</v>
      </c>
      <c r="C215" s="26" t="s">
        <v>9066</v>
      </c>
      <c r="D215">
        <v>8252329213</v>
      </c>
      <c r="F215" t="s">
        <v>7329</v>
      </c>
      <c r="G215" s="222">
        <v>44999</v>
      </c>
      <c r="H215" t="s">
        <v>9065</v>
      </c>
      <c r="I215" s="455" t="s">
        <v>8915</v>
      </c>
      <c r="K215" s="8"/>
      <c r="L215" s="8"/>
    </row>
    <row r="216" spans="2:12" ht="14.25" customHeight="1" x14ac:dyDescent="0.25">
      <c r="C216" s="26" t="s">
        <v>9244</v>
      </c>
      <c r="D216">
        <v>7319799147</v>
      </c>
      <c r="H216" s="523" t="s">
        <v>9245</v>
      </c>
    </row>
    <row r="217" spans="2:12" ht="14.25" customHeight="1" x14ac:dyDescent="0.25">
      <c r="C217" s="26" t="s">
        <v>9246</v>
      </c>
      <c r="D217">
        <v>9304470189</v>
      </c>
      <c r="H217" s="523" t="s">
        <v>9245</v>
      </c>
      <c r="I217" s="455" t="s">
        <v>8915</v>
      </c>
      <c r="K217" s="8"/>
      <c r="L217" s="8"/>
    </row>
    <row r="218" spans="2:12" ht="14.25" customHeight="1" x14ac:dyDescent="0.25">
      <c r="B218" s="222">
        <v>45003</v>
      </c>
      <c r="C218" s="26" t="s">
        <v>9123</v>
      </c>
      <c r="D218">
        <v>9703654662</v>
      </c>
      <c r="F218" t="s">
        <v>7307</v>
      </c>
      <c r="H218" t="s">
        <v>9125</v>
      </c>
      <c r="I218" s="455" t="s">
        <v>8915</v>
      </c>
      <c r="K218" s="8"/>
      <c r="L218" s="8"/>
    </row>
    <row r="219" spans="2:12" ht="14.25" customHeight="1" x14ac:dyDescent="0.25">
      <c r="B219" s="222">
        <v>45003</v>
      </c>
      <c r="C219" s="26" t="s">
        <v>9124</v>
      </c>
      <c r="D219">
        <v>9703654662</v>
      </c>
      <c r="F219" t="s">
        <v>7307</v>
      </c>
      <c r="H219" t="s">
        <v>9125</v>
      </c>
      <c r="I219" s="455" t="s">
        <v>8915</v>
      </c>
      <c r="K219" s="8"/>
      <c r="L219" s="8"/>
    </row>
    <row r="220" spans="2:12" ht="14.25" customHeight="1" x14ac:dyDescent="0.25">
      <c r="B220" s="222">
        <v>45010</v>
      </c>
      <c r="C220" s="26" t="s">
        <v>7055</v>
      </c>
      <c r="D220">
        <v>7739990511</v>
      </c>
      <c r="F220" t="s">
        <v>9170</v>
      </c>
      <c r="G220" s="222">
        <v>35998</v>
      </c>
      <c r="H220" t="s">
        <v>9169</v>
      </c>
      <c r="I220" s="455" t="s">
        <v>8915</v>
      </c>
      <c r="K220" s="8"/>
      <c r="L220" s="8"/>
    </row>
    <row r="221" spans="2:12" ht="14.25" customHeight="1" x14ac:dyDescent="0.25">
      <c r="C221" s="26" t="s">
        <v>8218</v>
      </c>
      <c r="H221" t="s">
        <v>9169</v>
      </c>
      <c r="I221" s="455" t="s">
        <v>8915</v>
      </c>
      <c r="K221" s="8"/>
      <c r="L221" s="8"/>
    </row>
    <row r="222" spans="2:12" ht="14.25" customHeight="1" x14ac:dyDescent="0.25">
      <c r="B222" s="222">
        <v>45023</v>
      </c>
      <c r="C222" s="26" t="s">
        <v>9257</v>
      </c>
      <c r="D222">
        <v>9771243020</v>
      </c>
      <c r="E222" s="222">
        <v>45043</v>
      </c>
      <c r="F222" t="s">
        <v>7329</v>
      </c>
      <c r="G222" s="222">
        <v>36644</v>
      </c>
      <c r="H222" t="s">
        <v>9258</v>
      </c>
      <c r="I222" s="455" t="s">
        <v>8915</v>
      </c>
      <c r="K222" s="8"/>
      <c r="L222" s="8"/>
    </row>
    <row r="223" spans="2:12" ht="14.25" customHeight="1" x14ac:dyDescent="0.25">
      <c r="B223" s="222">
        <v>45023</v>
      </c>
      <c r="C223" s="26" t="s">
        <v>4849</v>
      </c>
      <c r="D223">
        <v>9525264346</v>
      </c>
      <c r="E223" s="222">
        <v>45043</v>
      </c>
      <c r="F223" t="s">
        <v>7329</v>
      </c>
      <c r="G223" s="222">
        <v>37407</v>
      </c>
      <c r="H223" t="s">
        <v>9258</v>
      </c>
      <c r="I223" s="455" t="s">
        <v>8915</v>
      </c>
      <c r="K223" s="8"/>
      <c r="L223" s="8"/>
    </row>
    <row r="224" spans="2:12" ht="14.25" customHeight="1" x14ac:dyDescent="0.25">
      <c r="B224" s="222">
        <v>45023</v>
      </c>
      <c r="C224" s="26" t="s">
        <v>9259</v>
      </c>
      <c r="D224">
        <v>8873176695</v>
      </c>
      <c r="E224" s="222">
        <v>45043</v>
      </c>
      <c r="F224" t="s">
        <v>7329</v>
      </c>
      <c r="G224" s="222">
        <v>36402</v>
      </c>
      <c r="H224" t="s">
        <v>9258</v>
      </c>
      <c r="I224" s="455" t="s">
        <v>8915</v>
      </c>
      <c r="K224" s="8"/>
      <c r="L224" s="8"/>
    </row>
    <row r="225" spans="2:12" ht="14.25" customHeight="1" x14ac:dyDescent="0.25">
      <c r="B225" s="222">
        <v>45045</v>
      </c>
      <c r="C225" s="26" t="s">
        <v>7268</v>
      </c>
      <c r="D225">
        <v>9931018604</v>
      </c>
      <c r="F225" t="s">
        <v>7166</v>
      </c>
      <c r="H225" t="s">
        <v>9258</v>
      </c>
      <c r="I225" s="455" t="s">
        <v>8915</v>
      </c>
      <c r="K225" s="8"/>
      <c r="L225" s="8"/>
    </row>
    <row r="226" spans="2:12" ht="14.25" customHeight="1" x14ac:dyDescent="0.25">
      <c r="B226" s="222">
        <v>45049</v>
      </c>
      <c r="C226" s="26" t="s">
        <v>9338</v>
      </c>
      <c r="D226">
        <v>8092876772</v>
      </c>
      <c r="G226" s="222">
        <v>37708</v>
      </c>
      <c r="H226" s="523" t="s">
        <v>9245</v>
      </c>
      <c r="I226" s="455" t="s">
        <v>8915</v>
      </c>
      <c r="K226" s="8"/>
      <c r="L226" s="8"/>
    </row>
    <row r="227" spans="2:12" ht="14.25" customHeight="1" x14ac:dyDescent="0.25">
      <c r="B227" s="222">
        <v>45050</v>
      </c>
      <c r="C227" s="26" t="s">
        <v>9343</v>
      </c>
      <c r="D227">
        <v>9006918962</v>
      </c>
      <c r="G227" s="222">
        <v>45064</v>
      </c>
      <c r="H227" s="523" t="s">
        <v>9245</v>
      </c>
      <c r="I227" s="455" t="s">
        <v>8915</v>
      </c>
      <c r="K227" s="8"/>
      <c r="L227" s="8"/>
    </row>
    <row r="228" spans="2:12" ht="14.25" customHeight="1" x14ac:dyDescent="0.25">
      <c r="B228" s="222">
        <v>45066</v>
      </c>
      <c r="C228" s="26" t="s">
        <v>9421</v>
      </c>
      <c r="D228">
        <v>7764982535</v>
      </c>
      <c r="G228" s="222">
        <v>38068</v>
      </c>
      <c r="H228" s="573" t="s">
        <v>9422</v>
      </c>
      <c r="I228" s="323" t="s">
        <v>9423</v>
      </c>
      <c r="K228" s="8"/>
      <c r="L228" s="8"/>
    </row>
    <row r="229" spans="2:12" ht="14.25" customHeight="1" x14ac:dyDescent="0.25">
      <c r="B229" s="222">
        <v>45068</v>
      </c>
      <c r="C229" s="26" t="s">
        <v>9433</v>
      </c>
      <c r="D229">
        <v>9931567350</v>
      </c>
      <c r="H229" s="573" t="s">
        <v>9422</v>
      </c>
      <c r="I229" s="323" t="s">
        <v>9423</v>
      </c>
      <c r="K229" s="8"/>
      <c r="L229" s="8"/>
    </row>
    <row r="230" spans="2:12" ht="14.25" customHeight="1" x14ac:dyDescent="0.25">
      <c r="B230" s="222">
        <v>45068</v>
      </c>
      <c r="C230" s="26" t="s">
        <v>9440</v>
      </c>
      <c r="D230">
        <v>9523484066</v>
      </c>
      <c r="E230" s="222">
        <v>45085</v>
      </c>
      <c r="F230" t="s">
        <v>7246</v>
      </c>
      <c r="G230" s="222">
        <v>37097</v>
      </c>
      <c r="H230" s="573" t="s">
        <v>9422</v>
      </c>
      <c r="I230" s="323" t="s">
        <v>9423</v>
      </c>
      <c r="K230" s="8"/>
      <c r="L230" s="8"/>
    </row>
    <row r="231" spans="2:12" ht="14.25" customHeight="1" x14ac:dyDescent="0.25">
      <c r="B231" s="222">
        <v>45075</v>
      </c>
      <c r="C231" s="26" t="s">
        <v>7076</v>
      </c>
      <c r="D231">
        <v>7250550087</v>
      </c>
      <c r="F231" t="s">
        <v>7231</v>
      </c>
      <c r="G231" s="222">
        <v>27784</v>
      </c>
      <c r="H231" s="573" t="s">
        <v>9422</v>
      </c>
      <c r="I231" s="323" t="s">
        <v>9423</v>
      </c>
      <c r="K231" s="8"/>
      <c r="L231" s="8"/>
    </row>
    <row r="232" spans="2:12" ht="14.25" customHeight="1" x14ac:dyDescent="0.25">
      <c r="B232" s="222">
        <v>45077</v>
      </c>
      <c r="C232" s="26" t="s">
        <v>9475</v>
      </c>
      <c r="D232">
        <v>9955197437</v>
      </c>
      <c r="G232" s="222">
        <v>24473</v>
      </c>
      <c r="H232" s="573" t="s">
        <v>9422</v>
      </c>
      <c r="I232" s="323" t="s">
        <v>9423</v>
      </c>
      <c r="K232" s="8"/>
      <c r="L232" s="8"/>
    </row>
    <row r="233" spans="2:12" ht="14.25" customHeight="1" x14ac:dyDescent="0.25">
      <c r="B233" s="222">
        <v>45083</v>
      </c>
      <c r="C233" s="26" t="s">
        <v>9532</v>
      </c>
      <c r="D233">
        <v>7209165658</v>
      </c>
      <c r="G233" s="222">
        <v>37738</v>
      </c>
      <c r="H233" s="597" t="s">
        <v>9501</v>
      </c>
      <c r="I233" s="323" t="s">
        <v>9423</v>
      </c>
      <c r="K233" s="8"/>
      <c r="L233" s="8"/>
    </row>
    <row r="234" spans="2:12" ht="14.25" customHeight="1" x14ac:dyDescent="0.25">
      <c r="B234" s="222">
        <v>45083</v>
      </c>
      <c r="C234" s="26" t="s">
        <v>9533</v>
      </c>
      <c r="D234">
        <v>9835373078</v>
      </c>
      <c r="G234" t="s">
        <v>9534</v>
      </c>
      <c r="H234" s="597" t="s">
        <v>9501</v>
      </c>
      <c r="I234" s="323" t="s">
        <v>9423</v>
      </c>
      <c r="K234" s="8"/>
      <c r="L234" s="8"/>
    </row>
    <row r="235" spans="2:12" ht="14.25" customHeight="1" x14ac:dyDescent="0.25">
      <c r="B235" s="222">
        <v>45083</v>
      </c>
      <c r="C235" s="26" t="s">
        <v>9535</v>
      </c>
      <c r="D235">
        <v>8797123078</v>
      </c>
      <c r="G235" s="222">
        <v>27176</v>
      </c>
      <c r="H235" s="597" t="s">
        <v>9501</v>
      </c>
      <c r="I235" s="323" t="s">
        <v>9423</v>
      </c>
      <c r="K235" s="8"/>
      <c r="L235" s="8"/>
    </row>
    <row r="236" spans="2:12" ht="14.25" customHeight="1" x14ac:dyDescent="0.25">
      <c r="B236" s="222">
        <v>45083</v>
      </c>
      <c r="H236" s="597" t="s">
        <v>9501</v>
      </c>
      <c r="I236" s="323" t="s">
        <v>9423</v>
      </c>
      <c r="K236" s="8"/>
      <c r="L236" s="8"/>
    </row>
    <row r="237" spans="2:12" ht="14.25" customHeight="1" x14ac:dyDescent="0.25">
      <c r="B237" s="222">
        <v>45083</v>
      </c>
      <c r="H237" s="597" t="s">
        <v>9501</v>
      </c>
      <c r="I237" s="323" t="s">
        <v>9423</v>
      </c>
      <c r="K237" s="8"/>
      <c r="L237" s="8"/>
    </row>
    <row r="238" spans="2:12" ht="14.25" customHeight="1" x14ac:dyDescent="0.25">
      <c r="B238" s="222">
        <v>45083</v>
      </c>
      <c r="C238" t="s">
        <v>7112</v>
      </c>
      <c r="F238" t="s">
        <v>7358</v>
      </c>
      <c r="G238" s="222">
        <v>35739</v>
      </c>
      <c r="H238" s="600" t="s">
        <v>9511</v>
      </c>
      <c r="I238" s="323" t="s">
        <v>9423</v>
      </c>
      <c r="K238" s="8"/>
      <c r="L238" s="8"/>
    </row>
    <row r="239" spans="2:12" ht="14.25" customHeight="1" x14ac:dyDescent="0.25">
      <c r="B239" s="222">
        <v>45085</v>
      </c>
      <c r="C239" t="s">
        <v>9512</v>
      </c>
      <c r="G239" s="222">
        <v>29562</v>
      </c>
      <c r="H239" s="600" t="s">
        <v>9511</v>
      </c>
      <c r="I239" s="323" t="s">
        <v>9423</v>
      </c>
      <c r="K239" s="8"/>
      <c r="L239" s="8"/>
    </row>
    <row r="240" spans="2:12" ht="14.25" customHeight="1" x14ac:dyDescent="0.25">
      <c r="B240" s="222">
        <v>45088</v>
      </c>
      <c r="C240" t="s">
        <v>1033</v>
      </c>
      <c r="D240">
        <v>9031056405</v>
      </c>
      <c r="G240" s="222">
        <v>37015</v>
      </c>
      <c r="H240" s="605" t="s">
        <v>9530</v>
      </c>
      <c r="I240" s="323" t="s">
        <v>9423</v>
      </c>
      <c r="J240" t="s">
        <v>9037</v>
      </c>
      <c r="K240" s="8"/>
      <c r="L240" s="8"/>
    </row>
    <row r="241" spans="2:12" ht="14.25" customHeight="1" x14ac:dyDescent="0.25">
      <c r="B241" s="222">
        <v>45088</v>
      </c>
      <c r="C241" t="s">
        <v>9531</v>
      </c>
      <c r="D241">
        <v>9031056405</v>
      </c>
      <c r="H241" s="605" t="s">
        <v>9530</v>
      </c>
      <c r="I241" s="323" t="s">
        <v>9423</v>
      </c>
      <c r="J241" t="s">
        <v>9037</v>
      </c>
      <c r="K241" s="8"/>
      <c r="L241" s="8"/>
    </row>
    <row r="242" spans="2:12" ht="14.25" customHeight="1" x14ac:dyDescent="0.25">
      <c r="B242" s="222">
        <v>45088</v>
      </c>
      <c r="C242" t="s">
        <v>7108</v>
      </c>
      <c r="D242">
        <v>7542926214</v>
      </c>
      <c r="E242" s="222">
        <v>45103</v>
      </c>
      <c r="G242" s="222">
        <v>32175</v>
      </c>
      <c r="H242" s="606" t="s">
        <v>9536</v>
      </c>
      <c r="I242" s="323" t="s">
        <v>9423</v>
      </c>
      <c r="K242" s="8"/>
      <c r="L242" s="8"/>
    </row>
    <row r="243" spans="2:12" ht="14.25" customHeight="1" x14ac:dyDescent="0.25">
      <c r="B243" s="222">
        <v>45088</v>
      </c>
      <c r="C243" t="s">
        <v>9538</v>
      </c>
      <c r="D243">
        <v>7542926214</v>
      </c>
      <c r="E243" s="222">
        <v>45103</v>
      </c>
      <c r="G243" s="222">
        <v>42718</v>
      </c>
      <c r="H243" s="606" t="s">
        <v>9536</v>
      </c>
      <c r="I243" s="323" t="s">
        <v>9423</v>
      </c>
      <c r="K243" s="8"/>
      <c r="L243" s="8"/>
    </row>
    <row r="244" spans="2:12" ht="14.25" customHeight="1" x14ac:dyDescent="0.25">
      <c r="B244" s="222">
        <v>45088</v>
      </c>
      <c r="C244" t="s">
        <v>9539</v>
      </c>
      <c r="D244">
        <v>7542926214</v>
      </c>
      <c r="E244" s="222">
        <v>45103</v>
      </c>
      <c r="H244" s="606" t="s">
        <v>9536</v>
      </c>
      <c r="I244" s="323" t="s">
        <v>9423</v>
      </c>
      <c r="K244" s="8"/>
      <c r="L244" s="8"/>
    </row>
    <row r="245" spans="2:12" ht="14.25" customHeight="1" x14ac:dyDescent="0.25">
      <c r="B245" s="222">
        <v>45088</v>
      </c>
      <c r="C245" t="s">
        <v>9540</v>
      </c>
      <c r="D245">
        <v>7542926214</v>
      </c>
      <c r="E245" s="222">
        <v>45103</v>
      </c>
      <c r="G245" s="222">
        <v>43160</v>
      </c>
      <c r="H245" s="606" t="s">
        <v>9536</v>
      </c>
      <c r="I245" s="323" t="s">
        <v>9423</v>
      </c>
      <c r="K245" s="8"/>
      <c r="L245" s="8"/>
    </row>
    <row r="246" spans="2:12" ht="14.25" customHeight="1" x14ac:dyDescent="0.25">
      <c r="B246" s="222">
        <v>45097</v>
      </c>
      <c r="C246" t="s">
        <v>9592</v>
      </c>
      <c r="D246">
        <v>7542926214</v>
      </c>
      <c r="E246" s="222">
        <v>45112</v>
      </c>
      <c r="G246" s="222">
        <v>39676</v>
      </c>
      <c r="H246" s="605" t="s">
        <v>9530</v>
      </c>
      <c r="I246" s="466" t="s">
        <v>8915</v>
      </c>
      <c r="K246" s="8"/>
      <c r="L246" s="8"/>
    </row>
    <row r="247" spans="2:12" ht="14.25" customHeight="1" x14ac:dyDescent="0.25">
      <c r="B247" s="222">
        <v>45105</v>
      </c>
      <c r="E247" s="222">
        <v>45108</v>
      </c>
      <c r="H247" s="725" t="s">
        <v>9530</v>
      </c>
      <c r="I247" s="466" t="s">
        <v>8915</v>
      </c>
      <c r="K247" s="8"/>
      <c r="L247" s="8"/>
    </row>
    <row r="248" spans="2:12" ht="14.25" customHeight="1" x14ac:dyDescent="0.25">
      <c r="B248" s="222">
        <v>45109</v>
      </c>
      <c r="C248" t="s">
        <v>9679</v>
      </c>
      <c r="D248">
        <v>7091311830</v>
      </c>
      <c r="E248" s="222">
        <v>45121</v>
      </c>
      <c r="G248" s="222">
        <v>29253</v>
      </c>
      <c r="H248" s="605" t="s">
        <v>9530</v>
      </c>
      <c r="I248" s="466" t="s">
        <v>8915</v>
      </c>
      <c r="K248" s="8"/>
      <c r="L248" s="8"/>
    </row>
    <row r="249" spans="2:12" ht="14.25" customHeight="1" x14ac:dyDescent="0.25">
      <c r="B249" s="222">
        <v>45125</v>
      </c>
      <c r="C249" t="s">
        <v>9794</v>
      </c>
      <c r="D249">
        <v>9576679775</v>
      </c>
      <c r="E249" s="222">
        <v>45135</v>
      </c>
      <c r="G249" s="222">
        <v>22901</v>
      </c>
      <c r="H249" s="639" t="s">
        <v>9798</v>
      </c>
      <c r="I249" s="323" t="s">
        <v>8915</v>
      </c>
      <c r="K249" s="8"/>
      <c r="L249" s="8"/>
    </row>
    <row r="250" spans="2:12" ht="14.25" customHeight="1" x14ac:dyDescent="0.25">
      <c r="B250" s="222">
        <v>45125</v>
      </c>
      <c r="C250" t="s">
        <v>9807</v>
      </c>
      <c r="D250">
        <v>7209275851</v>
      </c>
      <c r="E250" s="222">
        <v>45135</v>
      </c>
      <c r="G250" s="222">
        <v>27030</v>
      </c>
      <c r="H250" s="639" t="s">
        <v>9798</v>
      </c>
      <c r="I250" s="323" t="s">
        <v>8915</v>
      </c>
      <c r="K250" s="8"/>
      <c r="L250" s="8"/>
    </row>
    <row r="251" spans="2:12" ht="14.25" customHeight="1" x14ac:dyDescent="0.25">
      <c r="B251" s="222">
        <v>45125</v>
      </c>
      <c r="C251" t="s">
        <v>9808</v>
      </c>
      <c r="D251">
        <v>9576679775</v>
      </c>
      <c r="E251" s="222">
        <v>45135</v>
      </c>
      <c r="G251" s="222">
        <v>27395</v>
      </c>
      <c r="H251" s="639" t="s">
        <v>9798</v>
      </c>
      <c r="I251" s="323" t="s">
        <v>8915</v>
      </c>
      <c r="K251" s="8"/>
      <c r="L251" s="8"/>
    </row>
    <row r="252" spans="2:12" ht="14.25" customHeight="1" x14ac:dyDescent="0.25">
      <c r="B252" s="222">
        <v>45125</v>
      </c>
      <c r="C252" t="s">
        <v>9809</v>
      </c>
      <c r="D252">
        <v>7209275851</v>
      </c>
      <c r="E252" s="222">
        <v>45135</v>
      </c>
      <c r="G252" s="222">
        <v>23625</v>
      </c>
      <c r="H252" s="639" t="s">
        <v>9798</v>
      </c>
      <c r="I252" s="323" t="s">
        <v>8915</v>
      </c>
      <c r="K252" s="8"/>
      <c r="L252" s="8"/>
    </row>
    <row r="253" spans="2:12" ht="14.25" customHeight="1" x14ac:dyDescent="0.25">
      <c r="B253" s="329">
        <v>45136</v>
      </c>
      <c r="C253" s="296" t="s">
        <v>9906</v>
      </c>
      <c r="D253" s="296">
        <v>9142269192</v>
      </c>
      <c r="E253" s="296" t="s">
        <v>7368</v>
      </c>
      <c r="F253" s="296">
        <v>200</v>
      </c>
      <c r="G253" s="329">
        <v>37242</v>
      </c>
      <c r="H253" s="296" t="s">
        <v>9905</v>
      </c>
      <c r="I253" s="657" t="s">
        <v>8915</v>
      </c>
      <c r="K253" s="8"/>
      <c r="L253" s="8"/>
    </row>
    <row r="254" spans="2:12" ht="14.25" customHeight="1" x14ac:dyDescent="0.25">
      <c r="C254" s="645" t="s">
        <v>9855</v>
      </c>
      <c r="H254" s="645" t="s">
        <v>9856</v>
      </c>
      <c r="I254" s="415" t="s">
        <v>9423</v>
      </c>
      <c r="K254" s="8"/>
      <c r="L254" s="8"/>
    </row>
    <row r="255" spans="2:12" ht="14.25" customHeight="1" x14ac:dyDescent="0.25">
      <c r="B255" s="222">
        <v>45139</v>
      </c>
      <c r="C255" s="661" t="s">
        <v>9924</v>
      </c>
      <c r="D255">
        <v>8102549019</v>
      </c>
      <c r="E255" s="222">
        <v>45147</v>
      </c>
      <c r="G255" s="222">
        <v>36211</v>
      </c>
      <c r="H255" s="645" t="s">
        <v>9856</v>
      </c>
      <c r="I255" s="415" t="s">
        <v>9423</v>
      </c>
      <c r="K255" s="8"/>
      <c r="L255" s="8"/>
    </row>
    <row r="256" spans="2:12" ht="14.25" customHeight="1" x14ac:dyDescent="0.25">
      <c r="B256" s="222">
        <v>45139</v>
      </c>
      <c r="C256" s="661" t="s">
        <v>9925</v>
      </c>
      <c r="D256">
        <v>8804096244</v>
      </c>
      <c r="E256" s="222">
        <v>45147</v>
      </c>
      <c r="G256" s="222">
        <v>36124</v>
      </c>
      <c r="H256" s="645" t="s">
        <v>9856</v>
      </c>
      <c r="I256" s="415" t="s">
        <v>9423</v>
      </c>
      <c r="K256" s="8"/>
      <c r="L256" s="8"/>
    </row>
    <row r="257" spans="2:12" ht="14.25" customHeight="1" x14ac:dyDescent="0.25">
      <c r="B257" s="222">
        <v>45146</v>
      </c>
      <c r="C257" s="669" t="s">
        <v>7059</v>
      </c>
      <c r="D257">
        <v>9279241882</v>
      </c>
      <c r="E257" s="222">
        <v>45154</v>
      </c>
      <c r="F257" t="s">
        <v>7329</v>
      </c>
      <c r="G257" s="222">
        <v>20876</v>
      </c>
      <c r="H257" s="669" t="s">
        <v>9955</v>
      </c>
      <c r="I257" s="415" t="s">
        <v>8915</v>
      </c>
      <c r="K257" s="8"/>
      <c r="L257" s="8"/>
    </row>
    <row r="258" spans="2:12" ht="14.25" customHeight="1" x14ac:dyDescent="0.25">
      <c r="B258" s="222">
        <v>45166</v>
      </c>
      <c r="C258" s="688" t="s">
        <v>10028</v>
      </c>
      <c r="D258">
        <v>8757864446</v>
      </c>
      <c r="E258" s="222">
        <v>45166</v>
      </c>
      <c r="F258" t="s">
        <v>7166</v>
      </c>
      <c r="G258" s="222">
        <v>31405</v>
      </c>
      <c r="H258" s="669" t="s">
        <v>9955</v>
      </c>
      <c r="I258" s="415" t="s">
        <v>8915</v>
      </c>
      <c r="K258" s="8"/>
      <c r="L258" s="8"/>
    </row>
    <row r="259" spans="2:12" ht="14.25" customHeight="1" x14ac:dyDescent="0.25">
      <c r="B259" s="222">
        <v>45187</v>
      </c>
      <c r="C259" s="693" t="s">
        <v>10044</v>
      </c>
      <c r="D259">
        <v>8271312110</v>
      </c>
      <c r="G259" s="222">
        <v>30168</v>
      </c>
      <c r="H259" s="323" t="s">
        <v>10045</v>
      </c>
      <c r="I259" s="415" t="s">
        <v>8915</v>
      </c>
      <c r="K259" s="8"/>
      <c r="L259" s="8"/>
    </row>
    <row r="260" spans="2:12" ht="14.25" customHeight="1" x14ac:dyDescent="0.25">
      <c r="B260" s="222">
        <v>45188</v>
      </c>
      <c r="C260" s="703" t="s">
        <v>10074</v>
      </c>
      <c r="D260">
        <v>8271312110</v>
      </c>
      <c r="G260" s="222">
        <v>25213</v>
      </c>
      <c r="H260" s="703" t="s">
        <v>10073</v>
      </c>
      <c r="I260" s="415" t="s">
        <v>8915</v>
      </c>
      <c r="K260" s="8"/>
      <c r="L260" s="8"/>
    </row>
    <row r="261" spans="2:12" ht="14.25" customHeight="1" x14ac:dyDescent="0.25">
      <c r="B261" s="222">
        <v>45188</v>
      </c>
      <c r="C261" s="703" t="s">
        <v>10044</v>
      </c>
      <c r="H261" s="703" t="s">
        <v>10073</v>
      </c>
      <c r="I261" s="415" t="s">
        <v>8915</v>
      </c>
      <c r="K261" s="8"/>
      <c r="L261" s="8"/>
    </row>
    <row r="262" spans="2:12" ht="14.25" customHeight="1" x14ac:dyDescent="0.25">
      <c r="C262" s="709" t="s">
        <v>10090</v>
      </c>
      <c r="D262">
        <v>7903591993</v>
      </c>
      <c r="G262" s="222">
        <v>26317</v>
      </c>
      <c r="H262" s="712" t="s">
        <v>10096</v>
      </c>
      <c r="I262" s="415" t="s">
        <v>8915</v>
      </c>
      <c r="K262" s="8"/>
      <c r="L262" s="8"/>
    </row>
    <row r="263" spans="2:12" ht="14.25" customHeight="1" x14ac:dyDescent="0.25">
      <c r="C263" s="712" t="s">
        <v>10097</v>
      </c>
      <c r="G263" s="222">
        <v>28286</v>
      </c>
      <c r="H263" s="712" t="s">
        <v>10096</v>
      </c>
      <c r="I263" s="415" t="s">
        <v>8915</v>
      </c>
      <c r="K263" s="8"/>
      <c r="L263" s="8"/>
    </row>
    <row r="264" spans="2:12" ht="14.25" customHeight="1" x14ac:dyDescent="0.25">
      <c r="C264" s="717" t="s">
        <v>9030</v>
      </c>
      <c r="D264">
        <v>7979728816</v>
      </c>
      <c r="F264" t="s">
        <v>10119</v>
      </c>
      <c r="G264" s="222">
        <v>33195</v>
      </c>
      <c r="H264" s="717" t="s">
        <v>10116</v>
      </c>
      <c r="I264" s="415" t="s">
        <v>8915</v>
      </c>
      <c r="J264" s="719"/>
      <c r="K264" s="8"/>
      <c r="L264" s="8"/>
    </row>
    <row r="265" spans="2:12" ht="14.25" customHeight="1" x14ac:dyDescent="0.25">
      <c r="B265" s="222">
        <v>45215</v>
      </c>
      <c r="C265" s="719" t="s">
        <v>10118</v>
      </c>
      <c r="D265">
        <v>9297699926</v>
      </c>
      <c r="G265" s="222">
        <v>45121</v>
      </c>
      <c r="H265" s="719" t="s">
        <v>8693</v>
      </c>
      <c r="K265" s="8"/>
      <c r="L265" s="8"/>
    </row>
    <row r="266" spans="2:12" ht="14.25" customHeight="1" x14ac:dyDescent="0.25">
      <c r="B266" s="222">
        <v>45217</v>
      </c>
      <c r="C266" s="721" t="s">
        <v>9930</v>
      </c>
      <c r="D266">
        <v>9608686379</v>
      </c>
      <c r="E266" s="222">
        <v>45226</v>
      </c>
      <c r="F266" s="721" t="s">
        <v>10125</v>
      </c>
      <c r="G266" s="222">
        <v>33874</v>
      </c>
      <c r="H266" s="717" t="s">
        <v>10116</v>
      </c>
      <c r="I266" s="415" t="s">
        <v>8915</v>
      </c>
      <c r="K266" s="8"/>
      <c r="L266" s="8"/>
    </row>
    <row r="267" spans="2:12" ht="14.25" customHeight="1" x14ac:dyDescent="0.25">
      <c r="B267" s="222">
        <v>45231</v>
      </c>
      <c r="C267" s="727" t="s">
        <v>10147</v>
      </c>
      <c r="G267" s="222">
        <v>33199</v>
      </c>
      <c r="H267" s="728" t="s">
        <v>10151</v>
      </c>
      <c r="I267" s="415" t="s">
        <v>10152</v>
      </c>
      <c r="K267" s="8"/>
      <c r="L267" s="8"/>
    </row>
    <row r="268" spans="2:12" ht="14.25" customHeight="1" x14ac:dyDescent="0.25">
      <c r="B268" s="222">
        <v>45247</v>
      </c>
      <c r="C268" s="737" t="s">
        <v>10175</v>
      </c>
      <c r="D268">
        <v>7488981006</v>
      </c>
      <c r="G268" s="222">
        <v>36508</v>
      </c>
      <c r="H268" s="717" t="s">
        <v>10116</v>
      </c>
      <c r="I268" s="415" t="s">
        <v>8915</v>
      </c>
      <c r="K268" s="8"/>
      <c r="L268" s="8"/>
    </row>
    <row r="269" spans="2:12" ht="14.25" customHeight="1" x14ac:dyDescent="0.25">
      <c r="K269" s="8"/>
      <c r="L269" s="8"/>
    </row>
    <row r="270" spans="2:12" ht="14.25" customHeight="1" x14ac:dyDescent="0.25">
      <c r="B270" s="222">
        <v>45253</v>
      </c>
      <c r="C270" s="754" t="s">
        <v>10187</v>
      </c>
      <c r="H270" s="754" t="s">
        <v>10188</v>
      </c>
      <c r="I270" s="415" t="s">
        <v>8915</v>
      </c>
      <c r="K270" s="8"/>
      <c r="L270" s="8"/>
    </row>
    <row r="271" spans="2:12" ht="14.25" customHeight="1" x14ac:dyDescent="0.25">
      <c r="B271" s="222">
        <v>45269</v>
      </c>
      <c r="C271" s="760" t="s">
        <v>10227</v>
      </c>
      <c r="D271">
        <v>8917380947</v>
      </c>
      <c r="H271" s="760" t="s">
        <v>8693</v>
      </c>
      <c r="K271" s="8"/>
      <c r="L271" s="8"/>
    </row>
    <row r="272" spans="2:12" ht="14.25" customHeight="1" x14ac:dyDescent="0.25">
      <c r="B272" s="222">
        <v>45269</v>
      </c>
      <c r="C272" s="761" t="s">
        <v>10228</v>
      </c>
      <c r="D272">
        <v>9821167282</v>
      </c>
      <c r="G272" s="222">
        <v>34610</v>
      </c>
      <c r="H272" s="761" t="s">
        <v>10229</v>
      </c>
      <c r="I272" s="415" t="s">
        <v>8915</v>
      </c>
      <c r="K272" s="8"/>
      <c r="L272" s="8"/>
    </row>
    <row r="273" spans="2:12" ht="14.25" customHeight="1" x14ac:dyDescent="0.25">
      <c r="B273" s="222">
        <v>45269</v>
      </c>
      <c r="C273" s="761" t="s">
        <v>10230</v>
      </c>
      <c r="G273" s="222">
        <v>26664</v>
      </c>
      <c r="H273" s="761" t="s">
        <v>10229</v>
      </c>
      <c r="I273" s="415" t="s">
        <v>8915</v>
      </c>
      <c r="K273" s="8"/>
      <c r="L273" s="8"/>
    </row>
    <row r="274" spans="2:12" ht="14.25" customHeight="1" x14ac:dyDescent="0.25">
      <c r="B274" s="222">
        <v>45269</v>
      </c>
      <c r="C274" s="761" t="s">
        <v>10231</v>
      </c>
      <c r="G274" s="222">
        <v>22672</v>
      </c>
      <c r="H274" s="761" t="s">
        <v>10229</v>
      </c>
      <c r="I274" s="415" t="s">
        <v>8915</v>
      </c>
      <c r="K274" s="8"/>
      <c r="L274" s="8"/>
    </row>
    <row r="275" spans="2:12" ht="14.25" customHeight="1" x14ac:dyDescent="0.25">
      <c r="B275" s="222">
        <v>45271</v>
      </c>
      <c r="C275" s="762" t="s">
        <v>10233</v>
      </c>
      <c r="D275">
        <v>7209432960</v>
      </c>
      <c r="G275" s="222">
        <v>38083</v>
      </c>
      <c r="H275" s="728" t="s">
        <v>10151</v>
      </c>
      <c r="I275" s="415" t="s">
        <v>10152</v>
      </c>
      <c r="J275" t="s">
        <v>10234</v>
      </c>
      <c r="K275" s="8" t="s">
        <v>10235</v>
      </c>
      <c r="L275" s="8"/>
    </row>
    <row r="276" spans="2:12" ht="14.25" customHeight="1" x14ac:dyDescent="0.25">
      <c r="B276" s="222">
        <v>45271</v>
      </c>
      <c r="C276" s="763" t="s">
        <v>7118</v>
      </c>
      <c r="F276" t="s">
        <v>7329</v>
      </c>
      <c r="H276" s="728" t="s">
        <v>10151</v>
      </c>
      <c r="I276" s="415" t="s">
        <v>10152</v>
      </c>
      <c r="K276" s="8"/>
      <c r="L276" s="8"/>
    </row>
    <row r="277" spans="2:12" ht="14.25" customHeight="1" x14ac:dyDescent="0.25">
      <c r="B277" s="222">
        <v>45272</v>
      </c>
      <c r="C277" s="764" t="s">
        <v>10241</v>
      </c>
      <c r="F277" t="s">
        <v>7329</v>
      </c>
      <c r="H277" s="728" t="s">
        <v>10151</v>
      </c>
      <c r="I277" s="415" t="s">
        <v>10152</v>
      </c>
      <c r="K277" s="8"/>
      <c r="L277" s="8"/>
    </row>
    <row r="278" spans="2:12" ht="14.25" customHeight="1" x14ac:dyDescent="0.25">
      <c r="F278" t="s">
        <v>7329</v>
      </c>
      <c r="G278" s="222">
        <v>39747</v>
      </c>
      <c r="H278" s="767" t="s">
        <v>10250</v>
      </c>
      <c r="I278" s="455" t="s">
        <v>10261</v>
      </c>
      <c r="K278" s="8"/>
      <c r="L278" s="8"/>
    </row>
    <row r="279" spans="2:12" ht="14.25" customHeight="1" x14ac:dyDescent="0.25">
      <c r="H279" s="770" t="s">
        <v>10250</v>
      </c>
      <c r="I279" s="455" t="s">
        <v>10261</v>
      </c>
      <c r="K279" s="8"/>
      <c r="L279" s="8"/>
    </row>
    <row r="280" spans="2:12" ht="14.25" customHeight="1" x14ac:dyDescent="0.25">
      <c r="B280" s="222">
        <v>45275</v>
      </c>
      <c r="C280" t="s">
        <v>10251</v>
      </c>
      <c r="H280" s="767" t="s">
        <v>10250</v>
      </c>
      <c r="I280" s="455" t="s">
        <v>10261</v>
      </c>
      <c r="K280" s="8"/>
      <c r="L280" s="8"/>
    </row>
    <row r="281" spans="2:12" ht="14.25" customHeight="1" x14ac:dyDescent="0.25">
      <c r="B281" s="222">
        <v>45275</v>
      </c>
      <c r="C281" t="s">
        <v>10252</v>
      </c>
      <c r="F281" t="s">
        <v>10254</v>
      </c>
      <c r="G281" s="222">
        <v>37351</v>
      </c>
      <c r="H281" s="767" t="s">
        <v>10253</v>
      </c>
      <c r="I281" s="455" t="s">
        <v>8915</v>
      </c>
      <c r="K281" s="8"/>
      <c r="L281" s="8"/>
    </row>
    <row r="282" spans="2:12" ht="14.25" customHeight="1" x14ac:dyDescent="0.25">
      <c r="B282" s="222">
        <v>45287</v>
      </c>
      <c r="C282" t="s">
        <v>10289</v>
      </c>
      <c r="D282">
        <v>6287188998</v>
      </c>
      <c r="E282" s="222">
        <v>45292</v>
      </c>
      <c r="F282" t="s">
        <v>10254</v>
      </c>
      <c r="G282" s="222">
        <v>37317</v>
      </c>
      <c r="H282" s="782" t="s">
        <v>10290</v>
      </c>
      <c r="I282" s="455" t="s">
        <v>8915</v>
      </c>
      <c r="J282" s="222"/>
      <c r="K282" s="8"/>
      <c r="L282" s="8"/>
    </row>
    <row r="283" spans="2:12" ht="14.25" customHeight="1" x14ac:dyDescent="0.25">
      <c r="B283" s="222">
        <v>45289</v>
      </c>
      <c r="C283" t="s">
        <v>10293</v>
      </c>
      <c r="D283">
        <v>9046772118</v>
      </c>
      <c r="E283" s="222">
        <v>45293</v>
      </c>
      <c r="F283" t="s">
        <v>10254</v>
      </c>
      <c r="G283" s="222">
        <v>36504</v>
      </c>
      <c r="H283" s="782" t="s">
        <v>10290</v>
      </c>
      <c r="I283" s="455" t="s">
        <v>8915</v>
      </c>
      <c r="K283" s="8"/>
      <c r="L283" s="8"/>
    </row>
    <row r="284" spans="2:12" ht="14.25" customHeight="1" x14ac:dyDescent="0.25">
      <c r="B284" s="222">
        <v>45295</v>
      </c>
      <c r="C284" t="s">
        <v>7073</v>
      </c>
      <c r="D284">
        <v>9006360044</v>
      </c>
      <c r="E284" s="222">
        <v>45300</v>
      </c>
      <c r="F284" t="s">
        <v>10254</v>
      </c>
      <c r="G284" s="222">
        <v>24226</v>
      </c>
      <c r="H284" s="767" t="s">
        <v>10253</v>
      </c>
      <c r="I284" s="455" t="s">
        <v>8915</v>
      </c>
      <c r="K284" s="8"/>
      <c r="L284" s="8"/>
    </row>
    <row r="285" spans="2:12" ht="14.25" customHeight="1" x14ac:dyDescent="0.25">
      <c r="B285" s="222">
        <v>45296</v>
      </c>
      <c r="C285" t="s">
        <v>10336</v>
      </c>
      <c r="D285">
        <v>9204776268</v>
      </c>
      <c r="E285" s="222">
        <v>45303</v>
      </c>
      <c r="F285" t="s">
        <v>10254</v>
      </c>
      <c r="G285" s="222">
        <v>27234</v>
      </c>
      <c r="H285" s="767" t="s">
        <v>10253</v>
      </c>
      <c r="I285" s="455" t="s">
        <v>8915</v>
      </c>
      <c r="K285" s="8"/>
      <c r="L285" s="8"/>
    </row>
    <row r="286" spans="2:12" ht="14.25" customHeight="1" x14ac:dyDescent="0.25">
      <c r="B286" s="222">
        <v>45296</v>
      </c>
      <c r="C286" t="s">
        <v>5202</v>
      </c>
      <c r="D286">
        <v>8521976846</v>
      </c>
      <c r="E286" s="222">
        <v>45312</v>
      </c>
      <c r="F286" t="s">
        <v>10254</v>
      </c>
      <c r="G286" s="222">
        <v>38144</v>
      </c>
      <c r="H286" s="796" t="s">
        <v>10338</v>
      </c>
      <c r="I286" s="455" t="s">
        <v>10261</v>
      </c>
      <c r="K286" s="8"/>
      <c r="L286" s="8"/>
    </row>
    <row r="287" spans="2:12" ht="14.25" customHeight="1" x14ac:dyDescent="0.25">
      <c r="F287" t="s">
        <v>10254</v>
      </c>
      <c r="G287" s="222"/>
      <c r="H287" s="796" t="s">
        <v>10338</v>
      </c>
      <c r="I287" s="455" t="s">
        <v>10261</v>
      </c>
      <c r="K287" s="8"/>
      <c r="L287" s="8"/>
    </row>
    <row r="288" spans="2:12" ht="14.25" customHeight="1" x14ac:dyDescent="0.25">
      <c r="B288" s="222">
        <v>45331</v>
      </c>
      <c r="C288" t="s">
        <v>10401</v>
      </c>
      <c r="D288">
        <v>7257992297</v>
      </c>
      <c r="E288" s="222">
        <v>45348</v>
      </c>
      <c r="F288" t="s">
        <v>10254</v>
      </c>
      <c r="G288" s="222">
        <v>22812</v>
      </c>
      <c r="H288" s="796" t="s">
        <v>10338</v>
      </c>
      <c r="I288" s="455" t="s">
        <v>10261</v>
      </c>
      <c r="K288" s="8"/>
      <c r="L288" s="8"/>
    </row>
    <row r="289" spans="2:12" ht="14.25" customHeight="1" x14ac:dyDescent="0.25">
      <c r="B289" s="222">
        <v>45331</v>
      </c>
      <c r="C289" t="s">
        <v>10402</v>
      </c>
      <c r="D289">
        <v>7033902925</v>
      </c>
      <c r="E289" s="222">
        <v>45348</v>
      </c>
      <c r="F289" t="s">
        <v>10254</v>
      </c>
      <c r="G289" s="222">
        <v>20108</v>
      </c>
      <c r="H289" s="796" t="s">
        <v>10338</v>
      </c>
      <c r="I289" s="455" t="s">
        <v>10261</v>
      </c>
      <c r="K289" s="8"/>
      <c r="L289" s="8"/>
    </row>
    <row r="290" spans="2:12" ht="14.25" customHeight="1" x14ac:dyDescent="0.25">
      <c r="B290" s="222">
        <v>45332</v>
      </c>
      <c r="C290" s="817" t="s">
        <v>10406</v>
      </c>
      <c r="D290">
        <v>8797240138</v>
      </c>
      <c r="E290" s="222">
        <v>45334</v>
      </c>
      <c r="F290" t="s">
        <v>10254</v>
      </c>
      <c r="G290" s="222">
        <v>26121</v>
      </c>
      <c r="H290" s="767" t="s">
        <v>10253</v>
      </c>
      <c r="I290" s="455" t="s">
        <v>8915</v>
      </c>
      <c r="J290" t="s">
        <v>7249</v>
      </c>
      <c r="L290" s="8"/>
    </row>
    <row r="291" spans="2:12" ht="14.25" customHeight="1" x14ac:dyDescent="0.25">
      <c r="B291" s="222">
        <v>45332</v>
      </c>
      <c r="C291" s="818" t="s">
        <v>10408</v>
      </c>
      <c r="D291">
        <v>7903174815</v>
      </c>
      <c r="E291" s="222">
        <v>45344</v>
      </c>
      <c r="F291" t="s">
        <v>10254</v>
      </c>
      <c r="G291" s="222">
        <v>36681</v>
      </c>
      <c r="H291" s="817" t="s">
        <v>10407</v>
      </c>
      <c r="I291" s="455" t="s">
        <v>10261</v>
      </c>
      <c r="K291" s="8"/>
      <c r="L291" s="8"/>
    </row>
    <row r="292" spans="2:12" ht="14.25" customHeight="1" x14ac:dyDescent="0.25">
      <c r="B292" s="222">
        <v>45343</v>
      </c>
      <c r="C292" s="845" t="s">
        <v>62</v>
      </c>
      <c r="D292">
        <v>9430745575</v>
      </c>
      <c r="F292" t="s">
        <v>10254</v>
      </c>
      <c r="G292" s="222">
        <v>28126</v>
      </c>
      <c r="H292" s="817" t="s">
        <v>10407</v>
      </c>
      <c r="I292" s="455" t="s">
        <v>10261</v>
      </c>
      <c r="K292" s="8"/>
      <c r="L292" s="8"/>
    </row>
    <row r="293" spans="2:12" ht="14.25" customHeight="1" x14ac:dyDescent="0.25">
      <c r="B293" s="222">
        <v>45349</v>
      </c>
      <c r="C293" s="848" t="s">
        <v>10452</v>
      </c>
      <c r="D293">
        <v>8210763386</v>
      </c>
      <c r="E293" s="222">
        <v>34031</v>
      </c>
      <c r="F293" t="s">
        <v>7329</v>
      </c>
      <c r="G293" s="222">
        <v>45363</v>
      </c>
      <c r="H293" s="848" t="s">
        <v>10453</v>
      </c>
      <c r="I293" s="455" t="s">
        <v>10261</v>
      </c>
      <c r="K293" s="8"/>
      <c r="L293" s="8"/>
    </row>
    <row r="294" spans="2:12" ht="14.25" customHeight="1" x14ac:dyDescent="0.25">
      <c r="B294" s="222">
        <v>45365</v>
      </c>
      <c r="C294" s="854" t="s">
        <v>10525</v>
      </c>
      <c r="D294">
        <v>9798946742</v>
      </c>
      <c r="E294" s="222">
        <v>33198</v>
      </c>
      <c r="F294" t="s">
        <v>7329</v>
      </c>
      <c r="G294" s="222">
        <v>33198</v>
      </c>
      <c r="H294" s="854" t="s">
        <v>10526</v>
      </c>
      <c r="I294" s="455" t="s">
        <v>10261</v>
      </c>
      <c r="K294" s="8"/>
      <c r="L294" s="8"/>
    </row>
    <row r="295" spans="2:12" ht="14.25" customHeight="1" x14ac:dyDescent="0.25">
      <c r="C295" s="861" t="s">
        <v>10544</v>
      </c>
      <c r="G295" s="222"/>
      <c r="H295" s="854" t="s">
        <v>10526</v>
      </c>
      <c r="I295" s="455" t="s">
        <v>10261</v>
      </c>
      <c r="K295" s="8"/>
      <c r="L295" s="8"/>
    </row>
    <row r="296" spans="2:12" ht="14.25" customHeight="1" x14ac:dyDescent="0.25">
      <c r="B296" s="222">
        <v>45378</v>
      </c>
      <c r="C296" s="154" t="s">
        <v>10545</v>
      </c>
      <c r="F296" s="861" t="s">
        <v>7166</v>
      </c>
      <c r="G296" s="222"/>
      <c r="H296" s="854" t="s">
        <v>10526</v>
      </c>
      <c r="I296" s="455" t="s">
        <v>10261</v>
      </c>
      <c r="K296" s="8"/>
      <c r="L296" s="8"/>
    </row>
    <row r="297" spans="2:12" ht="14.25" customHeight="1" x14ac:dyDescent="0.25">
      <c r="B297" s="222">
        <v>45380</v>
      </c>
      <c r="C297" s="863" t="s">
        <v>10552</v>
      </c>
      <c r="D297">
        <v>6299758394</v>
      </c>
      <c r="E297" s="222">
        <v>45394</v>
      </c>
      <c r="F297" s="863" t="s">
        <v>7329</v>
      </c>
      <c r="G297" s="222">
        <v>27013</v>
      </c>
      <c r="H297" s="863" t="s">
        <v>10553</v>
      </c>
      <c r="I297" s="455" t="s">
        <v>10261</v>
      </c>
      <c r="K297" s="8"/>
      <c r="L297" s="8"/>
    </row>
    <row r="298" spans="2:12" ht="14.25" customHeight="1" x14ac:dyDescent="0.25">
      <c r="B298" s="222">
        <v>45380</v>
      </c>
      <c r="C298" s="863" t="s">
        <v>10555</v>
      </c>
      <c r="G298" s="222"/>
      <c r="H298" s="863" t="s">
        <v>10554</v>
      </c>
      <c r="I298" s="455" t="s">
        <v>10261</v>
      </c>
      <c r="K298" s="8"/>
      <c r="L298" s="8"/>
    </row>
    <row r="299" spans="2:12" ht="14.25" customHeight="1" x14ac:dyDescent="0.25">
      <c r="B299" s="222">
        <v>45380</v>
      </c>
      <c r="C299" s="863" t="s">
        <v>10556</v>
      </c>
      <c r="G299" s="222"/>
      <c r="H299" s="863" t="s">
        <v>10554</v>
      </c>
      <c r="I299" s="455" t="s">
        <v>10261</v>
      </c>
      <c r="K299" s="8"/>
      <c r="L299" s="8"/>
    </row>
    <row r="300" spans="2:12" ht="14.25" customHeight="1" x14ac:dyDescent="0.25">
      <c r="B300" s="222">
        <v>45380</v>
      </c>
      <c r="C300" s="863" t="s">
        <v>10557</v>
      </c>
      <c r="G300" s="222"/>
      <c r="H300" s="863" t="s">
        <v>10554</v>
      </c>
      <c r="I300" s="455" t="s">
        <v>10261</v>
      </c>
      <c r="K300" s="8"/>
      <c r="L300" s="8"/>
    </row>
    <row r="301" spans="2:12" ht="14.25" customHeight="1" x14ac:dyDescent="0.25">
      <c r="B301" s="222">
        <v>45392</v>
      </c>
      <c r="C301" s="873" t="s">
        <v>738</v>
      </c>
      <c r="D301">
        <v>8210888109</v>
      </c>
      <c r="E301" s="222">
        <v>45407</v>
      </c>
      <c r="F301" t="s">
        <v>7329</v>
      </c>
      <c r="G301" s="222">
        <v>33780</v>
      </c>
      <c r="H301" s="873" t="s">
        <v>10606</v>
      </c>
      <c r="I301" s="455" t="s">
        <v>10261</v>
      </c>
      <c r="K301" s="8"/>
      <c r="L301" s="8"/>
    </row>
    <row r="302" spans="2:12" ht="14.25" customHeight="1" x14ac:dyDescent="0.25">
      <c r="B302" s="222">
        <v>45394</v>
      </c>
      <c r="C302" s="879" t="s">
        <v>10609</v>
      </c>
      <c r="D302">
        <v>9234438330</v>
      </c>
      <c r="G302" s="222">
        <v>32419</v>
      </c>
      <c r="H302" s="863" t="s">
        <v>10554</v>
      </c>
      <c r="I302" s="455" t="s">
        <v>10261</v>
      </c>
      <c r="K302" s="8"/>
      <c r="L302" s="8"/>
    </row>
    <row r="303" spans="2:12" ht="14.25" customHeight="1" x14ac:dyDescent="0.25">
      <c r="B303" s="222">
        <v>45401</v>
      </c>
      <c r="C303" s="885" t="s">
        <v>2338</v>
      </c>
      <c r="D303">
        <v>7295016432</v>
      </c>
      <c r="G303" s="222">
        <v>37652</v>
      </c>
      <c r="H303" s="863" t="s">
        <v>10553</v>
      </c>
      <c r="I303" s="455" t="s">
        <v>10261</v>
      </c>
      <c r="J303" t="s">
        <v>10626</v>
      </c>
      <c r="K303" s="8"/>
      <c r="L303" s="8"/>
    </row>
    <row r="304" spans="2:12" ht="14.25" customHeight="1" x14ac:dyDescent="0.25">
      <c r="B304" s="222">
        <v>45407</v>
      </c>
      <c r="C304" s="887" t="s">
        <v>10639</v>
      </c>
      <c r="D304">
        <v>8002633211</v>
      </c>
      <c r="E304" s="222">
        <v>45412</v>
      </c>
      <c r="F304" s="887" t="s">
        <v>10640</v>
      </c>
      <c r="G304" s="222">
        <v>27649</v>
      </c>
      <c r="H304" s="887" t="s">
        <v>10638</v>
      </c>
      <c r="I304" s="455" t="s">
        <v>10261</v>
      </c>
      <c r="K304" s="8"/>
      <c r="L304" s="8"/>
    </row>
    <row r="305" spans="2:12" ht="14.25" customHeight="1" x14ac:dyDescent="0.25">
      <c r="B305" s="222">
        <v>45407</v>
      </c>
      <c r="C305" s="887" t="s">
        <v>10641</v>
      </c>
      <c r="D305">
        <v>9304130526</v>
      </c>
      <c r="E305" s="222">
        <v>45412</v>
      </c>
      <c r="F305" s="887" t="s">
        <v>10640</v>
      </c>
      <c r="G305" s="222">
        <v>38635</v>
      </c>
      <c r="H305" s="887" t="s">
        <v>10638</v>
      </c>
      <c r="I305" s="455" t="s">
        <v>10261</v>
      </c>
      <c r="K305" s="8"/>
      <c r="L305" s="8"/>
    </row>
    <row r="306" spans="2:12" ht="14.25" customHeight="1" x14ac:dyDescent="0.25">
      <c r="B306" s="222">
        <v>45415</v>
      </c>
      <c r="C306" s="891" t="s">
        <v>10041</v>
      </c>
      <c r="D306">
        <v>8178824952</v>
      </c>
      <c r="E306" s="222">
        <v>45432</v>
      </c>
      <c r="F306" s="891" t="s">
        <v>9170</v>
      </c>
      <c r="G306" s="222">
        <v>25813</v>
      </c>
      <c r="H306" s="887" t="s">
        <v>10638</v>
      </c>
      <c r="I306" s="455" t="s">
        <v>10261</v>
      </c>
      <c r="K306" s="8"/>
      <c r="L306" s="8"/>
    </row>
    <row r="307" spans="2:12" ht="14.25" customHeight="1" x14ac:dyDescent="0.25">
      <c r="B307" s="222">
        <v>45415</v>
      </c>
      <c r="C307" s="891" t="s">
        <v>10653</v>
      </c>
      <c r="D307">
        <v>8102316160</v>
      </c>
      <c r="E307" s="222">
        <v>45432</v>
      </c>
      <c r="F307" s="891" t="s">
        <v>9170</v>
      </c>
      <c r="G307" s="222">
        <v>29221</v>
      </c>
      <c r="H307" s="887" t="s">
        <v>10638</v>
      </c>
      <c r="I307" s="455" t="s">
        <v>10261</v>
      </c>
      <c r="K307" s="8"/>
      <c r="L307" s="8"/>
    </row>
    <row r="308" spans="2:12" ht="14.25" customHeight="1" x14ac:dyDescent="0.25">
      <c r="B308" s="222">
        <v>45458</v>
      </c>
      <c r="C308" s="918" t="s">
        <v>10132</v>
      </c>
      <c r="D308">
        <v>8084205342</v>
      </c>
      <c r="F308" s="891" t="s">
        <v>9170</v>
      </c>
      <c r="G308" s="222"/>
      <c r="H308" s="918" t="s">
        <v>10775</v>
      </c>
      <c r="I308" s="455" t="s">
        <v>10261</v>
      </c>
      <c r="K308" s="8"/>
      <c r="L308" s="8"/>
    </row>
    <row r="309" spans="2:12" ht="14.25" customHeight="1" x14ac:dyDescent="0.25">
      <c r="B309" s="222">
        <v>45458</v>
      </c>
      <c r="C309" s="918" t="s">
        <v>10776</v>
      </c>
      <c r="F309" s="891" t="s">
        <v>9170</v>
      </c>
      <c r="G309" s="222"/>
      <c r="H309" s="918" t="s">
        <v>10775</v>
      </c>
      <c r="I309" s="455" t="s">
        <v>10261</v>
      </c>
      <c r="K309" s="8"/>
      <c r="L309" s="8"/>
    </row>
    <row r="310" spans="2:12" ht="14.25" customHeight="1" x14ac:dyDescent="0.25">
      <c r="B310" s="222">
        <v>45459</v>
      </c>
      <c r="C310" s="918" t="s">
        <v>3115</v>
      </c>
      <c r="E310" s="222">
        <v>45472</v>
      </c>
      <c r="F310" s="891" t="s">
        <v>9170</v>
      </c>
      <c r="G310" s="222"/>
      <c r="H310" s="918" t="s">
        <v>10775</v>
      </c>
      <c r="I310" s="455" t="s">
        <v>10261</v>
      </c>
      <c r="K310" s="8"/>
      <c r="L310" s="8"/>
    </row>
    <row r="311" spans="2:12" ht="14.25" customHeight="1" x14ac:dyDescent="0.25">
      <c r="B311" s="222">
        <v>45465</v>
      </c>
      <c r="C311" s="923" t="s">
        <v>10813</v>
      </c>
      <c r="F311" s="891" t="s">
        <v>9170</v>
      </c>
      <c r="G311" s="222"/>
      <c r="H311" s="923" t="s">
        <v>10814</v>
      </c>
      <c r="I311" s="455" t="s">
        <v>10261</v>
      </c>
      <c r="K311" s="8"/>
      <c r="L311" s="8"/>
    </row>
    <row r="312" spans="2:12" ht="14.25" customHeight="1" x14ac:dyDescent="0.25">
      <c r="B312" s="222">
        <v>45467</v>
      </c>
      <c r="C312" s="925" t="s">
        <v>2557</v>
      </c>
      <c r="D312">
        <v>9608830368</v>
      </c>
      <c r="E312" s="222">
        <v>45469</v>
      </c>
      <c r="F312" s="891" t="s">
        <v>9170</v>
      </c>
      <c r="G312" s="222"/>
      <c r="H312" s="923" t="s">
        <v>10814</v>
      </c>
      <c r="I312" s="455" t="s">
        <v>10261</v>
      </c>
      <c r="K312" s="8"/>
      <c r="L312" s="8"/>
    </row>
    <row r="313" spans="2:12" ht="14.25" customHeight="1" x14ac:dyDescent="0.25">
      <c r="B313" s="222">
        <v>45466</v>
      </c>
      <c r="C313" s="925" t="s">
        <v>10830</v>
      </c>
      <c r="D313">
        <v>9304103847</v>
      </c>
      <c r="E313" s="222">
        <v>45481</v>
      </c>
      <c r="F313" s="891" t="s">
        <v>9170</v>
      </c>
      <c r="G313" s="222"/>
      <c r="H313" s="918" t="s">
        <v>10775</v>
      </c>
      <c r="I313" s="455" t="s">
        <v>10261</v>
      </c>
      <c r="K313" s="8"/>
      <c r="L313" s="8"/>
    </row>
    <row r="314" spans="2:12" ht="14.25" customHeight="1" x14ac:dyDescent="0.25">
      <c r="B314" s="222">
        <v>45469</v>
      </c>
      <c r="C314" s="927" t="s">
        <v>10855</v>
      </c>
      <c r="D314">
        <v>9835121075</v>
      </c>
      <c r="F314" s="891" t="s">
        <v>9170</v>
      </c>
      <c r="G314" s="222"/>
      <c r="H314" s="927" t="s">
        <v>10853</v>
      </c>
      <c r="I314" s="455" t="s">
        <v>10261</v>
      </c>
      <c r="K314" s="8"/>
      <c r="L314" s="8"/>
    </row>
    <row r="315" spans="2:12" ht="14.25" customHeight="1" x14ac:dyDescent="0.25">
      <c r="B315" s="222">
        <v>45469</v>
      </c>
      <c r="C315" s="927" t="s">
        <v>10854</v>
      </c>
      <c r="D315">
        <v>8210925417</v>
      </c>
      <c r="F315" s="891" t="s">
        <v>9170</v>
      </c>
      <c r="G315" s="222"/>
      <c r="H315" s="927" t="s">
        <v>10853</v>
      </c>
      <c r="I315" s="455" t="s">
        <v>10261</v>
      </c>
      <c r="K315" s="8"/>
      <c r="L315" s="8"/>
    </row>
    <row r="316" spans="2:12" ht="14.25" customHeight="1" x14ac:dyDescent="0.25">
      <c r="B316" s="222">
        <v>45494</v>
      </c>
      <c r="C316" s="951" t="s">
        <v>10914</v>
      </c>
      <c r="F316" s="891" t="s">
        <v>9170</v>
      </c>
      <c r="G316" s="222"/>
      <c r="H316" s="927" t="s">
        <v>10853</v>
      </c>
      <c r="I316" s="455" t="s">
        <v>10261</v>
      </c>
      <c r="K316" s="8"/>
      <c r="L316" s="8"/>
    </row>
    <row r="317" spans="2:12" ht="14.25" customHeight="1" x14ac:dyDescent="0.25">
      <c r="C317" s="969" t="s">
        <v>1528</v>
      </c>
      <c r="D317">
        <v>9431187232</v>
      </c>
      <c r="G317" s="222"/>
      <c r="H317" s="969" t="s">
        <v>11241</v>
      </c>
      <c r="K317" s="8"/>
      <c r="L317" s="8"/>
    </row>
    <row r="318" spans="2:12" ht="14.25" customHeight="1" x14ac:dyDescent="0.25">
      <c r="C318" s="969" t="s">
        <v>11242</v>
      </c>
      <c r="G318" s="222"/>
      <c r="H318" s="969" t="s">
        <v>11241</v>
      </c>
      <c r="K318" s="8"/>
      <c r="L318" s="8"/>
    </row>
    <row r="319" spans="2:12" ht="14.25" customHeight="1" x14ac:dyDescent="0.25">
      <c r="B319" s="222">
        <v>45518</v>
      </c>
      <c r="C319" s="970" t="s">
        <v>11243</v>
      </c>
      <c r="D319">
        <v>6206231107</v>
      </c>
      <c r="F319" t="s">
        <v>7329</v>
      </c>
      <c r="G319" s="222">
        <v>36906</v>
      </c>
      <c r="H319" s="970" t="s">
        <v>11244</v>
      </c>
      <c r="I319" s="455" t="s">
        <v>10261</v>
      </c>
      <c r="K319" s="8"/>
      <c r="L319" s="8"/>
    </row>
    <row r="320" spans="2:12" ht="14.25" customHeight="1" x14ac:dyDescent="0.25">
      <c r="B320" s="222">
        <v>45520</v>
      </c>
      <c r="C320" s="971" t="s">
        <v>11265</v>
      </c>
      <c r="D320">
        <v>9007873292</v>
      </c>
      <c r="G320" s="222"/>
      <c r="H320" s="970" t="s">
        <v>11244</v>
      </c>
      <c r="I320" s="455" t="s">
        <v>10261</v>
      </c>
      <c r="J320" t="s">
        <v>7368</v>
      </c>
      <c r="K320" s="8"/>
      <c r="L320" s="8"/>
    </row>
    <row r="321" spans="2:12" ht="14.25" customHeight="1" x14ac:dyDescent="0.25">
      <c r="B321" s="222">
        <v>45527</v>
      </c>
      <c r="C321" s="972" t="s">
        <v>11297</v>
      </c>
      <c r="D321">
        <v>9142362876</v>
      </c>
      <c r="E321" s="222">
        <v>45530</v>
      </c>
      <c r="F321" t="s">
        <v>7329</v>
      </c>
      <c r="G321" s="222">
        <v>35049</v>
      </c>
      <c r="H321" s="972" t="s">
        <v>11298</v>
      </c>
      <c r="I321" s="455" t="s">
        <v>10261</v>
      </c>
      <c r="J321" s="972" t="s">
        <v>7290</v>
      </c>
      <c r="K321" s="8"/>
      <c r="L321" s="8"/>
    </row>
    <row r="322" spans="2:12" ht="14.25" customHeight="1" x14ac:dyDescent="0.25">
      <c r="B322" s="222">
        <v>45527</v>
      </c>
      <c r="C322" s="973" t="s">
        <v>11299</v>
      </c>
      <c r="D322">
        <v>8709416220</v>
      </c>
      <c r="E322" s="222">
        <v>45548</v>
      </c>
      <c r="F322" t="s">
        <v>7329</v>
      </c>
      <c r="G322" s="222">
        <v>35049</v>
      </c>
      <c r="H322" s="972" t="s">
        <v>11298</v>
      </c>
      <c r="I322" s="455" t="s">
        <v>10261</v>
      </c>
      <c r="J322" s="972" t="s">
        <v>7290</v>
      </c>
      <c r="K322" s="8" t="s">
        <v>7249</v>
      </c>
      <c r="L322" s="8"/>
    </row>
    <row r="323" spans="2:12" ht="14.25" customHeight="1" x14ac:dyDescent="0.25">
      <c r="B323" s="222">
        <v>45527</v>
      </c>
      <c r="C323" s="972" t="s">
        <v>4377</v>
      </c>
      <c r="D323">
        <v>7979771584</v>
      </c>
      <c r="E323" s="222">
        <v>45548</v>
      </c>
      <c r="F323" t="s">
        <v>7329</v>
      </c>
      <c r="G323" s="222">
        <v>35049</v>
      </c>
      <c r="H323" s="972" t="s">
        <v>11298</v>
      </c>
      <c r="I323" s="455" t="s">
        <v>10261</v>
      </c>
      <c r="J323" s="972" t="s">
        <v>7290</v>
      </c>
      <c r="K323" s="8" t="s">
        <v>7249</v>
      </c>
      <c r="L323" s="8"/>
    </row>
    <row r="324" spans="2:12" ht="14.25" customHeight="1" x14ac:dyDescent="0.25">
      <c r="B324" s="222">
        <v>45527</v>
      </c>
      <c r="C324" s="976" t="s">
        <v>11320</v>
      </c>
      <c r="D324">
        <v>9334803635</v>
      </c>
      <c r="F324" t="s">
        <v>7329</v>
      </c>
      <c r="G324" s="222">
        <v>21919</v>
      </c>
      <c r="K324" s="8"/>
      <c r="L324" s="8"/>
    </row>
    <row r="325" spans="2:12" ht="14.25" customHeight="1" x14ac:dyDescent="0.25">
      <c r="B325" s="222">
        <v>45539</v>
      </c>
      <c r="C325" s="980" t="s">
        <v>11362</v>
      </c>
      <c r="D325">
        <v>8877915050</v>
      </c>
      <c r="E325" s="222">
        <v>45558</v>
      </c>
      <c r="F325" t="s">
        <v>7329</v>
      </c>
      <c r="G325" s="222">
        <v>36906</v>
      </c>
      <c r="H325" s="970" t="s">
        <v>11244</v>
      </c>
      <c r="I325" s="455" t="s">
        <v>10261</v>
      </c>
      <c r="J325" s="982" t="s">
        <v>7246</v>
      </c>
      <c r="K325" s="8"/>
      <c r="L325" s="8"/>
    </row>
    <row r="326" spans="2:12" ht="14.25" customHeight="1" x14ac:dyDescent="0.25">
      <c r="B326" s="222">
        <v>45544</v>
      </c>
      <c r="C326" s="983" t="s">
        <v>7132</v>
      </c>
      <c r="D326">
        <v>9304473570</v>
      </c>
      <c r="E326" s="222">
        <v>45548</v>
      </c>
      <c r="F326" t="s">
        <v>7329</v>
      </c>
      <c r="G326" s="222">
        <v>23468</v>
      </c>
      <c r="H326" s="983" t="s">
        <v>11394</v>
      </c>
      <c r="I326" s="455" t="s">
        <v>10261</v>
      </c>
      <c r="J326" s="983" t="s">
        <v>7249</v>
      </c>
      <c r="K326" s="8"/>
      <c r="L326" s="8"/>
    </row>
    <row r="327" spans="2:12" ht="14.25" customHeight="1" x14ac:dyDescent="0.25">
      <c r="B327" s="222">
        <v>45544</v>
      </c>
      <c r="C327" s="983" t="s">
        <v>11392</v>
      </c>
      <c r="D327">
        <v>8651009145</v>
      </c>
      <c r="E327" s="222">
        <v>45548</v>
      </c>
      <c r="F327" t="s">
        <v>7329</v>
      </c>
      <c r="G327" s="222">
        <v>34123</v>
      </c>
      <c r="H327" s="983" t="s">
        <v>11394</v>
      </c>
      <c r="I327" s="455" t="s">
        <v>10261</v>
      </c>
      <c r="J327" s="983" t="s">
        <v>7249</v>
      </c>
      <c r="K327" s="8"/>
      <c r="L327" s="8"/>
    </row>
    <row r="328" spans="2:12" ht="14.25" customHeight="1" x14ac:dyDescent="0.25">
      <c r="B328" s="222">
        <v>45544</v>
      </c>
      <c r="C328" s="983" t="s">
        <v>11393</v>
      </c>
      <c r="D328">
        <v>9608883880</v>
      </c>
      <c r="E328" s="222">
        <v>45548</v>
      </c>
      <c r="F328" t="s">
        <v>7329</v>
      </c>
      <c r="G328" s="222">
        <v>38795</v>
      </c>
      <c r="H328" s="983" t="s">
        <v>11394</v>
      </c>
      <c r="I328" s="455" t="s">
        <v>10261</v>
      </c>
      <c r="J328" s="983" t="s">
        <v>7249</v>
      </c>
      <c r="K328" s="8"/>
      <c r="L328" s="8"/>
    </row>
    <row r="329" spans="2:12" ht="14.25" customHeight="1" x14ac:dyDescent="0.25">
      <c r="B329" s="222">
        <v>45548</v>
      </c>
      <c r="C329" s="985" t="s">
        <v>11414</v>
      </c>
      <c r="D329">
        <v>7250594438</v>
      </c>
      <c r="E329" s="222">
        <v>23386</v>
      </c>
      <c r="F329" t="s">
        <v>7329</v>
      </c>
      <c r="G329" s="222">
        <v>45565</v>
      </c>
      <c r="H329" s="985" t="s">
        <v>11413</v>
      </c>
      <c r="I329" s="455" t="s">
        <v>10261</v>
      </c>
      <c r="K329" s="8"/>
      <c r="L329" s="8"/>
    </row>
    <row r="330" spans="2:12" ht="14.25" customHeight="1" x14ac:dyDescent="0.25">
      <c r="B330" s="222">
        <v>45548</v>
      </c>
      <c r="C330" s="985" t="s">
        <v>11417</v>
      </c>
      <c r="D330">
        <v>7250594438</v>
      </c>
      <c r="E330" s="222">
        <v>26921</v>
      </c>
      <c r="F330" t="s">
        <v>7329</v>
      </c>
      <c r="G330" s="222">
        <v>45565</v>
      </c>
      <c r="H330" s="985" t="s">
        <v>11413</v>
      </c>
      <c r="I330" s="455" t="s">
        <v>10261</v>
      </c>
      <c r="K330" s="8"/>
      <c r="L330" s="8"/>
    </row>
    <row r="331" spans="2:12" ht="14.25" customHeight="1" x14ac:dyDescent="0.25">
      <c r="B331" s="222">
        <v>45548</v>
      </c>
      <c r="C331" s="985" t="s">
        <v>11415</v>
      </c>
      <c r="D331">
        <v>7250594438</v>
      </c>
      <c r="E331" s="222">
        <v>14977</v>
      </c>
      <c r="F331" t="s">
        <v>7329</v>
      </c>
      <c r="G331" s="222">
        <v>45565</v>
      </c>
      <c r="H331" s="985" t="s">
        <v>11413</v>
      </c>
      <c r="I331" s="455" t="s">
        <v>10261</v>
      </c>
      <c r="K331" s="8"/>
      <c r="L331" s="8"/>
    </row>
    <row r="332" spans="2:12" ht="14.25" customHeight="1" x14ac:dyDescent="0.25">
      <c r="B332" s="222">
        <v>45548</v>
      </c>
      <c r="C332" s="985" t="s">
        <v>11416</v>
      </c>
      <c r="D332">
        <v>7296008079</v>
      </c>
      <c r="E332" s="222">
        <v>38278</v>
      </c>
      <c r="F332" t="s">
        <v>7329</v>
      </c>
      <c r="G332" s="222">
        <v>45565</v>
      </c>
      <c r="H332" s="985" t="s">
        <v>11413</v>
      </c>
      <c r="I332" s="455" t="s">
        <v>10261</v>
      </c>
      <c r="K332" s="8"/>
      <c r="L332" s="8"/>
    </row>
    <row r="333" spans="2:12" ht="14.25" customHeight="1" x14ac:dyDescent="0.25">
      <c r="B333" s="222">
        <v>45560</v>
      </c>
      <c r="C333" s="987" t="s">
        <v>11460</v>
      </c>
      <c r="D333">
        <v>9608947427</v>
      </c>
      <c r="E333" s="222">
        <v>45575</v>
      </c>
      <c r="F333" t="s">
        <v>7329</v>
      </c>
      <c r="G333" s="222">
        <v>35870</v>
      </c>
      <c r="H333" s="970" t="s">
        <v>11244</v>
      </c>
      <c r="I333" s="455" t="s">
        <v>10261</v>
      </c>
      <c r="J333" s="982" t="s">
        <v>7246</v>
      </c>
      <c r="K333" s="8"/>
      <c r="L333" s="8"/>
    </row>
    <row r="334" spans="2:12" ht="14.25" customHeight="1" x14ac:dyDescent="0.25">
      <c r="B334" s="222">
        <v>45563</v>
      </c>
      <c r="C334" s="988" t="s">
        <v>11393</v>
      </c>
      <c r="D334">
        <v>9608883880</v>
      </c>
      <c r="E334" s="222">
        <v>45565</v>
      </c>
      <c r="F334" t="s">
        <v>7329</v>
      </c>
      <c r="G334" s="222">
        <v>38795</v>
      </c>
      <c r="H334" s="988" t="s">
        <v>11461</v>
      </c>
      <c r="I334" s="455" t="s">
        <v>10261</v>
      </c>
      <c r="K334" s="8"/>
      <c r="L334" s="8"/>
    </row>
    <row r="335" spans="2:12" ht="14.25" customHeight="1" x14ac:dyDescent="0.25">
      <c r="C335" s="992" t="s">
        <v>11470</v>
      </c>
      <c r="D335">
        <v>7091495468</v>
      </c>
      <c r="F335" t="s">
        <v>7329</v>
      </c>
      <c r="G335" s="222">
        <v>32065</v>
      </c>
      <c r="H335" s="988" t="s">
        <v>11461</v>
      </c>
      <c r="I335" s="455" t="s">
        <v>10261</v>
      </c>
      <c r="K335" s="8"/>
      <c r="L335" s="8"/>
    </row>
    <row r="336" spans="2:12" ht="14.25" customHeight="1" x14ac:dyDescent="0.25">
      <c r="C336" s="1004" t="s">
        <v>11511</v>
      </c>
      <c r="F336" s="1006" t="s">
        <v>7231</v>
      </c>
      <c r="G336" s="222"/>
      <c r="H336" s="988" t="s">
        <v>11461</v>
      </c>
      <c r="I336" s="455" t="s">
        <v>10261</v>
      </c>
      <c r="K336" s="8"/>
      <c r="L336" s="8"/>
    </row>
    <row r="337" spans="2:12" ht="14.25" customHeight="1" x14ac:dyDescent="0.25">
      <c r="B337" s="222">
        <v>45582</v>
      </c>
      <c r="C337" s="1006" t="s">
        <v>9692</v>
      </c>
      <c r="E337" s="222">
        <v>45600</v>
      </c>
      <c r="F337" t="s">
        <v>7329</v>
      </c>
      <c r="G337" s="222"/>
      <c r="H337" s="988" t="s">
        <v>11461</v>
      </c>
      <c r="I337" s="455" t="s">
        <v>10261</v>
      </c>
      <c r="K337" s="8"/>
      <c r="L337" s="8"/>
    </row>
    <row r="338" spans="2:12" ht="14.25" customHeight="1" x14ac:dyDescent="0.25">
      <c r="B338" s="222">
        <v>45582</v>
      </c>
      <c r="C338" s="1006" t="s">
        <v>11521</v>
      </c>
      <c r="E338" s="222">
        <v>45625</v>
      </c>
      <c r="F338" t="s">
        <v>7329</v>
      </c>
      <c r="G338" s="222"/>
      <c r="H338" s="988" t="s">
        <v>11461</v>
      </c>
      <c r="I338" s="455" t="s">
        <v>10261</v>
      </c>
      <c r="K338" s="8"/>
      <c r="L338" s="8"/>
    </row>
    <row r="339" spans="2:12" ht="14.25" customHeight="1" x14ac:dyDescent="0.25">
      <c r="B339" s="222">
        <v>45582</v>
      </c>
      <c r="C339" s="1006" t="s">
        <v>8880</v>
      </c>
      <c r="E339" s="222">
        <v>45600</v>
      </c>
      <c r="F339" t="s">
        <v>7329</v>
      </c>
      <c r="G339" s="222"/>
      <c r="H339" s="970" t="s">
        <v>11244</v>
      </c>
      <c r="I339" s="455" t="s">
        <v>10261</v>
      </c>
      <c r="K339" s="8"/>
      <c r="L339" s="8"/>
    </row>
    <row r="340" spans="2:12" ht="14.25" customHeight="1" x14ac:dyDescent="0.25">
      <c r="B340" s="222">
        <v>45586</v>
      </c>
      <c r="C340" s="1451" t="s">
        <v>11548</v>
      </c>
      <c r="D340">
        <v>9934135005</v>
      </c>
      <c r="F340" t="s">
        <v>7329</v>
      </c>
      <c r="G340" s="222"/>
      <c r="H340" s="1451" t="s">
        <v>11549</v>
      </c>
      <c r="I340" s="455" t="s">
        <v>11929</v>
      </c>
      <c r="K340" s="8"/>
      <c r="L340" s="8"/>
    </row>
    <row r="341" spans="2:12" ht="14.25" customHeight="1" x14ac:dyDescent="0.25">
      <c r="B341" s="222">
        <v>45597</v>
      </c>
      <c r="C341" s="1471" t="s">
        <v>11590</v>
      </c>
      <c r="D341">
        <v>9006141610</v>
      </c>
      <c r="E341" s="222">
        <v>45608</v>
      </c>
      <c r="F341" t="s">
        <v>7329</v>
      </c>
      <c r="G341" s="222"/>
      <c r="H341" s="1471" t="s">
        <v>11589</v>
      </c>
      <c r="I341" s="455" t="s">
        <v>10261</v>
      </c>
      <c r="K341" s="8"/>
      <c r="L341" s="8"/>
    </row>
    <row r="342" spans="2:12" ht="14.25" customHeight="1" x14ac:dyDescent="0.25">
      <c r="B342" s="222">
        <v>45597</v>
      </c>
      <c r="C342" s="1471" t="s">
        <v>11591</v>
      </c>
      <c r="D342">
        <v>9835250801</v>
      </c>
      <c r="E342" s="222">
        <v>45608</v>
      </c>
      <c r="F342" t="s">
        <v>7329</v>
      </c>
      <c r="G342" s="222"/>
      <c r="H342" s="1471" t="s">
        <v>11589</v>
      </c>
      <c r="I342" s="455" t="s">
        <v>10261</v>
      </c>
      <c r="K342" s="8"/>
      <c r="L342" s="8"/>
    </row>
    <row r="343" spans="2:12" ht="14.25" customHeight="1" x14ac:dyDescent="0.25">
      <c r="B343" s="222">
        <v>45597</v>
      </c>
      <c r="C343" s="1471" t="s">
        <v>11592</v>
      </c>
      <c r="D343">
        <v>9006141610</v>
      </c>
      <c r="E343" s="222">
        <v>45608</v>
      </c>
      <c r="F343" t="s">
        <v>7329</v>
      </c>
      <c r="G343" s="222"/>
      <c r="H343" s="1471" t="s">
        <v>11589</v>
      </c>
      <c r="I343" s="455" t="s">
        <v>10261</v>
      </c>
      <c r="K343" s="8"/>
      <c r="L343" s="8"/>
    </row>
    <row r="344" spans="2:12" ht="14.25" customHeight="1" x14ac:dyDescent="0.25">
      <c r="B344" s="222">
        <v>46012</v>
      </c>
      <c r="C344" s="1477" t="s">
        <v>11605</v>
      </c>
      <c r="D344">
        <v>9135936042</v>
      </c>
      <c r="E344" s="222">
        <v>45716</v>
      </c>
      <c r="F344" t="s">
        <v>7329</v>
      </c>
      <c r="G344" s="222"/>
      <c r="H344" s="1477" t="s">
        <v>11606</v>
      </c>
      <c r="I344" s="455" t="s">
        <v>11929</v>
      </c>
      <c r="J344" s="1477"/>
      <c r="K344" s="8"/>
      <c r="L344" s="8"/>
    </row>
    <row r="345" spans="2:12" ht="14.25" customHeight="1" x14ac:dyDescent="0.25">
      <c r="B345" s="222">
        <v>45615</v>
      </c>
      <c r="C345" s="1488" t="s">
        <v>1122</v>
      </c>
      <c r="D345">
        <v>7667947187</v>
      </c>
      <c r="E345" s="222">
        <v>45625</v>
      </c>
      <c r="F345" t="s">
        <v>7329</v>
      </c>
      <c r="G345" s="222"/>
      <c r="H345" s="1477" t="s">
        <v>11606</v>
      </c>
      <c r="I345" s="455" t="s">
        <v>10261</v>
      </c>
      <c r="K345" s="8"/>
      <c r="L345" s="8"/>
    </row>
    <row r="346" spans="2:12" ht="14.25" customHeight="1" x14ac:dyDescent="0.25">
      <c r="B346" s="222">
        <v>45622</v>
      </c>
      <c r="C346" s="1501" t="s">
        <v>11670</v>
      </c>
      <c r="D346">
        <v>9835121075</v>
      </c>
      <c r="E346" s="222">
        <v>45631</v>
      </c>
      <c r="F346" t="s">
        <v>7329</v>
      </c>
      <c r="G346" s="222"/>
      <c r="H346" s="1501" t="s">
        <v>11671</v>
      </c>
      <c r="I346" s="455" t="s">
        <v>10261</v>
      </c>
      <c r="K346" s="8"/>
      <c r="L346" s="8"/>
    </row>
    <row r="347" spans="2:12" ht="14.25" customHeight="1" x14ac:dyDescent="0.25">
      <c r="B347" s="222">
        <v>45632</v>
      </c>
      <c r="C347" s="1517" t="s">
        <v>5862</v>
      </c>
      <c r="D347">
        <v>7004184647</v>
      </c>
      <c r="G347" s="222"/>
      <c r="H347" s="1501" t="s">
        <v>11671</v>
      </c>
      <c r="I347" s="455" t="s">
        <v>10261</v>
      </c>
      <c r="K347" s="8"/>
      <c r="L347" s="8"/>
    </row>
    <row r="348" spans="2:12" ht="14.25" customHeight="1" x14ac:dyDescent="0.25">
      <c r="B348" s="222">
        <v>45634</v>
      </c>
      <c r="C348" s="1525" t="s">
        <v>11745</v>
      </c>
      <c r="D348">
        <v>9523678052</v>
      </c>
      <c r="E348" s="222">
        <v>31107</v>
      </c>
      <c r="F348" t="s">
        <v>7329</v>
      </c>
      <c r="G348" s="222">
        <v>31107</v>
      </c>
      <c r="H348" s="1525" t="s">
        <v>11746</v>
      </c>
      <c r="I348" s="455" t="s">
        <v>10261</v>
      </c>
      <c r="J348" s="222">
        <v>45636</v>
      </c>
      <c r="K348" s="8"/>
      <c r="L348" s="8"/>
    </row>
    <row r="349" spans="2:12" ht="14.25" customHeight="1" x14ac:dyDescent="0.25">
      <c r="C349" s="1535" t="s">
        <v>11761</v>
      </c>
      <c r="D349">
        <v>7004184647</v>
      </c>
      <c r="E349" s="222">
        <v>45639</v>
      </c>
      <c r="F349" t="s">
        <v>7329</v>
      </c>
      <c r="G349" s="222"/>
      <c r="H349" s="1525" t="s">
        <v>11746</v>
      </c>
      <c r="I349" s="455" t="s">
        <v>10261</v>
      </c>
      <c r="K349" s="8"/>
      <c r="L349" s="8"/>
    </row>
    <row r="350" spans="2:12" ht="14.25" customHeight="1" x14ac:dyDescent="0.25">
      <c r="C350" s="1535" t="s">
        <v>11762</v>
      </c>
      <c r="D350">
        <v>9939431089</v>
      </c>
      <c r="E350" s="222">
        <v>45664</v>
      </c>
      <c r="F350" t="s">
        <v>7329</v>
      </c>
      <c r="G350" s="222"/>
      <c r="H350" s="1525" t="s">
        <v>11746</v>
      </c>
      <c r="I350" s="455" t="s">
        <v>10261</v>
      </c>
      <c r="K350" s="8"/>
      <c r="L350" s="8"/>
    </row>
    <row r="351" spans="2:12" ht="14.25" customHeight="1" x14ac:dyDescent="0.25">
      <c r="C351" s="1535" t="s">
        <v>11763</v>
      </c>
      <c r="D351">
        <v>9939431089</v>
      </c>
      <c r="E351" s="222">
        <v>45664</v>
      </c>
      <c r="F351" t="s">
        <v>7329</v>
      </c>
      <c r="G351" s="222"/>
      <c r="H351" s="1525" t="s">
        <v>11746</v>
      </c>
      <c r="I351" s="455" t="s">
        <v>10261</v>
      </c>
      <c r="K351" s="8"/>
      <c r="L351" s="8"/>
    </row>
    <row r="352" spans="2:12" ht="14.25" customHeight="1" x14ac:dyDescent="0.25">
      <c r="B352" s="222">
        <v>45645</v>
      </c>
      <c r="C352" s="1538" t="s">
        <v>11770</v>
      </c>
      <c r="D352">
        <v>9263149738</v>
      </c>
      <c r="E352" s="222">
        <v>45653</v>
      </c>
      <c r="F352" t="s">
        <v>9170</v>
      </c>
      <c r="G352" s="222"/>
      <c r="H352" s="1525" t="s">
        <v>11746</v>
      </c>
      <c r="I352" s="455" t="s">
        <v>10261</v>
      </c>
      <c r="K352" s="8"/>
      <c r="L352" s="8"/>
    </row>
    <row r="353" spans="2:12" ht="14.25" customHeight="1" x14ac:dyDescent="0.25">
      <c r="B353" s="222">
        <v>45650</v>
      </c>
      <c r="C353" s="26" t="s">
        <v>8281</v>
      </c>
      <c r="D353">
        <v>7903082835</v>
      </c>
      <c r="G353" s="222"/>
      <c r="H353" s="1542" t="s">
        <v>11808</v>
      </c>
      <c r="I353" s="455" t="s">
        <v>10261</v>
      </c>
      <c r="K353" s="8"/>
      <c r="L353" s="8"/>
    </row>
    <row r="354" spans="2:12" ht="14.25" customHeight="1" x14ac:dyDescent="0.25">
      <c r="B354" s="222">
        <v>45654</v>
      </c>
      <c r="C354" s="1545" t="s">
        <v>11817</v>
      </c>
      <c r="D354">
        <v>9304422746</v>
      </c>
      <c r="E354" s="222">
        <v>45299</v>
      </c>
      <c r="F354" t="s">
        <v>7329</v>
      </c>
      <c r="G354" s="222"/>
      <c r="H354" s="1542" t="s">
        <v>11808</v>
      </c>
      <c r="I354" s="455" t="s">
        <v>10261</v>
      </c>
      <c r="K354" s="8"/>
      <c r="L354" s="8"/>
    </row>
    <row r="355" spans="2:12" ht="14.25" customHeight="1" x14ac:dyDescent="0.25">
      <c r="B355" s="222">
        <v>45693</v>
      </c>
      <c r="C355" s="1556" t="s">
        <v>11892</v>
      </c>
      <c r="D355">
        <v>7004062939</v>
      </c>
      <c r="E355" s="222">
        <v>45702</v>
      </c>
      <c r="F355" t="s">
        <v>7329</v>
      </c>
      <c r="G355" s="222"/>
      <c r="H355" s="1542" t="s">
        <v>11808</v>
      </c>
      <c r="I355" s="455" t="s">
        <v>10261</v>
      </c>
      <c r="K355" s="8"/>
      <c r="L355" s="8"/>
    </row>
    <row r="356" spans="2:12" ht="14.25" customHeight="1" x14ac:dyDescent="0.25">
      <c r="B356" s="222">
        <v>45696</v>
      </c>
      <c r="C356" s="1557" t="s">
        <v>11897</v>
      </c>
      <c r="D356">
        <v>8521721576</v>
      </c>
      <c r="E356" s="222">
        <v>45705</v>
      </c>
      <c r="F356" t="s">
        <v>7329</v>
      </c>
      <c r="G356" s="222">
        <v>34930</v>
      </c>
      <c r="H356" t="s">
        <v>11896</v>
      </c>
      <c r="I356" s="323" t="s">
        <v>10261</v>
      </c>
      <c r="K356" s="8"/>
      <c r="L356" s="8"/>
    </row>
    <row r="357" spans="2:12" ht="14.25" customHeight="1" x14ac:dyDescent="0.25">
      <c r="B357" s="222">
        <v>45741</v>
      </c>
      <c r="C357" s="1571" t="s">
        <v>11964</v>
      </c>
      <c r="D357">
        <v>7209707520</v>
      </c>
      <c r="E357" s="222">
        <v>45756</v>
      </c>
      <c r="F357" t="s">
        <v>7329</v>
      </c>
      <c r="G357" s="222"/>
      <c r="H357" t="s">
        <v>1637</v>
      </c>
      <c r="K357" s="8"/>
      <c r="L357" s="8"/>
    </row>
    <row r="358" spans="2:12" ht="14.25" customHeight="1" x14ac:dyDescent="0.25">
      <c r="B358" s="222">
        <v>45741</v>
      </c>
      <c r="C358" s="1571" t="s">
        <v>11965</v>
      </c>
      <c r="D358">
        <v>8757528714</v>
      </c>
      <c r="E358" s="222">
        <v>45756</v>
      </c>
      <c r="F358" t="s">
        <v>7329</v>
      </c>
      <c r="G358" s="222"/>
      <c r="H358" t="s">
        <v>1637</v>
      </c>
      <c r="K358" s="8"/>
      <c r="L358" s="8"/>
    </row>
    <row r="359" spans="2:12" ht="14.25" customHeight="1" x14ac:dyDescent="0.25">
      <c r="C359" s="1579" t="s">
        <v>12003</v>
      </c>
      <c r="G359" s="222"/>
      <c r="K359" s="8"/>
      <c r="L359" s="8"/>
    </row>
    <row r="360" spans="2:12" ht="14.25" customHeight="1" x14ac:dyDescent="0.25">
      <c r="B360" s="222">
        <v>45762</v>
      </c>
      <c r="C360" s="1585" t="s">
        <v>12022</v>
      </c>
      <c r="D360">
        <v>8250329586</v>
      </c>
      <c r="E360" s="222">
        <v>45621</v>
      </c>
      <c r="F360" t="s">
        <v>7329</v>
      </c>
      <c r="G360" s="222">
        <v>35462</v>
      </c>
      <c r="H360" t="s">
        <v>12023</v>
      </c>
      <c r="I360" s="323" t="s">
        <v>11929</v>
      </c>
      <c r="K360" s="8"/>
      <c r="L360" s="8"/>
    </row>
    <row r="361" spans="2:12" ht="14.25" customHeight="1" x14ac:dyDescent="0.25">
      <c r="B361" s="222">
        <v>45762</v>
      </c>
      <c r="C361" s="1585" t="s">
        <v>12025</v>
      </c>
      <c r="D361">
        <v>7004549426</v>
      </c>
      <c r="E361" s="222">
        <v>45764</v>
      </c>
      <c r="F361" t="s">
        <v>7329</v>
      </c>
      <c r="G361" s="222">
        <v>32077</v>
      </c>
      <c r="H361" t="s">
        <v>12024</v>
      </c>
      <c r="I361" s="323" t="s">
        <v>11929</v>
      </c>
      <c r="J361" t="s">
        <v>12028</v>
      </c>
      <c r="K361" s="8"/>
      <c r="L361" s="8"/>
    </row>
    <row r="362" spans="2:12" ht="14.25" customHeight="1" x14ac:dyDescent="0.25">
      <c r="C362" s="1585" t="s">
        <v>12026</v>
      </c>
      <c r="D362">
        <v>9431380779</v>
      </c>
      <c r="E362" t="s">
        <v>12029</v>
      </c>
      <c r="F362" t="s">
        <v>7329</v>
      </c>
      <c r="G362" s="222">
        <v>26247</v>
      </c>
      <c r="H362" t="s">
        <v>12027</v>
      </c>
      <c r="I362" s="323" t="s">
        <v>11929</v>
      </c>
      <c r="K362" s="8"/>
      <c r="L362" s="8"/>
    </row>
    <row r="363" spans="2:12" ht="14.25" customHeight="1" x14ac:dyDescent="0.25">
      <c r="B363" s="222">
        <v>45764</v>
      </c>
      <c r="C363" s="1587" t="s">
        <v>12039</v>
      </c>
      <c r="E363" s="222">
        <v>45783</v>
      </c>
      <c r="F363" t="s">
        <v>7329</v>
      </c>
      <c r="G363" s="222"/>
      <c r="H363" t="s">
        <v>12038</v>
      </c>
      <c r="I363" s="323" t="s">
        <v>11929</v>
      </c>
      <c r="K363" s="8"/>
      <c r="L363" s="8"/>
    </row>
    <row r="364" spans="2:12" ht="14.25" customHeight="1" x14ac:dyDescent="0.25">
      <c r="B364" s="222">
        <v>45764</v>
      </c>
      <c r="C364" s="1587" t="s">
        <v>12040</v>
      </c>
      <c r="E364" s="222">
        <v>45783</v>
      </c>
      <c r="F364" t="s">
        <v>7329</v>
      </c>
      <c r="G364" s="222"/>
      <c r="H364" t="s">
        <v>12038</v>
      </c>
      <c r="I364" s="323" t="s">
        <v>11929</v>
      </c>
      <c r="K364" s="8"/>
      <c r="L364" s="8"/>
    </row>
    <row r="365" spans="2:12" ht="14.25" customHeight="1" x14ac:dyDescent="0.25">
      <c r="B365" s="222">
        <v>45766</v>
      </c>
      <c r="C365" s="1589" t="s">
        <v>12047</v>
      </c>
      <c r="D365">
        <v>9931515511</v>
      </c>
      <c r="E365" s="222">
        <v>45782</v>
      </c>
      <c r="F365" t="s">
        <v>7329</v>
      </c>
      <c r="G365" s="222">
        <v>29587</v>
      </c>
      <c r="H365" t="s">
        <v>12038</v>
      </c>
      <c r="I365" s="323" t="s">
        <v>11929</v>
      </c>
      <c r="K365" s="8"/>
      <c r="L365" s="8"/>
    </row>
    <row r="366" spans="2:12" ht="14.25" customHeight="1" x14ac:dyDescent="0.25">
      <c r="C366" s="1615" t="s">
        <v>12206</v>
      </c>
      <c r="D366">
        <v>6369464858</v>
      </c>
      <c r="E366" s="222">
        <v>45810</v>
      </c>
      <c r="F366" t="s">
        <v>7329</v>
      </c>
      <c r="G366" s="222">
        <v>37351</v>
      </c>
      <c r="H366" t="s">
        <v>12050</v>
      </c>
      <c r="I366" s="323" t="s">
        <v>11929</v>
      </c>
      <c r="K366" s="8"/>
      <c r="L366" s="8"/>
    </row>
    <row r="367" spans="2:12" ht="14.25" customHeight="1" x14ac:dyDescent="0.25">
      <c r="B367" s="222">
        <v>45772</v>
      </c>
      <c r="C367" t="s">
        <v>12053</v>
      </c>
      <c r="D367">
        <v>9304769459</v>
      </c>
      <c r="E367" s="222">
        <v>45786</v>
      </c>
      <c r="F367" t="s">
        <v>7329</v>
      </c>
      <c r="G367" s="222">
        <v>38136</v>
      </c>
      <c r="H367" t="s">
        <v>12052</v>
      </c>
      <c r="I367" s="323" t="s">
        <v>11929</v>
      </c>
      <c r="K367" s="8"/>
      <c r="L367" s="8"/>
    </row>
    <row r="368" spans="2:12" ht="14.25" customHeight="1" x14ac:dyDescent="0.25">
      <c r="B368" s="222">
        <v>45772</v>
      </c>
      <c r="C368" t="s">
        <v>11878</v>
      </c>
      <c r="D368">
        <v>8102672103</v>
      </c>
      <c r="E368" s="222">
        <v>45786</v>
      </c>
      <c r="F368" t="s">
        <v>7329</v>
      </c>
      <c r="G368" s="222">
        <v>39168</v>
      </c>
      <c r="H368" t="s">
        <v>12052</v>
      </c>
      <c r="I368" s="323" t="s">
        <v>11929</v>
      </c>
      <c r="K368" s="8"/>
      <c r="L368" s="8"/>
    </row>
    <row r="369" spans="2:12" ht="14.25" customHeight="1" x14ac:dyDescent="0.25">
      <c r="B369" s="222">
        <v>45777</v>
      </c>
      <c r="C369" t="s">
        <v>12077</v>
      </c>
      <c r="D369">
        <v>9570166204</v>
      </c>
      <c r="E369" s="222">
        <v>33450</v>
      </c>
      <c r="F369" t="s">
        <v>7329</v>
      </c>
      <c r="G369" s="222"/>
      <c r="H369" t="s">
        <v>12078</v>
      </c>
      <c r="I369" s="323" t="s">
        <v>11929</v>
      </c>
      <c r="J369" t="s">
        <v>12079</v>
      </c>
      <c r="K369" s="8"/>
      <c r="L369" s="8"/>
    </row>
    <row r="370" spans="2:12" ht="14.25" customHeight="1" x14ac:dyDescent="0.25">
      <c r="B370" s="222">
        <v>45778</v>
      </c>
      <c r="C370" t="s">
        <v>12080</v>
      </c>
      <c r="D370">
        <v>9162138310</v>
      </c>
      <c r="E370" s="222">
        <v>45792</v>
      </c>
      <c r="F370" t="s">
        <v>7329</v>
      </c>
      <c r="G370" s="222">
        <v>21547</v>
      </c>
      <c r="H370" t="s">
        <v>12081</v>
      </c>
      <c r="I370" s="323" t="s">
        <v>11929</v>
      </c>
      <c r="K370" s="8"/>
      <c r="L370" s="8"/>
    </row>
    <row r="371" spans="2:12" ht="14.25" customHeight="1" x14ac:dyDescent="0.25">
      <c r="B371" s="222">
        <v>45778</v>
      </c>
      <c r="C371" t="s">
        <v>12082</v>
      </c>
      <c r="D371">
        <v>9234500511</v>
      </c>
      <c r="E371" s="222">
        <v>45792</v>
      </c>
      <c r="F371" t="s">
        <v>7329</v>
      </c>
      <c r="G371" s="222">
        <v>18955</v>
      </c>
      <c r="H371" t="s">
        <v>12081</v>
      </c>
      <c r="I371" s="323" t="s">
        <v>11929</v>
      </c>
      <c r="K371" s="8"/>
      <c r="L371" s="8"/>
    </row>
    <row r="372" spans="2:12" ht="14.25" customHeight="1" x14ac:dyDescent="0.25">
      <c r="B372" s="222">
        <v>45783</v>
      </c>
      <c r="C372" t="s">
        <v>7553</v>
      </c>
      <c r="D372">
        <v>9835189579</v>
      </c>
      <c r="F372" t="s">
        <v>7329</v>
      </c>
      <c r="G372" s="222">
        <v>23023</v>
      </c>
      <c r="H372" t="s">
        <v>12096</v>
      </c>
      <c r="I372" s="323" t="s">
        <v>11929</v>
      </c>
      <c r="K372" s="8"/>
      <c r="L372" s="8"/>
    </row>
    <row r="373" spans="2:12" ht="14.25" customHeight="1" x14ac:dyDescent="0.25">
      <c r="B373" s="222">
        <v>45783</v>
      </c>
      <c r="C373" t="s">
        <v>12097</v>
      </c>
      <c r="D373">
        <v>9835189579</v>
      </c>
      <c r="F373" t="s">
        <v>7329</v>
      </c>
      <c r="G373" s="222">
        <v>22587</v>
      </c>
      <c r="H373" t="s">
        <v>12096</v>
      </c>
      <c r="I373" s="323" t="s">
        <v>11929</v>
      </c>
      <c r="K373" s="8"/>
      <c r="L373" s="8"/>
    </row>
    <row r="374" spans="2:12" ht="14.25" customHeight="1" x14ac:dyDescent="0.25">
      <c r="B374" s="222">
        <v>45784</v>
      </c>
      <c r="C374" t="s">
        <v>12098</v>
      </c>
      <c r="D374">
        <v>9934135005</v>
      </c>
      <c r="E374" s="222">
        <v>45798</v>
      </c>
      <c r="F374" t="s">
        <v>7329</v>
      </c>
      <c r="G374" s="222">
        <v>23811</v>
      </c>
      <c r="H374" t="s">
        <v>12099</v>
      </c>
      <c r="I374" s="323" t="s">
        <v>11929</v>
      </c>
      <c r="K374" s="8"/>
      <c r="L374" s="8"/>
    </row>
    <row r="375" spans="2:12" ht="14.25" customHeight="1" x14ac:dyDescent="0.25">
      <c r="B375" s="222">
        <v>45784</v>
      </c>
      <c r="C375" t="s">
        <v>9803</v>
      </c>
      <c r="D375">
        <v>9470938358</v>
      </c>
      <c r="E375" s="222">
        <v>45798</v>
      </c>
      <c r="F375" t="s">
        <v>7329</v>
      </c>
      <c r="G375" s="222">
        <v>25208</v>
      </c>
      <c r="H375" t="s">
        <v>12099</v>
      </c>
      <c r="I375" s="323" t="s">
        <v>11929</v>
      </c>
      <c r="K375" s="8"/>
      <c r="L375" s="8"/>
    </row>
    <row r="376" spans="2:12" ht="14.25" customHeight="1" x14ac:dyDescent="0.25">
      <c r="B376" s="222">
        <v>45787</v>
      </c>
      <c r="C376" t="s">
        <v>12102</v>
      </c>
      <c r="D376">
        <v>8084017957</v>
      </c>
      <c r="E376" s="222">
        <v>45799</v>
      </c>
      <c r="F376" t="s">
        <v>7329</v>
      </c>
      <c r="G376" s="222">
        <v>30672</v>
      </c>
      <c r="H376" t="s">
        <v>12103</v>
      </c>
      <c r="I376" s="323" t="s">
        <v>11929</v>
      </c>
      <c r="K376" s="8"/>
      <c r="L376" s="8"/>
    </row>
    <row r="377" spans="2:12" ht="14.25" customHeight="1" x14ac:dyDescent="0.25">
      <c r="B377" s="222">
        <v>45789</v>
      </c>
      <c r="C377" t="s">
        <v>12123</v>
      </c>
      <c r="D377">
        <v>7303393021</v>
      </c>
      <c r="F377" t="s">
        <v>7329</v>
      </c>
      <c r="G377" s="222">
        <v>35480</v>
      </c>
      <c r="H377" t="s">
        <v>12124</v>
      </c>
      <c r="I377" s="323" t="s">
        <v>11929</v>
      </c>
      <c r="K377" s="8"/>
      <c r="L377" s="8"/>
    </row>
    <row r="378" spans="2:12" ht="14.25" customHeight="1" x14ac:dyDescent="0.25">
      <c r="B378" s="222">
        <v>45801</v>
      </c>
      <c r="C378" t="s">
        <v>12164</v>
      </c>
      <c r="D378">
        <v>9431568370</v>
      </c>
      <c r="E378" s="222">
        <v>45818</v>
      </c>
      <c r="F378" t="s">
        <v>7329</v>
      </c>
      <c r="G378" s="222">
        <v>36719</v>
      </c>
      <c r="H378" t="s">
        <v>12165</v>
      </c>
      <c r="I378" s="323" t="s">
        <v>11929</v>
      </c>
      <c r="K378" s="8"/>
      <c r="L378" s="8"/>
    </row>
    <row r="379" spans="2:12" ht="14.25" customHeight="1" x14ac:dyDescent="0.25">
      <c r="C379" t="s">
        <v>12320</v>
      </c>
      <c r="G379" s="222"/>
      <c r="H379" t="s">
        <v>12319</v>
      </c>
      <c r="I379" s="323" t="s">
        <v>11929</v>
      </c>
      <c r="K379" s="8"/>
      <c r="L379" s="8"/>
    </row>
    <row r="380" spans="2:12" ht="14.25" customHeight="1" x14ac:dyDescent="0.25">
      <c r="C380" t="s">
        <v>12321</v>
      </c>
      <c r="G380" s="222"/>
      <c r="H380" t="s">
        <v>12319</v>
      </c>
      <c r="I380" s="323" t="s">
        <v>11929</v>
      </c>
      <c r="K380" s="8"/>
      <c r="L380" s="8"/>
    </row>
    <row r="381" spans="2:12" ht="14.25" customHeight="1" x14ac:dyDescent="0.25">
      <c r="C381" t="s">
        <v>12322</v>
      </c>
      <c r="G381" s="222"/>
      <c r="H381" t="s">
        <v>12319</v>
      </c>
      <c r="I381" s="323" t="s">
        <v>11929</v>
      </c>
      <c r="K381" s="8"/>
      <c r="L381" s="8"/>
    </row>
    <row r="382" spans="2:12" ht="14.25" customHeight="1" x14ac:dyDescent="0.25">
      <c r="G382" s="222"/>
      <c r="K382" s="8"/>
      <c r="L382" s="8"/>
    </row>
    <row r="383" spans="2:12" ht="14.25" customHeight="1" x14ac:dyDescent="0.25">
      <c r="G383" s="222"/>
      <c r="K383" s="8"/>
      <c r="L383" s="8"/>
    </row>
    <row r="384" spans="2:12" ht="14.25" customHeight="1" x14ac:dyDescent="0.25">
      <c r="B384" s="222">
        <v>45817</v>
      </c>
      <c r="C384" t="s">
        <v>12254</v>
      </c>
      <c r="D384">
        <v>8210359949</v>
      </c>
      <c r="E384" s="222">
        <v>45818</v>
      </c>
      <c r="F384" t="s">
        <v>7231</v>
      </c>
      <c r="G384" s="222">
        <v>37895</v>
      </c>
      <c r="H384" t="s">
        <v>12253</v>
      </c>
      <c r="I384" s="323" t="s">
        <v>11929</v>
      </c>
      <c r="K384" s="8"/>
      <c r="L384" s="8"/>
    </row>
    <row r="385" spans="2:12" ht="14.25" customHeight="1" x14ac:dyDescent="0.25">
      <c r="B385" s="222">
        <v>45822</v>
      </c>
      <c r="C385" t="s">
        <v>12283</v>
      </c>
      <c r="D385">
        <v>7979095121</v>
      </c>
      <c r="F385" t="s">
        <v>7307</v>
      </c>
      <c r="G385" s="222"/>
      <c r="H385" t="s">
        <v>12253</v>
      </c>
      <c r="I385" s="323" t="s">
        <v>11929</v>
      </c>
      <c r="K385" s="8"/>
      <c r="L385" s="8"/>
    </row>
    <row r="386" spans="2:12" ht="14.25" customHeight="1" x14ac:dyDescent="0.25">
      <c r="B386" s="222">
        <v>45831</v>
      </c>
      <c r="C386" t="s">
        <v>12335</v>
      </c>
      <c r="D386">
        <v>8709346550</v>
      </c>
      <c r="G386" s="222"/>
      <c r="H386" t="s">
        <v>12253</v>
      </c>
      <c r="I386" s="323" t="s">
        <v>11929</v>
      </c>
      <c r="K386" s="8"/>
      <c r="L386" s="8"/>
    </row>
    <row r="387" spans="2:12" ht="14.25" customHeight="1" x14ac:dyDescent="0.25">
      <c r="B387" s="222">
        <v>45832</v>
      </c>
      <c r="C387" t="s">
        <v>12341</v>
      </c>
      <c r="D387">
        <v>9973541963</v>
      </c>
      <c r="F387" t="s">
        <v>12342</v>
      </c>
      <c r="G387" s="222">
        <v>35516</v>
      </c>
      <c r="H387" t="s">
        <v>12253</v>
      </c>
      <c r="I387" s="323" t="s">
        <v>11929</v>
      </c>
      <c r="K387" s="8"/>
      <c r="L387" s="8"/>
    </row>
    <row r="388" spans="2:12" ht="14.25" customHeight="1" x14ac:dyDescent="0.25">
      <c r="G388" s="222"/>
      <c r="K388" s="8"/>
      <c r="L388" s="8"/>
    </row>
    <row r="389" spans="2:12" ht="14.25" customHeight="1" x14ac:dyDescent="0.25">
      <c r="K389" s="8"/>
      <c r="L389" s="8"/>
    </row>
    <row r="390" spans="2:12" ht="14.25" customHeight="1" x14ac:dyDescent="0.25">
      <c r="K390" s="8"/>
      <c r="L390" s="8"/>
    </row>
    <row r="391" spans="2:12" ht="14.25" customHeight="1" x14ac:dyDescent="0.25">
      <c r="K391" s="8"/>
      <c r="L391" s="8"/>
    </row>
    <row r="392" spans="2:12" ht="14.25" customHeight="1" x14ac:dyDescent="0.25">
      <c r="K392" s="8"/>
      <c r="L392" s="8"/>
    </row>
    <row r="393" spans="2:12" ht="14.25" customHeight="1" x14ac:dyDescent="0.25">
      <c r="K393" s="8"/>
      <c r="L393" s="8"/>
    </row>
    <row r="394" spans="2:12" ht="14.25" customHeight="1" x14ac:dyDescent="0.25">
      <c r="K394" s="8"/>
      <c r="L394" s="8"/>
    </row>
    <row r="395" spans="2:12" ht="14.25" customHeight="1" x14ac:dyDescent="0.25">
      <c r="K395" s="8"/>
      <c r="L395" s="8"/>
    </row>
    <row r="396" spans="2:12" ht="14.25" customHeight="1" x14ac:dyDescent="0.25">
      <c r="K396" s="8"/>
      <c r="L396" s="8"/>
    </row>
    <row r="397" spans="2:12" ht="14.25" customHeight="1" x14ac:dyDescent="0.25">
      <c r="K397" s="8"/>
      <c r="L397" s="8"/>
    </row>
    <row r="398" spans="2:12" ht="14.25" customHeight="1" x14ac:dyDescent="0.25">
      <c r="K398" s="8"/>
      <c r="L398" s="8"/>
    </row>
    <row r="399" spans="2:12" ht="14.25" customHeight="1" x14ac:dyDescent="0.25">
      <c r="K399" s="8"/>
      <c r="L399" s="8"/>
    </row>
    <row r="400" spans="2:12" ht="14.25" customHeight="1" x14ac:dyDescent="0.25">
      <c r="K400" s="8"/>
      <c r="L400" s="8"/>
    </row>
    <row r="401" spans="11:12" ht="14.25" customHeight="1" x14ac:dyDescent="0.25">
      <c r="K401" s="8"/>
      <c r="L401" s="8"/>
    </row>
    <row r="402" spans="11:12" ht="14.25" customHeight="1" x14ac:dyDescent="0.25">
      <c r="K402" s="8"/>
      <c r="L402" s="8"/>
    </row>
    <row r="403" spans="11:12" ht="14.25" customHeight="1" x14ac:dyDescent="0.25">
      <c r="K403" s="8"/>
      <c r="L403" s="8"/>
    </row>
    <row r="404" spans="11:12" ht="14.25" customHeight="1" x14ac:dyDescent="0.25">
      <c r="K404" s="8"/>
      <c r="L404" s="8"/>
    </row>
    <row r="405" spans="11:12" ht="14.25" customHeight="1" x14ac:dyDescent="0.25">
      <c r="K405" s="8"/>
      <c r="L405" s="8"/>
    </row>
    <row r="406" spans="11:12" ht="14.25" customHeight="1" x14ac:dyDescent="0.25">
      <c r="K406" s="8"/>
      <c r="L406" s="8"/>
    </row>
    <row r="407" spans="11:12" ht="14.25" customHeight="1" x14ac:dyDescent="0.25">
      <c r="K407" s="8"/>
      <c r="L407" s="8"/>
    </row>
    <row r="408" spans="11:12" ht="14.25" customHeight="1" x14ac:dyDescent="0.25">
      <c r="K408" s="8"/>
      <c r="L408" s="8"/>
    </row>
    <row r="409" spans="11:12" ht="14.25" customHeight="1" x14ac:dyDescent="0.25">
      <c r="K409" s="8"/>
      <c r="L409" s="8"/>
    </row>
    <row r="410" spans="11:12" ht="14.25" customHeight="1" x14ac:dyDescent="0.25">
      <c r="K410" s="8"/>
      <c r="L410" s="8"/>
    </row>
    <row r="411" spans="11:12" ht="14.25" customHeight="1" x14ac:dyDescent="0.25">
      <c r="K411" s="8"/>
      <c r="L411" s="8"/>
    </row>
    <row r="412" spans="11:12" ht="14.25" customHeight="1" x14ac:dyDescent="0.25">
      <c r="K412" s="8"/>
      <c r="L412" s="8"/>
    </row>
    <row r="413" spans="11:12" ht="14.25" customHeight="1" x14ac:dyDescent="0.25">
      <c r="K413" s="8"/>
      <c r="L413" s="8"/>
    </row>
    <row r="414" spans="11:12" ht="14.25" customHeight="1" x14ac:dyDescent="0.25">
      <c r="K414" s="8"/>
      <c r="L414" s="8"/>
    </row>
    <row r="415" spans="11:12" ht="14.25" customHeight="1" x14ac:dyDescent="0.25">
      <c r="K415" s="8"/>
      <c r="L415" s="8"/>
    </row>
    <row r="416" spans="11:12" ht="14.25" customHeight="1" x14ac:dyDescent="0.25">
      <c r="K416" s="8"/>
      <c r="L416" s="8"/>
    </row>
    <row r="417" spans="11:12" ht="14.25" customHeight="1" x14ac:dyDescent="0.25">
      <c r="K417" s="8"/>
      <c r="L417" s="8"/>
    </row>
    <row r="418" spans="11:12" ht="14.25" customHeight="1" x14ac:dyDescent="0.25">
      <c r="K418" s="8"/>
      <c r="L418" s="8"/>
    </row>
    <row r="419" spans="11:12" ht="14.25" customHeight="1" x14ac:dyDescent="0.25">
      <c r="K419" s="8"/>
      <c r="L419" s="8"/>
    </row>
    <row r="420" spans="11:12" ht="14.25" customHeight="1" x14ac:dyDescent="0.25">
      <c r="K420" s="8"/>
      <c r="L420" s="8"/>
    </row>
    <row r="421" spans="11:12" ht="14.25" customHeight="1" x14ac:dyDescent="0.25">
      <c r="K421" s="8"/>
      <c r="L421" s="8"/>
    </row>
    <row r="422" spans="11:12" ht="14.25" customHeight="1" x14ac:dyDescent="0.25">
      <c r="K422" s="8"/>
      <c r="L422" s="8"/>
    </row>
    <row r="423" spans="11:12" ht="14.25" customHeight="1" x14ac:dyDescent="0.25">
      <c r="K423" s="8"/>
      <c r="L423" s="8"/>
    </row>
    <row r="424" spans="11:12" ht="14.25" customHeight="1" x14ac:dyDescent="0.25">
      <c r="K424" s="8"/>
      <c r="L424" s="8"/>
    </row>
    <row r="425" spans="11:12" ht="14.25" customHeight="1" x14ac:dyDescent="0.25">
      <c r="K425" s="8"/>
      <c r="L425" s="8"/>
    </row>
    <row r="426" spans="11:12" ht="14.25" customHeight="1" x14ac:dyDescent="0.25">
      <c r="K426" s="8"/>
      <c r="L426" s="8"/>
    </row>
    <row r="427" spans="11:12" ht="14.25" customHeight="1" x14ac:dyDescent="0.25">
      <c r="K427" s="8"/>
      <c r="L427" s="8"/>
    </row>
    <row r="428" spans="11:12" ht="14.25" customHeight="1" x14ac:dyDescent="0.25">
      <c r="K428" s="8"/>
      <c r="L428" s="8"/>
    </row>
    <row r="429" spans="11:12" ht="14.25" customHeight="1" x14ac:dyDescent="0.25">
      <c r="K429" s="8"/>
      <c r="L429" s="8"/>
    </row>
    <row r="430" spans="11:12" ht="14.25" customHeight="1" x14ac:dyDescent="0.25">
      <c r="K430" s="8"/>
      <c r="L430" s="8"/>
    </row>
    <row r="431" spans="11:12" ht="14.25" customHeight="1" x14ac:dyDescent="0.25">
      <c r="K431" s="8"/>
      <c r="L431" s="8"/>
    </row>
    <row r="432" spans="11:12" ht="14.25" customHeight="1" x14ac:dyDescent="0.25">
      <c r="K432" s="8"/>
      <c r="L432" s="8"/>
    </row>
    <row r="433" spans="11:12" ht="14.25" customHeight="1" x14ac:dyDescent="0.25">
      <c r="K433" s="8"/>
      <c r="L433" s="8"/>
    </row>
    <row r="434" spans="11:12" ht="14.25" customHeight="1" x14ac:dyDescent="0.25">
      <c r="K434" s="8"/>
      <c r="L434" s="8"/>
    </row>
    <row r="435" spans="11:12" ht="14.25" customHeight="1" x14ac:dyDescent="0.25">
      <c r="K435" s="8"/>
      <c r="L435" s="8"/>
    </row>
    <row r="436" spans="11:12" ht="14.25" customHeight="1" x14ac:dyDescent="0.25">
      <c r="K436" s="8"/>
      <c r="L436" s="8"/>
    </row>
    <row r="437" spans="11:12" ht="14.25" customHeight="1" x14ac:dyDescent="0.25">
      <c r="K437" s="8"/>
      <c r="L437" s="8"/>
    </row>
    <row r="438" spans="11:12" ht="14.25" customHeight="1" x14ac:dyDescent="0.25">
      <c r="K438" s="8"/>
      <c r="L438" s="8"/>
    </row>
    <row r="439" spans="11:12" ht="14.25" customHeight="1" x14ac:dyDescent="0.25">
      <c r="K439" s="8"/>
      <c r="L439" s="8"/>
    </row>
    <row r="440" spans="11:12" ht="14.25" customHeight="1" x14ac:dyDescent="0.25">
      <c r="K440" s="8"/>
      <c r="L440" s="8"/>
    </row>
    <row r="441" spans="11:12" ht="14.25" customHeight="1" x14ac:dyDescent="0.25">
      <c r="K441" s="8"/>
      <c r="L441" s="8"/>
    </row>
    <row r="442" spans="11:12" ht="14.25" customHeight="1" x14ac:dyDescent="0.25">
      <c r="K442" s="8"/>
      <c r="L442" s="8"/>
    </row>
    <row r="443" spans="11:12" ht="14.25" customHeight="1" x14ac:dyDescent="0.25">
      <c r="K443" s="8"/>
      <c r="L443" s="8"/>
    </row>
    <row r="444" spans="11:12" ht="14.25" customHeight="1" x14ac:dyDescent="0.25">
      <c r="K444" s="8"/>
      <c r="L444" s="8"/>
    </row>
    <row r="445" spans="11:12" ht="14.25" customHeight="1" x14ac:dyDescent="0.25">
      <c r="K445" s="8"/>
      <c r="L445" s="8"/>
    </row>
    <row r="446" spans="11:12" ht="14.25" customHeight="1" x14ac:dyDescent="0.25">
      <c r="K446" s="8"/>
      <c r="L446" s="8"/>
    </row>
    <row r="447" spans="11:12" ht="14.25" customHeight="1" x14ac:dyDescent="0.25">
      <c r="K447" s="8"/>
      <c r="L447" s="8"/>
    </row>
    <row r="448" spans="11:12" ht="14.25" customHeight="1" x14ac:dyDescent="0.25">
      <c r="K448" s="8"/>
      <c r="L448" s="8"/>
    </row>
    <row r="449" spans="11:12" ht="14.25" customHeight="1" x14ac:dyDescent="0.25">
      <c r="K449" s="8"/>
      <c r="L449" s="8"/>
    </row>
    <row r="450" spans="11:12" ht="14.25" customHeight="1" x14ac:dyDescent="0.25">
      <c r="K450" s="8"/>
      <c r="L450" s="8"/>
    </row>
    <row r="451" spans="11:12" ht="14.25" customHeight="1" x14ac:dyDescent="0.25">
      <c r="K451" s="8"/>
      <c r="L451" s="8"/>
    </row>
    <row r="452" spans="11:12" ht="14.25" customHeight="1" x14ac:dyDescent="0.25">
      <c r="K452" s="8"/>
      <c r="L452" s="8"/>
    </row>
    <row r="453" spans="11:12" ht="14.25" customHeight="1" x14ac:dyDescent="0.25">
      <c r="K453" s="8"/>
      <c r="L453" s="8"/>
    </row>
    <row r="454" spans="11:12" ht="14.25" customHeight="1" x14ac:dyDescent="0.25">
      <c r="K454" s="8"/>
      <c r="L454" s="8"/>
    </row>
    <row r="455" spans="11:12" ht="14.25" customHeight="1" x14ac:dyDescent="0.25">
      <c r="K455" s="8"/>
      <c r="L455" s="8"/>
    </row>
    <row r="456" spans="11:12" ht="14.25" customHeight="1" x14ac:dyDescent="0.25">
      <c r="K456" s="8"/>
      <c r="L456" s="8"/>
    </row>
    <row r="457" spans="11:12" ht="14.25" customHeight="1" x14ac:dyDescent="0.25">
      <c r="K457" s="8"/>
      <c r="L457" s="8"/>
    </row>
    <row r="458" spans="11:12" ht="14.25" customHeight="1" x14ac:dyDescent="0.25">
      <c r="K458" s="8"/>
      <c r="L458" s="8"/>
    </row>
    <row r="459" spans="11:12" ht="14.25" customHeight="1" x14ac:dyDescent="0.25">
      <c r="K459" s="8"/>
      <c r="L459" s="8"/>
    </row>
    <row r="460" spans="11:12" ht="14.25" customHeight="1" x14ac:dyDescent="0.25">
      <c r="K460" s="8"/>
      <c r="L460" s="8"/>
    </row>
    <row r="461" spans="11:12" ht="14.25" customHeight="1" x14ac:dyDescent="0.25">
      <c r="K461" s="8"/>
      <c r="L461" s="8"/>
    </row>
    <row r="462" spans="11:12" ht="14.25" customHeight="1" x14ac:dyDescent="0.25">
      <c r="K462" s="8"/>
      <c r="L462" s="8"/>
    </row>
    <row r="463" spans="11:12" ht="14.25" customHeight="1" x14ac:dyDescent="0.25">
      <c r="K463" s="8"/>
      <c r="L463" s="8"/>
    </row>
    <row r="464" spans="11:12" ht="14.25" customHeight="1" x14ac:dyDescent="0.25">
      <c r="K464" s="8"/>
      <c r="L464" s="8"/>
    </row>
    <row r="465" spans="11:12" ht="14.25" customHeight="1" x14ac:dyDescent="0.25">
      <c r="K465" s="8"/>
      <c r="L465" s="8"/>
    </row>
    <row r="466" spans="11:12" ht="14.25" customHeight="1" x14ac:dyDescent="0.25">
      <c r="K466" s="8"/>
      <c r="L466" s="8"/>
    </row>
    <row r="467" spans="11:12" ht="14.25" customHeight="1" x14ac:dyDescent="0.25">
      <c r="K467" s="8"/>
      <c r="L467" s="8"/>
    </row>
    <row r="468" spans="11:12" ht="14.25" customHeight="1" x14ac:dyDescent="0.25">
      <c r="K468" s="8"/>
      <c r="L468" s="8"/>
    </row>
    <row r="469" spans="11:12" ht="14.25" customHeight="1" x14ac:dyDescent="0.25">
      <c r="K469" s="8"/>
      <c r="L469" s="8"/>
    </row>
    <row r="470" spans="11:12" ht="14.25" customHeight="1" x14ac:dyDescent="0.25">
      <c r="K470" s="8"/>
      <c r="L470" s="8"/>
    </row>
    <row r="471" spans="11:12" ht="14.25" customHeight="1" x14ac:dyDescent="0.25">
      <c r="K471" s="8"/>
      <c r="L471" s="8"/>
    </row>
    <row r="472" spans="11:12" ht="14.25" customHeight="1" x14ac:dyDescent="0.25">
      <c r="K472" s="8"/>
      <c r="L472" s="8"/>
    </row>
    <row r="473" spans="11:12" ht="14.25" customHeight="1" x14ac:dyDescent="0.25">
      <c r="K473" s="8"/>
      <c r="L473" s="8"/>
    </row>
    <row r="474" spans="11:12" ht="14.25" customHeight="1" x14ac:dyDescent="0.25">
      <c r="K474" s="8"/>
      <c r="L474" s="8"/>
    </row>
    <row r="475" spans="11:12" ht="14.25" customHeight="1" x14ac:dyDescent="0.25">
      <c r="K475" s="8"/>
      <c r="L475" s="8"/>
    </row>
    <row r="476" spans="11:12" ht="14.25" customHeight="1" x14ac:dyDescent="0.25">
      <c r="K476" s="8"/>
      <c r="L476" s="8"/>
    </row>
    <row r="477" spans="11:12" ht="14.25" customHeight="1" x14ac:dyDescent="0.25">
      <c r="K477" s="8"/>
      <c r="L477" s="8"/>
    </row>
    <row r="478" spans="11:12" ht="14.25" customHeight="1" x14ac:dyDescent="0.25">
      <c r="K478" s="8"/>
      <c r="L478" s="8"/>
    </row>
    <row r="479" spans="11:12" ht="14.25" customHeight="1" x14ac:dyDescent="0.25">
      <c r="K479" s="8"/>
      <c r="L479" s="8"/>
    </row>
    <row r="480" spans="11:12" ht="14.25" customHeight="1" x14ac:dyDescent="0.25">
      <c r="K480" s="8"/>
      <c r="L480" s="8"/>
    </row>
    <row r="481" spans="11:12" ht="14.25" customHeight="1" x14ac:dyDescent="0.25">
      <c r="K481" s="8"/>
      <c r="L481" s="8"/>
    </row>
    <row r="482" spans="11:12" ht="14.25" customHeight="1" x14ac:dyDescent="0.25">
      <c r="K482" s="8"/>
      <c r="L482" s="8"/>
    </row>
    <row r="483" spans="11:12" ht="14.25" customHeight="1" x14ac:dyDescent="0.25">
      <c r="K483" s="8"/>
      <c r="L483" s="8"/>
    </row>
    <row r="484" spans="11:12" ht="14.25" customHeight="1" x14ac:dyDescent="0.25">
      <c r="K484" s="8"/>
      <c r="L484" s="8"/>
    </row>
    <row r="485" spans="11:12" ht="14.25" customHeight="1" x14ac:dyDescent="0.25">
      <c r="K485" s="8"/>
      <c r="L485" s="8"/>
    </row>
    <row r="486" spans="11:12" ht="14.25" customHeight="1" x14ac:dyDescent="0.25">
      <c r="K486" s="8"/>
      <c r="L486" s="8"/>
    </row>
    <row r="487" spans="11:12" ht="14.25" customHeight="1" x14ac:dyDescent="0.25">
      <c r="K487" s="8"/>
      <c r="L487" s="8"/>
    </row>
    <row r="488" spans="11:12" ht="14.25" customHeight="1" x14ac:dyDescent="0.25">
      <c r="K488" s="8"/>
      <c r="L488" s="8"/>
    </row>
    <row r="489" spans="11:12" ht="14.25" customHeight="1" x14ac:dyDescent="0.25">
      <c r="K489" s="8"/>
      <c r="L489" s="8"/>
    </row>
    <row r="490" spans="11:12" ht="14.25" customHeight="1" x14ac:dyDescent="0.25">
      <c r="K490" s="8"/>
      <c r="L490" s="8"/>
    </row>
    <row r="491" spans="11:12" ht="14.25" customHeight="1" x14ac:dyDescent="0.25">
      <c r="K491" s="8"/>
      <c r="L491" s="8"/>
    </row>
    <row r="492" spans="11:12" ht="14.25" customHeight="1" x14ac:dyDescent="0.25">
      <c r="K492" s="8"/>
      <c r="L492" s="8"/>
    </row>
    <row r="493" spans="11:12" ht="14.25" customHeight="1" x14ac:dyDescent="0.25">
      <c r="K493" s="8"/>
      <c r="L493" s="8"/>
    </row>
    <row r="494" spans="11:12" ht="14.25" customHeight="1" x14ac:dyDescent="0.25">
      <c r="K494" s="8"/>
      <c r="L494" s="8"/>
    </row>
    <row r="495" spans="11:12" ht="14.25" customHeight="1" x14ac:dyDescent="0.25">
      <c r="K495" s="8"/>
      <c r="L495" s="8"/>
    </row>
    <row r="496" spans="11:12" ht="14.25" customHeight="1" x14ac:dyDescent="0.25">
      <c r="K496" s="8"/>
      <c r="L496" s="8"/>
    </row>
    <row r="497" spans="11:12" ht="14.25" customHeight="1" x14ac:dyDescent="0.25">
      <c r="K497" s="8"/>
      <c r="L497" s="8"/>
    </row>
    <row r="498" spans="11:12" ht="14.25" customHeight="1" x14ac:dyDescent="0.25">
      <c r="K498" s="8"/>
      <c r="L498" s="8"/>
    </row>
    <row r="499" spans="11:12" ht="14.25" customHeight="1" x14ac:dyDescent="0.25">
      <c r="K499" s="8"/>
      <c r="L499" s="8"/>
    </row>
    <row r="500" spans="11:12" ht="14.25" customHeight="1" x14ac:dyDescent="0.25">
      <c r="K500" s="8"/>
      <c r="L500" s="8"/>
    </row>
    <row r="501" spans="11:12" ht="14.25" customHeight="1" x14ac:dyDescent="0.25">
      <c r="K501" s="8"/>
      <c r="L501" s="8"/>
    </row>
    <row r="502" spans="11:12" ht="14.25" customHeight="1" x14ac:dyDescent="0.25">
      <c r="K502" s="8"/>
      <c r="L502" s="8"/>
    </row>
    <row r="503" spans="11:12" ht="14.25" customHeight="1" x14ac:dyDescent="0.25">
      <c r="K503" s="8"/>
      <c r="L503" s="8"/>
    </row>
    <row r="504" spans="11:12" ht="14.25" customHeight="1" x14ac:dyDescent="0.25">
      <c r="K504" s="8"/>
      <c r="L504" s="8"/>
    </row>
    <row r="505" spans="11:12" ht="14.25" customHeight="1" x14ac:dyDescent="0.25">
      <c r="K505" s="8"/>
      <c r="L505" s="8"/>
    </row>
    <row r="506" spans="11:12" ht="14.25" customHeight="1" x14ac:dyDescent="0.25">
      <c r="K506" s="8"/>
      <c r="L506" s="8"/>
    </row>
    <row r="507" spans="11:12" ht="14.25" customHeight="1" x14ac:dyDescent="0.25">
      <c r="K507" s="8"/>
      <c r="L507" s="8"/>
    </row>
    <row r="508" spans="11:12" ht="14.25" customHeight="1" x14ac:dyDescent="0.25">
      <c r="K508" s="8"/>
      <c r="L508" s="8"/>
    </row>
    <row r="509" spans="11:12" ht="14.25" customHeight="1" x14ac:dyDescent="0.25">
      <c r="K509" s="8"/>
      <c r="L509" s="8"/>
    </row>
    <row r="510" spans="11:12" ht="14.25" customHeight="1" x14ac:dyDescent="0.25">
      <c r="K510" s="8"/>
      <c r="L510" s="8"/>
    </row>
    <row r="511" spans="11:12" ht="14.25" customHeight="1" x14ac:dyDescent="0.25">
      <c r="K511" s="8"/>
      <c r="L511" s="8"/>
    </row>
    <row r="512" spans="11:12" ht="14.25" customHeight="1" x14ac:dyDescent="0.25">
      <c r="K512" s="8"/>
      <c r="L512" s="8"/>
    </row>
    <row r="513" spans="11:12" ht="14.25" customHeight="1" x14ac:dyDescent="0.25">
      <c r="K513" s="8"/>
      <c r="L513" s="8"/>
    </row>
    <row r="514" spans="11:12" ht="14.25" customHeight="1" x14ac:dyDescent="0.25">
      <c r="K514" s="8"/>
      <c r="L514" s="8"/>
    </row>
    <row r="515" spans="11:12" ht="14.25" customHeight="1" x14ac:dyDescent="0.25">
      <c r="K515" s="8"/>
      <c r="L515" s="8"/>
    </row>
    <row r="516" spans="11:12" ht="14.25" customHeight="1" x14ac:dyDescent="0.25">
      <c r="K516" s="8"/>
      <c r="L516" s="8"/>
    </row>
    <row r="517" spans="11:12" ht="14.25" customHeight="1" x14ac:dyDescent="0.25">
      <c r="K517" s="8"/>
      <c r="L517" s="8"/>
    </row>
    <row r="518" spans="11:12" ht="14.25" customHeight="1" x14ac:dyDescent="0.25">
      <c r="K518" s="8"/>
      <c r="L518" s="8"/>
    </row>
    <row r="519" spans="11:12" ht="14.25" customHeight="1" x14ac:dyDescent="0.25">
      <c r="K519" s="8"/>
      <c r="L519" s="8"/>
    </row>
    <row r="520" spans="11:12" ht="14.25" customHeight="1" x14ac:dyDescent="0.25">
      <c r="K520" s="8"/>
      <c r="L520" s="8"/>
    </row>
    <row r="521" spans="11:12" ht="14.25" customHeight="1" x14ac:dyDescent="0.25">
      <c r="K521" s="8"/>
      <c r="L521" s="8"/>
    </row>
    <row r="522" spans="11:12" ht="14.25" customHeight="1" x14ac:dyDescent="0.25">
      <c r="K522" s="8"/>
      <c r="L522" s="8"/>
    </row>
    <row r="523" spans="11:12" ht="14.25" customHeight="1" x14ac:dyDescent="0.25">
      <c r="K523" s="8"/>
      <c r="L523" s="8"/>
    </row>
    <row r="524" spans="11:12" ht="14.25" customHeight="1" x14ac:dyDescent="0.25">
      <c r="K524" s="8"/>
      <c r="L524" s="8"/>
    </row>
    <row r="525" spans="11:12" ht="14.25" customHeight="1" x14ac:dyDescent="0.25">
      <c r="K525" s="8"/>
      <c r="L525" s="8"/>
    </row>
    <row r="526" spans="11:12" ht="14.25" customHeight="1" x14ac:dyDescent="0.25">
      <c r="K526" s="8"/>
      <c r="L526" s="8"/>
    </row>
    <row r="527" spans="11:12" ht="14.25" customHeight="1" x14ac:dyDescent="0.25">
      <c r="K527" s="8"/>
      <c r="L527" s="8"/>
    </row>
    <row r="528" spans="11:12" ht="14.25" customHeight="1" x14ac:dyDescent="0.25">
      <c r="K528" s="8"/>
      <c r="L528" s="8"/>
    </row>
    <row r="529" spans="11:12" ht="14.25" customHeight="1" x14ac:dyDescent="0.25">
      <c r="K529" s="8"/>
      <c r="L529" s="8"/>
    </row>
    <row r="530" spans="11:12" ht="14.25" customHeight="1" x14ac:dyDescent="0.25">
      <c r="K530" s="8"/>
      <c r="L530" s="8"/>
    </row>
    <row r="531" spans="11:12" ht="14.25" customHeight="1" x14ac:dyDescent="0.25">
      <c r="K531" s="8"/>
      <c r="L531" s="8"/>
    </row>
    <row r="532" spans="11:12" ht="14.25" customHeight="1" x14ac:dyDescent="0.25">
      <c r="K532" s="8"/>
      <c r="L532" s="8"/>
    </row>
    <row r="533" spans="11:12" ht="14.25" customHeight="1" x14ac:dyDescent="0.25">
      <c r="K533" s="8"/>
      <c r="L533" s="8"/>
    </row>
    <row r="534" spans="11:12" ht="14.25" customHeight="1" x14ac:dyDescent="0.25">
      <c r="K534" s="8"/>
      <c r="L534" s="8"/>
    </row>
    <row r="535" spans="11:12" ht="14.25" customHeight="1" x14ac:dyDescent="0.25">
      <c r="K535" s="8"/>
      <c r="L535" s="8"/>
    </row>
    <row r="536" spans="11:12" ht="14.25" customHeight="1" x14ac:dyDescent="0.25">
      <c r="K536" s="8"/>
      <c r="L536" s="8"/>
    </row>
    <row r="537" spans="11:12" ht="14.25" customHeight="1" x14ac:dyDescent="0.25">
      <c r="K537" s="8"/>
      <c r="L537" s="8"/>
    </row>
    <row r="538" spans="11:12" ht="14.25" customHeight="1" x14ac:dyDescent="0.25">
      <c r="K538" s="8"/>
      <c r="L538" s="8"/>
    </row>
    <row r="539" spans="11:12" ht="14.25" customHeight="1" x14ac:dyDescent="0.25">
      <c r="K539" s="8"/>
      <c r="L539" s="8"/>
    </row>
    <row r="540" spans="11:12" ht="14.25" customHeight="1" x14ac:dyDescent="0.25">
      <c r="K540" s="8"/>
      <c r="L540" s="8"/>
    </row>
    <row r="541" spans="11:12" ht="14.25" customHeight="1" x14ac:dyDescent="0.25">
      <c r="K541" s="8"/>
      <c r="L541" s="8"/>
    </row>
    <row r="542" spans="11:12" ht="14.25" customHeight="1" x14ac:dyDescent="0.25">
      <c r="K542" s="8"/>
      <c r="L542" s="8"/>
    </row>
    <row r="543" spans="11:12" ht="14.25" customHeight="1" x14ac:dyDescent="0.25">
      <c r="K543" s="8"/>
      <c r="L543" s="8"/>
    </row>
    <row r="544" spans="11:12" ht="14.25" customHeight="1" x14ac:dyDescent="0.25">
      <c r="K544" s="8"/>
      <c r="L544" s="8"/>
    </row>
    <row r="545" spans="11:12" ht="14.25" customHeight="1" x14ac:dyDescent="0.25">
      <c r="K545" s="8"/>
      <c r="L545" s="8"/>
    </row>
    <row r="546" spans="11:12" ht="14.25" customHeight="1" x14ac:dyDescent="0.25">
      <c r="K546" s="8"/>
      <c r="L546" s="8"/>
    </row>
    <row r="547" spans="11:12" ht="14.25" customHeight="1" x14ac:dyDescent="0.25">
      <c r="K547" s="8"/>
      <c r="L547" s="8"/>
    </row>
    <row r="548" spans="11:12" ht="14.25" customHeight="1" x14ac:dyDescent="0.25">
      <c r="K548" s="8"/>
      <c r="L548" s="8"/>
    </row>
    <row r="549" spans="11:12" ht="14.25" customHeight="1" x14ac:dyDescent="0.25">
      <c r="K549" s="8"/>
      <c r="L549" s="8"/>
    </row>
    <row r="550" spans="11:12" ht="14.25" customHeight="1" x14ac:dyDescent="0.25">
      <c r="K550" s="8"/>
      <c r="L550" s="8"/>
    </row>
    <row r="551" spans="11:12" ht="14.25" customHeight="1" x14ac:dyDescent="0.25">
      <c r="K551" s="8"/>
      <c r="L551" s="8"/>
    </row>
    <row r="552" spans="11:12" ht="14.25" customHeight="1" x14ac:dyDescent="0.25">
      <c r="K552" s="8"/>
      <c r="L552" s="8"/>
    </row>
    <row r="553" spans="11:12" ht="14.25" customHeight="1" x14ac:dyDescent="0.25">
      <c r="K553" s="8"/>
      <c r="L553" s="8"/>
    </row>
    <row r="554" spans="11:12" ht="14.25" customHeight="1" x14ac:dyDescent="0.25">
      <c r="K554" s="8"/>
      <c r="L554" s="8"/>
    </row>
    <row r="555" spans="11:12" ht="14.25" customHeight="1" x14ac:dyDescent="0.25">
      <c r="K555" s="8"/>
      <c r="L555" s="8"/>
    </row>
    <row r="556" spans="11:12" ht="14.25" customHeight="1" x14ac:dyDescent="0.25">
      <c r="K556" s="8"/>
      <c r="L556" s="8"/>
    </row>
    <row r="557" spans="11:12" ht="14.25" customHeight="1" x14ac:dyDescent="0.25">
      <c r="K557" s="8"/>
      <c r="L557" s="8"/>
    </row>
    <row r="558" spans="11:12" ht="14.25" customHeight="1" x14ac:dyDescent="0.25">
      <c r="K558" s="8"/>
      <c r="L558" s="8"/>
    </row>
    <row r="559" spans="11:12" ht="14.25" customHeight="1" x14ac:dyDescent="0.25">
      <c r="K559" s="8"/>
      <c r="L559" s="8"/>
    </row>
    <row r="560" spans="11:12" ht="14.25" customHeight="1" x14ac:dyDescent="0.25">
      <c r="K560" s="8"/>
      <c r="L560" s="8"/>
    </row>
    <row r="561" spans="11:12" ht="14.25" customHeight="1" x14ac:dyDescent="0.25">
      <c r="K561" s="8"/>
      <c r="L561" s="8"/>
    </row>
    <row r="562" spans="11:12" ht="14.25" customHeight="1" x14ac:dyDescent="0.25">
      <c r="K562" s="8"/>
      <c r="L562" s="8"/>
    </row>
    <row r="563" spans="11:12" ht="14.25" customHeight="1" x14ac:dyDescent="0.25">
      <c r="K563" s="8"/>
      <c r="L563" s="8"/>
    </row>
    <row r="564" spans="11:12" ht="14.25" customHeight="1" x14ac:dyDescent="0.25">
      <c r="K564" s="8"/>
      <c r="L564" s="8"/>
    </row>
    <row r="565" spans="11:12" ht="14.25" customHeight="1" x14ac:dyDescent="0.25">
      <c r="K565" s="8"/>
      <c r="L565" s="8"/>
    </row>
    <row r="566" spans="11:12" ht="14.25" customHeight="1" x14ac:dyDescent="0.25">
      <c r="K566" s="8"/>
      <c r="L566" s="8"/>
    </row>
    <row r="567" spans="11:12" ht="14.25" customHeight="1" x14ac:dyDescent="0.25">
      <c r="K567" s="8"/>
      <c r="L567" s="8"/>
    </row>
    <row r="568" spans="11:12" ht="14.25" customHeight="1" x14ac:dyDescent="0.25">
      <c r="K568" s="8"/>
      <c r="L568" s="8"/>
    </row>
    <row r="569" spans="11:12" ht="14.25" customHeight="1" x14ac:dyDescent="0.25">
      <c r="K569" s="8"/>
      <c r="L569" s="8"/>
    </row>
    <row r="570" spans="11:12" ht="14.25" customHeight="1" x14ac:dyDescent="0.25">
      <c r="K570" s="8"/>
      <c r="L570" s="8"/>
    </row>
    <row r="571" spans="11:12" ht="14.25" customHeight="1" x14ac:dyDescent="0.25">
      <c r="K571" s="8"/>
      <c r="L571" s="8"/>
    </row>
    <row r="572" spans="11:12" ht="14.25" customHeight="1" x14ac:dyDescent="0.25">
      <c r="K572" s="8"/>
      <c r="L572" s="8"/>
    </row>
    <row r="573" spans="11:12" ht="14.25" customHeight="1" x14ac:dyDescent="0.25">
      <c r="K573" s="8"/>
      <c r="L573" s="8"/>
    </row>
    <row r="574" spans="11:12" ht="14.25" customHeight="1" x14ac:dyDescent="0.25">
      <c r="K574" s="8"/>
      <c r="L574" s="8"/>
    </row>
    <row r="575" spans="11:12" ht="14.25" customHeight="1" x14ac:dyDescent="0.25">
      <c r="K575" s="8"/>
      <c r="L575" s="8"/>
    </row>
    <row r="576" spans="11:12" ht="14.25" customHeight="1" x14ac:dyDescent="0.25">
      <c r="K576" s="8"/>
      <c r="L576" s="8"/>
    </row>
    <row r="577" spans="11:12" ht="14.25" customHeight="1" x14ac:dyDescent="0.25">
      <c r="K577" s="8"/>
      <c r="L577" s="8"/>
    </row>
    <row r="578" spans="11:12" ht="14.25" customHeight="1" x14ac:dyDescent="0.25">
      <c r="K578" s="8"/>
      <c r="L578" s="8"/>
    </row>
    <row r="579" spans="11:12" ht="14.25" customHeight="1" x14ac:dyDescent="0.25">
      <c r="K579" s="8"/>
      <c r="L579" s="8"/>
    </row>
    <row r="580" spans="11:12" ht="14.25" customHeight="1" x14ac:dyDescent="0.25">
      <c r="K580" s="8"/>
      <c r="L580" s="8"/>
    </row>
    <row r="581" spans="11:12" ht="14.25" customHeight="1" x14ac:dyDescent="0.25">
      <c r="K581" s="8"/>
      <c r="L581" s="8"/>
    </row>
    <row r="582" spans="11:12" ht="14.25" customHeight="1" x14ac:dyDescent="0.25">
      <c r="K582" s="8"/>
      <c r="L582" s="8"/>
    </row>
    <row r="583" spans="11:12" ht="14.25" customHeight="1" x14ac:dyDescent="0.25">
      <c r="K583" s="8"/>
      <c r="L583" s="8"/>
    </row>
    <row r="584" spans="11:12" ht="14.25" customHeight="1" x14ac:dyDescent="0.25">
      <c r="K584" s="8"/>
      <c r="L584" s="8"/>
    </row>
    <row r="585" spans="11:12" ht="14.25" customHeight="1" x14ac:dyDescent="0.25">
      <c r="K585" s="8"/>
      <c r="L585" s="8"/>
    </row>
    <row r="586" spans="11:12" ht="14.25" customHeight="1" x14ac:dyDescent="0.25">
      <c r="K586" s="8"/>
      <c r="L586" s="8"/>
    </row>
    <row r="587" spans="11:12" ht="14.25" customHeight="1" x14ac:dyDescent="0.25">
      <c r="K587" s="8"/>
      <c r="L587" s="8"/>
    </row>
    <row r="588" spans="11:12" ht="14.25" customHeight="1" x14ac:dyDescent="0.25">
      <c r="K588" s="8"/>
      <c r="L588" s="8"/>
    </row>
    <row r="589" spans="11:12" ht="14.25" customHeight="1" x14ac:dyDescent="0.25">
      <c r="K589" s="8"/>
      <c r="L589" s="8"/>
    </row>
    <row r="590" spans="11:12" ht="14.25" customHeight="1" x14ac:dyDescent="0.25">
      <c r="K590" s="8"/>
      <c r="L590" s="8"/>
    </row>
    <row r="591" spans="11:12" ht="14.25" customHeight="1" x14ac:dyDescent="0.25">
      <c r="K591" s="8"/>
      <c r="L591" s="8"/>
    </row>
    <row r="592" spans="11:12" ht="14.25" customHeight="1" x14ac:dyDescent="0.25">
      <c r="K592" s="8"/>
      <c r="L592" s="8"/>
    </row>
    <row r="593" spans="11:12" ht="14.25" customHeight="1" x14ac:dyDescent="0.25">
      <c r="K593" s="8"/>
      <c r="L593" s="8"/>
    </row>
    <row r="594" spans="11:12" ht="14.25" customHeight="1" x14ac:dyDescent="0.25">
      <c r="K594" s="8"/>
      <c r="L594" s="8"/>
    </row>
    <row r="595" spans="11:12" ht="14.25" customHeight="1" x14ac:dyDescent="0.25">
      <c r="K595" s="8"/>
      <c r="L595" s="8"/>
    </row>
    <row r="596" spans="11:12" ht="14.25" customHeight="1" x14ac:dyDescent="0.25">
      <c r="K596" s="8"/>
      <c r="L596" s="8"/>
    </row>
    <row r="597" spans="11:12" ht="14.25" customHeight="1" x14ac:dyDescent="0.25">
      <c r="K597" s="8"/>
      <c r="L597" s="8"/>
    </row>
    <row r="598" spans="11:12" ht="14.25" customHeight="1" x14ac:dyDescent="0.25">
      <c r="K598" s="8"/>
      <c r="L598" s="8"/>
    </row>
    <row r="599" spans="11:12" ht="14.25" customHeight="1" x14ac:dyDescent="0.25">
      <c r="K599" s="8"/>
      <c r="L599" s="8"/>
    </row>
    <row r="600" spans="11:12" ht="14.25" customHeight="1" x14ac:dyDescent="0.25">
      <c r="K600" s="8"/>
      <c r="L600" s="8"/>
    </row>
    <row r="601" spans="11:12" ht="14.25" customHeight="1" x14ac:dyDescent="0.25">
      <c r="K601" s="8"/>
      <c r="L601" s="8"/>
    </row>
    <row r="602" spans="11:12" ht="14.25" customHeight="1" x14ac:dyDescent="0.25">
      <c r="K602" s="8"/>
      <c r="L602" s="8"/>
    </row>
    <row r="603" spans="11:12" ht="14.25" customHeight="1" x14ac:dyDescent="0.25">
      <c r="K603" s="8"/>
      <c r="L603" s="8"/>
    </row>
    <row r="604" spans="11:12" ht="14.25" customHeight="1" x14ac:dyDescent="0.25">
      <c r="K604" s="8"/>
      <c r="L604" s="8"/>
    </row>
    <row r="605" spans="11:12" ht="14.25" customHeight="1" x14ac:dyDescent="0.25">
      <c r="K605" s="8"/>
      <c r="L605" s="8"/>
    </row>
    <row r="606" spans="11:12" ht="14.25" customHeight="1" x14ac:dyDescent="0.25">
      <c r="K606" s="8"/>
      <c r="L606" s="8"/>
    </row>
    <row r="607" spans="11:12" ht="14.25" customHeight="1" x14ac:dyDescent="0.25">
      <c r="K607" s="8"/>
      <c r="L607" s="8"/>
    </row>
    <row r="608" spans="11:12" ht="14.25" customHeight="1" x14ac:dyDescent="0.25">
      <c r="K608" s="8"/>
      <c r="L608" s="8"/>
    </row>
    <row r="609" spans="11:12" ht="14.25" customHeight="1" x14ac:dyDescent="0.25">
      <c r="K609" s="8"/>
      <c r="L609" s="8"/>
    </row>
    <row r="610" spans="11:12" ht="14.25" customHeight="1" x14ac:dyDescent="0.25">
      <c r="K610" s="8"/>
      <c r="L610" s="8"/>
    </row>
    <row r="611" spans="11:12" ht="14.25" customHeight="1" x14ac:dyDescent="0.25">
      <c r="K611" s="8"/>
      <c r="L611" s="8"/>
    </row>
    <row r="612" spans="11:12" ht="14.25" customHeight="1" x14ac:dyDescent="0.25">
      <c r="K612" s="8"/>
      <c r="L612" s="8"/>
    </row>
    <row r="613" spans="11:12" ht="14.25" customHeight="1" x14ac:dyDescent="0.25">
      <c r="K613" s="8"/>
      <c r="L613" s="8"/>
    </row>
    <row r="614" spans="11:12" ht="14.25" customHeight="1" x14ac:dyDescent="0.25">
      <c r="K614" s="8"/>
      <c r="L614" s="8"/>
    </row>
    <row r="615" spans="11:12" ht="14.25" customHeight="1" x14ac:dyDescent="0.25">
      <c r="K615" s="8"/>
      <c r="L615" s="8"/>
    </row>
    <row r="616" spans="11:12" ht="14.25" customHeight="1" x14ac:dyDescent="0.25">
      <c r="K616" s="8"/>
      <c r="L616" s="8"/>
    </row>
    <row r="617" spans="11:12" ht="14.25" customHeight="1" x14ac:dyDescent="0.25">
      <c r="K617" s="8"/>
      <c r="L617" s="8"/>
    </row>
    <row r="618" spans="11:12" ht="14.25" customHeight="1" x14ac:dyDescent="0.25">
      <c r="K618" s="8"/>
      <c r="L618" s="8"/>
    </row>
    <row r="619" spans="11:12" ht="14.25" customHeight="1" x14ac:dyDescent="0.25">
      <c r="K619" s="8"/>
      <c r="L619" s="8"/>
    </row>
    <row r="620" spans="11:12" ht="14.25" customHeight="1" x14ac:dyDescent="0.25">
      <c r="K620" s="8"/>
      <c r="L620" s="8"/>
    </row>
    <row r="621" spans="11:12" ht="14.25" customHeight="1" x14ac:dyDescent="0.25">
      <c r="K621" s="8"/>
      <c r="L621" s="8"/>
    </row>
    <row r="622" spans="11:12" ht="14.25" customHeight="1" x14ac:dyDescent="0.25">
      <c r="K622" s="8"/>
      <c r="L622" s="8"/>
    </row>
    <row r="623" spans="11:12" ht="14.25" customHeight="1" x14ac:dyDescent="0.25">
      <c r="K623" s="8"/>
      <c r="L623" s="8"/>
    </row>
    <row r="624" spans="11:12" ht="14.25" customHeight="1" x14ac:dyDescent="0.25">
      <c r="K624" s="8"/>
      <c r="L624" s="8"/>
    </row>
    <row r="625" spans="11:12" ht="14.25" customHeight="1" x14ac:dyDescent="0.25">
      <c r="K625" s="8"/>
      <c r="L625" s="8"/>
    </row>
    <row r="626" spans="11:12" ht="14.25" customHeight="1" x14ac:dyDescent="0.25">
      <c r="K626" s="8"/>
      <c r="L626" s="8"/>
    </row>
    <row r="627" spans="11:12" ht="14.25" customHeight="1" x14ac:dyDescent="0.25">
      <c r="K627" s="8"/>
      <c r="L627" s="8"/>
    </row>
    <row r="628" spans="11:12" ht="14.25" customHeight="1" x14ac:dyDescent="0.25">
      <c r="K628" s="8"/>
      <c r="L628" s="8"/>
    </row>
    <row r="629" spans="11:12" ht="14.25" customHeight="1" x14ac:dyDescent="0.25">
      <c r="K629" s="8"/>
      <c r="L629" s="8"/>
    </row>
    <row r="630" spans="11:12" ht="14.25" customHeight="1" x14ac:dyDescent="0.25">
      <c r="K630" s="8"/>
      <c r="L630" s="8"/>
    </row>
    <row r="631" spans="11:12" ht="14.25" customHeight="1" x14ac:dyDescent="0.25">
      <c r="K631" s="8"/>
      <c r="L631" s="8"/>
    </row>
    <row r="632" spans="11:12" ht="14.25" customHeight="1" x14ac:dyDescent="0.25">
      <c r="K632" s="8"/>
      <c r="L632" s="8"/>
    </row>
    <row r="633" spans="11:12" ht="14.25" customHeight="1" x14ac:dyDescent="0.25">
      <c r="K633" s="8"/>
      <c r="L633" s="8"/>
    </row>
    <row r="634" spans="11:12" ht="14.25" customHeight="1" x14ac:dyDescent="0.25">
      <c r="K634" s="8"/>
      <c r="L634" s="8"/>
    </row>
    <row r="635" spans="11:12" ht="14.25" customHeight="1" x14ac:dyDescent="0.25">
      <c r="K635" s="8"/>
      <c r="L635" s="8"/>
    </row>
    <row r="636" spans="11:12" ht="14.25" customHeight="1" x14ac:dyDescent="0.25">
      <c r="K636" s="8"/>
      <c r="L636" s="8"/>
    </row>
    <row r="637" spans="11:12" ht="14.25" customHeight="1" x14ac:dyDescent="0.25">
      <c r="K637" s="8"/>
      <c r="L637" s="8"/>
    </row>
    <row r="638" spans="11:12" ht="14.25" customHeight="1" x14ac:dyDescent="0.25">
      <c r="K638" s="8"/>
      <c r="L638" s="8"/>
    </row>
    <row r="639" spans="11:12" ht="14.25" customHeight="1" x14ac:dyDescent="0.25">
      <c r="K639" s="8"/>
      <c r="L639" s="8"/>
    </row>
    <row r="640" spans="11:12" ht="14.25" customHeight="1" x14ac:dyDescent="0.25">
      <c r="K640" s="8"/>
      <c r="L640" s="8"/>
    </row>
    <row r="641" spans="11:12" ht="14.25" customHeight="1" x14ac:dyDescent="0.25">
      <c r="K641" s="8"/>
      <c r="L641" s="8"/>
    </row>
    <row r="642" spans="11:12" ht="14.25" customHeight="1" x14ac:dyDescent="0.25">
      <c r="K642" s="8"/>
      <c r="L642" s="8"/>
    </row>
    <row r="643" spans="11:12" ht="14.25" customHeight="1" x14ac:dyDescent="0.25">
      <c r="K643" s="8"/>
      <c r="L643" s="8"/>
    </row>
    <row r="644" spans="11:12" ht="14.25" customHeight="1" x14ac:dyDescent="0.25">
      <c r="K644" s="8"/>
      <c r="L644" s="8"/>
    </row>
    <row r="645" spans="11:12" ht="14.25" customHeight="1" x14ac:dyDescent="0.25">
      <c r="K645" s="8"/>
      <c r="L645" s="8"/>
    </row>
    <row r="646" spans="11:12" ht="14.25" customHeight="1" x14ac:dyDescent="0.25">
      <c r="K646" s="8"/>
      <c r="L646" s="8"/>
    </row>
    <row r="647" spans="11:12" ht="14.25" customHeight="1" x14ac:dyDescent="0.25">
      <c r="K647" s="8"/>
      <c r="L647" s="8"/>
    </row>
    <row r="648" spans="11:12" ht="14.25" customHeight="1" x14ac:dyDescent="0.25">
      <c r="K648" s="8"/>
      <c r="L648" s="8"/>
    </row>
    <row r="649" spans="11:12" ht="14.25" customHeight="1" x14ac:dyDescent="0.25">
      <c r="K649" s="8"/>
      <c r="L649" s="8"/>
    </row>
    <row r="650" spans="11:12" ht="14.25" customHeight="1" x14ac:dyDescent="0.25">
      <c r="K650" s="8"/>
      <c r="L650" s="8"/>
    </row>
    <row r="651" spans="11:12" ht="14.25" customHeight="1" x14ac:dyDescent="0.25">
      <c r="K651" s="8"/>
      <c r="L651" s="8"/>
    </row>
    <row r="652" spans="11:12" ht="14.25" customHeight="1" x14ac:dyDescent="0.25">
      <c r="K652" s="8"/>
      <c r="L652" s="8"/>
    </row>
    <row r="653" spans="11:12" ht="14.25" customHeight="1" x14ac:dyDescent="0.25">
      <c r="K653" s="8"/>
      <c r="L653" s="8"/>
    </row>
    <row r="654" spans="11:12" ht="14.25" customHeight="1" x14ac:dyDescent="0.25">
      <c r="K654" s="8"/>
      <c r="L654" s="8"/>
    </row>
    <row r="655" spans="11:12" ht="14.25" customHeight="1" x14ac:dyDescent="0.25">
      <c r="K655" s="8"/>
      <c r="L655" s="8"/>
    </row>
    <row r="656" spans="11:12" ht="14.25" customHeight="1" x14ac:dyDescent="0.25">
      <c r="K656" s="8"/>
      <c r="L656" s="8"/>
    </row>
    <row r="657" spans="11:12" ht="14.25" customHeight="1" x14ac:dyDescent="0.25">
      <c r="K657" s="8"/>
      <c r="L657" s="8"/>
    </row>
    <row r="658" spans="11:12" ht="14.25" customHeight="1" x14ac:dyDescent="0.25">
      <c r="K658" s="8"/>
      <c r="L658" s="8"/>
    </row>
    <row r="659" spans="11:12" ht="14.25" customHeight="1" x14ac:dyDescent="0.25">
      <c r="K659" s="8"/>
      <c r="L659" s="8"/>
    </row>
    <row r="660" spans="11:12" ht="14.25" customHeight="1" x14ac:dyDescent="0.25">
      <c r="K660" s="8"/>
      <c r="L660" s="8"/>
    </row>
    <row r="661" spans="11:12" ht="14.25" customHeight="1" x14ac:dyDescent="0.25">
      <c r="K661" s="8"/>
      <c r="L661" s="8"/>
    </row>
    <row r="662" spans="11:12" ht="14.25" customHeight="1" x14ac:dyDescent="0.25">
      <c r="K662" s="8"/>
      <c r="L662" s="8"/>
    </row>
    <row r="663" spans="11:12" ht="14.25" customHeight="1" x14ac:dyDescent="0.25">
      <c r="K663" s="8"/>
      <c r="L663" s="8"/>
    </row>
    <row r="664" spans="11:12" ht="14.25" customHeight="1" x14ac:dyDescent="0.25">
      <c r="K664" s="8"/>
      <c r="L664" s="8"/>
    </row>
    <row r="665" spans="11:12" ht="14.25" customHeight="1" x14ac:dyDescent="0.25">
      <c r="K665" s="8"/>
      <c r="L665" s="8"/>
    </row>
    <row r="666" spans="11:12" ht="14.25" customHeight="1" x14ac:dyDescent="0.25">
      <c r="K666" s="8"/>
      <c r="L666" s="8"/>
    </row>
    <row r="667" spans="11:12" ht="14.25" customHeight="1" x14ac:dyDescent="0.25">
      <c r="K667" s="8"/>
      <c r="L667" s="8"/>
    </row>
    <row r="668" spans="11:12" ht="14.25" customHeight="1" x14ac:dyDescent="0.25">
      <c r="K668" s="8"/>
      <c r="L668" s="8"/>
    </row>
    <row r="669" spans="11:12" ht="14.25" customHeight="1" x14ac:dyDescent="0.25">
      <c r="K669" s="8"/>
      <c r="L669" s="8"/>
    </row>
    <row r="670" spans="11:12" ht="14.25" customHeight="1" x14ac:dyDescent="0.25">
      <c r="K670" s="8"/>
      <c r="L670" s="8"/>
    </row>
    <row r="671" spans="11:12" ht="14.25" customHeight="1" x14ac:dyDescent="0.25">
      <c r="K671" s="8"/>
      <c r="L671" s="8"/>
    </row>
    <row r="672" spans="11:12" ht="14.25" customHeight="1" x14ac:dyDescent="0.25">
      <c r="K672" s="8"/>
      <c r="L672" s="8"/>
    </row>
    <row r="673" spans="11:12" ht="14.25" customHeight="1" x14ac:dyDescent="0.25">
      <c r="K673" s="8"/>
      <c r="L673" s="8"/>
    </row>
    <row r="674" spans="11:12" ht="14.25" customHeight="1" x14ac:dyDescent="0.25">
      <c r="K674" s="8"/>
      <c r="L674" s="8"/>
    </row>
    <row r="675" spans="11:12" ht="14.25" customHeight="1" x14ac:dyDescent="0.25">
      <c r="K675" s="8"/>
      <c r="L675" s="8"/>
    </row>
    <row r="676" spans="11:12" ht="14.25" customHeight="1" x14ac:dyDescent="0.25">
      <c r="K676" s="8"/>
      <c r="L676" s="8"/>
    </row>
    <row r="677" spans="11:12" ht="14.25" customHeight="1" x14ac:dyDescent="0.25">
      <c r="K677" s="8"/>
      <c r="L677" s="8"/>
    </row>
    <row r="678" spans="11:12" ht="14.25" customHeight="1" x14ac:dyDescent="0.25">
      <c r="K678" s="8"/>
      <c r="L678" s="8"/>
    </row>
    <row r="679" spans="11:12" ht="14.25" customHeight="1" x14ac:dyDescent="0.25">
      <c r="K679" s="8"/>
      <c r="L679" s="8"/>
    </row>
    <row r="680" spans="11:12" ht="14.25" customHeight="1" x14ac:dyDescent="0.25">
      <c r="K680" s="8"/>
      <c r="L680" s="8"/>
    </row>
    <row r="681" spans="11:12" ht="14.25" customHeight="1" x14ac:dyDescent="0.25">
      <c r="K681" s="8"/>
      <c r="L681" s="8"/>
    </row>
    <row r="682" spans="11:12" ht="14.25" customHeight="1" x14ac:dyDescent="0.25">
      <c r="K682" s="8"/>
      <c r="L682" s="8"/>
    </row>
    <row r="683" spans="11:12" ht="14.25" customHeight="1" x14ac:dyDescent="0.25">
      <c r="K683" s="8"/>
      <c r="L683" s="8"/>
    </row>
    <row r="684" spans="11:12" ht="14.25" customHeight="1" x14ac:dyDescent="0.25">
      <c r="K684" s="8"/>
      <c r="L684" s="8"/>
    </row>
    <row r="685" spans="11:12" ht="14.25" customHeight="1" x14ac:dyDescent="0.25">
      <c r="K685" s="8"/>
      <c r="L685" s="8"/>
    </row>
    <row r="686" spans="11:12" ht="14.25" customHeight="1" x14ac:dyDescent="0.25">
      <c r="K686" s="8"/>
      <c r="L686" s="8"/>
    </row>
    <row r="687" spans="11:12" ht="14.25" customHeight="1" x14ac:dyDescent="0.25">
      <c r="K687" s="8"/>
      <c r="L687" s="8"/>
    </row>
    <row r="688" spans="11:12" ht="14.25" customHeight="1" x14ac:dyDescent="0.25">
      <c r="K688" s="8"/>
      <c r="L688" s="8"/>
    </row>
    <row r="689" spans="11:12" ht="14.25" customHeight="1" x14ac:dyDescent="0.25">
      <c r="K689" s="8"/>
      <c r="L689" s="8"/>
    </row>
    <row r="690" spans="11:12" ht="14.25" customHeight="1" x14ac:dyDescent="0.25">
      <c r="K690" s="8"/>
      <c r="L690" s="8"/>
    </row>
    <row r="691" spans="11:12" ht="14.25" customHeight="1" x14ac:dyDescent="0.25">
      <c r="K691" s="8"/>
      <c r="L691" s="8"/>
    </row>
    <row r="692" spans="11:12" ht="14.25" customHeight="1" x14ac:dyDescent="0.25">
      <c r="K692" s="8"/>
      <c r="L692" s="8"/>
    </row>
    <row r="693" spans="11:12" ht="14.25" customHeight="1" x14ac:dyDescent="0.25">
      <c r="K693" s="8"/>
      <c r="L693" s="8"/>
    </row>
    <row r="694" spans="11:12" ht="14.25" customHeight="1" x14ac:dyDescent="0.25">
      <c r="K694" s="8"/>
      <c r="L694" s="8"/>
    </row>
    <row r="695" spans="11:12" ht="14.25" customHeight="1" x14ac:dyDescent="0.25">
      <c r="K695" s="8"/>
      <c r="L695" s="8"/>
    </row>
    <row r="696" spans="11:12" ht="14.25" customHeight="1" x14ac:dyDescent="0.25">
      <c r="K696" s="8"/>
      <c r="L696" s="8"/>
    </row>
    <row r="697" spans="11:12" ht="14.25" customHeight="1" x14ac:dyDescent="0.25">
      <c r="K697" s="8"/>
      <c r="L697" s="8"/>
    </row>
    <row r="698" spans="11:12" ht="14.25" customHeight="1" x14ac:dyDescent="0.25">
      <c r="K698" s="8"/>
      <c r="L698" s="8"/>
    </row>
    <row r="699" spans="11:12" ht="14.25" customHeight="1" x14ac:dyDescent="0.25">
      <c r="K699" s="8"/>
      <c r="L699" s="8"/>
    </row>
    <row r="700" spans="11:12" ht="14.25" customHeight="1" x14ac:dyDescent="0.25">
      <c r="K700" s="8"/>
      <c r="L700" s="8"/>
    </row>
    <row r="701" spans="11:12" ht="14.25" customHeight="1" x14ac:dyDescent="0.25">
      <c r="K701" s="8"/>
      <c r="L701" s="8"/>
    </row>
    <row r="702" spans="11:12" ht="14.25" customHeight="1" x14ac:dyDescent="0.25">
      <c r="K702" s="8"/>
      <c r="L702" s="8"/>
    </row>
    <row r="703" spans="11:12" ht="14.25" customHeight="1" x14ac:dyDescent="0.25">
      <c r="K703" s="8"/>
      <c r="L703" s="8"/>
    </row>
    <row r="704" spans="11:12" ht="14.25" customHeight="1" x14ac:dyDescent="0.25">
      <c r="K704" s="8"/>
      <c r="L704" s="8"/>
    </row>
    <row r="705" spans="11:12" ht="14.25" customHeight="1" x14ac:dyDescent="0.25">
      <c r="K705" s="8"/>
      <c r="L705" s="8"/>
    </row>
    <row r="706" spans="11:12" ht="14.25" customHeight="1" x14ac:dyDescent="0.25">
      <c r="K706" s="8"/>
      <c r="L706" s="8"/>
    </row>
    <row r="707" spans="11:12" ht="14.25" customHeight="1" x14ac:dyDescent="0.25">
      <c r="K707" s="8"/>
      <c r="L707" s="8"/>
    </row>
    <row r="708" spans="11:12" ht="14.25" customHeight="1" x14ac:dyDescent="0.25">
      <c r="K708" s="8"/>
      <c r="L708" s="8"/>
    </row>
    <row r="709" spans="11:12" ht="14.25" customHeight="1" x14ac:dyDescent="0.25">
      <c r="K709" s="8"/>
      <c r="L709" s="8"/>
    </row>
    <row r="710" spans="11:12" ht="14.25" customHeight="1" x14ac:dyDescent="0.25">
      <c r="K710" s="8"/>
      <c r="L710" s="8"/>
    </row>
    <row r="711" spans="11:12" ht="14.25" customHeight="1" x14ac:dyDescent="0.25">
      <c r="K711" s="8"/>
      <c r="L711" s="8"/>
    </row>
    <row r="712" spans="11:12" ht="14.25" customHeight="1" x14ac:dyDescent="0.25">
      <c r="K712" s="8"/>
      <c r="L712" s="8"/>
    </row>
    <row r="713" spans="11:12" ht="14.25" customHeight="1" x14ac:dyDescent="0.25">
      <c r="K713" s="8"/>
      <c r="L713" s="8"/>
    </row>
    <row r="714" spans="11:12" ht="14.25" customHeight="1" x14ac:dyDescent="0.25">
      <c r="K714" s="8"/>
      <c r="L714" s="8"/>
    </row>
    <row r="715" spans="11:12" ht="14.25" customHeight="1" x14ac:dyDescent="0.25">
      <c r="K715" s="8"/>
      <c r="L715" s="8"/>
    </row>
    <row r="716" spans="11:12" ht="14.25" customHeight="1" x14ac:dyDescent="0.25">
      <c r="K716" s="8"/>
      <c r="L716" s="8"/>
    </row>
    <row r="717" spans="11:12" ht="14.25" customHeight="1" x14ac:dyDescent="0.25">
      <c r="K717" s="8"/>
      <c r="L717" s="8"/>
    </row>
    <row r="718" spans="11:12" ht="14.25" customHeight="1" x14ac:dyDescent="0.25">
      <c r="K718" s="8"/>
      <c r="L718" s="8"/>
    </row>
    <row r="719" spans="11:12" ht="14.25" customHeight="1" x14ac:dyDescent="0.25">
      <c r="K719" s="8"/>
      <c r="L719" s="8"/>
    </row>
    <row r="720" spans="11:12" ht="14.25" customHeight="1" x14ac:dyDescent="0.25">
      <c r="K720" s="8"/>
      <c r="L720" s="8"/>
    </row>
    <row r="721" spans="11:12" ht="14.25" customHeight="1" x14ac:dyDescent="0.25">
      <c r="K721" s="8"/>
      <c r="L721" s="8"/>
    </row>
    <row r="722" spans="11:12" ht="14.25" customHeight="1" x14ac:dyDescent="0.25">
      <c r="K722" s="8"/>
      <c r="L722" s="8"/>
    </row>
    <row r="723" spans="11:12" ht="14.25" customHeight="1" x14ac:dyDescent="0.25">
      <c r="K723" s="8"/>
      <c r="L723" s="8"/>
    </row>
    <row r="724" spans="11:12" ht="14.25" customHeight="1" x14ac:dyDescent="0.25">
      <c r="K724" s="8"/>
      <c r="L724" s="8"/>
    </row>
    <row r="725" spans="11:12" ht="14.25" customHeight="1" x14ac:dyDescent="0.25">
      <c r="K725" s="8"/>
      <c r="L725" s="8"/>
    </row>
    <row r="726" spans="11:12" ht="14.25" customHeight="1" x14ac:dyDescent="0.25">
      <c r="K726" s="8"/>
      <c r="L726" s="8"/>
    </row>
    <row r="727" spans="11:12" ht="14.25" customHeight="1" x14ac:dyDescent="0.25">
      <c r="K727" s="8"/>
      <c r="L727" s="8"/>
    </row>
    <row r="728" spans="11:12" ht="14.25" customHeight="1" x14ac:dyDescent="0.25">
      <c r="K728" s="8"/>
      <c r="L728" s="8"/>
    </row>
    <row r="729" spans="11:12" ht="14.25" customHeight="1" x14ac:dyDescent="0.25">
      <c r="K729" s="8"/>
      <c r="L729" s="8"/>
    </row>
    <row r="730" spans="11:12" ht="14.25" customHeight="1" x14ac:dyDescent="0.25">
      <c r="K730" s="8"/>
      <c r="L730" s="8"/>
    </row>
    <row r="731" spans="11:12" ht="14.25" customHeight="1" x14ac:dyDescent="0.25">
      <c r="K731" s="8"/>
      <c r="L731" s="8"/>
    </row>
    <row r="732" spans="11:12" ht="14.25" customHeight="1" x14ac:dyDescent="0.25">
      <c r="K732" s="8"/>
      <c r="L732" s="8"/>
    </row>
    <row r="733" spans="11:12" ht="14.25" customHeight="1" x14ac:dyDescent="0.25">
      <c r="K733" s="8"/>
      <c r="L733" s="8"/>
    </row>
    <row r="734" spans="11:12" ht="14.25" customHeight="1" x14ac:dyDescent="0.25">
      <c r="K734" s="8"/>
      <c r="L734" s="8"/>
    </row>
    <row r="735" spans="11:12" ht="14.25" customHeight="1" x14ac:dyDescent="0.25">
      <c r="K735" s="8"/>
      <c r="L735" s="8"/>
    </row>
    <row r="736" spans="11:12" ht="14.25" customHeight="1" x14ac:dyDescent="0.25">
      <c r="K736" s="8"/>
      <c r="L736" s="8"/>
    </row>
    <row r="737" spans="11:12" ht="14.25" customHeight="1" x14ac:dyDescent="0.25">
      <c r="K737" s="8"/>
      <c r="L737" s="8"/>
    </row>
    <row r="738" spans="11:12" ht="14.25" customHeight="1" x14ac:dyDescent="0.25">
      <c r="K738" s="8"/>
      <c r="L738" s="8"/>
    </row>
    <row r="739" spans="11:12" ht="14.25" customHeight="1" x14ac:dyDescent="0.25">
      <c r="K739" s="8"/>
      <c r="L739" s="8"/>
    </row>
    <row r="740" spans="11:12" ht="14.25" customHeight="1" x14ac:dyDescent="0.25">
      <c r="K740" s="8"/>
      <c r="L740" s="8"/>
    </row>
    <row r="741" spans="11:12" ht="14.25" customHeight="1" x14ac:dyDescent="0.25">
      <c r="K741" s="8"/>
      <c r="L741" s="8"/>
    </row>
    <row r="742" spans="11:12" ht="14.25" customHeight="1" x14ac:dyDescent="0.25">
      <c r="K742" s="8"/>
      <c r="L742" s="8"/>
    </row>
    <row r="743" spans="11:12" ht="14.25" customHeight="1" x14ac:dyDescent="0.25">
      <c r="K743" s="8"/>
      <c r="L743" s="8"/>
    </row>
    <row r="744" spans="11:12" ht="14.25" customHeight="1" x14ac:dyDescent="0.25">
      <c r="K744" s="8"/>
      <c r="L744" s="8"/>
    </row>
    <row r="745" spans="11:12" ht="14.25" customHeight="1" x14ac:dyDescent="0.25">
      <c r="K745" s="8"/>
      <c r="L745" s="8"/>
    </row>
    <row r="746" spans="11:12" ht="14.25" customHeight="1" x14ac:dyDescent="0.25">
      <c r="K746" s="8"/>
      <c r="L746" s="8"/>
    </row>
    <row r="747" spans="11:12" ht="14.25" customHeight="1" x14ac:dyDescent="0.25">
      <c r="K747" s="8"/>
      <c r="L747" s="8"/>
    </row>
    <row r="748" spans="11:12" ht="14.25" customHeight="1" x14ac:dyDescent="0.25">
      <c r="K748" s="8"/>
      <c r="L748" s="8"/>
    </row>
    <row r="749" spans="11:12" ht="14.25" customHeight="1" x14ac:dyDescent="0.25">
      <c r="K749" s="8"/>
      <c r="L749" s="8"/>
    </row>
    <row r="750" spans="11:12" ht="14.25" customHeight="1" x14ac:dyDescent="0.25">
      <c r="K750" s="8"/>
      <c r="L750" s="8"/>
    </row>
    <row r="751" spans="11:12" ht="14.25" customHeight="1" x14ac:dyDescent="0.25">
      <c r="K751" s="8"/>
      <c r="L751" s="8"/>
    </row>
    <row r="752" spans="11:12" ht="14.25" customHeight="1" x14ac:dyDescent="0.25">
      <c r="K752" s="8"/>
      <c r="L752" s="8"/>
    </row>
    <row r="753" spans="11:12" ht="14.25" customHeight="1" x14ac:dyDescent="0.25">
      <c r="K753" s="8"/>
      <c r="L753" s="8"/>
    </row>
    <row r="754" spans="11:12" ht="14.25" customHeight="1" x14ac:dyDescent="0.25">
      <c r="K754" s="8"/>
      <c r="L754" s="8"/>
    </row>
    <row r="755" spans="11:12" ht="14.25" customHeight="1" x14ac:dyDescent="0.25">
      <c r="K755" s="8"/>
      <c r="L755" s="8"/>
    </row>
    <row r="756" spans="11:12" ht="14.25" customHeight="1" x14ac:dyDescent="0.25">
      <c r="K756" s="8"/>
      <c r="L756" s="8"/>
    </row>
    <row r="757" spans="11:12" ht="14.25" customHeight="1" x14ac:dyDescent="0.25">
      <c r="K757" s="8"/>
      <c r="L757" s="8"/>
    </row>
    <row r="758" spans="11:12" ht="14.25" customHeight="1" x14ac:dyDescent="0.25">
      <c r="K758" s="8"/>
      <c r="L758" s="8"/>
    </row>
    <row r="759" spans="11:12" ht="14.25" customHeight="1" x14ac:dyDescent="0.25">
      <c r="K759" s="8"/>
      <c r="L759" s="8"/>
    </row>
    <row r="760" spans="11:12" ht="14.25" customHeight="1" x14ac:dyDescent="0.25">
      <c r="K760" s="8"/>
      <c r="L760" s="8"/>
    </row>
    <row r="761" spans="11:12" ht="14.25" customHeight="1" x14ac:dyDescent="0.25">
      <c r="K761" s="8"/>
      <c r="L761" s="8"/>
    </row>
    <row r="762" spans="11:12" ht="14.25" customHeight="1" x14ac:dyDescent="0.25">
      <c r="K762" s="8"/>
      <c r="L762" s="8"/>
    </row>
    <row r="763" spans="11:12" ht="14.25" customHeight="1" x14ac:dyDescent="0.25">
      <c r="K763" s="8"/>
      <c r="L763" s="8"/>
    </row>
    <row r="764" spans="11:12" ht="14.25" customHeight="1" x14ac:dyDescent="0.25">
      <c r="K764" s="8"/>
      <c r="L764" s="8"/>
    </row>
    <row r="765" spans="11:12" ht="14.25" customHeight="1" x14ac:dyDescent="0.25">
      <c r="K765" s="8"/>
      <c r="L765" s="8"/>
    </row>
    <row r="766" spans="11:12" ht="14.25" customHeight="1" x14ac:dyDescent="0.25">
      <c r="K766" s="8"/>
      <c r="L766" s="8"/>
    </row>
    <row r="767" spans="11:12" ht="14.25" customHeight="1" x14ac:dyDescent="0.25">
      <c r="K767" s="8"/>
      <c r="L767" s="8"/>
    </row>
    <row r="768" spans="11:12" ht="14.25" customHeight="1" x14ac:dyDescent="0.25">
      <c r="K768" s="8"/>
      <c r="L768" s="8"/>
    </row>
    <row r="769" spans="11:12" ht="14.25" customHeight="1" x14ac:dyDescent="0.25">
      <c r="K769" s="8"/>
      <c r="L769" s="8"/>
    </row>
    <row r="770" spans="11:12" ht="14.25" customHeight="1" x14ac:dyDescent="0.25">
      <c r="K770" s="8"/>
      <c r="L770" s="8"/>
    </row>
    <row r="771" spans="11:12" ht="14.25" customHeight="1" x14ac:dyDescent="0.25">
      <c r="K771" s="8"/>
      <c r="L771" s="8"/>
    </row>
    <row r="772" spans="11:12" ht="14.25" customHeight="1" x14ac:dyDescent="0.25">
      <c r="K772" s="8"/>
      <c r="L772" s="8"/>
    </row>
    <row r="773" spans="11:12" ht="14.25" customHeight="1" x14ac:dyDescent="0.25">
      <c r="K773" s="8"/>
      <c r="L773" s="8"/>
    </row>
    <row r="774" spans="11:12" ht="14.25" customHeight="1" x14ac:dyDescent="0.25">
      <c r="K774" s="8"/>
      <c r="L774" s="8"/>
    </row>
    <row r="775" spans="11:12" ht="14.25" customHeight="1" x14ac:dyDescent="0.25">
      <c r="K775" s="8"/>
      <c r="L775" s="8"/>
    </row>
    <row r="776" spans="11:12" ht="14.25" customHeight="1" x14ac:dyDescent="0.25">
      <c r="K776" s="8"/>
      <c r="L776" s="8"/>
    </row>
    <row r="777" spans="11:12" ht="14.25" customHeight="1" x14ac:dyDescent="0.25">
      <c r="K777" s="8"/>
      <c r="L777" s="8"/>
    </row>
    <row r="778" spans="11:12" ht="14.25" customHeight="1" x14ac:dyDescent="0.25">
      <c r="K778" s="8"/>
      <c r="L778" s="8"/>
    </row>
    <row r="779" spans="11:12" ht="14.25" customHeight="1" x14ac:dyDescent="0.25">
      <c r="K779" s="8"/>
      <c r="L779" s="8"/>
    </row>
    <row r="780" spans="11:12" ht="14.25" customHeight="1" x14ac:dyDescent="0.25">
      <c r="K780" s="8"/>
      <c r="L780" s="8"/>
    </row>
    <row r="781" spans="11:12" ht="14.25" customHeight="1" x14ac:dyDescent="0.25">
      <c r="K781" s="8"/>
      <c r="L781" s="8"/>
    </row>
    <row r="782" spans="11:12" ht="14.25" customHeight="1" x14ac:dyDescent="0.25">
      <c r="K782" s="8"/>
      <c r="L782" s="8"/>
    </row>
    <row r="783" spans="11:12" ht="14.25" customHeight="1" x14ac:dyDescent="0.25">
      <c r="K783" s="8"/>
      <c r="L783" s="8"/>
    </row>
    <row r="784" spans="11:12" ht="14.25" customHeight="1" x14ac:dyDescent="0.25">
      <c r="K784" s="8"/>
      <c r="L784" s="8"/>
    </row>
    <row r="785" spans="11:12" ht="14.25" customHeight="1" x14ac:dyDescent="0.25">
      <c r="K785" s="8"/>
      <c r="L785" s="8"/>
    </row>
    <row r="786" spans="11:12" ht="14.25" customHeight="1" x14ac:dyDescent="0.25">
      <c r="K786" s="8"/>
      <c r="L786" s="8"/>
    </row>
    <row r="787" spans="11:12" ht="14.25" customHeight="1" x14ac:dyDescent="0.25">
      <c r="K787" s="8"/>
      <c r="L787" s="8"/>
    </row>
    <row r="788" spans="11:12" ht="14.25" customHeight="1" x14ac:dyDescent="0.25">
      <c r="K788" s="8"/>
      <c r="L788" s="8"/>
    </row>
    <row r="789" spans="11:12" ht="14.25" customHeight="1" x14ac:dyDescent="0.25">
      <c r="K789" s="8"/>
      <c r="L789" s="8"/>
    </row>
    <row r="790" spans="11:12" ht="14.25" customHeight="1" x14ac:dyDescent="0.25">
      <c r="K790" s="8"/>
      <c r="L790" s="8"/>
    </row>
    <row r="791" spans="11:12" ht="14.25" customHeight="1" x14ac:dyDescent="0.25">
      <c r="K791" s="8"/>
      <c r="L791" s="8"/>
    </row>
    <row r="792" spans="11:12" ht="14.25" customHeight="1" x14ac:dyDescent="0.25">
      <c r="K792" s="8"/>
      <c r="L792" s="8"/>
    </row>
    <row r="793" spans="11:12" ht="14.25" customHeight="1" x14ac:dyDescent="0.25">
      <c r="K793" s="8"/>
      <c r="L793" s="8"/>
    </row>
    <row r="794" spans="11:12" ht="14.25" customHeight="1" x14ac:dyDescent="0.25">
      <c r="K794" s="8"/>
      <c r="L794" s="8"/>
    </row>
    <row r="795" spans="11:12" ht="14.25" customHeight="1" x14ac:dyDescent="0.25">
      <c r="K795" s="8"/>
      <c r="L795" s="8"/>
    </row>
    <row r="796" spans="11:12" ht="14.25" customHeight="1" x14ac:dyDescent="0.25">
      <c r="K796" s="8"/>
      <c r="L796" s="8"/>
    </row>
    <row r="797" spans="11:12" ht="14.25" customHeight="1" x14ac:dyDescent="0.25">
      <c r="K797" s="8"/>
      <c r="L797" s="8"/>
    </row>
    <row r="798" spans="11:12" ht="14.25" customHeight="1" x14ac:dyDescent="0.25">
      <c r="K798" s="8"/>
      <c r="L798" s="8"/>
    </row>
    <row r="799" spans="11:12" ht="14.25" customHeight="1" x14ac:dyDescent="0.25">
      <c r="K799" s="8"/>
      <c r="L799" s="8"/>
    </row>
    <row r="800" spans="11:12" ht="14.25" customHeight="1" x14ac:dyDescent="0.25">
      <c r="K800" s="8"/>
      <c r="L800" s="8"/>
    </row>
    <row r="801" spans="11:12" ht="14.25" customHeight="1" x14ac:dyDescent="0.25">
      <c r="K801" s="8"/>
      <c r="L801" s="8"/>
    </row>
    <row r="802" spans="11:12" ht="14.25" customHeight="1" x14ac:dyDescent="0.25">
      <c r="K802" s="8"/>
      <c r="L802" s="8"/>
    </row>
    <row r="803" spans="11:12" ht="14.25" customHeight="1" x14ac:dyDescent="0.25">
      <c r="K803" s="8"/>
      <c r="L803" s="8"/>
    </row>
    <row r="804" spans="11:12" ht="14.25" customHeight="1" x14ac:dyDescent="0.25">
      <c r="K804" s="8"/>
      <c r="L804" s="8"/>
    </row>
    <row r="805" spans="11:12" ht="14.25" customHeight="1" x14ac:dyDescent="0.25">
      <c r="K805" s="8"/>
      <c r="L805" s="8"/>
    </row>
    <row r="806" spans="11:12" ht="14.25" customHeight="1" x14ac:dyDescent="0.25">
      <c r="K806" s="8"/>
      <c r="L806" s="8"/>
    </row>
    <row r="807" spans="11:12" ht="14.25" customHeight="1" x14ac:dyDescent="0.25">
      <c r="K807" s="8"/>
      <c r="L807" s="8"/>
    </row>
    <row r="808" spans="11:12" ht="14.25" customHeight="1" x14ac:dyDescent="0.25">
      <c r="K808" s="8"/>
      <c r="L808" s="8"/>
    </row>
    <row r="809" spans="11:12" ht="14.25" customHeight="1" x14ac:dyDescent="0.25">
      <c r="K809" s="8"/>
      <c r="L809" s="8"/>
    </row>
    <row r="810" spans="11:12" ht="14.25" customHeight="1" x14ac:dyDescent="0.25">
      <c r="K810" s="8"/>
      <c r="L810" s="8"/>
    </row>
    <row r="811" spans="11:12" ht="14.25" customHeight="1" x14ac:dyDescent="0.25">
      <c r="K811" s="8"/>
      <c r="L811" s="8"/>
    </row>
    <row r="812" spans="11:12" ht="14.25" customHeight="1" x14ac:dyDescent="0.25">
      <c r="K812" s="8"/>
      <c r="L812" s="8"/>
    </row>
    <row r="813" spans="11:12" ht="14.25" customHeight="1" x14ac:dyDescent="0.25">
      <c r="K813" s="8"/>
      <c r="L813" s="8"/>
    </row>
    <row r="814" spans="11:12" ht="14.25" customHeight="1" x14ac:dyDescent="0.25">
      <c r="K814" s="8"/>
      <c r="L814" s="8"/>
    </row>
    <row r="815" spans="11:12" ht="14.25" customHeight="1" x14ac:dyDescent="0.25">
      <c r="K815" s="8"/>
      <c r="L815" s="8"/>
    </row>
    <row r="816" spans="11:12" ht="14.25" customHeight="1" x14ac:dyDescent="0.25">
      <c r="K816" s="8"/>
      <c r="L816" s="8"/>
    </row>
    <row r="817" spans="11:12" ht="14.25" customHeight="1" x14ac:dyDescent="0.25">
      <c r="K817" s="8"/>
      <c r="L817" s="8"/>
    </row>
    <row r="818" spans="11:12" ht="14.25" customHeight="1" x14ac:dyDescent="0.25">
      <c r="K818" s="8"/>
      <c r="L818" s="8"/>
    </row>
    <row r="819" spans="11:12" ht="14.25" customHeight="1" x14ac:dyDescent="0.25">
      <c r="K819" s="8"/>
      <c r="L819" s="8"/>
    </row>
    <row r="820" spans="11:12" ht="14.25" customHeight="1" x14ac:dyDescent="0.25">
      <c r="K820" s="8"/>
      <c r="L820" s="8"/>
    </row>
    <row r="821" spans="11:12" ht="14.25" customHeight="1" x14ac:dyDescent="0.25">
      <c r="K821" s="8"/>
      <c r="L821" s="8"/>
    </row>
    <row r="822" spans="11:12" ht="14.25" customHeight="1" x14ac:dyDescent="0.25">
      <c r="K822" s="8"/>
      <c r="L822" s="8"/>
    </row>
    <row r="823" spans="11:12" ht="14.25" customHeight="1" x14ac:dyDescent="0.25">
      <c r="K823" s="8"/>
      <c r="L823" s="8"/>
    </row>
    <row r="824" spans="11:12" ht="14.25" customHeight="1" x14ac:dyDescent="0.25">
      <c r="K824" s="8"/>
      <c r="L824" s="8"/>
    </row>
    <row r="825" spans="11:12" ht="14.25" customHeight="1" x14ac:dyDescent="0.25">
      <c r="K825" s="8"/>
      <c r="L825" s="8"/>
    </row>
    <row r="826" spans="11:12" ht="14.25" customHeight="1" x14ac:dyDescent="0.25">
      <c r="K826" s="8"/>
      <c r="L826" s="8"/>
    </row>
    <row r="827" spans="11:12" ht="14.25" customHeight="1" x14ac:dyDescent="0.25">
      <c r="K827" s="8"/>
      <c r="L827" s="8"/>
    </row>
    <row r="828" spans="11:12" ht="14.25" customHeight="1" x14ac:dyDescent="0.25">
      <c r="K828" s="8"/>
      <c r="L828" s="8"/>
    </row>
    <row r="829" spans="11:12" ht="14.25" customHeight="1" x14ac:dyDescent="0.25">
      <c r="K829" s="8"/>
      <c r="L829" s="8"/>
    </row>
    <row r="830" spans="11:12" ht="14.25" customHeight="1" x14ac:dyDescent="0.25">
      <c r="K830" s="8"/>
      <c r="L830" s="8"/>
    </row>
    <row r="831" spans="11:12" ht="14.25" customHeight="1" x14ac:dyDescent="0.25">
      <c r="K831" s="8"/>
      <c r="L831" s="8"/>
    </row>
    <row r="832" spans="11:12" ht="14.25" customHeight="1" x14ac:dyDescent="0.25">
      <c r="K832" s="8"/>
      <c r="L832" s="8"/>
    </row>
    <row r="833" spans="11:12" ht="14.25" customHeight="1" x14ac:dyDescent="0.25">
      <c r="K833" s="8"/>
      <c r="L833" s="8"/>
    </row>
    <row r="834" spans="11:12" ht="14.25" customHeight="1" x14ac:dyDescent="0.25">
      <c r="K834" s="8"/>
      <c r="L834" s="8"/>
    </row>
    <row r="835" spans="11:12" ht="14.25" customHeight="1" x14ac:dyDescent="0.25">
      <c r="K835" s="8"/>
      <c r="L835" s="8"/>
    </row>
    <row r="836" spans="11:12" ht="14.25" customHeight="1" x14ac:dyDescent="0.25">
      <c r="K836" s="8"/>
      <c r="L836" s="8"/>
    </row>
    <row r="837" spans="11:12" ht="14.25" customHeight="1" x14ac:dyDescent="0.25">
      <c r="K837" s="8"/>
      <c r="L837" s="8"/>
    </row>
    <row r="838" spans="11:12" ht="14.25" customHeight="1" x14ac:dyDescent="0.25">
      <c r="K838" s="8"/>
      <c r="L838" s="8"/>
    </row>
    <row r="839" spans="11:12" ht="14.25" customHeight="1" x14ac:dyDescent="0.25">
      <c r="K839" s="8"/>
      <c r="L839" s="8"/>
    </row>
    <row r="840" spans="11:12" ht="14.25" customHeight="1" x14ac:dyDescent="0.25">
      <c r="K840" s="8"/>
      <c r="L840" s="8"/>
    </row>
    <row r="841" spans="11:12" ht="14.25" customHeight="1" x14ac:dyDescent="0.25">
      <c r="K841" s="8"/>
      <c r="L841" s="8"/>
    </row>
    <row r="842" spans="11:12" ht="14.25" customHeight="1" x14ac:dyDescent="0.25">
      <c r="K842" s="8"/>
      <c r="L842" s="8"/>
    </row>
    <row r="843" spans="11:12" ht="14.25" customHeight="1" x14ac:dyDescent="0.25">
      <c r="K843" s="8"/>
      <c r="L843" s="8"/>
    </row>
    <row r="844" spans="11:12" ht="14.25" customHeight="1" x14ac:dyDescent="0.25">
      <c r="K844" s="8"/>
      <c r="L844" s="8"/>
    </row>
    <row r="845" spans="11:12" ht="14.25" customHeight="1" x14ac:dyDescent="0.25">
      <c r="K845" s="8"/>
      <c r="L845" s="8"/>
    </row>
    <row r="846" spans="11:12" ht="14.25" customHeight="1" x14ac:dyDescent="0.25">
      <c r="K846" s="8"/>
      <c r="L846" s="8"/>
    </row>
    <row r="847" spans="11:12" ht="14.25" customHeight="1" x14ac:dyDescent="0.25">
      <c r="K847" s="8"/>
      <c r="L847" s="8"/>
    </row>
    <row r="848" spans="11:12" ht="14.25" customHeight="1" x14ac:dyDescent="0.25">
      <c r="K848" s="8"/>
      <c r="L848" s="8"/>
    </row>
    <row r="849" spans="11:12" ht="14.25" customHeight="1" x14ac:dyDescent="0.25">
      <c r="K849" s="8"/>
      <c r="L849" s="8"/>
    </row>
    <row r="850" spans="11:12" ht="14.25" customHeight="1" x14ac:dyDescent="0.25">
      <c r="K850" s="8"/>
      <c r="L850" s="8"/>
    </row>
    <row r="851" spans="11:12" ht="14.25" customHeight="1" x14ac:dyDescent="0.25">
      <c r="K851" s="8"/>
      <c r="L851" s="8"/>
    </row>
    <row r="852" spans="11:12" ht="14.25" customHeight="1" x14ac:dyDescent="0.25">
      <c r="K852" s="8"/>
      <c r="L852" s="8"/>
    </row>
    <row r="853" spans="11:12" ht="14.25" customHeight="1" x14ac:dyDescent="0.25">
      <c r="K853" s="8"/>
      <c r="L853" s="8"/>
    </row>
    <row r="854" spans="11:12" ht="14.25" customHeight="1" x14ac:dyDescent="0.25">
      <c r="K854" s="8"/>
      <c r="L854" s="8"/>
    </row>
    <row r="855" spans="11:12" ht="14.25" customHeight="1" x14ac:dyDescent="0.25">
      <c r="K855" s="8"/>
      <c r="L855" s="8"/>
    </row>
    <row r="856" spans="11:12" ht="14.25" customHeight="1" x14ac:dyDescent="0.25">
      <c r="K856" s="8"/>
      <c r="L856" s="8"/>
    </row>
    <row r="857" spans="11:12" ht="14.25" customHeight="1" x14ac:dyDescent="0.25">
      <c r="K857" s="8"/>
      <c r="L857" s="8"/>
    </row>
    <row r="858" spans="11:12" ht="14.25" customHeight="1" x14ac:dyDescent="0.25">
      <c r="K858" s="8"/>
      <c r="L858" s="8"/>
    </row>
    <row r="859" spans="11:12" ht="14.25" customHeight="1" x14ac:dyDescent="0.25">
      <c r="K859" s="8"/>
      <c r="L859" s="8"/>
    </row>
    <row r="860" spans="11:12" ht="14.25" customHeight="1" x14ac:dyDescent="0.25">
      <c r="K860" s="8"/>
      <c r="L860" s="8"/>
    </row>
    <row r="861" spans="11:12" ht="14.25" customHeight="1" x14ac:dyDescent="0.25">
      <c r="K861" s="8"/>
      <c r="L861" s="8"/>
    </row>
    <row r="862" spans="11:12" ht="14.25" customHeight="1" x14ac:dyDescent="0.25">
      <c r="K862" s="8"/>
      <c r="L862" s="8"/>
    </row>
    <row r="863" spans="11:12" ht="14.25" customHeight="1" x14ac:dyDescent="0.25">
      <c r="K863" s="8"/>
      <c r="L863" s="8"/>
    </row>
    <row r="864" spans="11:12" ht="14.25" customHeight="1" x14ac:dyDescent="0.25">
      <c r="K864" s="8"/>
      <c r="L864" s="8"/>
    </row>
    <row r="865" spans="11:12" ht="14.25" customHeight="1" x14ac:dyDescent="0.25">
      <c r="K865" s="8"/>
      <c r="L865" s="8"/>
    </row>
    <row r="866" spans="11:12" ht="14.25" customHeight="1" x14ac:dyDescent="0.25">
      <c r="K866" s="8"/>
      <c r="L866" s="8"/>
    </row>
    <row r="867" spans="11:12" ht="14.25" customHeight="1" x14ac:dyDescent="0.25">
      <c r="K867" s="8"/>
      <c r="L867" s="8"/>
    </row>
    <row r="868" spans="11:12" ht="14.25" customHeight="1" x14ac:dyDescent="0.25">
      <c r="K868" s="8"/>
      <c r="L868" s="8"/>
    </row>
    <row r="869" spans="11:12" ht="14.25" customHeight="1" x14ac:dyDescent="0.25">
      <c r="K869" s="8"/>
      <c r="L869" s="8"/>
    </row>
    <row r="870" spans="11:12" ht="14.25" customHeight="1" x14ac:dyDescent="0.25">
      <c r="K870" s="8"/>
      <c r="L870" s="8"/>
    </row>
    <row r="871" spans="11:12" ht="14.25" customHeight="1" x14ac:dyDescent="0.25">
      <c r="K871" s="8"/>
      <c r="L871" s="8"/>
    </row>
    <row r="872" spans="11:12" ht="14.25" customHeight="1" x14ac:dyDescent="0.25">
      <c r="K872" s="8"/>
      <c r="L872" s="8"/>
    </row>
    <row r="873" spans="11:12" ht="14.25" customHeight="1" x14ac:dyDescent="0.25">
      <c r="K873" s="8"/>
      <c r="L873" s="8"/>
    </row>
    <row r="874" spans="11:12" ht="14.25" customHeight="1" x14ac:dyDescent="0.25">
      <c r="K874" s="8"/>
      <c r="L874" s="8"/>
    </row>
    <row r="875" spans="11:12" ht="14.25" customHeight="1" x14ac:dyDescent="0.25">
      <c r="K875" s="8"/>
      <c r="L875" s="8"/>
    </row>
    <row r="876" spans="11:12" ht="14.25" customHeight="1" x14ac:dyDescent="0.25">
      <c r="K876" s="8"/>
      <c r="L876" s="8"/>
    </row>
    <row r="877" spans="11:12" ht="14.25" customHeight="1" x14ac:dyDescent="0.25">
      <c r="K877" s="8"/>
      <c r="L877" s="8"/>
    </row>
    <row r="878" spans="11:12" ht="14.25" customHeight="1" x14ac:dyDescent="0.25">
      <c r="K878" s="8"/>
      <c r="L878" s="8"/>
    </row>
    <row r="879" spans="11:12" ht="14.25" customHeight="1" x14ac:dyDescent="0.25">
      <c r="K879" s="8"/>
      <c r="L879" s="8"/>
    </row>
    <row r="880" spans="11:12" ht="14.25" customHeight="1" x14ac:dyDescent="0.25">
      <c r="K880" s="8"/>
      <c r="L880" s="8"/>
    </row>
    <row r="881" spans="11:12" ht="14.25" customHeight="1" x14ac:dyDescent="0.25">
      <c r="K881" s="8"/>
      <c r="L881" s="8"/>
    </row>
    <row r="882" spans="11:12" ht="14.25" customHeight="1" x14ac:dyDescent="0.25">
      <c r="K882" s="8"/>
      <c r="L882" s="8"/>
    </row>
    <row r="883" spans="11:12" ht="14.25" customHeight="1" x14ac:dyDescent="0.25">
      <c r="K883" s="8"/>
      <c r="L883" s="8"/>
    </row>
    <row r="884" spans="11:12" ht="14.25" customHeight="1" x14ac:dyDescent="0.25">
      <c r="K884" s="8"/>
      <c r="L884" s="8"/>
    </row>
    <row r="885" spans="11:12" ht="14.25" customHeight="1" x14ac:dyDescent="0.25">
      <c r="K885" s="8"/>
      <c r="L885" s="8"/>
    </row>
    <row r="886" spans="11:12" ht="14.25" customHeight="1" x14ac:dyDescent="0.25">
      <c r="K886" s="8"/>
      <c r="L886" s="8"/>
    </row>
    <row r="887" spans="11:12" ht="14.25" customHeight="1" x14ac:dyDescent="0.25">
      <c r="K887" s="8"/>
      <c r="L887" s="8"/>
    </row>
    <row r="888" spans="11:12" ht="14.25" customHeight="1" x14ac:dyDescent="0.25">
      <c r="K888" s="8"/>
      <c r="L888" s="8"/>
    </row>
    <row r="889" spans="11:12" ht="14.25" customHeight="1" x14ac:dyDescent="0.25">
      <c r="K889" s="8"/>
      <c r="L889" s="8"/>
    </row>
    <row r="890" spans="11:12" ht="14.25" customHeight="1" x14ac:dyDescent="0.25">
      <c r="K890" s="8"/>
      <c r="L890" s="8"/>
    </row>
    <row r="891" spans="11:12" ht="14.25" customHeight="1" x14ac:dyDescent="0.25">
      <c r="K891" s="8"/>
      <c r="L891" s="8"/>
    </row>
    <row r="892" spans="11:12" ht="14.25" customHeight="1" x14ac:dyDescent="0.25">
      <c r="K892" s="8"/>
      <c r="L892" s="8"/>
    </row>
    <row r="893" spans="11:12" ht="14.25" customHeight="1" x14ac:dyDescent="0.25">
      <c r="K893" s="8"/>
      <c r="L893" s="8"/>
    </row>
    <row r="894" spans="11:12" ht="14.25" customHeight="1" x14ac:dyDescent="0.25">
      <c r="K894" s="8"/>
      <c r="L894" s="8"/>
    </row>
    <row r="895" spans="11:12" ht="14.25" customHeight="1" x14ac:dyDescent="0.25">
      <c r="K895" s="8"/>
      <c r="L895" s="8"/>
    </row>
    <row r="896" spans="11:12" ht="14.25" customHeight="1" x14ac:dyDescent="0.25">
      <c r="K896" s="8"/>
      <c r="L896" s="8"/>
    </row>
    <row r="897" spans="11:12" ht="14.25" customHeight="1" x14ac:dyDescent="0.25">
      <c r="K897" s="8"/>
      <c r="L897" s="8"/>
    </row>
    <row r="898" spans="11:12" ht="14.25" customHeight="1" x14ac:dyDescent="0.25">
      <c r="K898" s="8"/>
      <c r="L898" s="8"/>
    </row>
    <row r="899" spans="11:12" ht="14.25" customHeight="1" x14ac:dyDescent="0.25">
      <c r="K899" s="8"/>
      <c r="L899" s="8"/>
    </row>
    <row r="900" spans="11:12" ht="14.25" customHeight="1" x14ac:dyDescent="0.25">
      <c r="K900" s="8"/>
      <c r="L900" s="8"/>
    </row>
    <row r="901" spans="11:12" ht="14.25" customHeight="1" x14ac:dyDescent="0.25">
      <c r="K901" s="8"/>
      <c r="L901" s="8"/>
    </row>
    <row r="902" spans="11:12" ht="14.25" customHeight="1" x14ac:dyDescent="0.25">
      <c r="K902" s="8"/>
      <c r="L902" s="8"/>
    </row>
    <row r="903" spans="11:12" ht="14.25" customHeight="1" x14ac:dyDescent="0.25">
      <c r="K903" s="8"/>
      <c r="L903" s="8"/>
    </row>
    <row r="904" spans="11:12" ht="14.25" customHeight="1" x14ac:dyDescent="0.25">
      <c r="K904" s="8"/>
      <c r="L904" s="8"/>
    </row>
    <row r="905" spans="11:12" ht="14.25" customHeight="1" x14ac:dyDescent="0.25">
      <c r="K905" s="8"/>
      <c r="L905" s="8"/>
    </row>
    <row r="906" spans="11:12" ht="14.25" customHeight="1" x14ac:dyDescent="0.25">
      <c r="K906" s="8"/>
      <c r="L906" s="8"/>
    </row>
    <row r="907" spans="11:12" ht="14.25" customHeight="1" x14ac:dyDescent="0.25">
      <c r="K907" s="8"/>
      <c r="L907" s="8"/>
    </row>
    <row r="908" spans="11:12" ht="14.25" customHeight="1" x14ac:dyDescent="0.25">
      <c r="K908" s="8"/>
      <c r="L908" s="8"/>
    </row>
    <row r="909" spans="11:12" ht="14.25" customHeight="1" x14ac:dyDescent="0.25">
      <c r="K909" s="8"/>
      <c r="L909" s="8"/>
    </row>
    <row r="910" spans="11:12" ht="14.25" customHeight="1" x14ac:dyDescent="0.25">
      <c r="K910" s="8"/>
      <c r="L910" s="8"/>
    </row>
    <row r="911" spans="11:12" ht="14.25" customHeight="1" x14ac:dyDescent="0.25">
      <c r="K911" s="8"/>
      <c r="L911" s="8"/>
    </row>
    <row r="912" spans="11:12" ht="14.25" customHeight="1" x14ac:dyDescent="0.25">
      <c r="K912" s="8"/>
      <c r="L912" s="8"/>
    </row>
    <row r="913" spans="11:12" ht="14.25" customHeight="1" x14ac:dyDescent="0.25">
      <c r="K913" s="8"/>
      <c r="L913" s="8"/>
    </row>
    <row r="914" spans="11:12" ht="14.25" customHeight="1" x14ac:dyDescent="0.25">
      <c r="K914" s="8"/>
      <c r="L914" s="8"/>
    </row>
    <row r="915" spans="11:12" ht="14.25" customHeight="1" x14ac:dyDescent="0.25">
      <c r="K915" s="8"/>
      <c r="L915" s="8"/>
    </row>
    <row r="916" spans="11:12" ht="14.25" customHeight="1" x14ac:dyDescent="0.25">
      <c r="K916" s="8"/>
      <c r="L916" s="8"/>
    </row>
    <row r="917" spans="11:12" ht="14.25" customHeight="1" x14ac:dyDescent="0.25">
      <c r="K917" s="8"/>
      <c r="L917" s="8"/>
    </row>
    <row r="918" spans="11:12" ht="14.25" customHeight="1" x14ac:dyDescent="0.25">
      <c r="K918" s="8"/>
      <c r="L918" s="8"/>
    </row>
    <row r="919" spans="11:12" ht="14.25" customHeight="1" x14ac:dyDescent="0.25">
      <c r="K919" s="8"/>
      <c r="L919" s="8"/>
    </row>
    <row r="920" spans="11:12" ht="14.25" customHeight="1" x14ac:dyDescent="0.25">
      <c r="K920" s="8"/>
      <c r="L920" s="8"/>
    </row>
    <row r="921" spans="11:12" ht="14.25" customHeight="1" x14ac:dyDescent="0.25">
      <c r="K921" s="8"/>
      <c r="L921" s="8"/>
    </row>
    <row r="922" spans="11:12" ht="14.25" customHeight="1" x14ac:dyDescent="0.25">
      <c r="K922" s="8"/>
      <c r="L922" s="8"/>
    </row>
    <row r="923" spans="11:12" ht="14.25" customHeight="1" x14ac:dyDescent="0.25">
      <c r="K923" s="8"/>
      <c r="L923" s="8"/>
    </row>
    <row r="924" spans="11:12" ht="14.25" customHeight="1" x14ac:dyDescent="0.25">
      <c r="K924" s="8"/>
      <c r="L924" s="8"/>
    </row>
    <row r="925" spans="11:12" ht="14.25" customHeight="1" x14ac:dyDescent="0.25">
      <c r="K925" s="8"/>
      <c r="L925" s="8"/>
    </row>
    <row r="926" spans="11:12" ht="14.25" customHeight="1" x14ac:dyDescent="0.25">
      <c r="K926" s="8"/>
      <c r="L926" s="8"/>
    </row>
    <row r="927" spans="11:12" ht="14.25" customHeight="1" x14ac:dyDescent="0.25">
      <c r="K927" s="8"/>
      <c r="L927" s="8"/>
    </row>
    <row r="928" spans="11:12" ht="14.25" customHeight="1" x14ac:dyDescent="0.25">
      <c r="K928" s="8"/>
      <c r="L928" s="8"/>
    </row>
    <row r="929" spans="11:12" ht="14.25" customHeight="1" x14ac:dyDescent="0.25">
      <c r="K929" s="8"/>
      <c r="L929" s="8"/>
    </row>
    <row r="930" spans="11:12" ht="14.25" customHeight="1" x14ac:dyDescent="0.25">
      <c r="K930" s="8"/>
      <c r="L930" s="8"/>
    </row>
    <row r="931" spans="11:12" ht="14.25" customHeight="1" x14ac:dyDescent="0.25">
      <c r="K931" s="8"/>
      <c r="L931" s="8"/>
    </row>
    <row r="932" spans="11:12" ht="14.25" customHeight="1" x14ac:dyDescent="0.25">
      <c r="K932" s="8"/>
      <c r="L932" s="8"/>
    </row>
    <row r="933" spans="11:12" ht="14.25" customHeight="1" x14ac:dyDescent="0.25">
      <c r="K933" s="8"/>
      <c r="L933" s="8"/>
    </row>
    <row r="934" spans="11:12" ht="14.25" customHeight="1" x14ac:dyDescent="0.25">
      <c r="K934" s="8"/>
      <c r="L934" s="8"/>
    </row>
    <row r="935" spans="11:12" ht="14.25" customHeight="1" x14ac:dyDescent="0.25">
      <c r="K935" s="8"/>
      <c r="L935" s="8"/>
    </row>
    <row r="936" spans="11:12" ht="14.25" customHeight="1" x14ac:dyDescent="0.25">
      <c r="K936" s="8"/>
      <c r="L936" s="8"/>
    </row>
    <row r="937" spans="11:12" ht="14.25" customHeight="1" x14ac:dyDescent="0.25">
      <c r="K937" s="8"/>
      <c r="L937" s="8"/>
    </row>
    <row r="938" spans="11:12" ht="14.25" customHeight="1" x14ac:dyDescent="0.25">
      <c r="K938" s="8"/>
      <c r="L938" s="8"/>
    </row>
    <row r="939" spans="11:12" ht="14.25" customHeight="1" x14ac:dyDescent="0.25">
      <c r="K939" s="8"/>
      <c r="L939" s="8"/>
    </row>
    <row r="940" spans="11:12" ht="14.25" customHeight="1" x14ac:dyDescent="0.25">
      <c r="K940" s="8"/>
      <c r="L940" s="8"/>
    </row>
    <row r="941" spans="11:12" ht="14.25" customHeight="1" x14ac:dyDescent="0.25">
      <c r="K941" s="8"/>
      <c r="L941" s="8"/>
    </row>
    <row r="942" spans="11:12" ht="14.25" customHeight="1" x14ac:dyDescent="0.25">
      <c r="K942" s="8"/>
      <c r="L942" s="8"/>
    </row>
    <row r="943" spans="11:12" ht="14.25" customHeight="1" x14ac:dyDescent="0.25">
      <c r="K943" s="8"/>
      <c r="L943" s="8"/>
    </row>
    <row r="944" spans="11:12" ht="14.25" customHeight="1" x14ac:dyDescent="0.25">
      <c r="K944" s="8"/>
      <c r="L944" s="8"/>
    </row>
    <row r="945" spans="11:12" ht="14.25" customHeight="1" x14ac:dyDescent="0.25">
      <c r="K945" s="8"/>
      <c r="L945" s="8"/>
    </row>
    <row r="946" spans="11:12" ht="14.25" customHeight="1" x14ac:dyDescent="0.25">
      <c r="K946" s="8"/>
      <c r="L946" s="8"/>
    </row>
    <row r="947" spans="11:12" ht="14.25" customHeight="1" x14ac:dyDescent="0.25">
      <c r="K947" s="8"/>
      <c r="L947" s="8"/>
    </row>
    <row r="948" spans="11:12" ht="14.25" customHeight="1" x14ac:dyDescent="0.25">
      <c r="K948" s="8"/>
      <c r="L948" s="8"/>
    </row>
    <row r="949" spans="11:12" ht="14.25" customHeight="1" x14ac:dyDescent="0.25">
      <c r="K949" s="8"/>
      <c r="L949" s="8"/>
    </row>
    <row r="950" spans="11:12" ht="14.25" customHeight="1" x14ac:dyDescent="0.25">
      <c r="K950" s="8"/>
      <c r="L950" s="8"/>
    </row>
    <row r="951" spans="11:12" ht="14.25" customHeight="1" x14ac:dyDescent="0.25">
      <c r="K951" s="8"/>
      <c r="L951" s="8"/>
    </row>
    <row r="952" spans="11:12" ht="14.25" customHeight="1" x14ac:dyDescent="0.25">
      <c r="K952" s="8"/>
      <c r="L952" s="8"/>
    </row>
    <row r="953" spans="11:12" ht="14.25" customHeight="1" x14ac:dyDescent="0.25">
      <c r="K953" s="8"/>
      <c r="L953" s="8"/>
    </row>
    <row r="954" spans="11:12" ht="14.25" customHeight="1" x14ac:dyDescent="0.25">
      <c r="K954" s="8"/>
      <c r="L954" s="8"/>
    </row>
    <row r="955" spans="11:12" ht="14.25" customHeight="1" x14ac:dyDescent="0.25">
      <c r="K955" s="8"/>
      <c r="L955" s="8"/>
    </row>
    <row r="956" spans="11:12" ht="14.25" customHeight="1" x14ac:dyDescent="0.25">
      <c r="K956" s="8"/>
      <c r="L956" s="8"/>
    </row>
    <row r="957" spans="11:12" ht="14.25" customHeight="1" x14ac:dyDescent="0.25">
      <c r="K957" s="8"/>
      <c r="L957" s="8"/>
    </row>
    <row r="958" spans="11:12" ht="14.25" customHeight="1" x14ac:dyDescent="0.25">
      <c r="K958" s="8"/>
      <c r="L958" s="8"/>
    </row>
    <row r="959" spans="11:12" ht="14.25" customHeight="1" x14ac:dyDescent="0.25">
      <c r="K959" s="8"/>
      <c r="L959" s="8"/>
    </row>
    <row r="960" spans="11:12" ht="14.25" customHeight="1" x14ac:dyDescent="0.25">
      <c r="K960" s="8"/>
      <c r="L960" s="8"/>
    </row>
    <row r="961" spans="11:12" ht="14.25" customHeight="1" x14ac:dyDescent="0.25">
      <c r="K961" s="8"/>
      <c r="L961" s="8"/>
    </row>
    <row r="962" spans="11:12" ht="14.25" customHeight="1" x14ac:dyDescent="0.25">
      <c r="K962" s="8"/>
      <c r="L962" s="8"/>
    </row>
    <row r="963" spans="11:12" ht="14.25" customHeight="1" x14ac:dyDescent="0.25">
      <c r="K963" s="8"/>
      <c r="L963" s="8"/>
    </row>
    <row r="964" spans="11:12" ht="14.25" customHeight="1" x14ac:dyDescent="0.25">
      <c r="K964" s="8"/>
      <c r="L964" s="8"/>
    </row>
    <row r="965" spans="11:12" ht="14.25" customHeight="1" x14ac:dyDescent="0.25">
      <c r="K965" s="8"/>
      <c r="L965" s="8"/>
    </row>
    <row r="966" spans="11:12" ht="14.25" customHeight="1" x14ac:dyDescent="0.25">
      <c r="K966" s="8"/>
      <c r="L966" s="8"/>
    </row>
    <row r="967" spans="11:12" ht="14.25" customHeight="1" x14ac:dyDescent="0.25">
      <c r="K967" s="8"/>
      <c r="L967" s="8"/>
    </row>
    <row r="968" spans="11:12" ht="14.25" customHeight="1" x14ac:dyDescent="0.25">
      <c r="K968" s="8"/>
      <c r="L968" s="8"/>
    </row>
    <row r="969" spans="11:12" ht="14.25" customHeight="1" x14ac:dyDescent="0.25">
      <c r="K969" s="8"/>
      <c r="L969" s="8"/>
    </row>
    <row r="970" spans="11:12" ht="14.25" customHeight="1" x14ac:dyDescent="0.25">
      <c r="K970" s="8"/>
      <c r="L970" s="8"/>
    </row>
    <row r="971" spans="11:12" ht="14.25" customHeight="1" x14ac:dyDescent="0.25">
      <c r="K971" s="8"/>
      <c r="L971" s="8"/>
    </row>
    <row r="972" spans="11:12" ht="14.25" customHeight="1" x14ac:dyDescent="0.25">
      <c r="K972" s="8"/>
      <c r="L972" s="8"/>
    </row>
    <row r="973" spans="11:12" ht="14.25" customHeight="1" x14ac:dyDescent="0.25">
      <c r="K973" s="8"/>
      <c r="L973" s="8"/>
    </row>
    <row r="974" spans="11:12" ht="14.25" customHeight="1" x14ac:dyDescent="0.25">
      <c r="K974" s="8"/>
      <c r="L974" s="8"/>
    </row>
    <row r="975" spans="11:12" ht="14.25" customHeight="1" x14ac:dyDescent="0.25">
      <c r="K975" s="8"/>
      <c r="L975" s="8"/>
    </row>
    <row r="976" spans="11:12" ht="14.25" customHeight="1" x14ac:dyDescent="0.25">
      <c r="K976" s="8"/>
      <c r="L976" s="8"/>
    </row>
    <row r="977" spans="11:12" ht="14.25" customHeight="1" x14ac:dyDescent="0.25">
      <c r="K977" s="8"/>
      <c r="L977" s="8"/>
    </row>
    <row r="978" spans="11:12" ht="14.25" customHeight="1" x14ac:dyDescent="0.25">
      <c r="K978" s="8"/>
      <c r="L978" s="8"/>
    </row>
    <row r="979" spans="11:12" ht="14.25" customHeight="1" x14ac:dyDescent="0.25">
      <c r="K979" s="8"/>
      <c r="L979" s="8"/>
    </row>
    <row r="980" spans="11:12" ht="14.25" customHeight="1" x14ac:dyDescent="0.25">
      <c r="K980" s="8"/>
      <c r="L980" s="8"/>
    </row>
    <row r="981" spans="11:12" ht="14.25" customHeight="1" x14ac:dyDescent="0.25">
      <c r="K981" s="8"/>
      <c r="L981" s="8"/>
    </row>
    <row r="982" spans="11:12" ht="14.25" customHeight="1" x14ac:dyDescent="0.25">
      <c r="K982" s="8"/>
      <c r="L982" s="8"/>
    </row>
    <row r="983" spans="11:12" ht="14.25" customHeight="1" x14ac:dyDescent="0.25">
      <c r="K983" s="8"/>
      <c r="L983" s="8"/>
    </row>
    <row r="984" spans="11:12" ht="14.25" customHeight="1" x14ac:dyDescent="0.25">
      <c r="K984" s="8"/>
      <c r="L984" s="8"/>
    </row>
    <row r="985" spans="11:12" ht="14.25" customHeight="1" x14ac:dyDescent="0.25">
      <c r="K985" s="8"/>
      <c r="L985" s="8"/>
    </row>
    <row r="986" spans="11:12" ht="14.25" customHeight="1" x14ac:dyDescent="0.25">
      <c r="K986" s="8"/>
      <c r="L986" s="8"/>
    </row>
    <row r="987" spans="11:12" ht="14.25" customHeight="1" x14ac:dyDescent="0.25">
      <c r="K987" s="8"/>
      <c r="L987" s="8"/>
    </row>
    <row r="988" spans="11:12" ht="14.25" customHeight="1" x14ac:dyDescent="0.25">
      <c r="K988" s="8"/>
      <c r="L988" s="8"/>
    </row>
    <row r="989" spans="11:12" ht="14.25" customHeight="1" x14ac:dyDescent="0.25">
      <c r="K989" s="8"/>
      <c r="L989" s="8"/>
    </row>
    <row r="990" spans="11:12" ht="14.25" customHeight="1" x14ac:dyDescent="0.25">
      <c r="K990" s="8"/>
      <c r="L990" s="8"/>
    </row>
    <row r="991" spans="11:12" ht="14.25" customHeight="1" x14ac:dyDescent="0.25">
      <c r="K991" s="8"/>
      <c r="L991" s="8"/>
    </row>
    <row r="992" spans="11:12" ht="14.25" customHeight="1" x14ac:dyDescent="0.25">
      <c r="K992" s="8"/>
      <c r="L992" s="8"/>
    </row>
    <row r="993" spans="11:12" ht="14.25" customHeight="1" x14ac:dyDescent="0.25">
      <c r="K993" s="8"/>
      <c r="L993" s="8"/>
    </row>
    <row r="994" spans="11:12" ht="14.25" customHeight="1" x14ac:dyDescent="0.25">
      <c r="K994" s="8"/>
      <c r="L994" s="8"/>
    </row>
    <row r="995" spans="11:12" ht="14.25" customHeight="1" x14ac:dyDescent="0.25">
      <c r="K995" s="8"/>
      <c r="L995" s="8"/>
    </row>
    <row r="996" spans="11:12" ht="14.25" customHeight="1" x14ac:dyDescent="0.25">
      <c r="K996" s="8"/>
      <c r="L996" s="8"/>
    </row>
    <row r="997" spans="11:12" ht="14.25" customHeight="1" x14ac:dyDescent="0.25">
      <c r="K997" s="8"/>
      <c r="L997" s="8"/>
    </row>
    <row r="998" spans="11:12" ht="14.25" customHeight="1" x14ac:dyDescent="0.25">
      <c r="K998" s="8"/>
      <c r="L998" s="8"/>
    </row>
    <row r="999" spans="11:12" ht="14.25" customHeight="1" x14ac:dyDescent="0.25">
      <c r="K999" s="8"/>
      <c r="L999" s="8"/>
    </row>
    <row r="1000" spans="11:12" ht="14.25" customHeight="1" x14ac:dyDescent="0.25">
      <c r="K1000" s="8"/>
      <c r="L1000" s="8"/>
    </row>
    <row r="1001" spans="11:12" ht="14.25" customHeight="1" x14ac:dyDescent="0.25">
      <c r="K1001" s="8"/>
      <c r="L1001" s="8"/>
    </row>
    <row r="1002" spans="11:12" ht="14.25" customHeight="1" x14ac:dyDescent="0.25">
      <c r="K1002" s="8"/>
      <c r="L1002" s="8"/>
    </row>
    <row r="1003" spans="11:12" ht="14.25" customHeight="1" x14ac:dyDescent="0.25">
      <c r="K1003" s="8"/>
      <c r="L1003" s="8"/>
    </row>
    <row r="1004" spans="11:12" ht="14.25" customHeight="1" x14ac:dyDescent="0.25">
      <c r="K1004" s="8"/>
      <c r="L1004" s="8"/>
    </row>
  </sheetData>
  <phoneticPr fontId="865" type="noConversion"/>
  <hyperlinks>
    <hyperlink ref="H71" r:id="rId1" xr:uid="{00000000-0004-0000-0600-000000000000}"/>
    <hyperlink ref="H75" r:id="rId2" xr:uid="{00000000-0004-0000-0600-000001000000}"/>
    <hyperlink ref="H76" r:id="rId3" xr:uid="{00000000-0004-0000-0600-000002000000}"/>
    <hyperlink ref="K155" r:id="rId4" xr:uid="{00000000-0004-0000-0600-000003000000}"/>
    <hyperlink ref="I157" r:id="rId5" xr:uid="{00000000-0004-0000-0600-000004000000}"/>
    <hyperlink ref="I158" r:id="rId6" xr:uid="{00000000-0004-0000-0600-000005000000}"/>
    <hyperlink ref="I159" r:id="rId7" xr:uid="{00000000-0004-0000-0600-000006000000}"/>
    <hyperlink ref="I160" r:id="rId8" xr:uid="{00000000-0004-0000-0600-000007000000}"/>
    <hyperlink ref="I161" r:id="rId9" xr:uid="{00000000-0004-0000-0600-000008000000}"/>
    <hyperlink ref="I163" r:id="rId10" xr:uid="{00000000-0004-0000-0600-00000A000000}"/>
    <hyperlink ref="I164" r:id="rId11" xr:uid="{00000000-0004-0000-0600-00000B000000}"/>
    <hyperlink ref="I165" r:id="rId12" xr:uid="{00000000-0004-0000-0600-00000C000000}"/>
    <hyperlink ref="I166" r:id="rId13" xr:uid="{00000000-0004-0000-0600-00000D000000}"/>
    <hyperlink ref="I167" r:id="rId14" xr:uid="{B17166C1-BF6E-446F-A155-9A941EF6BC8E}"/>
    <hyperlink ref="I168" r:id="rId15" xr:uid="{748C8380-DD23-4630-A3B4-6E2354425786}"/>
    <hyperlink ref="I141" r:id="rId16" xr:uid="{417B07CF-2ECB-4E93-99E2-C72C8158EB53}"/>
    <hyperlink ref="I169" r:id="rId17" xr:uid="{BD18EE3A-2107-465E-9695-98C16C359373}"/>
    <hyperlink ref="I170" r:id="rId18" xr:uid="{BE4A15C7-FB9C-4C17-A143-6E42CD366463}"/>
    <hyperlink ref="I172" r:id="rId19" xr:uid="{E8F4F289-384A-4D63-8FB3-2BAC79AD4CC1}"/>
    <hyperlink ref="I173" r:id="rId20" xr:uid="{5A988C11-08B7-4948-97F3-919CC569988E}"/>
    <hyperlink ref="I174" r:id="rId21" xr:uid="{D5972B79-51D3-4CD3-8745-DD3A031399A0}"/>
    <hyperlink ref="I175" r:id="rId22" xr:uid="{83281A51-2FDB-4E47-BD6D-3A0EE5C00695}"/>
    <hyperlink ref="I176" r:id="rId23" xr:uid="{DD68D644-6D0C-4DA5-A98E-F9B7E45536A4}"/>
    <hyperlink ref="I177" r:id="rId24" xr:uid="{EAFD1CE9-DC2F-4A11-A26C-CDE0A3B05F90}"/>
    <hyperlink ref="I178" r:id="rId25" xr:uid="{0802F3D3-6E23-4C5C-BC8E-765AC804DDD4}"/>
    <hyperlink ref="I179" r:id="rId26" xr:uid="{E204AF8A-29AE-4230-BC0B-DEF9C4D26B73}"/>
    <hyperlink ref="I180" r:id="rId27" xr:uid="{53B0816E-D54B-48D4-B430-E59D4A930693}"/>
    <hyperlink ref="I181" r:id="rId28" xr:uid="{E8F9F5E8-E8BA-436E-B534-98FA19CA400F}"/>
    <hyperlink ref="I184" r:id="rId29" xr:uid="{0929E623-3B26-43C7-8695-2EB930E4359A}"/>
    <hyperlink ref="I162" r:id="rId30" display="Pass@2022" xr:uid="{CE57529D-CB60-4CF2-868D-3CC1B53BC42D}"/>
    <hyperlink ref="I153" r:id="rId31" xr:uid="{10F38A3D-3FCA-4AFB-876A-6A6872B5C293}"/>
    <hyperlink ref="I154" r:id="rId32" xr:uid="{2E0B5EEF-50E7-4661-9048-321A9531FB29}"/>
    <hyperlink ref="I155" r:id="rId33" xr:uid="{65C71E3F-FE34-4ECD-B6DA-869DE8EFCC10}"/>
    <hyperlink ref="I185" r:id="rId34" xr:uid="{86FEE977-D10A-49BB-BECC-9101A6373AF1}"/>
    <hyperlink ref="I198" r:id="rId35" xr:uid="{8B0A76DB-0EE1-45F6-8DD2-809C19FAB8AD}"/>
    <hyperlink ref="I199" r:id="rId36" xr:uid="{21A0EB55-8FEE-4D90-807C-A542355AC43C}"/>
    <hyperlink ref="I200" r:id="rId37" xr:uid="{E0CCC235-336B-4446-8ED8-BBADD5979C79}"/>
    <hyperlink ref="I201" r:id="rId38" xr:uid="{924AFAA4-14A8-476B-9D65-A70A1A50782A}"/>
    <hyperlink ref="I202" r:id="rId39" xr:uid="{681171D6-F048-45D3-BAC2-699D8590C16B}"/>
    <hyperlink ref="I203" r:id="rId40" xr:uid="{2497235B-2DFA-4EB5-AE64-6E2939CAE94F}"/>
    <hyperlink ref="I204" r:id="rId41" xr:uid="{59E23672-ED5E-4405-9C16-EAEC0FB0147D}"/>
    <hyperlink ref="I206" r:id="rId42" xr:uid="{9E2C489D-CA7F-42F9-9EC8-F718E314B6BE}"/>
    <hyperlink ref="I207" r:id="rId43" xr:uid="{DDC9AD0B-3185-461A-8ADD-4A8D5EAA8026}"/>
    <hyperlink ref="I208" r:id="rId44" xr:uid="{BF12DE83-5F33-4320-A628-ADF08BE14607}"/>
    <hyperlink ref="I209" r:id="rId45" xr:uid="{5CA578A5-184B-4C5F-B531-EC77BDF4461C}"/>
    <hyperlink ref="I210" r:id="rId46" xr:uid="{7DCC2F26-0E03-466F-9135-0F548F1C9B95}"/>
    <hyperlink ref="I211" r:id="rId47" xr:uid="{34B3DE56-78BD-4C89-9FFB-CF37716C608F}"/>
    <hyperlink ref="I212" r:id="rId48" xr:uid="{E0210A54-CD7B-452D-A6E6-76CC700151FE}"/>
    <hyperlink ref="I213" r:id="rId49" xr:uid="{3A2F18C6-9AFF-40E7-8541-02248461EF09}"/>
    <hyperlink ref="I214" r:id="rId50" xr:uid="{49572DC9-6786-4EA6-969B-28CE90F471BC}"/>
    <hyperlink ref="I215" r:id="rId51" xr:uid="{BF6F8B90-C667-4E63-94B8-DA151B603B3C}"/>
    <hyperlink ref="I217" r:id="rId52" xr:uid="{C401A371-0AB0-44F4-BC73-B646FB0B12E1}"/>
    <hyperlink ref="I218" r:id="rId53" xr:uid="{D05A338A-7264-4E76-831E-757A5AE0DB1E}"/>
    <hyperlink ref="I219" r:id="rId54" xr:uid="{B29AFA8A-5B78-4092-A413-1331A385436A}"/>
    <hyperlink ref="I220" r:id="rId55" xr:uid="{10998562-C5EB-43E7-A543-C353BF2AD8C1}"/>
    <hyperlink ref="I221" r:id="rId56" xr:uid="{B54CB429-1F79-4BE5-91AF-825C39BBA1E4}"/>
    <hyperlink ref="I222" r:id="rId57" xr:uid="{68CCEC39-48D1-4D63-AF54-57B246E91F46}"/>
    <hyperlink ref="I223" r:id="rId58" xr:uid="{91103D03-BFF5-46D9-8838-E0B6A74FBD04}"/>
    <hyperlink ref="I224" r:id="rId59" xr:uid="{AEAE3CB4-0E15-4E4D-A03B-8E0F9C3B8E53}"/>
    <hyperlink ref="I225" r:id="rId60" xr:uid="{154E1F3B-BB68-4733-9D68-9FC71A5CE1B8}"/>
    <hyperlink ref="I226" r:id="rId61" xr:uid="{A23B552F-9101-4AFE-9C5D-0588DC654E6C}"/>
    <hyperlink ref="I227" r:id="rId62" xr:uid="{9899B1B7-E377-4167-B9C2-EABF9C6B5B8B}"/>
    <hyperlink ref="I228" r:id="rId63" xr:uid="{2FC45013-3639-4337-B005-D14333EC6B9F}"/>
    <hyperlink ref="I229" r:id="rId64" xr:uid="{75DFD3AA-347C-49FA-AC86-5422E719C2E1}"/>
    <hyperlink ref="I230" r:id="rId65" xr:uid="{94A394C2-0EB8-4937-8B44-99CA6A2D9E0A}"/>
    <hyperlink ref="I231" r:id="rId66" xr:uid="{5AF070AF-223F-440B-A047-0E06277AC77A}"/>
    <hyperlink ref="I232" r:id="rId67" xr:uid="{F2B99062-E5C1-4EE5-BF2C-DC14A58E899A}"/>
    <hyperlink ref="I233" r:id="rId68" xr:uid="{A7E353F6-28B0-438D-837F-9BF772039FDA}"/>
    <hyperlink ref="I234:I238" r:id="rId69" display="Mypass@23" xr:uid="{8E0F42F0-DA06-4D33-8A65-D0B9C3BED102}"/>
    <hyperlink ref="I239" r:id="rId70" xr:uid="{CE36F91A-3DAD-465E-AD95-3595F21F304A}"/>
    <hyperlink ref="I240" r:id="rId71" xr:uid="{591F1111-2594-473F-A209-0AEFEB7A00BF}"/>
    <hyperlink ref="I241" r:id="rId72" xr:uid="{81F6436A-74B9-414D-8FC8-0E84546128F5}"/>
    <hyperlink ref="I242" r:id="rId73" xr:uid="{05C10940-8713-44B6-B254-E8D53E199A45}"/>
    <hyperlink ref="I243" r:id="rId74" xr:uid="{5D1F19BC-319F-44B1-AE32-98F5FCA223B2}"/>
    <hyperlink ref="I244" r:id="rId75" xr:uid="{F8334DD2-268C-4D6A-A57E-A7AD0E5C8943}"/>
    <hyperlink ref="I245" r:id="rId76" xr:uid="{DAEA7101-B67F-4524-A414-91023EC090C1}"/>
    <hyperlink ref="I249" r:id="rId77" xr:uid="{64C92F0A-ED01-4558-9377-E4F7AF79DD5C}"/>
    <hyperlink ref="I250" r:id="rId78" xr:uid="{8C828E6D-DD1C-44C2-BBC4-E46415E7FBBB}"/>
    <hyperlink ref="I251" r:id="rId79" xr:uid="{A9E7E77C-936B-4BA8-AF98-E72187DF46D7}"/>
    <hyperlink ref="I252" r:id="rId80" xr:uid="{3F927290-528E-4C0C-BA70-89EDD80D888A}"/>
    <hyperlink ref="I253" r:id="rId81" xr:uid="{9EA4E977-1AF6-4FC5-A1A9-F6068A6C364A}"/>
    <hyperlink ref="I246" r:id="rId82" xr:uid="{8781CBE9-CD1B-4DCA-8623-FF088819A0D5}"/>
    <hyperlink ref="I247" r:id="rId83" xr:uid="{982B1128-868A-422E-9C66-B95F328AE8EF}"/>
    <hyperlink ref="I248" r:id="rId84" xr:uid="{EF3C5CB5-C405-45E8-86C4-334C315D25B1}"/>
    <hyperlink ref="H259" r:id="rId85" xr:uid="{64B423FC-4E23-4569-90CE-A4D328709153}"/>
    <hyperlink ref="I281" r:id="rId86" xr:uid="{3B7236EF-9306-46EA-8673-7038008BC12A}"/>
    <hyperlink ref="I278" r:id="rId87" xr:uid="{0B3558C1-472B-4898-9D1C-9CB7A0F15D16}"/>
    <hyperlink ref="I279" r:id="rId88" xr:uid="{F4BB5F07-870C-4FD3-9946-67B786D3DBE8}"/>
    <hyperlink ref="I280" r:id="rId89" xr:uid="{E2991A92-3A23-4E2A-8ADE-401CDE780CF9}"/>
    <hyperlink ref="I282" r:id="rId90" xr:uid="{AB358905-D467-447D-8EDE-4EC3ED963A48}"/>
    <hyperlink ref="I283" r:id="rId91" xr:uid="{73D879E3-8EE6-48C8-9449-3292785CA3B5}"/>
    <hyperlink ref="I284" r:id="rId92" xr:uid="{C1FB16C0-F489-4E1C-B2B6-6BB36D27138D}"/>
    <hyperlink ref="I285" r:id="rId93" xr:uid="{1A774364-9C35-410E-8D85-2AC25E705154}"/>
    <hyperlink ref="I286" r:id="rId94" xr:uid="{4607F3D4-5680-4378-88EF-AA2CEF026800}"/>
    <hyperlink ref="I287" r:id="rId95" xr:uid="{B444CD9A-47AB-4880-A502-4D08697760C1}"/>
    <hyperlink ref="I288" r:id="rId96" xr:uid="{38472653-4B4E-4F28-B7AE-69817F32E9CB}"/>
    <hyperlink ref="I289" r:id="rId97" xr:uid="{05E287F4-F7DE-4F1C-9DC1-3B858C76CD29}"/>
    <hyperlink ref="I290" r:id="rId98" xr:uid="{A6943499-4D1C-425C-8E80-0222FC6D24EE}"/>
    <hyperlink ref="I291" r:id="rId99" xr:uid="{59D0ABC5-8BCB-4F37-8F6E-CD83C712BC2A}"/>
    <hyperlink ref="I292" r:id="rId100" xr:uid="{854ECC80-DCFA-4C68-86F6-1C3F6E58D5EA}"/>
    <hyperlink ref="I293" r:id="rId101" xr:uid="{E1C3D689-DAAB-411B-AA49-CC4B3CE2D525}"/>
    <hyperlink ref="I294" r:id="rId102" xr:uid="{497D15A2-5359-4D33-852F-D8304EBFD163}"/>
    <hyperlink ref="I295" r:id="rId103" xr:uid="{52824422-D13E-43CD-ABBF-59A579D309E7}"/>
    <hyperlink ref="I296" r:id="rId104" xr:uid="{0D42B114-6871-4765-AA77-FC2C66717A3E}"/>
    <hyperlink ref="I297" r:id="rId105" xr:uid="{7DF93025-3F23-42BD-99B2-290481832B34}"/>
    <hyperlink ref="I298" r:id="rId106" xr:uid="{29906C15-E404-4B1A-B991-3780E280B354}"/>
    <hyperlink ref="I299" r:id="rId107" xr:uid="{D2804339-6108-4B5F-9645-5276406E20AE}"/>
    <hyperlink ref="I300" r:id="rId108" xr:uid="{85F6557D-F3B5-4C29-8402-524EEED42E23}"/>
    <hyperlink ref="I301" r:id="rId109" xr:uid="{11BB070C-8175-4BF7-846F-17A6818D6C85}"/>
    <hyperlink ref="I302" r:id="rId110" xr:uid="{D66645B5-13AD-4CED-A5B6-CDEF17F06F78}"/>
    <hyperlink ref="I303" r:id="rId111" xr:uid="{9498C11F-ADA7-4F74-862E-1254AF120729}"/>
    <hyperlink ref="I304" r:id="rId112" xr:uid="{BDD14B89-E0B9-4AA8-AC0A-A75743D6ED46}"/>
    <hyperlink ref="I305" r:id="rId113" xr:uid="{63916E4E-D0B9-4B71-8ADF-B4DCF6FE872C}"/>
    <hyperlink ref="I306" r:id="rId114" xr:uid="{AF355885-7597-4682-BD91-7BBD16E7A4D7}"/>
    <hyperlink ref="I307" r:id="rId115" xr:uid="{8B22A362-6553-48DD-97EA-35C7739A743B}"/>
    <hyperlink ref="I308:I309" r:id="rId116" display="Mypass@2024" xr:uid="{F8613CCD-AF92-4ACC-9CB9-5DE585D178DC}"/>
    <hyperlink ref="I310" r:id="rId117" xr:uid="{A40E144C-0F4F-4099-B88F-D8C84995F676}"/>
    <hyperlink ref="I311" r:id="rId118" xr:uid="{9C77182A-36D6-4BE5-91DF-C482333CD800}"/>
    <hyperlink ref="I312" r:id="rId119" xr:uid="{D0A11B5D-42E9-4DDC-917F-9F9D1A7128FD}"/>
    <hyperlink ref="I313" r:id="rId120" xr:uid="{A123E7D6-AB6F-46F3-A48F-0D0E7B27280C}"/>
    <hyperlink ref="I314:I315" r:id="rId121" display="Mypass@2024" xr:uid="{B58EF321-87AB-41D3-B35F-94FB7488FE9E}"/>
    <hyperlink ref="I316" r:id="rId122" xr:uid="{F2774288-1198-44DC-93B9-E4DA9F75F463}"/>
    <hyperlink ref="I319" r:id="rId123" xr:uid="{8B4C6830-5A84-48C3-95D8-2343552408D3}"/>
    <hyperlink ref="I320" r:id="rId124" xr:uid="{5B822A8C-0B6D-4E6B-B5B2-8ED0AD728134}"/>
    <hyperlink ref="I321" r:id="rId125" xr:uid="{1B64749E-DFA5-486B-8FCA-BEA1D9295283}"/>
    <hyperlink ref="I322" r:id="rId126" xr:uid="{C0E6F847-8DF5-4D9B-A9F4-35484A7531CC}"/>
    <hyperlink ref="I323" r:id="rId127" xr:uid="{70698D9D-1DC1-4E68-B1FB-F342B7E249AC}"/>
    <hyperlink ref="I325" r:id="rId128" xr:uid="{83E45DC0-26C1-4CA3-9678-DA13BC3EEF10}"/>
    <hyperlink ref="I326" r:id="rId129" xr:uid="{9E07CB27-6183-4691-B14D-53DB6B95FB01}"/>
    <hyperlink ref="I327" r:id="rId130" xr:uid="{10ECB9A2-643A-44A4-9B87-4D01BFD16EAB}"/>
    <hyperlink ref="I328" r:id="rId131" xr:uid="{8C741D31-C57D-4B77-AB89-854490288227}"/>
    <hyperlink ref="I329" r:id="rId132" xr:uid="{F6BAAD70-5439-411C-9A68-4440C4F09012}"/>
    <hyperlink ref="I330" r:id="rId133" xr:uid="{2D59BDBE-CEC6-4ED8-8AB7-9A67BA2F71AF}"/>
    <hyperlink ref="I331" r:id="rId134" xr:uid="{2EB4285B-4B6A-4AF2-A15E-6B53C3C4A7BF}"/>
    <hyperlink ref="I332" r:id="rId135" xr:uid="{D4F5E6E8-236A-44AA-A08F-925E70588B05}"/>
    <hyperlink ref="I333" r:id="rId136" xr:uid="{9B889A2F-5F59-493B-8EE5-E8608E1C7EE3}"/>
    <hyperlink ref="I334" r:id="rId137" xr:uid="{753EB5E6-19A6-4EF5-9270-C36F1CA2E2D7}"/>
    <hyperlink ref="I335" r:id="rId138" xr:uid="{6E707CAE-43CC-4D11-9154-2E7CBA35A973}"/>
    <hyperlink ref="I336" r:id="rId139" xr:uid="{4B5541AA-97A5-49D5-A987-6349BC791638}"/>
    <hyperlink ref="I337" r:id="rId140" xr:uid="{D74DDE9F-9FB7-4187-B15C-A4D50E84C12A}"/>
    <hyperlink ref="I338" r:id="rId141" xr:uid="{8FB4AF5C-5FFB-4FAE-9C94-BE6D704D0B11}"/>
    <hyperlink ref="I339" r:id="rId142" xr:uid="{64F07D40-A2E9-4607-996F-B457F8073F98}"/>
    <hyperlink ref="I340" r:id="rId143" xr:uid="{69266767-497E-4596-B310-DC296211D22F}"/>
    <hyperlink ref="I341" r:id="rId144" xr:uid="{04B14379-C52C-402A-A099-0A4BDD13D77D}"/>
    <hyperlink ref="I342" r:id="rId145" xr:uid="{A2495E0F-3D93-4E0E-AC7F-7E1180EE31F7}"/>
    <hyperlink ref="I343" r:id="rId146" xr:uid="{1F29EEB4-A370-4EAE-93DE-8F6934B0C59B}"/>
    <hyperlink ref="I344" r:id="rId147" xr:uid="{86C5C4FE-7AA0-4867-8E73-8928F7138249}"/>
    <hyperlink ref="I345" r:id="rId148" xr:uid="{545D0DD4-7F85-47B9-BED5-D09C0E56178C}"/>
    <hyperlink ref="I346" r:id="rId149" xr:uid="{1555176B-507E-4DEE-8F58-4BA226EEAD6E}"/>
    <hyperlink ref="I347" r:id="rId150" xr:uid="{23A4D726-CD7A-46CF-A6B7-F909BEE23D2D}"/>
    <hyperlink ref="I348" r:id="rId151" xr:uid="{888F4774-C026-4608-B88A-926C276D6785}"/>
    <hyperlink ref="I349" r:id="rId152" xr:uid="{74978171-16C7-4A90-92E9-A7682D187539}"/>
    <hyperlink ref="I350" r:id="rId153" xr:uid="{D455624F-8B7F-44B2-85A8-48B535F25A5C}"/>
    <hyperlink ref="I351" r:id="rId154" xr:uid="{137A1CDB-E99C-41EA-89B5-6F0629C3ED65}"/>
    <hyperlink ref="I352" r:id="rId155" xr:uid="{2710A62D-473F-4218-8A01-29E68F3884D6}"/>
    <hyperlink ref="I353" r:id="rId156" xr:uid="{1E2FADEB-85B0-4E2E-8CEA-AB1F4BF0F05E}"/>
    <hyperlink ref="I354" r:id="rId157" xr:uid="{E06F9585-A46A-419C-8A42-7B17C64B9F62}"/>
    <hyperlink ref="I355" r:id="rId158" xr:uid="{70C0653A-F708-4782-BBCA-A739EC3BD410}"/>
    <hyperlink ref="I356" r:id="rId159" xr:uid="{853DF8B5-E202-42C1-AC22-C4C4C23E81ED}"/>
    <hyperlink ref="I360" r:id="rId160" xr:uid="{0CE0EE27-706F-438F-B7F5-783F509EA509}"/>
    <hyperlink ref="I361" r:id="rId161" xr:uid="{DC49B6CF-CD8D-496B-AEE8-41BFEF22E14D}"/>
    <hyperlink ref="I362" r:id="rId162" xr:uid="{3460E976-BF83-4F34-BC48-C216DDCB3D12}"/>
    <hyperlink ref="I363:I364" r:id="rId163" display="Mypass@2025" xr:uid="{75C63F74-78A1-4D39-9C0C-C1580EEEC158}"/>
    <hyperlink ref="I365" r:id="rId164" xr:uid="{11C6D73B-BC69-4FA8-9015-7733504B2A4B}"/>
    <hyperlink ref="I366" r:id="rId165" xr:uid="{D683C6A8-02FE-4334-9E84-ED42045CFA30}"/>
    <hyperlink ref="I367" r:id="rId166" xr:uid="{B81A12E0-1F00-49B0-B8C4-EFD630B57506}"/>
    <hyperlink ref="I368" r:id="rId167" xr:uid="{03F72AC8-7C5B-420D-B72C-29B809CAEAF4}"/>
    <hyperlink ref="I369" r:id="rId168" xr:uid="{E5ED4A5B-D291-451D-B4C5-A75A2BBBADBF}"/>
    <hyperlink ref="I370" r:id="rId169" xr:uid="{1E816D05-8826-4C45-8A4D-97B3F9071DA8}"/>
    <hyperlink ref="I371" r:id="rId170" xr:uid="{E68DF747-9F6A-43E7-8039-7A450EDE1D1D}"/>
    <hyperlink ref="I372" r:id="rId171" xr:uid="{0EA5D44B-8141-4AD3-AA6A-E2DC10A3F110}"/>
    <hyperlink ref="I373" r:id="rId172" xr:uid="{6C42FABC-2A06-4710-8248-026F6E2B2F1E}"/>
    <hyperlink ref="I374" r:id="rId173" xr:uid="{7E7F9FBB-8E24-4A6C-BAA4-0C0F745C0C12}"/>
    <hyperlink ref="I375" r:id="rId174" xr:uid="{8D5D029E-E0E1-49B9-9EA2-76429D7826A5}"/>
    <hyperlink ref="I376" r:id="rId175" xr:uid="{D73CC58D-9478-45C7-B16F-A2E902AAC9AE}"/>
    <hyperlink ref="I377" r:id="rId176" xr:uid="{AE32E536-829E-48D2-AE0C-DA28FD9078EF}"/>
    <hyperlink ref="I378" r:id="rId177" xr:uid="{8EBD2054-0D38-4783-897B-989250131C0A}"/>
    <hyperlink ref="I384" r:id="rId178" xr:uid="{6C05145A-7291-4B06-A7A5-5511AD607593}"/>
    <hyperlink ref="I385" r:id="rId179" xr:uid="{7FC74A76-1D87-4340-BCC6-FE43BB67511B}"/>
    <hyperlink ref="I379" r:id="rId180" xr:uid="{2CDA0DBD-DD6D-4F18-905E-EC7DB1B5AF26}"/>
    <hyperlink ref="I380" r:id="rId181" xr:uid="{418D34A2-6FCD-4E17-A3CD-D7AE9469F966}"/>
    <hyperlink ref="I381" r:id="rId182" xr:uid="{82CA5752-F063-4A07-A11F-9B7CA7742FC1}"/>
    <hyperlink ref="I386" r:id="rId183" xr:uid="{16D30E60-A846-45AF-9F2E-BFDEB3854C96}"/>
    <hyperlink ref="I387" r:id="rId184" xr:uid="{43949737-9AB8-4EF8-B2BC-21DDCC3E93BB}"/>
  </hyperlinks>
  <pageMargins left="0.7" right="0.7" top="0.75" bottom="0.75" header="0" footer="0"/>
  <pageSetup orientation="portrait" r:id="rId18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50"/>
  <sheetViews>
    <sheetView zoomScale="115" zoomScaleNormal="115" workbookViewId="0">
      <pane ySplit="1" topLeftCell="A337" activePane="bottomLeft" state="frozen"/>
      <selection pane="bottomLeft" activeCell="C353" sqref="C353"/>
    </sheetView>
  </sheetViews>
  <sheetFormatPr defaultColWidth="14.42578125" defaultRowHeight="18.75" customHeight="1" x14ac:dyDescent="0.3"/>
  <cols>
    <col min="1" max="1" width="18.7109375" style="314" customWidth="1"/>
    <col min="2" max="2" width="33.5703125" style="314" customWidth="1"/>
    <col min="3" max="3" width="23.140625" style="314" customWidth="1"/>
    <col min="4" max="4" width="16.42578125" style="319" customWidth="1"/>
    <col min="5" max="5" width="18.28515625" style="319" customWidth="1"/>
    <col min="6" max="6" width="22.5703125" style="319" customWidth="1"/>
    <col min="7" max="7" width="16.85546875" style="632" customWidth="1"/>
    <col min="8" max="8" width="15.28515625" style="652" customWidth="1"/>
    <col min="9" max="9" width="8.7109375" style="314" customWidth="1"/>
    <col min="10" max="10" width="8" style="319" customWidth="1"/>
    <col min="11" max="11" width="30.85546875" style="314" customWidth="1"/>
    <col min="12" max="27" width="8.7109375" style="314" customWidth="1"/>
    <col min="28" max="16384" width="14.42578125" style="314"/>
  </cols>
  <sheetData>
    <row r="1" spans="1:11" s="321" customFormat="1" ht="18.75" customHeight="1" x14ac:dyDescent="0.3">
      <c r="A1" s="321" t="s">
        <v>8374</v>
      </c>
      <c r="B1" s="321" t="s">
        <v>7064</v>
      </c>
      <c r="C1" s="321" t="s">
        <v>7121</v>
      </c>
      <c r="D1" s="180" t="s">
        <v>33</v>
      </c>
      <c r="E1" s="180" t="s">
        <v>8256</v>
      </c>
      <c r="F1" s="350" t="s">
        <v>7380</v>
      </c>
      <c r="G1" s="631" t="s">
        <v>39</v>
      </c>
      <c r="H1" s="650" t="s">
        <v>9571</v>
      </c>
      <c r="I1" s="321" t="s">
        <v>9737</v>
      </c>
      <c r="J1" s="932"/>
    </row>
    <row r="2" spans="1:11" ht="18.75" customHeight="1" x14ac:dyDescent="0.3">
      <c r="A2" s="314" t="s">
        <v>10973</v>
      </c>
      <c r="B2" s="314" t="s">
        <v>1929</v>
      </c>
      <c r="C2" s="323" t="s">
        <v>10972</v>
      </c>
      <c r="F2" s="351"/>
      <c r="G2" s="632">
        <v>6201195600</v>
      </c>
    </row>
    <row r="3" spans="1:11" ht="18.75" customHeight="1" x14ac:dyDescent="0.3">
      <c r="A3" s="147" t="s">
        <v>7448</v>
      </c>
      <c r="B3" s="147" t="s">
        <v>7449</v>
      </c>
      <c r="C3" s="323" t="s">
        <v>8520</v>
      </c>
      <c r="D3" s="272">
        <v>33368</v>
      </c>
      <c r="E3" s="272">
        <v>45138</v>
      </c>
      <c r="F3" s="281"/>
      <c r="G3" s="634">
        <v>8092161676</v>
      </c>
      <c r="I3" s="314">
        <v>300</v>
      </c>
    </row>
    <row r="4" spans="1:11" ht="18.75" customHeight="1" x14ac:dyDescent="0.3">
      <c r="A4" s="147" t="s">
        <v>7448</v>
      </c>
      <c r="B4" s="147" t="s">
        <v>7449</v>
      </c>
      <c r="C4" s="323" t="s">
        <v>11142</v>
      </c>
      <c r="D4" s="272">
        <v>33368</v>
      </c>
      <c r="E4" s="272">
        <v>45138</v>
      </c>
      <c r="F4" s="281"/>
      <c r="G4" s="634">
        <v>8092161676</v>
      </c>
      <c r="I4" s="314" t="s">
        <v>7087</v>
      </c>
      <c r="J4" s="319" t="s">
        <v>7058</v>
      </c>
    </row>
    <row r="5" spans="1:11" ht="18.75" customHeight="1" x14ac:dyDescent="0.3">
      <c r="A5" s="147" t="s">
        <v>7395</v>
      </c>
      <c r="B5" s="147" t="s">
        <v>7396</v>
      </c>
      <c r="C5" s="315" t="s">
        <v>7397</v>
      </c>
      <c r="D5" s="272">
        <v>35248</v>
      </c>
      <c r="E5" s="320">
        <v>44743</v>
      </c>
      <c r="F5" s="281">
        <v>506165653927</v>
      </c>
      <c r="G5" s="633">
        <v>8092161674</v>
      </c>
      <c r="H5" s="651"/>
    </row>
    <row r="6" spans="1:11" ht="18.75" customHeight="1" x14ac:dyDescent="0.3">
      <c r="A6" s="314" t="s">
        <v>11086</v>
      </c>
      <c r="B6" s="314" t="s">
        <v>11087</v>
      </c>
      <c r="C6" s="323" t="s">
        <v>11088</v>
      </c>
      <c r="D6" s="320">
        <v>35638</v>
      </c>
      <c r="E6" s="320">
        <v>45500</v>
      </c>
      <c r="H6" s="652">
        <v>24000</v>
      </c>
      <c r="I6" s="314">
        <v>400</v>
      </c>
      <c r="J6" s="319" t="s">
        <v>7057</v>
      </c>
    </row>
    <row r="7" spans="1:11" ht="18.75" customHeight="1" x14ac:dyDescent="0.3">
      <c r="A7" s="314" t="s">
        <v>8873</v>
      </c>
      <c r="B7" s="314" t="s">
        <v>9836</v>
      </c>
      <c r="C7" s="347" t="s">
        <v>8874</v>
      </c>
      <c r="E7" s="320">
        <v>44890</v>
      </c>
      <c r="G7" s="632">
        <v>6201843720</v>
      </c>
    </row>
    <row r="8" spans="1:11" ht="18.75" customHeight="1" x14ac:dyDescent="0.3">
      <c r="A8" s="314" t="s">
        <v>11545</v>
      </c>
      <c r="B8" s="314" t="s">
        <v>11546</v>
      </c>
      <c r="C8" s="323" t="s">
        <v>11547</v>
      </c>
      <c r="D8" s="320">
        <v>31297</v>
      </c>
      <c r="F8" s="351">
        <v>237808065119</v>
      </c>
      <c r="G8" s="632">
        <v>9304118194</v>
      </c>
      <c r="K8" s="314">
        <f>H8*I8*J8/36500</f>
        <v>0</v>
      </c>
    </row>
    <row r="9" spans="1:11" ht="18.75" customHeight="1" x14ac:dyDescent="0.3">
      <c r="A9" s="147" t="s">
        <v>7381</v>
      </c>
      <c r="B9" s="147" t="s">
        <v>7382</v>
      </c>
      <c r="C9" s="147" t="s">
        <v>7383</v>
      </c>
      <c r="D9" s="318">
        <v>25904</v>
      </c>
      <c r="E9" s="320">
        <v>44743</v>
      </c>
      <c r="F9" s="281">
        <v>588814688761</v>
      </c>
      <c r="G9" s="633">
        <v>9279234168</v>
      </c>
      <c r="H9" s="651"/>
    </row>
    <row r="10" spans="1:11" ht="18.75" customHeight="1" x14ac:dyDescent="0.3">
      <c r="A10" s="314" t="s">
        <v>8514</v>
      </c>
      <c r="B10" s="314" t="s">
        <v>6695</v>
      </c>
      <c r="C10" s="323" t="s">
        <v>8515</v>
      </c>
      <c r="E10" s="320">
        <v>45119</v>
      </c>
      <c r="F10" s="319">
        <v>11000</v>
      </c>
      <c r="G10" s="632">
        <v>9102012423</v>
      </c>
    </row>
    <row r="11" spans="1:11" ht="18.75" customHeight="1" x14ac:dyDescent="0.3">
      <c r="A11" s="314" t="s">
        <v>8514</v>
      </c>
      <c r="B11" s="314" t="s">
        <v>6695</v>
      </c>
      <c r="C11" s="323" t="s">
        <v>8515</v>
      </c>
      <c r="E11" s="320">
        <v>45479</v>
      </c>
      <c r="G11" s="632">
        <v>9102012423</v>
      </c>
      <c r="H11" s="652">
        <v>4650</v>
      </c>
      <c r="I11" s="314">
        <v>200</v>
      </c>
      <c r="J11" s="319" t="s">
        <v>10871</v>
      </c>
    </row>
    <row r="12" spans="1:11" ht="18.75" customHeight="1" x14ac:dyDescent="0.3">
      <c r="A12" s="314" t="s">
        <v>1667</v>
      </c>
      <c r="B12" s="314" t="s">
        <v>1666</v>
      </c>
      <c r="C12" s="323" t="s">
        <v>10833</v>
      </c>
      <c r="E12" s="320">
        <v>45467</v>
      </c>
      <c r="G12" s="632">
        <v>9939221087</v>
      </c>
      <c r="H12" s="652">
        <v>24220</v>
      </c>
      <c r="I12" s="314">
        <v>500</v>
      </c>
      <c r="J12" s="319" t="s">
        <v>10871</v>
      </c>
    </row>
    <row r="13" spans="1:11" ht="18.75" customHeight="1" x14ac:dyDescent="0.3">
      <c r="A13" s="147" t="s">
        <v>7398</v>
      </c>
      <c r="B13" s="147" t="s">
        <v>7399</v>
      </c>
      <c r="C13" s="315" t="s">
        <v>7400</v>
      </c>
      <c r="D13" s="272">
        <v>28550</v>
      </c>
      <c r="E13" s="272">
        <v>45120</v>
      </c>
      <c r="F13" s="281">
        <v>573458807266</v>
      </c>
      <c r="G13" s="633">
        <v>9470030023</v>
      </c>
      <c r="H13" s="651">
        <v>0</v>
      </c>
      <c r="I13" s="147">
        <v>250</v>
      </c>
    </row>
    <row r="14" spans="1:11" ht="18.75" customHeight="1" x14ac:dyDescent="0.3">
      <c r="A14" s="147" t="s">
        <v>7398</v>
      </c>
      <c r="B14" s="147" t="s">
        <v>7399</v>
      </c>
      <c r="C14" s="315" t="s">
        <v>7400</v>
      </c>
      <c r="D14" s="272">
        <v>28550</v>
      </c>
      <c r="E14" s="320">
        <v>45486</v>
      </c>
      <c r="F14" s="281">
        <v>573458807266</v>
      </c>
      <c r="G14" s="633">
        <v>9470030023</v>
      </c>
      <c r="H14" s="651">
        <v>0</v>
      </c>
      <c r="I14" s="147"/>
    </row>
    <row r="15" spans="1:11" ht="18.75" customHeight="1" x14ac:dyDescent="0.3">
      <c r="A15" s="314" t="s">
        <v>9715</v>
      </c>
      <c r="B15" s="314" t="s">
        <v>9716</v>
      </c>
      <c r="C15" s="323" t="s">
        <v>9717</v>
      </c>
      <c r="E15" s="320">
        <v>45117</v>
      </c>
      <c r="G15" s="632">
        <v>6205972699</v>
      </c>
      <c r="H15" s="652">
        <v>41020</v>
      </c>
    </row>
    <row r="16" spans="1:11" ht="18.75" customHeight="1" x14ac:dyDescent="0.3">
      <c r="A16" s="314" t="s">
        <v>11145</v>
      </c>
      <c r="B16" s="314" t="s">
        <v>11143</v>
      </c>
      <c r="C16" s="323" t="s">
        <v>11144</v>
      </c>
      <c r="D16" s="320">
        <v>27094</v>
      </c>
      <c r="E16" s="320">
        <v>45504</v>
      </c>
      <c r="G16" s="632">
        <v>9031351310</v>
      </c>
      <c r="I16" s="314">
        <v>300</v>
      </c>
      <c r="J16" s="319" t="s">
        <v>10871</v>
      </c>
    </row>
    <row r="17" spans="1:10" ht="18.75" customHeight="1" x14ac:dyDescent="0.3">
      <c r="A17" s="314" t="s">
        <v>11007</v>
      </c>
      <c r="B17" s="314" t="s">
        <v>11008</v>
      </c>
      <c r="C17" s="314" t="s">
        <v>11015</v>
      </c>
      <c r="E17" s="320">
        <v>45490</v>
      </c>
      <c r="H17" s="652" t="s">
        <v>11025</v>
      </c>
      <c r="I17" s="314">
        <v>300</v>
      </c>
      <c r="J17" s="319" t="s">
        <v>7058</v>
      </c>
    </row>
    <row r="18" spans="1:10" ht="18.75" customHeight="1" x14ac:dyDescent="0.3">
      <c r="A18" s="147" t="s">
        <v>7440</v>
      </c>
      <c r="B18" s="147" t="s">
        <v>7441</v>
      </c>
      <c r="C18" s="315" t="s">
        <v>7442</v>
      </c>
      <c r="E18" s="320">
        <v>44743</v>
      </c>
      <c r="F18" s="281"/>
    </row>
    <row r="19" spans="1:10" ht="18.75" customHeight="1" x14ac:dyDescent="0.3">
      <c r="A19" s="147" t="s">
        <v>7438</v>
      </c>
      <c r="B19" s="147" t="s">
        <v>2734</v>
      </c>
      <c r="C19" s="315" t="s">
        <v>7439</v>
      </c>
      <c r="D19" s="272">
        <v>28491</v>
      </c>
      <c r="E19" s="320">
        <v>44743</v>
      </c>
      <c r="F19" s="281"/>
    </row>
    <row r="20" spans="1:10" ht="18.75" customHeight="1" x14ac:dyDescent="0.3">
      <c r="A20" s="314" t="s">
        <v>8516</v>
      </c>
      <c r="B20" s="314" t="s">
        <v>8517</v>
      </c>
      <c r="C20" s="314" t="s">
        <v>8518</v>
      </c>
      <c r="E20" s="320">
        <v>44771</v>
      </c>
    </row>
    <row r="21" spans="1:10" ht="18.75" customHeight="1" x14ac:dyDescent="0.3">
      <c r="A21" s="314" t="s">
        <v>10755</v>
      </c>
      <c r="B21" s="314" t="s">
        <v>10756</v>
      </c>
      <c r="C21" s="323" t="s">
        <v>10757</v>
      </c>
      <c r="D21" s="320">
        <v>21915</v>
      </c>
      <c r="G21" s="632">
        <v>8863826939</v>
      </c>
    </row>
    <row r="22" spans="1:10" ht="18.75" customHeight="1" x14ac:dyDescent="0.3">
      <c r="A22" s="314" t="s">
        <v>8440</v>
      </c>
      <c r="B22" s="314" t="s">
        <v>8433</v>
      </c>
      <c r="C22" s="323" t="s">
        <v>7335</v>
      </c>
      <c r="E22" s="320">
        <v>44766</v>
      </c>
      <c r="G22" s="632">
        <v>8235667939</v>
      </c>
    </row>
    <row r="23" spans="1:10" ht="18.75" customHeight="1" x14ac:dyDescent="0.3">
      <c r="A23" s="147" t="s">
        <v>7391</v>
      </c>
      <c r="B23" s="147" t="s">
        <v>7392</v>
      </c>
      <c r="C23" s="315" t="s">
        <v>7393</v>
      </c>
      <c r="D23" s="318" t="s">
        <v>7394</v>
      </c>
      <c r="E23" s="320">
        <v>44743</v>
      </c>
      <c r="F23" s="281">
        <v>734464059996</v>
      </c>
      <c r="G23" s="634">
        <v>9162591889</v>
      </c>
      <c r="H23" s="651"/>
    </row>
    <row r="24" spans="1:10" ht="18.75" customHeight="1" x14ac:dyDescent="0.3">
      <c r="A24" s="314" t="s">
        <v>9870</v>
      </c>
      <c r="B24" s="314" t="s">
        <v>7106</v>
      </c>
      <c r="C24" s="323" t="s">
        <v>9871</v>
      </c>
      <c r="E24" s="320">
        <v>45135</v>
      </c>
      <c r="G24" s="632">
        <v>7004842583</v>
      </c>
      <c r="I24" s="314">
        <v>300</v>
      </c>
    </row>
    <row r="25" spans="1:10" ht="18.75" customHeight="1" x14ac:dyDescent="0.3">
      <c r="A25" s="314" t="s">
        <v>10148</v>
      </c>
      <c r="B25" s="314" t="s">
        <v>10149</v>
      </c>
      <c r="C25" s="323" t="s">
        <v>10150</v>
      </c>
      <c r="D25" s="320">
        <v>34761</v>
      </c>
      <c r="F25" s="319">
        <v>455011794359</v>
      </c>
      <c r="G25" s="632">
        <v>9204486584</v>
      </c>
    </row>
    <row r="26" spans="1:10" ht="18.75" customHeight="1" x14ac:dyDescent="0.3">
      <c r="A26" s="314" t="s">
        <v>8350</v>
      </c>
      <c r="B26" s="314" t="s">
        <v>8351</v>
      </c>
      <c r="C26" s="227" t="s">
        <v>8352</v>
      </c>
      <c r="E26" s="320">
        <v>45120</v>
      </c>
    </row>
    <row r="27" spans="1:10" ht="18.75" customHeight="1" x14ac:dyDescent="0.3">
      <c r="A27" s="314" t="s">
        <v>8350</v>
      </c>
      <c r="B27" s="314" t="s">
        <v>8351</v>
      </c>
      <c r="C27" s="227" t="s">
        <v>8352</v>
      </c>
      <c r="E27" s="320">
        <v>45494</v>
      </c>
      <c r="G27" s="632">
        <v>9771209111</v>
      </c>
      <c r="I27" s="314">
        <f>300+200</f>
        <v>500</v>
      </c>
      <c r="J27" s="319" t="s">
        <v>7057</v>
      </c>
    </row>
    <row r="28" spans="1:10" ht="18.75" customHeight="1" x14ac:dyDescent="0.3">
      <c r="A28" s="147" t="s">
        <v>7464</v>
      </c>
      <c r="B28" s="147" t="s">
        <v>7465</v>
      </c>
      <c r="C28" s="315" t="s">
        <v>7466</v>
      </c>
      <c r="D28" s="272">
        <v>28111</v>
      </c>
      <c r="E28" s="320">
        <v>44743</v>
      </c>
    </row>
    <row r="29" spans="1:10" ht="18.75" customHeight="1" x14ac:dyDescent="0.3">
      <c r="A29" s="147" t="s">
        <v>7464</v>
      </c>
      <c r="B29" s="147" t="s">
        <v>7465</v>
      </c>
      <c r="C29" s="315" t="s">
        <v>7466</v>
      </c>
      <c r="D29" s="272">
        <v>28111</v>
      </c>
      <c r="E29" s="320">
        <v>45504</v>
      </c>
      <c r="J29" s="319" t="s">
        <v>10871</v>
      </c>
    </row>
    <row r="30" spans="1:10" ht="18.75" customHeight="1" x14ac:dyDescent="0.3">
      <c r="A30" s="314" t="s">
        <v>8280</v>
      </c>
      <c r="B30" s="314" t="s">
        <v>972</v>
      </c>
      <c r="C30" s="227" t="s">
        <v>8279</v>
      </c>
      <c r="E30" s="320">
        <v>44747</v>
      </c>
      <c r="G30" s="632">
        <v>7903129619</v>
      </c>
    </row>
    <row r="31" spans="1:10" ht="18.75" customHeight="1" x14ac:dyDescent="0.3">
      <c r="A31" s="314" t="s">
        <v>9557</v>
      </c>
      <c r="B31" s="314" t="s">
        <v>9489</v>
      </c>
      <c r="C31" s="323" t="s">
        <v>9558</v>
      </c>
      <c r="E31" s="320">
        <v>45090</v>
      </c>
      <c r="G31" s="632">
        <v>7250111700</v>
      </c>
    </row>
    <row r="32" spans="1:10" ht="18.75" customHeight="1" x14ac:dyDescent="0.3">
      <c r="A32" s="314" t="s">
        <v>9873</v>
      </c>
      <c r="C32" s="323" t="s">
        <v>9872</v>
      </c>
      <c r="E32" s="320">
        <v>45135</v>
      </c>
      <c r="G32" s="632">
        <v>8235429755</v>
      </c>
      <c r="I32" s="314">
        <v>300</v>
      </c>
    </row>
    <row r="33" spans="1:10" ht="18.75" customHeight="1" x14ac:dyDescent="0.3">
      <c r="A33" s="147" t="s">
        <v>7420</v>
      </c>
      <c r="B33" s="147" t="s">
        <v>7421</v>
      </c>
      <c r="C33" s="315" t="s">
        <v>7422</v>
      </c>
      <c r="D33" s="272">
        <v>32666</v>
      </c>
      <c r="E33" s="320">
        <v>44743</v>
      </c>
      <c r="F33" s="281">
        <v>785214127251</v>
      </c>
      <c r="G33" s="634" t="s">
        <v>7423</v>
      </c>
      <c r="H33" s="651"/>
    </row>
    <row r="34" spans="1:10" ht="18.75" customHeight="1" x14ac:dyDescent="0.3">
      <c r="A34" s="314" t="s">
        <v>8490</v>
      </c>
      <c r="B34" s="314" t="s">
        <v>8491</v>
      </c>
      <c r="C34" s="314" t="s">
        <v>8492</v>
      </c>
      <c r="E34" s="320">
        <v>44743</v>
      </c>
      <c r="G34" s="632">
        <v>9199250421</v>
      </c>
    </row>
    <row r="35" spans="1:10" ht="18.75" customHeight="1" x14ac:dyDescent="0.3">
      <c r="A35" s="314" t="s">
        <v>8460</v>
      </c>
      <c r="B35" s="314" t="s">
        <v>8461</v>
      </c>
      <c r="C35" s="314" t="s">
        <v>7094</v>
      </c>
      <c r="D35" s="320">
        <v>27395</v>
      </c>
      <c r="E35" s="320">
        <v>44743</v>
      </c>
      <c r="G35" s="632">
        <v>6200186843</v>
      </c>
    </row>
    <row r="36" spans="1:10" ht="18.75" customHeight="1" x14ac:dyDescent="0.3">
      <c r="A36" s="314" t="s">
        <v>8535</v>
      </c>
      <c r="B36" s="314" t="s">
        <v>8467</v>
      </c>
      <c r="C36" s="314" t="s">
        <v>8534</v>
      </c>
      <c r="E36" s="320">
        <v>44743</v>
      </c>
      <c r="G36" s="632">
        <v>9204258430</v>
      </c>
    </row>
    <row r="37" spans="1:10" ht="18.75" customHeight="1" x14ac:dyDescent="0.3">
      <c r="A37" s="314" t="s">
        <v>8499</v>
      </c>
      <c r="B37" s="314" t="s">
        <v>8500</v>
      </c>
      <c r="C37" s="314" t="s">
        <v>8537</v>
      </c>
      <c r="E37" s="320">
        <v>44743</v>
      </c>
      <c r="G37" s="632">
        <v>8709475008</v>
      </c>
    </row>
    <row r="38" spans="1:10" ht="18.75" customHeight="1" x14ac:dyDescent="0.3">
      <c r="A38" s="314" t="s">
        <v>8453</v>
      </c>
      <c r="B38" s="314" t="s">
        <v>8452</v>
      </c>
      <c r="C38" s="323" t="s">
        <v>8454</v>
      </c>
      <c r="E38" s="320">
        <v>44767</v>
      </c>
      <c r="G38" s="632">
        <v>9028327454</v>
      </c>
    </row>
    <row r="39" spans="1:10" ht="18.75" customHeight="1" x14ac:dyDescent="0.3">
      <c r="A39" s="147" t="s">
        <v>7443</v>
      </c>
      <c r="B39" s="147" t="s">
        <v>3300</v>
      </c>
      <c r="C39" s="315" t="s">
        <v>7444</v>
      </c>
      <c r="D39" s="272">
        <v>34770</v>
      </c>
      <c r="E39" s="320">
        <v>44743</v>
      </c>
      <c r="F39" s="281">
        <v>341564678480</v>
      </c>
      <c r="G39" s="634">
        <v>6203684208</v>
      </c>
      <c r="H39" s="651"/>
    </row>
    <row r="40" spans="1:10" ht="18.75" customHeight="1" x14ac:dyDescent="0.3">
      <c r="A40" s="147" t="s">
        <v>7410</v>
      </c>
      <c r="B40" s="147" t="s">
        <v>7125</v>
      </c>
      <c r="C40" s="315" t="s">
        <v>7411</v>
      </c>
      <c r="D40" s="272">
        <v>30301</v>
      </c>
      <c r="E40" s="320">
        <v>44743</v>
      </c>
      <c r="F40" s="281">
        <v>311043095182</v>
      </c>
      <c r="G40" s="633">
        <v>7903634461</v>
      </c>
      <c r="H40" s="651"/>
      <c r="I40" s="147"/>
    </row>
    <row r="41" spans="1:10" ht="18.75" customHeight="1" x14ac:dyDescent="0.3">
      <c r="A41" s="314" t="s">
        <v>8532</v>
      </c>
      <c r="B41" s="314" t="s">
        <v>8533</v>
      </c>
      <c r="C41" s="314" t="s">
        <v>8534</v>
      </c>
      <c r="E41" s="320">
        <v>44743</v>
      </c>
      <c r="G41" s="632">
        <v>9431953562</v>
      </c>
    </row>
    <row r="42" spans="1:10" ht="18.75" customHeight="1" x14ac:dyDescent="0.3">
      <c r="A42" s="314" t="s">
        <v>9796</v>
      </c>
      <c r="B42" s="314" t="s">
        <v>9795</v>
      </c>
      <c r="C42" s="314" t="s">
        <v>9797</v>
      </c>
      <c r="D42" s="320">
        <v>29174</v>
      </c>
      <c r="E42" s="320">
        <v>45127</v>
      </c>
      <c r="G42" s="632">
        <v>8210876461</v>
      </c>
      <c r="I42" s="314">
        <v>200</v>
      </c>
    </row>
    <row r="43" spans="1:10" ht="18.75" customHeight="1" x14ac:dyDescent="0.3">
      <c r="A43" s="314" t="s">
        <v>9796</v>
      </c>
      <c r="B43" s="314" t="s">
        <v>9795</v>
      </c>
      <c r="C43" s="314" t="s">
        <v>9797</v>
      </c>
      <c r="D43" s="320">
        <v>29174</v>
      </c>
      <c r="E43" s="320"/>
      <c r="G43" s="632">
        <v>8210876461</v>
      </c>
    </row>
    <row r="44" spans="1:10" ht="18.75" customHeight="1" x14ac:dyDescent="0.3">
      <c r="A44" s="314" t="s">
        <v>9796</v>
      </c>
      <c r="B44" s="314" t="s">
        <v>9795</v>
      </c>
      <c r="C44" s="314" t="s">
        <v>9797</v>
      </c>
      <c r="D44" s="320">
        <v>29174</v>
      </c>
      <c r="E44" s="320">
        <v>45464</v>
      </c>
      <c r="G44" s="632">
        <v>8210876461</v>
      </c>
      <c r="I44" s="314">
        <v>200</v>
      </c>
    </row>
    <row r="45" spans="1:10" ht="18.75" customHeight="1" x14ac:dyDescent="0.3">
      <c r="A45" s="314" t="s">
        <v>9744</v>
      </c>
      <c r="B45" s="314" t="s">
        <v>9745</v>
      </c>
      <c r="C45" t="s">
        <v>9746</v>
      </c>
      <c r="D45" s="320">
        <v>25102</v>
      </c>
      <c r="E45" s="320">
        <v>45120</v>
      </c>
      <c r="G45" s="632">
        <v>8797178310</v>
      </c>
      <c r="H45" s="652">
        <v>1050</v>
      </c>
      <c r="I45" s="314">
        <v>250</v>
      </c>
    </row>
    <row r="46" spans="1:10" ht="18.75" customHeight="1" x14ac:dyDescent="0.3">
      <c r="A46" s="314" t="s">
        <v>8421</v>
      </c>
      <c r="B46" s="314" t="s">
        <v>8422</v>
      </c>
      <c r="C46" s="347" t="s">
        <v>8423</v>
      </c>
      <c r="D46" s="320">
        <v>28859</v>
      </c>
      <c r="E46" s="320">
        <v>45136</v>
      </c>
      <c r="F46" s="351">
        <v>596020707724</v>
      </c>
      <c r="G46" s="632">
        <v>7004519122</v>
      </c>
      <c r="I46" s="314">
        <v>200</v>
      </c>
    </row>
    <row r="47" spans="1:10" ht="18.75" customHeight="1" x14ac:dyDescent="0.3">
      <c r="A47" s="314" t="s">
        <v>8421</v>
      </c>
      <c r="B47" s="314" t="s">
        <v>8422</v>
      </c>
      <c r="C47" s="347" t="s">
        <v>8423</v>
      </c>
      <c r="D47" s="320">
        <v>28859</v>
      </c>
      <c r="E47" s="320"/>
      <c r="F47" s="351">
        <v>596020707724</v>
      </c>
      <c r="G47" s="632">
        <v>7004519122</v>
      </c>
      <c r="I47" s="314">
        <v>200</v>
      </c>
    </row>
    <row r="48" spans="1:10" ht="18.75" customHeight="1" x14ac:dyDescent="0.3">
      <c r="A48" s="314" t="s">
        <v>8421</v>
      </c>
      <c r="B48" s="314" t="s">
        <v>8422</v>
      </c>
      <c r="C48" s="347" t="s">
        <v>8423</v>
      </c>
      <c r="D48" s="320">
        <v>28859</v>
      </c>
      <c r="E48" s="272">
        <v>45138</v>
      </c>
      <c r="F48" s="351">
        <v>596020707724</v>
      </c>
      <c r="G48" s="632">
        <v>7004519122</v>
      </c>
      <c r="J48" s="319" t="s">
        <v>10974</v>
      </c>
    </row>
    <row r="49" spans="1:10" ht="18.75" customHeight="1" x14ac:dyDescent="0.3">
      <c r="A49" s="314" t="s">
        <v>8431</v>
      </c>
      <c r="B49" s="314" t="s">
        <v>8432</v>
      </c>
      <c r="C49" s="323" t="s">
        <v>9864</v>
      </c>
      <c r="E49" s="272">
        <v>45134</v>
      </c>
      <c r="G49" s="632">
        <v>9031734009</v>
      </c>
      <c r="I49" s="314">
        <v>200</v>
      </c>
    </row>
    <row r="50" spans="1:10" ht="18.75" customHeight="1" x14ac:dyDescent="0.3">
      <c r="A50" s="314" t="s">
        <v>8431</v>
      </c>
      <c r="B50" s="314" t="s">
        <v>8432</v>
      </c>
      <c r="C50" s="323" t="s">
        <v>10773</v>
      </c>
      <c r="E50" s="320">
        <v>45458</v>
      </c>
      <c r="I50" s="314">
        <v>200</v>
      </c>
    </row>
    <row r="51" spans="1:10" ht="18.75" customHeight="1" x14ac:dyDescent="0.3">
      <c r="A51" s="314" t="s">
        <v>11037</v>
      </c>
      <c r="B51" s="314" t="s">
        <v>4276</v>
      </c>
      <c r="C51" s="314" t="s">
        <v>11038</v>
      </c>
      <c r="E51" s="320">
        <v>45494</v>
      </c>
      <c r="I51" s="314">
        <v>300</v>
      </c>
      <c r="J51" s="319" t="s">
        <v>10871</v>
      </c>
    </row>
    <row r="52" spans="1:10" ht="18.75" customHeight="1" x14ac:dyDescent="0.3">
      <c r="A52" s="314" t="s">
        <v>9583</v>
      </c>
      <c r="B52" s="314" t="s">
        <v>247</v>
      </c>
      <c r="C52" s="347" t="s">
        <v>9582</v>
      </c>
      <c r="D52" s="320">
        <v>27139</v>
      </c>
      <c r="E52" s="320">
        <v>45096</v>
      </c>
      <c r="G52" s="632">
        <v>6205100363</v>
      </c>
      <c r="H52" s="652">
        <v>5380</v>
      </c>
    </row>
    <row r="53" spans="1:10" ht="18.75" customHeight="1" x14ac:dyDescent="0.3">
      <c r="A53" s="147" t="s">
        <v>8192</v>
      </c>
      <c r="B53" s="147" t="s">
        <v>8190</v>
      </c>
      <c r="C53" s="1466" t="s">
        <v>8191</v>
      </c>
      <c r="D53" s="320">
        <v>28906</v>
      </c>
      <c r="E53" s="320">
        <v>44743</v>
      </c>
      <c r="G53" s="634">
        <v>6295717297</v>
      </c>
    </row>
    <row r="54" spans="1:10" ht="18.75" customHeight="1" x14ac:dyDescent="0.3">
      <c r="A54" s="314" t="s">
        <v>9590</v>
      </c>
      <c r="B54" s="314" t="s">
        <v>9594</v>
      </c>
      <c r="C54" s="314" t="s">
        <v>9591</v>
      </c>
      <c r="E54" s="320">
        <v>45097</v>
      </c>
    </row>
    <row r="55" spans="1:10" ht="18.75" customHeight="1" x14ac:dyDescent="0.3">
      <c r="A55" s="316" t="s">
        <v>7507</v>
      </c>
      <c r="B55" s="147" t="s">
        <v>7508</v>
      </c>
      <c r="C55" s="147" t="s">
        <v>7509</v>
      </c>
      <c r="E55" s="320">
        <v>44743</v>
      </c>
    </row>
    <row r="56" spans="1:10" ht="18.75" customHeight="1" x14ac:dyDescent="0.3">
      <c r="A56" s="314" t="s">
        <v>11075</v>
      </c>
      <c r="B56" s="314" t="s">
        <v>11076</v>
      </c>
      <c r="C56" s="455" t="s">
        <v>11077</v>
      </c>
      <c r="D56" s="320">
        <v>31871</v>
      </c>
      <c r="E56" s="320">
        <v>45499</v>
      </c>
      <c r="G56" s="632">
        <v>9939269748</v>
      </c>
      <c r="H56" s="652">
        <v>0</v>
      </c>
      <c r="I56" s="314">
        <v>300</v>
      </c>
      <c r="J56" s="319" t="s">
        <v>10871</v>
      </c>
    </row>
    <row r="57" spans="1:10" ht="18.75" customHeight="1" x14ac:dyDescent="0.3">
      <c r="A57" s="314" t="s">
        <v>9643</v>
      </c>
      <c r="B57" s="314" t="s">
        <v>9644</v>
      </c>
      <c r="C57" s="455" t="s">
        <v>9645</v>
      </c>
      <c r="E57" s="320">
        <v>45105</v>
      </c>
      <c r="G57" s="632">
        <v>9955980111</v>
      </c>
      <c r="H57" s="652">
        <v>7360</v>
      </c>
    </row>
    <row r="58" spans="1:10" ht="18.75" customHeight="1" x14ac:dyDescent="0.3">
      <c r="A58" s="314" t="s">
        <v>9643</v>
      </c>
      <c r="B58" s="314" t="s">
        <v>9644</v>
      </c>
      <c r="C58" s="323" t="s">
        <v>9645</v>
      </c>
      <c r="E58" s="320">
        <v>45105</v>
      </c>
      <c r="G58" s="632">
        <v>9955980111</v>
      </c>
      <c r="H58" s="652">
        <v>7360</v>
      </c>
      <c r="I58" s="314">
        <v>300</v>
      </c>
      <c r="J58" s="319" t="s">
        <v>10871</v>
      </c>
    </row>
    <row r="59" spans="1:10" ht="18.75" customHeight="1" x14ac:dyDescent="0.3">
      <c r="A59" s="147" t="s">
        <v>7487</v>
      </c>
      <c r="B59" s="147" t="s">
        <v>7488</v>
      </c>
      <c r="C59" s="147" t="s">
        <v>7489</v>
      </c>
      <c r="E59" s="320">
        <v>44743</v>
      </c>
    </row>
    <row r="60" spans="1:10" ht="18.75" customHeight="1" x14ac:dyDescent="0.3">
      <c r="A60" s="147" t="s">
        <v>7487</v>
      </c>
      <c r="B60" s="147" t="s">
        <v>7488</v>
      </c>
      <c r="C60" s="347" t="s">
        <v>10975</v>
      </c>
      <c r="E60" s="320">
        <v>45486</v>
      </c>
      <c r="I60" s="314">
        <v>200</v>
      </c>
      <c r="J60" s="319" t="s">
        <v>10974</v>
      </c>
    </row>
    <row r="61" spans="1:10" ht="18.75" customHeight="1" x14ac:dyDescent="0.3">
      <c r="A61" s="314" t="s">
        <v>10140</v>
      </c>
      <c r="B61" s="314" t="s">
        <v>7068</v>
      </c>
      <c r="C61" s="323" t="s">
        <v>10139</v>
      </c>
    </row>
    <row r="62" spans="1:10" ht="18.75" customHeight="1" x14ac:dyDescent="0.3">
      <c r="A62" s="314" t="s">
        <v>10140</v>
      </c>
      <c r="B62" s="314" t="s">
        <v>7068</v>
      </c>
      <c r="C62" s="323" t="s">
        <v>10139</v>
      </c>
      <c r="E62" s="320">
        <v>45500</v>
      </c>
      <c r="G62" s="632">
        <v>9931532570</v>
      </c>
      <c r="H62" s="652">
        <v>7850</v>
      </c>
      <c r="I62" s="314">
        <v>300</v>
      </c>
      <c r="J62" s="319" t="s">
        <v>10974</v>
      </c>
    </row>
    <row r="63" spans="1:10" ht="18.75" customHeight="1" x14ac:dyDescent="0.3">
      <c r="A63" s="314" t="s">
        <v>9842</v>
      </c>
      <c r="B63" s="314" t="s">
        <v>9843</v>
      </c>
      <c r="C63" s="323" t="s">
        <v>9844</v>
      </c>
      <c r="D63" s="320">
        <v>26299</v>
      </c>
      <c r="E63" s="320">
        <v>45128</v>
      </c>
      <c r="G63" s="632">
        <v>8051068088</v>
      </c>
      <c r="H63" s="652">
        <v>0</v>
      </c>
      <c r="I63" s="314">
        <v>200</v>
      </c>
    </row>
    <row r="64" spans="1:10" ht="18.75" customHeight="1" x14ac:dyDescent="0.3">
      <c r="A64" s="314" t="s">
        <v>9842</v>
      </c>
      <c r="B64" s="314" t="s">
        <v>9843</v>
      </c>
      <c r="C64" s="323" t="s">
        <v>9844</v>
      </c>
      <c r="D64" s="320">
        <v>26299</v>
      </c>
      <c r="E64" s="320"/>
      <c r="G64" s="632">
        <v>8051068088</v>
      </c>
      <c r="H64" s="652">
        <v>0</v>
      </c>
      <c r="I64" s="314">
        <v>300</v>
      </c>
      <c r="J64" s="319" t="s">
        <v>10871</v>
      </c>
    </row>
    <row r="65" spans="1:10" ht="18.75" customHeight="1" x14ac:dyDescent="0.3">
      <c r="A65" s="147" t="s">
        <v>7432</v>
      </c>
      <c r="B65" s="147" t="s">
        <v>4735</v>
      </c>
      <c r="C65" s="315" t="s">
        <v>7433</v>
      </c>
      <c r="D65" s="272">
        <v>33668</v>
      </c>
      <c r="E65" s="320">
        <v>44743</v>
      </c>
      <c r="F65" s="281"/>
    </row>
    <row r="66" spans="1:10" ht="18.75" customHeight="1" x14ac:dyDescent="0.3">
      <c r="A66" s="147" t="s">
        <v>595</v>
      </c>
      <c r="B66" s="147" t="s">
        <v>594</v>
      </c>
      <c r="C66" s="315" t="s">
        <v>7434</v>
      </c>
      <c r="D66" s="272">
        <v>26665</v>
      </c>
      <c r="E66" s="320">
        <v>44743</v>
      </c>
      <c r="F66" s="281"/>
    </row>
    <row r="67" spans="1:10" ht="18.75" customHeight="1" x14ac:dyDescent="0.3">
      <c r="A67" s="314" t="s">
        <v>11059</v>
      </c>
      <c r="B67" s="314" t="s">
        <v>11060</v>
      </c>
      <c r="C67" s="323" t="s">
        <v>11058</v>
      </c>
      <c r="D67" s="320">
        <v>27703</v>
      </c>
      <c r="E67" s="272">
        <v>45496</v>
      </c>
      <c r="G67" s="632">
        <v>8521411224</v>
      </c>
      <c r="H67" s="652">
        <v>4460</v>
      </c>
      <c r="I67" s="314">
        <v>500</v>
      </c>
      <c r="J67" s="319" t="s">
        <v>10871</v>
      </c>
    </row>
    <row r="68" spans="1:10" ht="18.75" customHeight="1" x14ac:dyDescent="0.3">
      <c r="A68" s="314" t="s">
        <v>9876</v>
      </c>
      <c r="B68" s="314" t="s">
        <v>9874</v>
      </c>
      <c r="C68" s="323" t="s">
        <v>9875</v>
      </c>
    </row>
    <row r="69" spans="1:10" ht="18.75" customHeight="1" x14ac:dyDescent="0.3">
      <c r="A69" s="314" t="s">
        <v>9876</v>
      </c>
      <c r="B69" s="314" t="s">
        <v>9874</v>
      </c>
      <c r="C69" s="323" t="s">
        <v>11081</v>
      </c>
      <c r="E69" s="320">
        <v>45500</v>
      </c>
      <c r="H69" s="652">
        <v>60030</v>
      </c>
      <c r="I69" s="314">
        <v>300</v>
      </c>
      <c r="J69" s="319" t="s">
        <v>7058</v>
      </c>
    </row>
    <row r="70" spans="1:10" ht="18.75" customHeight="1" x14ac:dyDescent="0.3">
      <c r="A70" s="314" t="s">
        <v>10970</v>
      </c>
      <c r="B70" s="314" t="s">
        <v>11039</v>
      </c>
      <c r="C70" s="323" t="s">
        <v>10971</v>
      </c>
      <c r="E70" s="320">
        <v>45486</v>
      </c>
      <c r="H70" s="652">
        <v>10000</v>
      </c>
      <c r="I70" s="314">
        <v>300</v>
      </c>
      <c r="J70" s="319" t="s">
        <v>10871</v>
      </c>
    </row>
    <row r="71" spans="1:10" ht="18.75" customHeight="1" x14ac:dyDescent="0.3">
      <c r="A71" s="314" t="s">
        <v>10961</v>
      </c>
      <c r="B71" s="314" t="s">
        <v>10848</v>
      </c>
      <c r="C71" s="323" t="s">
        <v>10849</v>
      </c>
      <c r="J71" s="319" t="s">
        <v>10871</v>
      </c>
    </row>
    <row r="72" spans="1:10" ht="18.75" customHeight="1" x14ac:dyDescent="0.3">
      <c r="A72" s="314" t="s">
        <v>11139</v>
      </c>
      <c r="B72" s="314" t="s">
        <v>11140</v>
      </c>
      <c r="C72" s="323" t="s">
        <v>11141</v>
      </c>
      <c r="D72" s="320">
        <v>27043</v>
      </c>
      <c r="E72" s="320">
        <v>45504</v>
      </c>
      <c r="G72" s="632">
        <v>9031399090</v>
      </c>
      <c r="I72" s="314">
        <v>300</v>
      </c>
      <c r="J72" s="319" t="s">
        <v>10871</v>
      </c>
    </row>
    <row r="73" spans="1:10" ht="18.75" customHeight="1" x14ac:dyDescent="0.3">
      <c r="A73" s="314" t="s">
        <v>9866</v>
      </c>
      <c r="B73" s="314" t="s">
        <v>7065</v>
      </c>
      <c r="C73" s="323" t="s">
        <v>9867</v>
      </c>
      <c r="E73" s="320">
        <v>45134</v>
      </c>
      <c r="G73" s="632">
        <v>7889664213</v>
      </c>
      <c r="I73" s="314">
        <v>100</v>
      </c>
    </row>
    <row r="74" spans="1:10" ht="18.75" customHeight="1" x14ac:dyDescent="0.3">
      <c r="A74" s="147" t="s">
        <v>7459</v>
      </c>
      <c r="B74" s="147" t="s">
        <v>7460</v>
      </c>
      <c r="C74" s="315" t="s">
        <v>7461</v>
      </c>
      <c r="D74" s="272">
        <v>29530</v>
      </c>
      <c r="E74" s="272">
        <v>45101</v>
      </c>
      <c r="F74" s="319">
        <v>11070</v>
      </c>
      <c r="G74" s="632">
        <v>9308457927</v>
      </c>
    </row>
    <row r="75" spans="1:10" ht="18.75" customHeight="1" x14ac:dyDescent="0.3">
      <c r="A75" s="147" t="s">
        <v>7459</v>
      </c>
      <c r="B75" s="147" t="s">
        <v>7460</v>
      </c>
      <c r="C75" s="315" t="s">
        <v>7461</v>
      </c>
      <c r="D75" s="272">
        <v>29530</v>
      </c>
      <c r="E75" s="320">
        <v>45457</v>
      </c>
      <c r="H75" s="921">
        <v>19900</v>
      </c>
      <c r="I75" s="314">
        <v>500</v>
      </c>
    </row>
    <row r="76" spans="1:10" ht="18.75" customHeight="1" x14ac:dyDescent="0.3">
      <c r="A76" s="314" t="s">
        <v>10802</v>
      </c>
      <c r="B76" s="314" t="s">
        <v>10803</v>
      </c>
      <c r="C76" s="323" t="s">
        <v>10804</v>
      </c>
      <c r="E76" s="320">
        <v>45463</v>
      </c>
      <c r="G76" s="632">
        <v>9234117596</v>
      </c>
      <c r="H76" s="652">
        <v>27950</v>
      </c>
      <c r="I76" s="314">
        <v>500</v>
      </c>
    </row>
    <row r="77" spans="1:10" ht="18.75" customHeight="1" x14ac:dyDescent="0.3">
      <c r="A77" s="314" t="s">
        <v>8940</v>
      </c>
      <c r="B77" s="314" t="s">
        <v>5393</v>
      </c>
      <c r="C77" t="s">
        <v>8941</v>
      </c>
      <c r="D77" s="320">
        <v>27091</v>
      </c>
      <c r="E77" s="320">
        <v>44743</v>
      </c>
      <c r="G77" s="632">
        <v>7909087990</v>
      </c>
    </row>
    <row r="78" spans="1:10" ht="18.75" customHeight="1" x14ac:dyDescent="0.3">
      <c r="A78" s="314" t="s">
        <v>10694</v>
      </c>
      <c r="B78" s="314" t="s">
        <v>2140</v>
      </c>
      <c r="C78" s="323" t="s">
        <v>10699</v>
      </c>
      <c r="D78" s="320">
        <v>33671</v>
      </c>
      <c r="H78" s="724"/>
    </row>
    <row r="79" spans="1:10" ht="18.75" customHeight="1" x14ac:dyDescent="0.3">
      <c r="A79" s="314" t="s">
        <v>10877</v>
      </c>
      <c r="B79" s="314" t="s">
        <v>10878</v>
      </c>
      <c r="C79" s="323" t="s">
        <v>10879</v>
      </c>
      <c r="E79" s="320">
        <v>45475</v>
      </c>
      <c r="G79" s="632">
        <v>9123110454</v>
      </c>
      <c r="H79" s="652">
        <v>17550</v>
      </c>
      <c r="I79" s="314">
        <v>300</v>
      </c>
      <c r="J79" s="319" t="s">
        <v>10871</v>
      </c>
    </row>
    <row r="80" spans="1:10" ht="18.75" customHeight="1" x14ac:dyDescent="0.3">
      <c r="A80" s="314" t="s">
        <v>9494</v>
      </c>
      <c r="B80" s="314" t="s">
        <v>9495</v>
      </c>
      <c r="C80" s="347" t="s">
        <v>9496</v>
      </c>
      <c r="D80" s="320">
        <v>30487</v>
      </c>
      <c r="E80" s="320">
        <v>45080</v>
      </c>
      <c r="G80" s="632">
        <v>8789978416</v>
      </c>
    </row>
    <row r="81" spans="1:10" ht="18.75" customHeight="1" x14ac:dyDescent="0.3">
      <c r="A81" s="314" t="s">
        <v>9494</v>
      </c>
      <c r="B81" s="314" t="s">
        <v>9495</v>
      </c>
      <c r="C81" s="347" t="s">
        <v>9496</v>
      </c>
      <c r="D81" s="320">
        <v>30487</v>
      </c>
      <c r="E81" s="320">
        <v>45453</v>
      </c>
      <c r="G81" s="632">
        <v>8789978416</v>
      </c>
      <c r="I81" s="314">
        <v>300</v>
      </c>
    </row>
    <row r="82" spans="1:10" ht="18.75" customHeight="1" x14ac:dyDescent="0.3">
      <c r="A82" s="314" t="s">
        <v>10915</v>
      </c>
      <c r="B82" s="314" t="s">
        <v>10916</v>
      </c>
      <c r="C82" s="323" t="s">
        <v>10917</v>
      </c>
      <c r="E82" s="320">
        <v>45480</v>
      </c>
      <c r="G82" s="632">
        <v>6203219058</v>
      </c>
      <c r="H82" s="652">
        <v>27470</v>
      </c>
      <c r="I82" s="314">
        <v>500</v>
      </c>
      <c r="J82" s="319" t="s">
        <v>10871</v>
      </c>
    </row>
    <row r="83" spans="1:10" ht="18.75" customHeight="1" x14ac:dyDescent="0.3">
      <c r="A83" s="314" t="s">
        <v>9760</v>
      </c>
      <c r="B83" s="314" t="s">
        <v>9761</v>
      </c>
      <c r="C83" t="s">
        <v>9762</v>
      </c>
      <c r="D83" s="320">
        <v>26538</v>
      </c>
      <c r="E83" s="320">
        <v>45123</v>
      </c>
      <c r="G83" s="632">
        <v>8797946237</v>
      </c>
      <c r="H83" s="652">
        <v>28330</v>
      </c>
      <c r="I83" s="314">
        <v>350</v>
      </c>
    </row>
    <row r="84" spans="1:10" ht="18.75" customHeight="1" x14ac:dyDescent="0.3">
      <c r="A84" s="314" t="s">
        <v>9760</v>
      </c>
      <c r="B84" s="314" t="s">
        <v>9761</v>
      </c>
      <c r="C84" s="323" t="s">
        <v>10774</v>
      </c>
      <c r="D84" s="320">
        <v>26538</v>
      </c>
      <c r="E84" s="320">
        <v>45459</v>
      </c>
      <c r="I84" s="314">
        <v>400</v>
      </c>
    </row>
    <row r="85" spans="1:10" ht="18.75" customHeight="1" x14ac:dyDescent="0.3">
      <c r="A85" s="314" t="s">
        <v>11057</v>
      </c>
      <c r="B85" s="314" t="s">
        <v>972</v>
      </c>
      <c r="C85" s="323" t="s">
        <v>11058</v>
      </c>
      <c r="D85" s="320">
        <v>26840</v>
      </c>
      <c r="E85" s="272">
        <v>45496</v>
      </c>
      <c r="G85" s="632">
        <v>9430722368</v>
      </c>
      <c r="H85" s="652">
        <v>4040</v>
      </c>
      <c r="I85" s="314">
        <v>400</v>
      </c>
      <c r="J85" s="319" t="s">
        <v>10871</v>
      </c>
    </row>
    <row r="86" spans="1:10" ht="18.75" customHeight="1" x14ac:dyDescent="0.3">
      <c r="A86" s="642" t="s">
        <v>9831</v>
      </c>
      <c r="B86" s="314" t="s">
        <v>8190</v>
      </c>
      <c r="C86" s="323" t="s">
        <v>9832</v>
      </c>
      <c r="E86" s="320">
        <v>45127</v>
      </c>
      <c r="G86" s="632">
        <v>7004289437</v>
      </c>
      <c r="H86" s="652">
        <v>0</v>
      </c>
      <c r="I86" s="314">
        <v>200</v>
      </c>
    </row>
    <row r="87" spans="1:10" ht="18.75" customHeight="1" x14ac:dyDescent="0.3">
      <c r="A87" s="314" t="s">
        <v>10806</v>
      </c>
      <c r="B87" s="314" t="s">
        <v>10807</v>
      </c>
      <c r="C87" s="323" t="s">
        <v>10808</v>
      </c>
      <c r="E87" s="320">
        <v>45464</v>
      </c>
      <c r="G87" s="632">
        <v>9546250592</v>
      </c>
      <c r="H87" s="652">
        <v>46230</v>
      </c>
      <c r="I87" s="314">
        <v>500</v>
      </c>
    </row>
    <row r="88" spans="1:10" ht="18.75" customHeight="1" x14ac:dyDescent="0.3">
      <c r="A88" s="147" t="s">
        <v>7401</v>
      </c>
      <c r="B88" s="147" t="s">
        <v>7402</v>
      </c>
      <c r="C88" s="315" t="s">
        <v>7403</v>
      </c>
      <c r="D88" s="272">
        <v>23416</v>
      </c>
      <c r="E88" s="320">
        <v>44743</v>
      </c>
      <c r="F88" s="281">
        <v>500897133270</v>
      </c>
      <c r="G88" s="633">
        <v>9431345961</v>
      </c>
      <c r="H88" s="651"/>
    </row>
    <row r="89" spans="1:10" ht="18.75" customHeight="1" x14ac:dyDescent="0.3">
      <c r="A89" s="314" t="s">
        <v>8496</v>
      </c>
      <c r="B89" s="314" t="s">
        <v>8497</v>
      </c>
      <c r="C89" s="323" t="s">
        <v>8498</v>
      </c>
      <c r="E89" s="320">
        <v>45131</v>
      </c>
      <c r="G89" s="632">
        <v>9835575359</v>
      </c>
      <c r="I89" s="314">
        <v>200</v>
      </c>
    </row>
    <row r="90" spans="1:10" ht="18.75" customHeight="1" x14ac:dyDescent="0.3">
      <c r="A90" s="314" t="s">
        <v>8496</v>
      </c>
      <c r="B90" s="314" t="s">
        <v>8497</v>
      </c>
      <c r="C90" s="323" t="s">
        <v>8498</v>
      </c>
      <c r="E90" s="320">
        <v>45131</v>
      </c>
      <c r="G90" s="632">
        <v>9835575359</v>
      </c>
      <c r="I90" s="314">
        <v>200</v>
      </c>
    </row>
    <row r="91" spans="1:10" ht="18.75" customHeight="1" x14ac:dyDescent="0.3">
      <c r="A91" s="147" t="s">
        <v>7484</v>
      </c>
      <c r="B91" s="147" t="s">
        <v>7485</v>
      </c>
      <c r="C91" s="147" t="s">
        <v>7486</v>
      </c>
      <c r="E91" s="320">
        <v>44773</v>
      </c>
      <c r="G91" s="634">
        <v>7979052016</v>
      </c>
      <c r="H91" s="652">
        <v>5480</v>
      </c>
      <c r="I91" s="314">
        <v>400</v>
      </c>
    </row>
    <row r="92" spans="1:10" ht="18.75" customHeight="1" x14ac:dyDescent="0.3">
      <c r="A92" s="147" t="s">
        <v>7484</v>
      </c>
      <c r="B92" s="147" t="s">
        <v>7485</v>
      </c>
      <c r="C92" s="147" t="s">
        <v>7486</v>
      </c>
      <c r="E92" s="320">
        <v>45480</v>
      </c>
      <c r="G92" s="634">
        <v>7979052016</v>
      </c>
      <c r="H92" s="724">
        <v>18210</v>
      </c>
      <c r="I92" s="314">
        <v>400</v>
      </c>
      <c r="J92" s="319" t="s">
        <v>10871</v>
      </c>
    </row>
    <row r="93" spans="1:10" ht="18.75" customHeight="1" x14ac:dyDescent="0.3">
      <c r="A93" s="314" t="s">
        <v>8381</v>
      </c>
      <c r="B93" s="314" t="s">
        <v>8382</v>
      </c>
      <c r="C93" s="323" t="s">
        <v>8383</v>
      </c>
      <c r="E93" s="320">
        <v>45118</v>
      </c>
      <c r="G93" s="632">
        <v>8809659800</v>
      </c>
      <c r="H93" s="652">
        <v>3570</v>
      </c>
    </row>
    <row r="94" spans="1:10" ht="18.75" customHeight="1" x14ac:dyDescent="0.3">
      <c r="A94" s="314" t="s">
        <v>9561</v>
      </c>
      <c r="B94" s="314" t="s">
        <v>9562</v>
      </c>
      <c r="C94" t="s">
        <v>9560</v>
      </c>
      <c r="D94" s="320">
        <v>29204</v>
      </c>
      <c r="E94" s="320">
        <v>44743</v>
      </c>
      <c r="G94" s="632">
        <v>9835970660</v>
      </c>
    </row>
    <row r="95" spans="1:10" ht="18.75" customHeight="1" x14ac:dyDescent="0.3">
      <c r="A95" s="314" t="s">
        <v>11512</v>
      </c>
      <c r="B95" s="314" t="s">
        <v>11513</v>
      </c>
      <c r="C95" s="323" t="s">
        <v>11514</v>
      </c>
      <c r="D95" s="320">
        <v>20821</v>
      </c>
      <c r="F95" s="351">
        <v>746469247884</v>
      </c>
      <c r="G95" s="632">
        <v>9234501981</v>
      </c>
      <c r="I95" s="314">
        <v>300</v>
      </c>
    </row>
    <row r="96" spans="1:10" ht="18.75" customHeight="1" x14ac:dyDescent="0.3">
      <c r="A96" s="314" t="s">
        <v>8293</v>
      </c>
      <c r="B96" s="314" t="s">
        <v>8292</v>
      </c>
      <c r="C96" s="636" t="s">
        <v>8294</v>
      </c>
      <c r="D96" s="320">
        <v>32872</v>
      </c>
      <c r="E96" s="320">
        <v>44743</v>
      </c>
      <c r="G96" s="632">
        <v>7033299165</v>
      </c>
    </row>
    <row r="97" spans="1:10" ht="18.75" customHeight="1" x14ac:dyDescent="0.3">
      <c r="A97" s="314" t="s">
        <v>8293</v>
      </c>
      <c r="B97" s="314" t="s">
        <v>8292</v>
      </c>
      <c r="C97" s="636" t="s">
        <v>10805</v>
      </c>
      <c r="D97" s="320">
        <v>32872</v>
      </c>
      <c r="E97" s="320">
        <v>45464</v>
      </c>
      <c r="G97" s="632">
        <v>7033299165</v>
      </c>
      <c r="H97" s="652">
        <v>18170</v>
      </c>
      <c r="I97" s="314">
        <v>500</v>
      </c>
    </row>
    <row r="98" spans="1:10" ht="18.75" customHeight="1" x14ac:dyDescent="0.3">
      <c r="A98" s="147" t="s">
        <v>7496</v>
      </c>
      <c r="B98" s="147" t="s">
        <v>7497</v>
      </c>
      <c r="C98" s="347" t="s">
        <v>9766</v>
      </c>
      <c r="E98" s="320">
        <v>45124</v>
      </c>
      <c r="H98" s="652">
        <v>4500</v>
      </c>
    </row>
    <row r="99" spans="1:10" ht="18.75" customHeight="1" x14ac:dyDescent="0.3">
      <c r="A99" s="314" t="s">
        <v>7496</v>
      </c>
      <c r="B99" s="314" t="s">
        <v>10844</v>
      </c>
      <c r="C99" s="455" t="s">
        <v>9766</v>
      </c>
      <c r="E99" s="320">
        <v>45468</v>
      </c>
      <c r="H99" s="652">
        <v>24650</v>
      </c>
      <c r="I99" s="314">
        <v>400</v>
      </c>
      <c r="J99" s="319" t="s">
        <v>10871</v>
      </c>
    </row>
    <row r="100" spans="1:10" ht="18.75" customHeight="1" x14ac:dyDescent="0.3">
      <c r="A100" s="314" t="s">
        <v>9893</v>
      </c>
      <c r="B100" s="314" t="s">
        <v>9895</v>
      </c>
      <c r="C100" s="323" t="s">
        <v>9894</v>
      </c>
      <c r="G100" s="632">
        <v>9875564973</v>
      </c>
    </row>
    <row r="101" spans="1:10" ht="18.75" customHeight="1" x14ac:dyDescent="0.3">
      <c r="A101" s="314" t="s">
        <v>9967</v>
      </c>
      <c r="B101" s="314" t="s">
        <v>9968</v>
      </c>
      <c r="C101" s="323" t="s">
        <v>9969</v>
      </c>
      <c r="E101" s="320">
        <v>45150</v>
      </c>
      <c r="G101" s="632">
        <v>7209656257</v>
      </c>
      <c r="H101" s="652">
        <v>12360</v>
      </c>
      <c r="I101" s="314">
        <v>500</v>
      </c>
    </row>
    <row r="102" spans="1:10" ht="18.75" customHeight="1" x14ac:dyDescent="0.3">
      <c r="A102" s="314" t="s">
        <v>9967</v>
      </c>
      <c r="B102" s="314" t="s">
        <v>9968</v>
      </c>
      <c r="C102" s="323" t="s">
        <v>11133</v>
      </c>
      <c r="D102" s="320">
        <v>27124</v>
      </c>
      <c r="E102" s="320">
        <v>45504</v>
      </c>
      <c r="F102" s="319" t="s">
        <v>11134</v>
      </c>
      <c r="G102" s="632">
        <v>7209656257</v>
      </c>
      <c r="I102" s="314">
        <v>400</v>
      </c>
      <c r="J102" s="319" t="s">
        <v>11135</v>
      </c>
    </row>
    <row r="103" spans="1:10" ht="18.75" customHeight="1" x14ac:dyDescent="0.3">
      <c r="A103" s="314" t="s">
        <v>9814</v>
      </c>
      <c r="B103" s="314" t="s">
        <v>9815</v>
      </c>
      <c r="C103" s="323" t="s">
        <v>9816</v>
      </c>
      <c r="E103" s="320">
        <v>45125</v>
      </c>
      <c r="G103" s="632">
        <v>8210789515</v>
      </c>
      <c r="H103" s="652">
        <v>8450</v>
      </c>
    </row>
    <row r="104" spans="1:10" ht="18.75" customHeight="1" x14ac:dyDescent="0.3">
      <c r="A104" s="314" t="s">
        <v>8493</v>
      </c>
      <c r="B104" s="314" t="s">
        <v>8494</v>
      </c>
      <c r="C104" s="314" t="s">
        <v>8495</v>
      </c>
      <c r="E104" s="320">
        <v>44743</v>
      </c>
      <c r="G104" s="632">
        <v>9470975455</v>
      </c>
    </row>
    <row r="105" spans="1:10" ht="18.75" customHeight="1" x14ac:dyDescent="0.3">
      <c r="A105" s="314" t="s">
        <v>10843</v>
      </c>
      <c r="B105" s="314" t="s">
        <v>10842</v>
      </c>
      <c r="C105" s="323" t="s">
        <v>10841</v>
      </c>
      <c r="E105" s="320">
        <v>45468</v>
      </c>
      <c r="H105" s="652">
        <v>3270</v>
      </c>
      <c r="I105" s="314">
        <v>0</v>
      </c>
      <c r="J105" s="319" t="s">
        <v>10871</v>
      </c>
    </row>
    <row r="106" spans="1:10" ht="18.75" customHeight="1" x14ac:dyDescent="0.3">
      <c r="A106" s="314" t="s">
        <v>9711</v>
      </c>
      <c r="B106" s="314" t="s">
        <v>9710</v>
      </c>
      <c r="C106" s="323" t="s">
        <v>9718</v>
      </c>
      <c r="D106" s="320">
        <v>27080</v>
      </c>
      <c r="E106" s="320">
        <v>45117</v>
      </c>
      <c r="G106" s="632">
        <v>7209611537</v>
      </c>
      <c r="H106" s="652">
        <v>160</v>
      </c>
    </row>
    <row r="107" spans="1:10" ht="18.75" customHeight="1" x14ac:dyDescent="0.3">
      <c r="A107" s="314" t="s">
        <v>8464</v>
      </c>
      <c r="B107" s="314" t="s">
        <v>8465</v>
      </c>
      <c r="C107" s="314" t="s">
        <v>8537</v>
      </c>
      <c r="D107" s="320">
        <v>16265</v>
      </c>
      <c r="E107" s="320">
        <v>44743</v>
      </c>
      <c r="G107" s="632">
        <v>8603714185</v>
      </c>
    </row>
    <row r="108" spans="1:10" ht="18.75" customHeight="1" x14ac:dyDescent="0.3">
      <c r="A108" s="314" t="s">
        <v>11559</v>
      </c>
      <c r="B108" s="314" t="s">
        <v>11560</v>
      </c>
      <c r="D108" s="320">
        <v>28705</v>
      </c>
      <c r="F108" s="351">
        <v>780595854661</v>
      </c>
      <c r="G108" s="632">
        <v>7764047350</v>
      </c>
      <c r="H108" s="652">
        <v>20028934065</v>
      </c>
    </row>
    <row r="109" spans="1:10" ht="18.75" customHeight="1" x14ac:dyDescent="0.3">
      <c r="A109" s="314" t="s">
        <v>8471</v>
      </c>
      <c r="B109" s="314" t="s">
        <v>8472</v>
      </c>
      <c r="C109" s="637" t="s">
        <v>7094</v>
      </c>
      <c r="D109" s="320">
        <v>29236</v>
      </c>
      <c r="E109" s="320">
        <v>44743</v>
      </c>
      <c r="G109" s="632">
        <v>9031764327</v>
      </c>
    </row>
    <row r="110" spans="1:10" ht="18.75" customHeight="1" x14ac:dyDescent="0.3">
      <c r="A110" s="314" t="s">
        <v>10858</v>
      </c>
      <c r="B110" s="314" t="s">
        <v>10860</v>
      </c>
      <c r="C110" s="323" t="s">
        <v>10859</v>
      </c>
      <c r="G110" s="632">
        <v>8789368238</v>
      </c>
      <c r="H110" s="652">
        <v>6570</v>
      </c>
      <c r="I110" s="314">
        <v>300</v>
      </c>
      <c r="J110" s="319" t="s">
        <v>10871</v>
      </c>
    </row>
    <row r="111" spans="1:10" ht="18.75" customHeight="1" x14ac:dyDescent="0.3">
      <c r="A111" s="394" t="s">
        <v>11301</v>
      </c>
      <c r="B111" s="394" t="s">
        <v>11302</v>
      </c>
      <c r="C111" s="974" t="s">
        <v>11303</v>
      </c>
      <c r="D111" s="396">
        <v>34109</v>
      </c>
      <c r="E111" s="395"/>
      <c r="F111" s="1456"/>
      <c r="G111" s="975">
        <v>6201674392</v>
      </c>
      <c r="H111" s="652" t="s">
        <v>11304</v>
      </c>
    </row>
    <row r="112" spans="1:10" ht="18.75" customHeight="1" x14ac:dyDescent="0.3">
      <c r="A112" s="314" t="s">
        <v>9588</v>
      </c>
      <c r="C112" s="347" t="s">
        <v>9589</v>
      </c>
      <c r="E112" s="320">
        <v>45095</v>
      </c>
    </row>
    <row r="113" spans="1:10" ht="18.75" customHeight="1" x14ac:dyDescent="0.3">
      <c r="A113" s="147" t="s">
        <v>7516</v>
      </c>
      <c r="B113" s="147" t="s">
        <v>7517</v>
      </c>
      <c r="C113" s="147" t="s">
        <v>7518</v>
      </c>
      <c r="E113" s="320">
        <v>45125</v>
      </c>
      <c r="G113" s="634">
        <v>9386030301</v>
      </c>
      <c r="H113" s="652">
        <v>2600</v>
      </c>
      <c r="I113" s="314">
        <v>200</v>
      </c>
    </row>
    <row r="114" spans="1:10" ht="18.75" customHeight="1" x14ac:dyDescent="0.3">
      <c r="A114" s="314" t="s">
        <v>10300</v>
      </c>
      <c r="B114" s="314" t="s">
        <v>10301</v>
      </c>
      <c r="C114" s="323" t="s">
        <v>10302</v>
      </c>
      <c r="G114" s="632">
        <v>8340605039</v>
      </c>
    </row>
    <row r="115" spans="1:10" ht="18.75" customHeight="1" x14ac:dyDescent="0.3">
      <c r="A115" s="314" t="s">
        <v>10300</v>
      </c>
      <c r="B115" s="314" t="s">
        <v>10301</v>
      </c>
      <c r="C115" s="323" t="s">
        <v>10302</v>
      </c>
      <c r="E115" s="272">
        <v>45461</v>
      </c>
      <c r="G115" s="632">
        <v>8340605039</v>
      </c>
      <c r="H115" s="652">
        <v>0</v>
      </c>
      <c r="I115" s="314">
        <v>500</v>
      </c>
    </row>
    <row r="116" spans="1:10" ht="18.75" customHeight="1" x14ac:dyDescent="0.3">
      <c r="A116" s="314" t="s">
        <v>11500</v>
      </c>
      <c r="B116" s="314" t="s">
        <v>9728</v>
      </c>
      <c r="C116" s="323" t="s">
        <v>11501</v>
      </c>
      <c r="D116" s="320">
        <v>25039</v>
      </c>
      <c r="F116" s="351"/>
    </row>
    <row r="117" spans="1:10" ht="18.75" customHeight="1" x14ac:dyDescent="0.3">
      <c r="A117" s="314" t="s">
        <v>10688</v>
      </c>
      <c r="B117" s="314" t="s">
        <v>10689</v>
      </c>
      <c r="C117" s="323" t="s">
        <v>10700</v>
      </c>
      <c r="D117" s="320">
        <v>19008</v>
      </c>
      <c r="G117" s="632">
        <v>9204521419</v>
      </c>
    </row>
    <row r="118" spans="1:10" ht="18.75" customHeight="1" x14ac:dyDescent="0.3">
      <c r="A118" s="314" t="s">
        <v>8378</v>
      </c>
      <c r="B118" s="314" t="s">
        <v>8379</v>
      </c>
      <c r="C118" s="1465" t="s">
        <v>8380</v>
      </c>
      <c r="E118" s="320">
        <v>45131</v>
      </c>
      <c r="G118" s="632">
        <v>8409006780</v>
      </c>
      <c r="I118" s="314">
        <v>300</v>
      </c>
    </row>
    <row r="119" spans="1:10" ht="18.75" customHeight="1" x14ac:dyDescent="0.3">
      <c r="A119" s="314" t="s">
        <v>8605</v>
      </c>
      <c r="B119" s="314" t="s">
        <v>8606</v>
      </c>
      <c r="C119" s="323" t="s">
        <v>8607</v>
      </c>
      <c r="D119" s="320">
        <v>27915</v>
      </c>
      <c r="E119" s="320">
        <v>44743</v>
      </c>
      <c r="G119" s="632">
        <v>9771913810</v>
      </c>
    </row>
    <row r="120" spans="1:10" ht="18.75" customHeight="1" x14ac:dyDescent="0.3">
      <c r="A120" s="314" t="s">
        <v>9980</v>
      </c>
      <c r="B120" s="314" t="s">
        <v>1750</v>
      </c>
      <c r="C120" s="323" t="s">
        <v>9981</v>
      </c>
    </row>
    <row r="121" spans="1:10" ht="18.75" customHeight="1" x14ac:dyDescent="0.3">
      <c r="A121" s="314" t="s">
        <v>8418</v>
      </c>
      <c r="C121" s="347" t="s">
        <v>8419</v>
      </c>
      <c r="E121" s="320">
        <v>44743</v>
      </c>
      <c r="G121" s="632">
        <v>8987449246</v>
      </c>
    </row>
    <row r="122" spans="1:10" ht="18.75" customHeight="1" x14ac:dyDescent="0.3">
      <c r="A122" s="314" t="s">
        <v>9713</v>
      </c>
      <c r="B122" s="314" t="s">
        <v>9712</v>
      </c>
      <c r="C122" s="323" t="s">
        <v>9714</v>
      </c>
      <c r="E122" s="320">
        <v>45117</v>
      </c>
      <c r="G122" s="632">
        <v>9304837622</v>
      </c>
      <c r="H122" s="652">
        <v>7610</v>
      </c>
    </row>
    <row r="123" spans="1:10" ht="18.75" customHeight="1" x14ac:dyDescent="0.3">
      <c r="A123" s="314" t="s">
        <v>9713</v>
      </c>
      <c r="B123" s="314" t="s">
        <v>9712</v>
      </c>
      <c r="C123" s="323" t="s">
        <v>9714</v>
      </c>
      <c r="E123" s="320">
        <v>45486</v>
      </c>
      <c r="G123" s="632">
        <v>9304837622</v>
      </c>
      <c r="J123" s="319" t="s">
        <v>10974</v>
      </c>
    </row>
    <row r="124" spans="1:10" ht="18.75" customHeight="1" x14ac:dyDescent="0.3">
      <c r="A124" s="314" t="s">
        <v>9909</v>
      </c>
      <c r="B124" s="314" t="s">
        <v>9910</v>
      </c>
      <c r="C124" s="323" t="s">
        <v>9911</v>
      </c>
      <c r="E124" s="320">
        <v>45138</v>
      </c>
      <c r="H124" s="652">
        <v>13001</v>
      </c>
    </row>
    <row r="125" spans="1:10" ht="18.75" customHeight="1" x14ac:dyDescent="0.3">
      <c r="A125" s="314" t="s">
        <v>9909</v>
      </c>
      <c r="B125" s="314" t="s">
        <v>9910</v>
      </c>
      <c r="C125" s="323" t="s">
        <v>11047</v>
      </c>
      <c r="E125" s="320">
        <v>45494</v>
      </c>
      <c r="H125" s="652">
        <v>17170</v>
      </c>
      <c r="J125" s="319" t="s">
        <v>10871</v>
      </c>
    </row>
    <row r="126" spans="1:10" ht="18.75" customHeight="1" x14ac:dyDescent="0.3">
      <c r="A126" s="147" t="s">
        <v>7404</v>
      </c>
      <c r="B126" s="147" t="s">
        <v>7405</v>
      </c>
      <c r="C126" s="147" t="s">
        <v>7406</v>
      </c>
      <c r="D126" s="272">
        <v>29234</v>
      </c>
      <c r="E126" s="320">
        <v>44743</v>
      </c>
      <c r="F126" s="281"/>
      <c r="H126" s="651"/>
    </row>
    <row r="127" spans="1:10" ht="18.75" customHeight="1" x14ac:dyDescent="0.3">
      <c r="A127" s="314" t="s">
        <v>10786</v>
      </c>
      <c r="B127" s="314" t="s">
        <v>10787</v>
      </c>
      <c r="C127" s="323" t="s">
        <v>10788</v>
      </c>
      <c r="E127" s="320">
        <v>45462</v>
      </c>
      <c r="H127" s="652">
        <v>1660</v>
      </c>
      <c r="I127" s="314">
        <v>200</v>
      </c>
    </row>
    <row r="128" spans="1:10" ht="18.75" customHeight="1" x14ac:dyDescent="0.3">
      <c r="A128" s="314" t="s">
        <v>8528</v>
      </c>
      <c r="B128" s="314" t="s">
        <v>8529</v>
      </c>
      <c r="C128" s="323" t="s">
        <v>11385</v>
      </c>
      <c r="E128" s="320">
        <v>44773</v>
      </c>
      <c r="F128" s="319" t="s">
        <v>8531</v>
      </c>
      <c r="G128" s="632">
        <v>7857928426</v>
      </c>
    </row>
    <row r="129" spans="1:10" ht="18.75" customHeight="1" x14ac:dyDescent="0.3">
      <c r="A129" s="314" t="s">
        <v>8528</v>
      </c>
      <c r="B129" s="314" t="s">
        <v>8529</v>
      </c>
      <c r="C129" s="323" t="s">
        <v>11084</v>
      </c>
      <c r="D129" s="320">
        <v>26873</v>
      </c>
      <c r="E129" s="320">
        <v>45500</v>
      </c>
      <c r="G129" s="632">
        <v>7857928426</v>
      </c>
      <c r="H129" s="652">
        <v>7970</v>
      </c>
      <c r="I129" s="314">
        <v>300</v>
      </c>
      <c r="J129" s="319" t="s">
        <v>7057</v>
      </c>
    </row>
    <row r="130" spans="1:10" ht="18.75" customHeight="1" x14ac:dyDescent="0.3">
      <c r="A130" s="314" t="s">
        <v>11070</v>
      </c>
      <c r="B130" s="314" t="s">
        <v>11071</v>
      </c>
      <c r="C130" s="455" t="s">
        <v>11072</v>
      </c>
      <c r="D130" s="320">
        <v>25818</v>
      </c>
      <c r="E130" s="320">
        <v>45499</v>
      </c>
      <c r="G130" s="632">
        <v>8235232533</v>
      </c>
      <c r="H130" s="652">
        <v>0</v>
      </c>
      <c r="I130" s="314">
        <v>200</v>
      </c>
      <c r="J130" s="319" t="s">
        <v>10871</v>
      </c>
    </row>
    <row r="131" spans="1:10" ht="18.75" customHeight="1" x14ac:dyDescent="0.3">
      <c r="A131" s="314" t="s">
        <v>9897</v>
      </c>
      <c r="B131" s="314" t="s">
        <v>9898</v>
      </c>
      <c r="C131" s="455" t="s">
        <v>9899</v>
      </c>
      <c r="E131" s="320">
        <v>45136</v>
      </c>
      <c r="G131" s="632">
        <v>8709842494</v>
      </c>
      <c r="I131" s="314">
        <v>350</v>
      </c>
    </row>
    <row r="132" spans="1:10" ht="18.75" customHeight="1" x14ac:dyDescent="0.3">
      <c r="A132" s="314" t="s">
        <v>9897</v>
      </c>
      <c r="B132" s="314" t="s">
        <v>9898</v>
      </c>
      <c r="C132" s="323" t="s">
        <v>9899</v>
      </c>
      <c r="E132" s="320">
        <v>45499</v>
      </c>
      <c r="G132" s="632">
        <v>8709842494</v>
      </c>
      <c r="I132" s="314">
        <v>350</v>
      </c>
      <c r="J132" s="319" t="s">
        <v>10871</v>
      </c>
    </row>
    <row r="133" spans="1:10" ht="18.75" customHeight="1" x14ac:dyDescent="0.3">
      <c r="A133" s="314" t="s">
        <v>11022</v>
      </c>
      <c r="B133" s="314" t="s">
        <v>11023</v>
      </c>
      <c r="C133" s="637"/>
      <c r="D133" s="320">
        <v>28299</v>
      </c>
      <c r="G133" s="632">
        <v>8092613337</v>
      </c>
      <c r="H133" s="652">
        <v>16470</v>
      </c>
      <c r="I133" s="314">
        <v>500</v>
      </c>
      <c r="J133" s="319" t="s">
        <v>10871</v>
      </c>
    </row>
    <row r="134" spans="1:10" ht="18.75" customHeight="1" x14ac:dyDescent="0.3">
      <c r="A134" s="314" t="s">
        <v>8420</v>
      </c>
      <c r="B134" s="314" t="s">
        <v>5140</v>
      </c>
      <c r="C134" s="415" t="s">
        <v>9587</v>
      </c>
      <c r="D134" s="320">
        <v>28012</v>
      </c>
      <c r="E134" s="320">
        <v>45122</v>
      </c>
      <c r="G134" s="632">
        <v>8797579335</v>
      </c>
      <c r="H134" s="652">
        <v>13210</v>
      </c>
    </row>
    <row r="135" spans="1:10" ht="18.75" customHeight="1" x14ac:dyDescent="0.3">
      <c r="A135" s="314" t="s">
        <v>8420</v>
      </c>
      <c r="B135" s="314" t="s">
        <v>5140</v>
      </c>
      <c r="C135" s="455" t="s">
        <v>8447</v>
      </c>
      <c r="E135" s="320">
        <v>44766</v>
      </c>
    </row>
    <row r="136" spans="1:10" ht="18.75" customHeight="1" x14ac:dyDescent="0.3">
      <c r="A136" s="314" t="s">
        <v>8420</v>
      </c>
      <c r="E136" s="320">
        <v>44743</v>
      </c>
      <c r="G136" s="632">
        <v>8797579335</v>
      </c>
    </row>
    <row r="137" spans="1:10" ht="18.75" customHeight="1" x14ac:dyDescent="0.3">
      <c r="A137" s="147" t="s">
        <v>7424</v>
      </c>
      <c r="B137" s="147" t="s">
        <v>7425</v>
      </c>
      <c r="C137" s="648" t="s">
        <v>7426</v>
      </c>
      <c r="D137" s="272">
        <v>29240</v>
      </c>
      <c r="E137" s="272">
        <v>45125</v>
      </c>
      <c r="F137" s="281">
        <v>963206446972</v>
      </c>
      <c r="G137" s="633">
        <v>8603206132</v>
      </c>
      <c r="H137" s="651"/>
    </row>
    <row r="138" spans="1:10" ht="18.75" customHeight="1" x14ac:dyDescent="0.3">
      <c r="A138" s="147" t="s">
        <v>7424</v>
      </c>
      <c r="B138" s="147" t="s">
        <v>7425</v>
      </c>
      <c r="C138" s="648" t="s">
        <v>7426</v>
      </c>
      <c r="D138" s="272">
        <v>29240</v>
      </c>
      <c r="E138" s="272">
        <v>45496</v>
      </c>
      <c r="F138" s="281">
        <v>963206446972</v>
      </c>
      <c r="G138" s="633">
        <v>8603206132</v>
      </c>
      <c r="H138" s="651"/>
      <c r="I138" s="314">
        <v>400</v>
      </c>
      <c r="J138" s="319" t="s">
        <v>10871</v>
      </c>
    </row>
    <row r="139" spans="1:10" ht="18.75" customHeight="1" x14ac:dyDescent="0.3">
      <c r="A139" s="314" t="s">
        <v>8468</v>
      </c>
      <c r="B139" s="314" t="s">
        <v>8469</v>
      </c>
      <c r="C139" s="637" t="s">
        <v>7094</v>
      </c>
      <c r="D139" s="320">
        <v>24628</v>
      </c>
      <c r="E139" s="320">
        <v>44743</v>
      </c>
      <c r="G139" s="632">
        <v>9006320016</v>
      </c>
    </row>
    <row r="140" spans="1:10" ht="18.75" customHeight="1" x14ac:dyDescent="0.3">
      <c r="A140" s="314" t="s">
        <v>9555</v>
      </c>
      <c r="B140" s="314" t="s">
        <v>9556</v>
      </c>
      <c r="E140" s="320">
        <v>44743</v>
      </c>
    </row>
    <row r="141" spans="1:10" ht="18.75" customHeight="1" x14ac:dyDescent="0.3">
      <c r="A141" s="314" t="s">
        <v>10818</v>
      </c>
      <c r="B141" s="314" t="s">
        <v>10819</v>
      </c>
      <c r="C141" s="323" t="s">
        <v>10820</v>
      </c>
      <c r="E141" s="320">
        <v>45465</v>
      </c>
      <c r="G141" s="632">
        <v>9204512759</v>
      </c>
      <c r="H141" s="652">
        <v>23090</v>
      </c>
      <c r="I141" s="314">
        <v>700</v>
      </c>
    </row>
    <row r="142" spans="1:10" ht="18.75" customHeight="1" x14ac:dyDescent="0.3">
      <c r="A142" s="314" t="s">
        <v>9812</v>
      </c>
      <c r="B142" s="314" t="s">
        <v>8511</v>
      </c>
      <c r="C142" s="323" t="s">
        <v>9813</v>
      </c>
      <c r="E142" s="320">
        <v>45125</v>
      </c>
      <c r="G142" s="632">
        <v>9279136634</v>
      </c>
      <c r="H142" s="652">
        <v>7140</v>
      </c>
    </row>
    <row r="143" spans="1:10" ht="18.75" customHeight="1" x14ac:dyDescent="0.3">
      <c r="A143" s="314" t="s">
        <v>11126</v>
      </c>
      <c r="C143" s="323" t="s">
        <v>11127</v>
      </c>
      <c r="F143" s="351"/>
      <c r="G143" s="632">
        <v>9570172731</v>
      </c>
    </row>
    <row r="144" spans="1:10" ht="18.75" customHeight="1" x14ac:dyDescent="0.3">
      <c r="A144" s="314" t="s">
        <v>8353</v>
      </c>
      <c r="B144" s="314" t="s">
        <v>2121</v>
      </c>
      <c r="C144" s="636" t="s">
        <v>8354</v>
      </c>
      <c r="D144" s="320">
        <v>25144</v>
      </c>
      <c r="E144" s="320">
        <v>44756</v>
      </c>
      <c r="G144" s="632">
        <v>9939369225</v>
      </c>
    </row>
    <row r="145" spans="1:10" ht="18.75" customHeight="1" x14ac:dyDescent="0.3">
      <c r="A145" s="314" t="s">
        <v>8487</v>
      </c>
      <c r="B145" s="314" t="s">
        <v>8489</v>
      </c>
      <c r="C145" s="323" t="s">
        <v>8488</v>
      </c>
      <c r="E145" s="320">
        <v>44770</v>
      </c>
      <c r="F145" s="319">
        <v>4605</v>
      </c>
      <c r="G145" s="632">
        <v>6280684856</v>
      </c>
    </row>
    <row r="146" spans="1:10" ht="18.75" customHeight="1" x14ac:dyDescent="0.3">
      <c r="A146" s="314" t="s">
        <v>9770</v>
      </c>
      <c r="B146" s="314" t="s">
        <v>9771</v>
      </c>
      <c r="C146" s="314" t="s">
        <v>9772</v>
      </c>
      <c r="E146" s="320">
        <v>45123</v>
      </c>
      <c r="G146" s="632">
        <v>9279552871</v>
      </c>
      <c r="H146" s="652">
        <v>8680</v>
      </c>
      <c r="I146" s="314">
        <v>250</v>
      </c>
    </row>
    <row r="147" spans="1:10" ht="18.75" customHeight="1" x14ac:dyDescent="0.3">
      <c r="A147" s="314" t="s">
        <v>9770</v>
      </c>
      <c r="B147" s="314" t="s">
        <v>9771</v>
      </c>
      <c r="C147" s="314" t="s">
        <v>9772</v>
      </c>
      <c r="E147" s="320">
        <v>45480</v>
      </c>
      <c r="G147" s="632">
        <v>9835931837</v>
      </c>
      <c r="H147" s="652">
        <v>2500</v>
      </c>
      <c r="I147" s="314">
        <v>350</v>
      </c>
      <c r="J147" s="319" t="s">
        <v>10871</v>
      </c>
    </row>
    <row r="148" spans="1:10" ht="18.75" customHeight="1" x14ac:dyDescent="0.3">
      <c r="A148" s="314" t="s">
        <v>7482</v>
      </c>
      <c r="B148" s="314" t="s">
        <v>8445</v>
      </c>
      <c r="C148" s="323" t="s">
        <v>8446</v>
      </c>
      <c r="E148" s="320">
        <v>45092</v>
      </c>
      <c r="G148" s="632">
        <v>9955906594</v>
      </c>
      <c r="H148" s="652">
        <v>14010</v>
      </c>
    </row>
    <row r="149" spans="1:10" ht="18.75" customHeight="1" x14ac:dyDescent="0.3">
      <c r="A149" s="147" t="s">
        <v>7482</v>
      </c>
      <c r="B149" s="147" t="s">
        <v>8519</v>
      </c>
      <c r="C149" s="147" t="s">
        <v>7483</v>
      </c>
      <c r="D149" s="272">
        <v>25510</v>
      </c>
      <c r="E149" s="320">
        <v>44743</v>
      </c>
      <c r="G149" s="634">
        <v>9955906594</v>
      </c>
    </row>
    <row r="150" spans="1:10" ht="18.75" customHeight="1" x14ac:dyDescent="0.3">
      <c r="A150" s="314" t="s">
        <v>7482</v>
      </c>
      <c r="B150" s="314" t="s">
        <v>8445</v>
      </c>
      <c r="C150" s="323" t="s">
        <v>8446</v>
      </c>
      <c r="E150" s="320">
        <v>45486</v>
      </c>
      <c r="G150" s="632">
        <v>9955906594</v>
      </c>
      <c r="H150" s="652">
        <v>23140</v>
      </c>
      <c r="I150" s="314">
        <v>400</v>
      </c>
      <c r="J150" s="319" t="s">
        <v>10974</v>
      </c>
    </row>
    <row r="151" spans="1:10" ht="18.75" customHeight="1" x14ac:dyDescent="0.3">
      <c r="A151" s="314" t="s">
        <v>11009</v>
      </c>
      <c r="B151" s="314" t="s">
        <v>11010</v>
      </c>
      <c r="C151" s="323" t="s">
        <v>11011</v>
      </c>
      <c r="D151" s="320">
        <v>27785</v>
      </c>
      <c r="E151" s="320">
        <v>45489</v>
      </c>
      <c r="G151" s="632">
        <v>9204026098</v>
      </c>
      <c r="H151" s="652">
        <v>10070</v>
      </c>
      <c r="I151" s="314">
        <v>400</v>
      </c>
      <c r="J151" s="319" t="s">
        <v>10871</v>
      </c>
    </row>
    <row r="152" spans="1:10" ht="18.75" customHeight="1" x14ac:dyDescent="0.3">
      <c r="A152" s="314" t="s">
        <v>10885</v>
      </c>
      <c r="B152" s="314" t="s">
        <v>10886</v>
      </c>
      <c r="C152" s="323" t="s">
        <v>10887</v>
      </c>
      <c r="E152" s="320">
        <v>45476</v>
      </c>
      <c r="G152" s="632">
        <v>9572914166</v>
      </c>
      <c r="H152" s="652">
        <v>0</v>
      </c>
      <c r="I152" s="314">
        <v>200</v>
      </c>
      <c r="J152" s="319" t="s">
        <v>10871</v>
      </c>
    </row>
    <row r="153" spans="1:10" ht="18.75" customHeight="1" x14ac:dyDescent="0.3">
      <c r="A153" s="314" t="s">
        <v>9722</v>
      </c>
      <c r="B153" s="314" t="s">
        <v>8506</v>
      </c>
      <c r="C153" s="323" t="s">
        <v>8507</v>
      </c>
      <c r="E153" s="320">
        <v>45119</v>
      </c>
    </row>
    <row r="154" spans="1:10" ht="18.75" customHeight="1" x14ac:dyDescent="0.3">
      <c r="A154" s="314" t="s">
        <v>9722</v>
      </c>
      <c r="B154" s="314" t="s">
        <v>8506</v>
      </c>
      <c r="C154" s="323" t="s">
        <v>8507</v>
      </c>
      <c r="E154" s="320">
        <v>45485</v>
      </c>
      <c r="I154" s="314">
        <v>100</v>
      </c>
      <c r="J154" s="319" t="s">
        <v>10871</v>
      </c>
    </row>
    <row r="155" spans="1:10" ht="18.75" customHeight="1" x14ac:dyDescent="0.3">
      <c r="A155" s="314" t="s">
        <v>10110</v>
      </c>
      <c r="B155" s="314" t="s">
        <v>10111</v>
      </c>
      <c r="C155" s="323" t="s">
        <v>9818</v>
      </c>
      <c r="D155" s="320">
        <v>17899</v>
      </c>
    </row>
    <row r="156" spans="1:10" ht="18.75" customHeight="1" x14ac:dyDescent="0.3">
      <c r="A156" s="314" t="s">
        <v>9706</v>
      </c>
      <c r="B156" s="314" t="s">
        <v>9707</v>
      </c>
      <c r="C156" s="323" t="s">
        <v>9708</v>
      </c>
      <c r="D156" s="320">
        <v>31901</v>
      </c>
      <c r="E156" s="320">
        <v>45117</v>
      </c>
      <c r="G156" s="632">
        <v>7781037685</v>
      </c>
      <c r="H156" s="652">
        <v>10500</v>
      </c>
    </row>
    <row r="157" spans="1:10" ht="18.75" customHeight="1" x14ac:dyDescent="0.3">
      <c r="A157" s="147" t="s">
        <v>7470</v>
      </c>
      <c r="B157" s="147" t="s">
        <v>7471</v>
      </c>
      <c r="C157" s="315" t="s">
        <v>7472</v>
      </c>
      <c r="E157" s="320">
        <v>44743</v>
      </c>
    </row>
    <row r="158" spans="1:10" ht="18.75" customHeight="1" x14ac:dyDescent="0.3">
      <c r="A158" s="314" t="s">
        <v>9519</v>
      </c>
      <c r="B158" s="314" t="s">
        <v>9520</v>
      </c>
      <c r="C158" s="323" t="s">
        <v>9521</v>
      </c>
      <c r="D158" s="320">
        <v>30441</v>
      </c>
      <c r="E158" s="320">
        <v>45086</v>
      </c>
      <c r="G158" s="632">
        <v>9852533183</v>
      </c>
    </row>
    <row r="159" spans="1:10" ht="18.75" customHeight="1" x14ac:dyDescent="0.3">
      <c r="A159" s="147" t="s">
        <v>7522</v>
      </c>
      <c r="B159" s="147" t="s">
        <v>5488</v>
      </c>
      <c r="C159" s="147" t="s">
        <v>7523</v>
      </c>
      <c r="E159" s="320">
        <v>45119</v>
      </c>
      <c r="G159" s="634">
        <v>9031395170</v>
      </c>
    </row>
    <row r="160" spans="1:10" ht="18.75" customHeight="1" x14ac:dyDescent="0.3">
      <c r="A160" s="147" t="s">
        <v>7522</v>
      </c>
      <c r="B160" s="147" t="s">
        <v>5488</v>
      </c>
      <c r="C160" s="147" t="s">
        <v>7523</v>
      </c>
      <c r="E160" s="272">
        <v>45496</v>
      </c>
      <c r="G160" s="634">
        <v>9031395170</v>
      </c>
      <c r="I160" s="314">
        <v>400</v>
      </c>
      <c r="J160" s="319" t="s">
        <v>10871</v>
      </c>
    </row>
    <row r="161" spans="1:10" ht="18.75" customHeight="1" x14ac:dyDescent="0.3">
      <c r="A161" s="314" t="s">
        <v>9857</v>
      </c>
      <c r="C161" s="323" t="s">
        <v>9858</v>
      </c>
    </row>
    <row r="162" spans="1:10" ht="18.75" customHeight="1" x14ac:dyDescent="0.3">
      <c r="A162" s="147" t="s">
        <v>7407</v>
      </c>
      <c r="B162" s="147" t="s">
        <v>7408</v>
      </c>
      <c r="C162" s="315" t="s">
        <v>7409</v>
      </c>
      <c r="D162" s="272">
        <v>28494</v>
      </c>
      <c r="E162" s="272">
        <v>45118</v>
      </c>
      <c r="F162" s="281">
        <v>383671701192</v>
      </c>
      <c r="G162" s="633">
        <v>7903634461</v>
      </c>
      <c r="H162" s="651">
        <v>7100</v>
      </c>
      <c r="I162" s="147"/>
    </row>
    <row r="163" spans="1:10" ht="18.75" customHeight="1" x14ac:dyDescent="0.3">
      <c r="A163" s="147" t="s">
        <v>7407</v>
      </c>
      <c r="B163" s="147" t="s">
        <v>7408</v>
      </c>
      <c r="C163" s="315" t="s">
        <v>7409</v>
      </c>
      <c r="D163" s="272">
        <v>28494</v>
      </c>
      <c r="E163" s="272">
        <v>45118</v>
      </c>
      <c r="F163" s="281">
        <v>383671701192</v>
      </c>
      <c r="G163" s="633">
        <v>7903634461</v>
      </c>
      <c r="H163" s="651">
        <v>0</v>
      </c>
      <c r="I163" s="147">
        <v>200</v>
      </c>
      <c r="J163" s="319" t="s">
        <v>10871</v>
      </c>
    </row>
    <row r="164" spans="1:10" ht="18.75" customHeight="1" x14ac:dyDescent="0.3">
      <c r="A164" s="314" t="s">
        <v>8478</v>
      </c>
      <c r="B164" s="314" t="s">
        <v>8479</v>
      </c>
      <c r="C164" s="314" t="s">
        <v>7094</v>
      </c>
      <c r="E164" s="320">
        <v>44743</v>
      </c>
      <c r="G164" s="632">
        <v>6203956812</v>
      </c>
    </row>
    <row r="165" spans="1:10" ht="18.75" customHeight="1" x14ac:dyDescent="0.3">
      <c r="A165" s="314" t="s">
        <v>10783</v>
      </c>
      <c r="B165" s="314" t="s">
        <v>10784</v>
      </c>
      <c r="C165" s="323" t="s">
        <v>10785</v>
      </c>
      <c r="E165" s="272">
        <v>45461</v>
      </c>
      <c r="H165" s="652">
        <v>5300</v>
      </c>
      <c r="I165" s="314">
        <v>500</v>
      </c>
    </row>
    <row r="166" spans="1:10" ht="18.75" customHeight="1" x14ac:dyDescent="0.3">
      <c r="A166" s="314" t="s">
        <v>8311</v>
      </c>
      <c r="B166" s="314" t="s">
        <v>8312</v>
      </c>
      <c r="C166" s="227" t="s">
        <v>8313</v>
      </c>
      <c r="D166" s="320">
        <v>22947</v>
      </c>
      <c r="E166" s="320">
        <v>45117</v>
      </c>
      <c r="G166" s="632">
        <v>8434671734</v>
      </c>
    </row>
    <row r="167" spans="1:10" ht="18.75" customHeight="1" x14ac:dyDescent="0.3">
      <c r="A167" s="314" t="s">
        <v>8311</v>
      </c>
      <c r="B167" s="314" t="s">
        <v>8312</v>
      </c>
      <c r="C167" s="227" t="s">
        <v>8313</v>
      </c>
      <c r="D167" s="320">
        <v>22947</v>
      </c>
      <c r="E167" s="320">
        <v>45499</v>
      </c>
      <c r="G167" s="632">
        <v>8434671734</v>
      </c>
      <c r="H167" s="652">
        <v>260</v>
      </c>
      <c r="I167" s="314">
        <v>200</v>
      </c>
      <c r="J167" s="319" t="s">
        <v>10871</v>
      </c>
    </row>
    <row r="168" spans="1:10" ht="18.75" customHeight="1" x14ac:dyDescent="0.3">
      <c r="A168" s="314" t="s">
        <v>9619</v>
      </c>
      <c r="B168" s="314" t="s">
        <v>9621</v>
      </c>
      <c r="C168" s="323" t="s">
        <v>9620</v>
      </c>
      <c r="E168" s="320">
        <v>45101</v>
      </c>
      <c r="G168" s="632">
        <v>8797588334</v>
      </c>
      <c r="H168" s="652">
        <v>3510</v>
      </c>
    </row>
    <row r="169" spans="1:10" ht="18.75" customHeight="1" x14ac:dyDescent="0.3">
      <c r="A169" s="314" t="s">
        <v>8777</v>
      </c>
      <c r="B169" s="314" t="s">
        <v>7065</v>
      </c>
      <c r="C169" s="323" t="s">
        <v>8776</v>
      </c>
      <c r="E169" s="320">
        <v>45141</v>
      </c>
      <c r="G169" s="632">
        <v>7870064254</v>
      </c>
      <c r="I169" s="314">
        <v>200</v>
      </c>
    </row>
    <row r="170" spans="1:10" ht="18.75" customHeight="1" x14ac:dyDescent="0.3">
      <c r="A170" s="314" t="s">
        <v>8777</v>
      </c>
      <c r="B170" s="314" t="s">
        <v>7065</v>
      </c>
      <c r="C170" s="323" t="s">
        <v>8776</v>
      </c>
      <c r="E170" s="320">
        <v>45485</v>
      </c>
      <c r="G170" s="632">
        <v>7870064254</v>
      </c>
      <c r="H170" s="652" t="s">
        <v>10960</v>
      </c>
      <c r="I170" s="314">
        <v>300</v>
      </c>
      <c r="J170" s="319" t="s">
        <v>10871</v>
      </c>
    </row>
    <row r="171" spans="1:10" ht="18.75" customHeight="1" x14ac:dyDescent="0.3">
      <c r="A171" s="926" t="s">
        <v>10839</v>
      </c>
      <c r="B171" s="314" t="s">
        <v>7089</v>
      </c>
      <c r="C171" s="323" t="s">
        <v>10840</v>
      </c>
      <c r="E171" s="320">
        <v>45468</v>
      </c>
      <c r="J171" s="319" t="s">
        <v>10871</v>
      </c>
    </row>
    <row r="172" spans="1:10" ht="18.75" customHeight="1" x14ac:dyDescent="0.3">
      <c r="A172" s="147" t="s">
        <v>7456</v>
      </c>
      <c r="B172" s="147" t="s">
        <v>7457</v>
      </c>
      <c r="C172" s="315" t="s">
        <v>7458</v>
      </c>
      <c r="D172" s="272">
        <v>23141</v>
      </c>
      <c r="E172" s="320">
        <v>44743</v>
      </c>
    </row>
    <row r="173" spans="1:10" ht="18.75" customHeight="1" x14ac:dyDescent="0.3">
      <c r="A173" s="316" t="s">
        <v>7504</v>
      </c>
      <c r="B173" s="147" t="s">
        <v>7505</v>
      </c>
      <c r="C173" s="147" t="s">
        <v>7506</v>
      </c>
      <c r="E173" s="320">
        <v>44774</v>
      </c>
      <c r="G173" s="634">
        <v>8235229224</v>
      </c>
    </row>
    <row r="174" spans="1:10" ht="18.75" customHeight="1" x14ac:dyDescent="0.3">
      <c r="A174" s="316" t="s">
        <v>7504</v>
      </c>
      <c r="B174" s="147" t="s">
        <v>7505</v>
      </c>
      <c r="C174" s="323" t="s">
        <v>10965</v>
      </c>
      <c r="E174" s="320">
        <v>45486</v>
      </c>
      <c r="G174" s="634">
        <v>8235229224</v>
      </c>
      <c r="H174" s="652" t="s">
        <v>10960</v>
      </c>
      <c r="I174" s="314">
        <v>200</v>
      </c>
      <c r="J174" s="319" t="s">
        <v>10871</v>
      </c>
    </row>
    <row r="175" spans="1:10" ht="18.75" customHeight="1" x14ac:dyDescent="0.3">
      <c r="A175" s="147" t="s">
        <v>7427</v>
      </c>
      <c r="B175" s="147" t="s">
        <v>7428</v>
      </c>
      <c r="C175" t="s">
        <v>9837</v>
      </c>
      <c r="D175" s="272">
        <v>21949</v>
      </c>
      <c r="E175" s="320">
        <v>45127</v>
      </c>
      <c r="F175" s="281">
        <v>714958601214</v>
      </c>
      <c r="G175" s="634">
        <v>9905040647</v>
      </c>
      <c r="H175" s="652">
        <v>0</v>
      </c>
      <c r="I175" s="314">
        <v>250</v>
      </c>
    </row>
    <row r="176" spans="1:10" ht="18.75" customHeight="1" x14ac:dyDescent="0.3">
      <c r="A176" s="147" t="s">
        <v>7427</v>
      </c>
      <c r="B176" s="147" t="s">
        <v>7428</v>
      </c>
      <c r="C176" t="s">
        <v>9837</v>
      </c>
      <c r="D176" s="272">
        <v>21949</v>
      </c>
      <c r="E176" s="320">
        <v>45487</v>
      </c>
      <c r="F176" s="281">
        <v>714958601214</v>
      </c>
      <c r="G176" s="634">
        <v>9905040647</v>
      </c>
      <c r="H176" s="652">
        <v>0</v>
      </c>
      <c r="I176" s="314">
        <v>250</v>
      </c>
      <c r="J176" s="319" t="s">
        <v>10871</v>
      </c>
    </row>
    <row r="177" spans="1:10" ht="18.75" customHeight="1" x14ac:dyDescent="0.3">
      <c r="A177" s="314" t="s">
        <v>10963</v>
      </c>
      <c r="B177" s="314" t="s">
        <v>10964</v>
      </c>
      <c r="C177" s="323" t="s">
        <v>10966</v>
      </c>
      <c r="E177" s="320">
        <v>45486</v>
      </c>
      <c r="G177" s="632">
        <v>9386616511</v>
      </c>
      <c r="H177" s="652">
        <v>20400</v>
      </c>
      <c r="J177" s="319" t="s">
        <v>10974</v>
      </c>
    </row>
    <row r="178" spans="1:10" ht="18.75" customHeight="1" x14ac:dyDescent="0.3">
      <c r="A178" s="394" t="s">
        <v>8314</v>
      </c>
      <c r="B178" s="394" t="s">
        <v>8310</v>
      </c>
      <c r="C178" s="640" t="s">
        <v>8704</v>
      </c>
      <c r="D178" s="395"/>
      <c r="E178" s="396">
        <v>44719</v>
      </c>
      <c r="F178" s="395"/>
    </row>
    <row r="179" spans="1:10" ht="18.75" customHeight="1" x14ac:dyDescent="0.3">
      <c r="A179" s="314" t="s">
        <v>9868</v>
      </c>
      <c r="B179" s="314" t="s">
        <v>9869</v>
      </c>
      <c r="C179" s="323" t="s">
        <v>11581</v>
      </c>
      <c r="E179" s="320">
        <v>45134</v>
      </c>
      <c r="G179" s="632">
        <v>9589737210</v>
      </c>
    </row>
    <row r="180" spans="1:10" ht="18.75" customHeight="1" x14ac:dyDescent="0.3">
      <c r="A180" s="314" t="s">
        <v>9868</v>
      </c>
      <c r="B180" s="314" t="s">
        <v>9869</v>
      </c>
      <c r="C180" s="323" t="s">
        <v>11132</v>
      </c>
      <c r="D180" s="320">
        <v>30241</v>
      </c>
      <c r="E180" s="320">
        <v>45134</v>
      </c>
      <c r="G180" s="632">
        <v>9589737210</v>
      </c>
      <c r="I180" s="314">
        <v>200</v>
      </c>
      <c r="J180" s="319" t="s">
        <v>10871</v>
      </c>
    </row>
    <row r="181" spans="1:10" ht="18.75" customHeight="1" x14ac:dyDescent="0.3">
      <c r="A181" s="314" t="s">
        <v>8455</v>
      </c>
      <c r="B181" s="314" t="s">
        <v>8584</v>
      </c>
      <c r="C181" s="323" t="s">
        <v>8450</v>
      </c>
      <c r="E181" s="320">
        <v>44767</v>
      </c>
      <c r="G181" s="632">
        <v>8603174456</v>
      </c>
    </row>
    <row r="182" spans="1:10" ht="18.75" customHeight="1" x14ac:dyDescent="0.3">
      <c r="A182" s="314" t="s">
        <v>8525</v>
      </c>
      <c r="B182" s="314" t="s">
        <v>8526</v>
      </c>
      <c r="C182" s="323" t="s">
        <v>8527</v>
      </c>
      <c r="E182" s="320">
        <v>44773</v>
      </c>
      <c r="F182" s="319" t="s">
        <v>8530</v>
      </c>
      <c r="G182" s="632">
        <v>9234630979</v>
      </c>
    </row>
    <row r="183" spans="1:10" ht="18.75" customHeight="1" x14ac:dyDescent="0.3">
      <c r="A183" s="314" t="s">
        <v>8573</v>
      </c>
      <c r="B183" s="314" t="s">
        <v>7703</v>
      </c>
      <c r="C183" s="323" t="s">
        <v>8574</v>
      </c>
      <c r="E183" s="320">
        <v>44786</v>
      </c>
      <c r="F183" s="319">
        <v>1500</v>
      </c>
      <c r="G183" s="632">
        <v>8084871616</v>
      </c>
      <c r="H183" s="652">
        <v>9900</v>
      </c>
      <c r="I183" s="314">
        <v>400</v>
      </c>
    </row>
    <row r="184" spans="1:10" ht="18.75" customHeight="1" x14ac:dyDescent="0.3">
      <c r="A184" s="314" t="s">
        <v>11048</v>
      </c>
      <c r="B184" s="314" t="s">
        <v>11049</v>
      </c>
      <c r="C184" s="314" t="s">
        <v>11050</v>
      </c>
      <c r="D184" s="319" t="s">
        <v>11065</v>
      </c>
      <c r="G184" s="632">
        <v>8228811020</v>
      </c>
      <c r="I184" s="314">
        <v>800</v>
      </c>
      <c r="J184" s="319" t="s">
        <v>10871</v>
      </c>
    </row>
    <row r="185" spans="1:10" ht="18.75" customHeight="1" x14ac:dyDescent="0.3">
      <c r="A185" s="147" t="s">
        <v>7490</v>
      </c>
      <c r="B185" s="147" t="s">
        <v>7491</v>
      </c>
      <c r="C185" s="147" t="s">
        <v>7492</v>
      </c>
      <c r="E185" s="320">
        <v>45120</v>
      </c>
    </row>
    <row r="186" spans="1:10" ht="18.75" customHeight="1" x14ac:dyDescent="0.3">
      <c r="A186" s="147" t="s">
        <v>7490</v>
      </c>
      <c r="B186" s="147" t="s">
        <v>7491</v>
      </c>
      <c r="C186" s="147" t="s">
        <v>7492</v>
      </c>
      <c r="E186" s="320">
        <v>45480</v>
      </c>
      <c r="H186" s="652">
        <v>1960</v>
      </c>
      <c r="I186" s="314">
        <v>300</v>
      </c>
      <c r="J186" s="319" t="s">
        <v>10871</v>
      </c>
    </row>
    <row r="187" spans="1:10" ht="18.75" customHeight="1" x14ac:dyDescent="0.3">
      <c r="A187" s="314" t="s">
        <v>9574</v>
      </c>
      <c r="B187" s="314" t="s">
        <v>9389</v>
      </c>
      <c r="C187" s="314" t="s">
        <v>9575</v>
      </c>
      <c r="D187" s="320">
        <v>24716</v>
      </c>
      <c r="E187" s="320">
        <v>45093</v>
      </c>
      <c r="G187" s="632">
        <v>9234544362</v>
      </c>
      <c r="H187" s="652">
        <v>10320</v>
      </c>
    </row>
    <row r="188" spans="1:10" ht="18.75" customHeight="1" x14ac:dyDescent="0.3">
      <c r="A188" s="314" t="s">
        <v>9574</v>
      </c>
      <c r="B188" s="314" t="s">
        <v>9389</v>
      </c>
      <c r="C188" s="314" t="s">
        <v>9575</v>
      </c>
      <c r="D188" s="320">
        <v>24716</v>
      </c>
      <c r="E188" s="320">
        <v>45474</v>
      </c>
      <c r="G188" s="632">
        <v>9234544362</v>
      </c>
      <c r="H188" s="652">
        <v>10320</v>
      </c>
      <c r="I188" s="314">
        <v>300</v>
      </c>
      <c r="J188" s="319" t="s">
        <v>10871</v>
      </c>
    </row>
    <row r="189" spans="1:10" ht="18.75" customHeight="1" x14ac:dyDescent="0.3">
      <c r="A189" s="314" t="s">
        <v>8856</v>
      </c>
      <c r="B189" s="314" t="s">
        <v>8857</v>
      </c>
      <c r="C189" s="347" t="s">
        <v>8855</v>
      </c>
      <c r="D189" s="320">
        <v>27347</v>
      </c>
      <c r="E189" s="320">
        <v>44743</v>
      </c>
      <c r="G189" s="632">
        <v>8789113141</v>
      </c>
    </row>
    <row r="190" spans="1:10" ht="18.75" customHeight="1" x14ac:dyDescent="0.3">
      <c r="A190" s="314" t="s">
        <v>10276</v>
      </c>
      <c r="B190" s="314" t="s">
        <v>10277</v>
      </c>
      <c r="C190" s="323" t="s">
        <v>10278</v>
      </c>
      <c r="D190" s="320">
        <v>29156</v>
      </c>
      <c r="G190" s="632">
        <v>8294403318</v>
      </c>
    </row>
    <row r="191" spans="1:10" ht="18.75" customHeight="1" x14ac:dyDescent="0.3">
      <c r="A191" s="147" t="s">
        <v>7435</v>
      </c>
      <c r="B191" s="147" t="s">
        <v>7436</v>
      </c>
      <c r="C191" s="315" t="s">
        <v>7437</v>
      </c>
      <c r="D191" s="272">
        <v>25937</v>
      </c>
      <c r="E191" s="320">
        <v>44743</v>
      </c>
      <c r="F191" s="281"/>
    </row>
    <row r="192" spans="1:10" ht="18.75" customHeight="1" x14ac:dyDescent="0.3">
      <c r="A192" s="314" t="s">
        <v>11136</v>
      </c>
      <c r="B192" s="314" t="s">
        <v>11137</v>
      </c>
      <c r="C192" s="323" t="s">
        <v>11138</v>
      </c>
      <c r="D192" s="320">
        <v>28490</v>
      </c>
      <c r="E192" s="320">
        <v>45504</v>
      </c>
      <c r="G192" s="632">
        <v>7484060669</v>
      </c>
      <c r="I192" s="314">
        <v>200</v>
      </c>
      <c r="J192" s="319" t="s">
        <v>7057</v>
      </c>
    </row>
    <row r="193" spans="1:10" ht="18.75" customHeight="1" x14ac:dyDescent="0.3">
      <c r="A193" s="147" t="s">
        <v>7493</v>
      </c>
      <c r="B193" s="147" t="s">
        <v>7494</v>
      </c>
      <c r="C193" s="147" t="s">
        <v>7495</v>
      </c>
      <c r="D193" s="272">
        <v>23754</v>
      </c>
      <c r="E193" s="272">
        <v>45094</v>
      </c>
      <c r="F193" s="319">
        <v>3650</v>
      </c>
      <c r="G193" s="634">
        <v>9204696356</v>
      </c>
    </row>
    <row r="194" spans="1:10" ht="18.75" customHeight="1" x14ac:dyDescent="0.3">
      <c r="A194" s="147" t="s">
        <v>7493</v>
      </c>
      <c r="B194" s="147" t="s">
        <v>7494</v>
      </c>
      <c r="C194" s="147" t="s">
        <v>7495</v>
      </c>
      <c r="D194" s="272">
        <v>23754</v>
      </c>
      <c r="E194" s="272">
        <v>45461</v>
      </c>
      <c r="F194" s="319">
        <v>3650</v>
      </c>
      <c r="G194" s="634">
        <v>9204696356</v>
      </c>
      <c r="H194" s="652">
        <v>6700</v>
      </c>
      <c r="I194" s="314">
        <v>500</v>
      </c>
    </row>
    <row r="195" spans="1:10" ht="18.75" customHeight="1" x14ac:dyDescent="0.3">
      <c r="A195" s="314" t="s">
        <v>9792</v>
      </c>
      <c r="B195" s="314" t="s">
        <v>9791</v>
      </c>
      <c r="C195" s="323" t="s">
        <v>9793</v>
      </c>
      <c r="E195" s="320">
        <v>45124</v>
      </c>
      <c r="G195" s="632">
        <v>9835931837</v>
      </c>
      <c r="H195" s="652">
        <v>16100</v>
      </c>
      <c r="I195" s="314">
        <v>200</v>
      </c>
    </row>
    <row r="196" spans="1:10" ht="18.75" customHeight="1" x14ac:dyDescent="0.3">
      <c r="A196" s="314" t="s">
        <v>9792</v>
      </c>
      <c r="B196" s="314" t="s">
        <v>9791</v>
      </c>
      <c r="C196" s="323" t="s">
        <v>9793</v>
      </c>
      <c r="E196" s="320">
        <v>45462</v>
      </c>
      <c r="G196" s="632">
        <v>9835931837</v>
      </c>
      <c r="I196" s="314">
        <v>300</v>
      </c>
    </row>
    <row r="197" spans="1:10" ht="18.75" customHeight="1" x14ac:dyDescent="0.3">
      <c r="A197" s="314" t="s">
        <v>8253</v>
      </c>
      <c r="B197" s="147" t="s">
        <v>8254</v>
      </c>
      <c r="C197" s="317" t="s">
        <v>8255</v>
      </c>
      <c r="D197" s="320">
        <v>27070</v>
      </c>
      <c r="E197" s="320">
        <v>45091</v>
      </c>
      <c r="G197" s="632">
        <v>6206098052</v>
      </c>
      <c r="H197" s="652">
        <v>22630</v>
      </c>
    </row>
    <row r="198" spans="1:10" ht="18.75" customHeight="1" x14ac:dyDescent="0.3">
      <c r="A198" s="314" t="s">
        <v>8253</v>
      </c>
      <c r="B198" s="147" t="s">
        <v>8254</v>
      </c>
      <c r="C198" s="317" t="s">
        <v>8255</v>
      </c>
      <c r="D198" s="320">
        <v>27070</v>
      </c>
      <c r="E198" s="320">
        <v>45455</v>
      </c>
      <c r="G198" s="632">
        <v>6206098052</v>
      </c>
      <c r="H198" s="652">
        <v>16840</v>
      </c>
      <c r="I198" s="314">
        <v>500</v>
      </c>
    </row>
    <row r="199" spans="1:10" ht="18.75" customHeight="1" x14ac:dyDescent="0.3">
      <c r="A199" s="147" t="s">
        <v>8240</v>
      </c>
      <c r="B199" s="147" t="s">
        <v>972</v>
      </c>
      <c r="C199" s="332" t="s">
        <v>8220</v>
      </c>
      <c r="D199" s="320">
        <v>26567</v>
      </c>
      <c r="E199" s="320">
        <v>44746</v>
      </c>
    </row>
    <row r="200" spans="1:10" ht="18.75" customHeight="1" x14ac:dyDescent="0.3">
      <c r="A200" s="314" t="s">
        <v>8869</v>
      </c>
      <c r="B200" s="314" t="s">
        <v>8870</v>
      </c>
      <c r="C200" s="347" t="s">
        <v>8871</v>
      </c>
      <c r="E200" s="320">
        <v>45124</v>
      </c>
      <c r="G200" s="632">
        <v>9204280126</v>
      </c>
    </row>
    <row r="201" spans="1:10" ht="18.75" customHeight="1" x14ac:dyDescent="0.3">
      <c r="A201" s="147" t="s">
        <v>7445</v>
      </c>
      <c r="B201" s="147" t="s">
        <v>7446</v>
      </c>
      <c r="C201" s="315" t="s">
        <v>7447</v>
      </c>
      <c r="D201" s="272">
        <v>31157</v>
      </c>
      <c r="E201" s="320">
        <v>44743</v>
      </c>
      <c r="F201" s="281"/>
    </row>
    <row r="202" spans="1:10" ht="18.75" customHeight="1" x14ac:dyDescent="0.3">
      <c r="A202" s="147" t="s">
        <v>7501</v>
      </c>
      <c r="B202" s="147" t="s">
        <v>7502</v>
      </c>
      <c r="C202" s="147" t="s">
        <v>7503</v>
      </c>
      <c r="D202" s="272">
        <v>27575</v>
      </c>
      <c r="E202" s="320">
        <v>44743</v>
      </c>
      <c r="G202" s="634">
        <v>7070139828</v>
      </c>
    </row>
    <row r="203" spans="1:10" ht="18.75" customHeight="1" x14ac:dyDescent="0.3">
      <c r="A203" s="314" t="s">
        <v>10821</v>
      </c>
      <c r="B203" s="314" t="s">
        <v>10822</v>
      </c>
      <c r="C203" s="323" t="s">
        <v>10823</v>
      </c>
      <c r="E203" s="320">
        <v>45465</v>
      </c>
      <c r="G203" s="632">
        <v>6201756066</v>
      </c>
      <c r="H203" s="652">
        <v>10020</v>
      </c>
      <c r="I203" s="314">
        <v>500</v>
      </c>
      <c r="J203" s="319" t="s">
        <v>10871</v>
      </c>
    </row>
    <row r="204" spans="1:10" ht="18.75" customHeight="1" x14ac:dyDescent="0.3">
      <c r="A204" s="314" t="s">
        <v>8456</v>
      </c>
      <c r="B204" s="314" t="s">
        <v>8457</v>
      </c>
      <c r="C204" s="347" t="s">
        <v>9824</v>
      </c>
      <c r="E204" s="320">
        <v>45126</v>
      </c>
      <c r="G204" s="632">
        <v>8757528714</v>
      </c>
      <c r="H204" s="652">
        <v>8550</v>
      </c>
      <c r="I204" s="314">
        <v>300</v>
      </c>
    </row>
    <row r="205" spans="1:10" ht="18.75" customHeight="1" x14ac:dyDescent="0.3">
      <c r="A205" s="314" t="s">
        <v>8456</v>
      </c>
      <c r="B205" s="314" t="s">
        <v>8457</v>
      </c>
      <c r="C205" s="347" t="s">
        <v>9824</v>
      </c>
      <c r="E205" s="320">
        <v>45478</v>
      </c>
      <c r="G205" s="632">
        <v>8757528714</v>
      </c>
      <c r="H205" s="652">
        <v>13800</v>
      </c>
      <c r="I205" s="314">
        <v>400</v>
      </c>
      <c r="J205" s="319" t="s">
        <v>10871</v>
      </c>
    </row>
    <row r="206" spans="1:10" ht="18.75" customHeight="1" x14ac:dyDescent="0.3">
      <c r="A206" s="314" t="s">
        <v>9838</v>
      </c>
      <c r="B206" s="314" t="s">
        <v>9839</v>
      </c>
      <c r="C206" s="323" t="s">
        <v>9840</v>
      </c>
      <c r="E206" s="320">
        <v>45127</v>
      </c>
      <c r="G206" s="632">
        <v>8603317931</v>
      </c>
      <c r="H206" s="652">
        <v>8290</v>
      </c>
      <c r="I206" s="314">
        <v>300</v>
      </c>
    </row>
    <row r="207" spans="1:10" ht="18.75" customHeight="1" x14ac:dyDescent="0.3">
      <c r="A207" s="314" t="s">
        <v>9838</v>
      </c>
      <c r="B207" s="314" t="s">
        <v>9839</v>
      </c>
      <c r="C207" s="323" t="s">
        <v>9840</v>
      </c>
      <c r="E207" s="320">
        <v>45494</v>
      </c>
      <c r="G207" s="632">
        <v>8603317931</v>
      </c>
      <c r="H207" s="652">
        <v>10200</v>
      </c>
      <c r="J207" s="319" t="s">
        <v>7057</v>
      </c>
    </row>
    <row r="208" spans="1:10" ht="18.75" customHeight="1" x14ac:dyDescent="0.3">
      <c r="A208" s="314" t="s">
        <v>10768</v>
      </c>
      <c r="B208" s="314" t="s">
        <v>10769</v>
      </c>
      <c r="C208" s="323" t="s">
        <v>10770</v>
      </c>
      <c r="D208" s="320">
        <v>26909</v>
      </c>
      <c r="E208" s="320">
        <v>45457</v>
      </c>
      <c r="G208" s="632">
        <v>8092532463</v>
      </c>
      <c r="H208" s="921">
        <v>51076</v>
      </c>
      <c r="I208" s="314">
        <v>800</v>
      </c>
    </row>
    <row r="209" spans="1:10" ht="18.75" customHeight="1" x14ac:dyDescent="0.3">
      <c r="A209" s="314" t="s">
        <v>11078</v>
      </c>
      <c r="B209" s="314" t="s">
        <v>11079</v>
      </c>
      <c r="C209" s="323" t="s">
        <v>11080</v>
      </c>
      <c r="D209" s="320">
        <v>23599</v>
      </c>
      <c r="E209" s="320">
        <v>45499</v>
      </c>
      <c r="G209" s="632">
        <v>8092159775</v>
      </c>
      <c r="H209" s="652">
        <v>4610</v>
      </c>
      <c r="I209" s="314">
        <v>400</v>
      </c>
      <c r="J209" s="319" t="s">
        <v>7058</v>
      </c>
    </row>
    <row r="210" spans="1:10" ht="18.75" customHeight="1" x14ac:dyDescent="0.3">
      <c r="A210" s="147" t="s">
        <v>7498</v>
      </c>
      <c r="B210" s="147" t="s">
        <v>7499</v>
      </c>
      <c r="C210" s="147" t="s">
        <v>7500</v>
      </c>
      <c r="D210" s="272">
        <v>18751</v>
      </c>
      <c r="E210" s="320">
        <v>44743</v>
      </c>
      <c r="G210" s="634">
        <v>9693117540</v>
      </c>
    </row>
    <row r="211" spans="1:10" ht="18.75" customHeight="1" x14ac:dyDescent="0.3">
      <c r="A211" s="314" t="s">
        <v>9972</v>
      </c>
      <c r="B211" s="314" t="s">
        <v>1441</v>
      </c>
      <c r="C211" s="323" t="s">
        <v>9973</v>
      </c>
      <c r="G211" s="632">
        <v>9608333434</v>
      </c>
    </row>
    <row r="212" spans="1:10" ht="18.75" customHeight="1" x14ac:dyDescent="0.3">
      <c r="A212" s="147" t="s">
        <v>7417</v>
      </c>
      <c r="B212" s="147" t="s">
        <v>7418</v>
      </c>
      <c r="C212" s="648" t="s">
        <v>7419</v>
      </c>
      <c r="D212" s="272">
        <v>22262</v>
      </c>
      <c r="E212" s="272">
        <v>45131</v>
      </c>
      <c r="F212" s="281"/>
      <c r="H212" s="651">
        <v>990</v>
      </c>
      <c r="I212" s="314">
        <v>200</v>
      </c>
    </row>
    <row r="213" spans="1:10" ht="18.75" customHeight="1" x14ac:dyDescent="0.3">
      <c r="A213" s="147" t="s">
        <v>7417</v>
      </c>
      <c r="B213" s="147" t="s">
        <v>7418</v>
      </c>
      <c r="C213" s="315" t="s">
        <v>7419</v>
      </c>
      <c r="E213" s="320">
        <v>45494</v>
      </c>
      <c r="I213" s="314">
        <v>250</v>
      </c>
      <c r="J213" s="319" t="s">
        <v>7057</v>
      </c>
    </row>
    <row r="214" spans="1:10" ht="18.75" customHeight="1" x14ac:dyDescent="0.3">
      <c r="A214" s="314" t="s">
        <v>9720</v>
      </c>
      <c r="B214" s="314" t="s">
        <v>9721</v>
      </c>
      <c r="C214" t="s">
        <v>9719</v>
      </c>
      <c r="D214" s="320">
        <v>25184</v>
      </c>
      <c r="E214" s="320">
        <v>45120</v>
      </c>
      <c r="G214" s="632">
        <v>9608521433</v>
      </c>
      <c r="I214" s="314">
        <v>200</v>
      </c>
    </row>
    <row r="215" spans="1:10" ht="18.75" customHeight="1" x14ac:dyDescent="0.3">
      <c r="A215" s="314" t="s">
        <v>9720</v>
      </c>
      <c r="B215" s="314" t="s">
        <v>9721</v>
      </c>
      <c r="C215" t="s">
        <v>9719</v>
      </c>
      <c r="D215" s="320">
        <v>25184</v>
      </c>
      <c r="E215" s="320">
        <v>45487</v>
      </c>
      <c r="G215" s="632">
        <v>9608521433</v>
      </c>
      <c r="I215" s="314">
        <v>200</v>
      </c>
    </row>
    <row r="216" spans="1:10" ht="18.75" customHeight="1" x14ac:dyDescent="0.3">
      <c r="A216" s="314" t="s">
        <v>9852</v>
      </c>
      <c r="B216" s="314" t="s">
        <v>9853</v>
      </c>
      <c r="C216" s="323" t="s">
        <v>9854</v>
      </c>
      <c r="E216" s="320">
        <v>45128</v>
      </c>
      <c r="G216" s="632">
        <v>9304694569</v>
      </c>
      <c r="H216" s="652">
        <v>3440</v>
      </c>
    </row>
    <row r="217" spans="1:10" ht="18.75" customHeight="1" x14ac:dyDescent="0.3">
      <c r="A217" s="314" t="s">
        <v>9852</v>
      </c>
      <c r="B217" s="314" t="s">
        <v>9853</v>
      </c>
      <c r="C217" s="323" t="s">
        <v>11036</v>
      </c>
      <c r="E217" s="320">
        <v>45493</v>
      </c>
      <c r="G217" s="632">
        <v>9304694569</v>
      </c>
      <c r="I217" s="314">
        <v>300</v>
      </c>
      <c r="J217" s="319" t="s">
        <v>7057</v>
      </c>
    </row>
    <row r="218" spans="1:10" ht="18.75" customHeight="1" x14ac:dyDescent="0.3">
      <c r="A218" s="314" t="s">
        <v>9563</v>
      </c>
      <c r="B218" s="314" t="s">
        <v>9525</v>
      </c>
      <c r="C218" s="323" t="s">
        <v>9564</v>
      </c>
      <c r="D218" s="320">
        <v>23735</v>
      </c>
      <c r="E218" s="320">
        <v>45091</v>
      </c>
      <c r="G218" s="632">
        <v>9234413453</v>
      </c>
    </row>
    <row r="219" spans="1:10" ht="18.75" customHeight="1" x14ac:dyDescent="0.3">
      <c r="A219" s="147" t="s">
        <v>9699</v>
      </c>
      <c r="B219" s="147" t="s">
        <v>7512</v>
      </c>
      <c r="C219" s="147" t="s">
        <v>7513</v>
      </c>
      <c r="E219" s="320">
        <v>45116</v>
      </c>
      <c r="G219" s="632">
        <v>8252679991</v>
      </c>
    </row>
    <row r="220" spans="1:10" ht="18.75" customHeight="1" x14ac:dyDescent="0.3">
      <c r="A220" s="147" t="s">
        <v>9699</v>
      </c>
      <c r="B220" s="147" t="s">
        <v>7512</v>
      </c>
      <c r="C220" s="147" t="s">
        <v>7513</v>
      </c>
      <c r="E220" s="320">
        <v>45116</v>
      </c>
      <c r="G220" s="632">
        <v>8252679991</v>
      </c>
    </row>
    <row r="221" spans="1:10" ht="18.75" customHeight="1" x14ac:dyDescent="0.3">
      <c r="A221" s="147" t="s">
        <v>7450</v>
      </c>
      <c r="B221" s="147" t="s">
        <v>7451</v>
      </c>
      <c r="C221" s="315" t="s">
        <v>7452</v>
      </c>
      <c r="D221" s="272">
        <v>28035</v>
      </c>
      <c r="E221" s="272">
        <v>45120</v>
      </c>
      <c r="F221" s="281"/>
      <c r="G221" s="632">
        <v>8084704220</v>
      </c>
      <c r="H221" s="652">
        <v>5610</v>
      </c>
    </row>
    <row r="222" spans="1:10" ht="18.75" customHeight="1" x14ac:dyDescent="0.3">
      <c r="A222" s="147" t="s">
        <v>7450</v>
      </c>
      <c r="B222" s="147" t="s">
        <v>7451</v>
      </c>
      <c r="C222" s="315" t="s">
        <v>7452</v>
      </c>
      <c r="D222" s="272">
        <v>28035</v>
      </c>
      <c r="E222" s="320">
        <v>45473</v>
      </c>
      <c r="H222" s="652">
        <v>16290</v>
      </c>
      <c r="I222" s="314">
        <v>400</v>
      </c>
      <c r="J222" s="319" t="s">
        <v>10871</v>
      </c>
    </row>
    <row r="223" spans="1:10" ht="18.75" customHeight="1" x14ac:dyDescent="0.3">
      <c r="A223" s="314" t="s">
        <v>8458</v>
      </c>
      <c r="B223" s="314" t="s">
        <v>8459</v>
      </c>
      <c r="C223" s="314" t="s">
        <v>7094</v>
      </c>
      <c r="E223" s="320">
        <v>44743</v>
      </c>
      <c r="G223" s="632">
        <v>8709465697</v>
      </c>
    </row>
    <row r="224" spans="1:10" ht="18.75" customHeight="1" x14ac:dyDescent="0.3">
      <c r="A224" s="314" t="s">
        <v>10967</v>
      </c>
      <c r="B224" s="314" t="s">
        <v>10968</v>
      </c>
      <c r="C224" s="323" t="s">
        <v>10969</v>
      </c>
      <c r="E224" s="320">
        <v>45486</v>
      </c>
      <c r="H224" s="652">
        <v>18700</v>
      </c>
      <c r="I224" s="314">
        <v>500</v>
      </c>
      <c r="J224" s="319" t="s">
        <v>10871</v>
      </c>
    </row>
    <row r="225" spans="1:10" ht="18.75" customHeight="1" x14ac:dyDescent="0.3">
      <c r="A225" s="147" t="s">
        <v>7429</v>
      </c>
      <c r="B225" s="147" t="s">
        <v>7430</v>
      </c>
      <c r="C225" s="315" t="s">
        <v>7431</v>
      </c>
      <c r="D225" s="272">
        <v>22532</v>
      </c>
      <c r="E225" s="320">
        <v>44743</v>
      </c>
      <c r="F225" s="281">
        <v>791523597998</v>
      </c>
      <c r="G225" s="634">
        <v>9334883756</v>
      </c>
    </row>
    <row r="226" spans="1:10" ht="18.75" customHeight="1" x14ac:dyDescent="0.3">
      <c r="A226" s="147" t="s">
        <v>7414</v>
      </c>
      <c r="B226" s="147" t="s">
        <v>7415</v>
      </c>
      <c r="C226" s="315" t="s">
        <v>7416</v>
      </c>
      <c r="D226" s="272">
        <v>18798</v>
      </c>
      <c r="E226" s="320">
        <v>44743</v>
      </c>
      <c r="F226" s="281"/>
      <c r="H226" s="651"/>
    </row>
    <row r="227" spans="1:10" ht="18.75" customHeight="1" x14ac:dyDescent="0.3">
      <c r="A227" s="147" t="s">
        <v>7473</v>
      </c>
      <c r="B227" s="147" t="s">
        <v>7474</v>
      </c>
      <c r="C227" s="315" t="s">
        <v>7475</v>
      </c>
      <c r="E227" s="320">
        <v>45120</v>
      </c>
      <c r="G227" s="632">
        <v>8789100766</v>
      </c>
      <c r="H227" s="652">
        <v>19260</v>
      </c>
      <c r="I227" s="314">
        <v>300</v>
      </c>
    </row>
    <row r="228" spans="1:10" ht="18.75" customHeight="1" x14ac:dyDescent="0.3">
      <c r="A228" s="147" t="s">
        <v>7473</v>
      </c>
      <c r="B228" s="147" t="s">
        <v>7474</v>
      </c>
      <c r="C228" s="323" t="s">
        <v>10888</v>
      </c>
      <c r="E228" s="320">
        <v>45476</v>
      </c>
      <c r="G228" s="632">
        <v>8789100766</v>
      </c>
      <c r="H228" s="652">
        <v>11810</v>
      </c>
      <c r="I228" s="314">
        <v>400</v>
      </c>
      <c r="J228" s="319" t="s">
        <v>10871</v>
      </c>
    </row>
    <row r="229" spans="1:10" ht="18.75" customHeight="1" x14ac:dyDescent="0.3">
      <c r="A229" s="147" t="s">
        <v>7524</v>
      </c>
      <c r="B229" s="147" t="s">
        <v>7525</v>
      </c>
      <c r="C229" s="147" t="s">
        <v>7526</v>
      </c>
      <c r="D229" s="272">
        <v>27854</v>
      </c>
      <c r="E229" s="272">
        <v>45118</v>
      </c>
      <c r="G229" s="634">
        <v>7209948535</v>
      </c>
      <c r="H229" s="652">
        <v>9905715273</v>
      </c>
    </row>
    <row r="230" spans="1:10" ht="18.75" customHeight="1" x14ac:dyDescent="0.3">
      <c r="A230" s="147" t="s">
        <v>7524</v>
      </c>
      <c r="B230" s="147" t="s">
        <v>7525</v>
      </c>
      <c r="C230" s="147" t="s">
        <v>7526</v>
      </c>
      <c r="D230" s="272">
        <v>27854</v>
      </c>
      <c r="E230" s="272">
        <v>45496</v>
      </c>
      <c r="G230" s="634">
        <v>7209948535</v>
      </c>
      <c r="I230" s="314">
        <v>400</v>
      </c>
      <c r="J230" s="319" t="s">
        <v>10871</v>
      </c>
    </row>
    <row r="231" spans="1:10" ht="18.75" customHeight="1" x14ac:dyDescent="0.3">
      <c r="A231" s="147" t="s">
        <v>7476</v>
      </c>
      <c r="B231" s="147" t="s">
        <v>7477</v>
      </c>
      <c r="C231" s="147" t="s">
        <v>7478</v>
      </c>
      <c r="D231" s="272">
        <v>19680</v>
      </c>
      <c r="E231" s="320">
        <v>44743</v>
      </c>
    </row>
    <row r="232" spans="1:10" ht="18.75" customHeight="1" x14ac:dyDescent="0.3">
      <c r="A232" s="314" t="s">
        <v>9900</v>
      </c>
      <c r="B232" s="314" t="s">
        <v>9902</v>
      </c>
      <c r="C232" s="323" t="s">
        <v>9901</v>
      </c>
      <c r="E232" s="320">
        <v>45136</v>
      </c>
      <c r="G232" s="632">
        <v>9835359293</v>
      </c>
      <c r="H232" s="652">
        <v>9760</v>
      </c>
      <c r="I232" s="314">
        <v>400</v>
      </c>
    </row>
    <row r="233" spans="1:10" ht="18.75" customHeight="1" x14ac:dyDescent="0.3">
      <c r="A233" s="147" t="s">
        <v>7479</v>
      </c>
      <c r="B233" s="147" t="s">
        <v>6073</v>
      </c>
      <c r="C233" s="147" t="s">
        <v>7480</v>
      </c>
      <c r="D233" s="171" t="s">
        <v>7481</v>
      </c>
      <c r="E233" s="272">
        <v>45082</v>
      </c>
      <c r="G233" s="634">
        <v>9771441692</v>
      </c>
    </row>
    <row r="234" spans="1:10" ht="18.75" customHeight="1" x14ac:dyDescent="0.3">
      <c r="A234" s="147" t="s">
        <v>7479</v>
      </c>
      <c r="B234" s="147" t="s">
        <v>6073</v>
      </c>
      <c r="C234" s="147" t="s">
        <v>7480</v>
      </c>
      <c r="D234" s="171" t="s">
        <v>7481</v>
      </c>
      <c r="E234" s="272"/>
      <c r="G234" s="634">
        <v>9771441692</v>
      </c>
    </row>
    <row r="235" spans="1:10" ht="18.75" customHeight="1" x14ac:dyDescent="0.3">
      <c r="A235" s="314" t="s">
        <v>9747</v>
      </c>
      <c r="B235" s="314" t="s">
        <v>9749</v>
      </c>
      <c r="C235" t="s">
        <v>9748</v>
      </c>
      <c r="D235" s="320">
        <v>22811</v>
      </c>
      <c r="E235" s="320">
        <v>45120</v>
      </c>
      <c r="H235" s="652">
        <v>3000</v>
      </c>
      <c r="I235" s="314">
        <v>300</v>
      </c>
    </row>
    <row r="236" spans="1:10" ht="18.75" customHeight="1" x14ac:dyDescent="0.3">
      <c r="A236" s="314" t="s">
        <v>10835</v>
      </c>
      <c r="B236" s="314" t="s">
        <v>972</v>
      </c>
      <c r="C236" s="323" t="s">
        <v>10836</v>
      </c>
      <c r="E236" s="320">
        <v>45468</v>
      </c>
      <c r="G236" s="632">
        <v>8804848058</v>
      </c>
      <c r="H236" s="652">
        <v>4000</v>
      </c>
      <c r="J236" s="319" t="s">
        <v>10871</v>
      </c>
    </row>
    <row r="237" spans="1:10" ht="18.75" customHeight="1" x14ac:dyDescent="0.3">
      <c r="A237" s="314" t="s">
        <v>9887</v>
      </c>
      <c r="B237" s="314" t="s">
        <v>9888</v>
      </c>
      <c r="C237" s="323" t="s">
        <v>9889</v>
      </c>
      <c r="E237" s="320">
        <v>45134</v>
      </c>
      <c r="G237" s="632">
        <v>9801967745</v>
      </c>
      <c r="H237" s="652">
        <v>7470</v>
      </c>
      <c r="I237" s="314">
        <v>300</v>
      </c>
    </row>
    <row r="238" spans="1:10" ht="18.75" customHeight="1" x14ac:dyDescent="0.3">
      <c r="A238" s="147" t="s">
        <v>7514</v>
      </c>
      <c r="B238" s="147" t="s">
        <v>7515</v>
      </c>
      <c r="C238" s="347" t="s">
        <v>8451</v>
      </c>
      <c r="E238" s="320">
        <v>45092</v>
      </c>
      <c r="G238" s="634">
        <v>9234686751</v>
      </c>
      <c r="H238" s="652">
        <v>11730</v>
      </c>
    </row>
    <row r="239" spans="1:10" ht="18.75" customHeight="1" x14ac:dyDescent="0.3">
      <c r="A239" s="147" t="s">
        <v>7514</v>
      </c>
      <c r="B239" s="147" t="s">
        <v>7515</v>
      </c>
      <c r="C239" s="347" t="s">
        <v>8451</v>
      </c>
      <c r="E239" s="320">
        <v>45474</v>
      </c>
      <c r="G239" s="634">
        <v>9234686751</v>
      </c>
      <c r="H239" s="652">
        <v>8200</v>
      </c>
      <c r="I239" s="314">
        <v>300</v>
      </c>
      <c r="J239" s="319" t="s">
        <v>10871</v>
      </c>
    </row>
    <row r="240" spans="1:10" ht="18.75" customHeight="1" x14ac:dyDescent="0.3">
      <c r="A240" s="314" t="s">
        <v>10749</v>
      </c>
      <c r="B240" s="314" t="s">
        <v>10162</v>
      </c>
      <c r="C240" s="323" t="s">
        <v>10750</v>
      </c>
      <c r="D240" s="320">
        <v>19998</v>
      </c>
      <c r="G240" s="632">
        <v>8863826939</v>
      </c>
      <c r="H240" s="724"/>
    </row>
    <row r="241" spans="1:10" ht="18.75" customHeight="1" x14ac:dyDescent="0.3">
      <c r="A241" s="314" t="s">
        <v>8473</v>
      </c>
      <c r="B241" s="314" t="s">
        <v>8474</v>
      </c>
      <c r="C241" s="323" t="s">
        <v>9593</v>
      </c>
      <c r="E241" s="320">
        <v>45097</v>
      </c>
      <c r="F241" s="319">
        <v>4850</v>
      </c>
      <c r="G241" s="632">
        <v>9955955911</v>
      </c>
    </row>
    <row r="242" spans="1:10" ht="18.75" customHeight="1" x14ac:dyDescent="0.3">
      <c r="A242" s="314" t="s">
        <v>8473</v>
      </c>
      <c r="B242" s="314" t="s">
        <v>8474</v>
      </c>
      <c r="C242" s="455" t="s">
        <v>9593</v>
      </c>
      <c r="E242" s="320">
        <v>45464</v>
      </c>
      <c r="G242" s="632">
        <v>9955955911</v>
      </c>
      <c r="H242" s="652">
        <v>3800</v>
      </c>
      <c r="I242" s="314">
        <v>300</v>
      </c>
    </row>
    <row r="243" spans="1:10" ht="18.75" customHeight="1" x14ac:dyDescent="0.3">
      <c r="A243" s="314" t="s">
        <v>11051</v>
      </c>
      <c r="B243" s="314" t="s">
        <v>1269</v>
      </c>
      <c r="D243" s="320">
        <v>22784</v>
      </c>
      <c r="E243" s="320">
        <v>45494</v>
      </c>
      <c r="G243" s="632">
        <v>8987449298</v>
      </c>
      <c r="H243" s="652">
        <v>0</v>
      </c>
      <c r="I243" s="314">
        <v>150</v>
      </c>
      <c r="J243" s="319" t="s">
        <v>10871</v>
      </c>
    </row>
    <row r="244" spans="1:10" ht="18.75" customHeight="1" x14ac:dyDescent="0.3">
      <c r="A244" s="695" t="s">
        <v>9595</v>
      </c>
      <c r="B244" s="695" t="s">
        <v>9596</v>
      </c>
      <c r="C244" s="695" t="s">
        <v>9597</v>
      </c>
      <c r="D244" s="696"/>
      <c r="E244" s="697">
        <v>45098</v>
      </c>
      <c r="F244" s="696"/>
      <c r="G244" s="698">
        <v>9523911312</v>
      </c>
      <c r="H244" s="699">
        <v>5602</v>
      </c>
      <c r="I244" s="695"/>
      <c r="J244" s="696"/>
    </row>
    <row r="245" spans="1:10" ht="18.75" customHeight="1" x14ac:dyDescent="0.3">
      <c r="A245" s="314" t="s">
        <v>8504</v>
      </c>
      <c r="B245" s="314" t="s">
        <v>7140</v>
      </c>
      <c r="C245" s="323" t="s">
        <v>8505</v>
      </c>
      <c r="E245" s="320">
        <v>45117</v>
      </c>
      <c r="F245" s="319">
        <v>12420</v>
      </c>
    </row>
    <row r="246" spans="1:10" ht="18.75" customHeight="1" x14ac:dyDescent="0.3">
      <c r="A246" s="314" t="s">
        <v>8504</v>
      </c>
      <c r="B246" s="314" t="s">
        <v>7140</v>
      </c>
      <c r="C246" s="323" t="s">
        <v>8505</v>
      </c>
      <c r="E246" s="320">
        <v>45483</v>
      </c>
      <c r="F246" s="319">
        <v>12420</v>
      </c>
      <c r="I246" s="314">
        <v>200</v>
      </c>
      <c r="J246" s="319" t="s">
        <v>10871</v>
      </c>
    </row>
    <row r="247" spans="1:10" ht="18.75" customHeight="1" x14ac:dyDescent="0.3">
      <c r="A247" s="314" t="s">
        <v>9741</v>
      </c>
      <c r="B247" s="314" t="s">
        <v>9742</v>
      </c>
      <c r="C247" s="314" t="s">
        <v>9743</v>
      </c>
      <c r="E247" s="320">
        <v>45126</v>
      </c>
      <c r="H247" s="652">
        <v>4960</v>
      </c>
    </row>
    <row r="248" spans="1:10" ht="18.75" customHeight="1" x14ac:dyDescent="0.3">
      <c r="A248" s="314" t="s">
        <v>9741</v>
      </c>
      <c r="B248" s="314" t="s">
        <v>9742</v>
      </c>
      <c r="C248" s="323" t="s">
        <v>10962</v>
      </c>
      <c r="E248" s="320">
        <v>45486</v>
      </c>
      <c r="G248" s="632">
        <v>7022107199</v>
      </c>
      <c r="H248" s="652" t="s">
        <v>10960</v>
      </c>
      <c r="I248" s="314">
        <v>300</v>
      </c>
      <c r="J248" s="319" t="s">
        <v>7057</v>
      </c>
    </row>
    <row r="249" spans="1:10" ht="18.75" customHeight="1" x14ac:dyDescent="0.3">
      <c r="A249" s="314" t="s">
        <v>8466</v>
      </c>
      <c r="B249" s="314" t="s">
        <v>8467</v>
      </c>
      <c r="C249" s="323" t="s">
        <v>8279</v>
      </c>
      <c r="D249" s="320">
        <v>27042</v>
      </c>
      <c r="E249" s="320">
        <v>44769</v>
      </c>
      <c r="F249" s="319" t="s">
        <v>8475</v>
      </c>
      <c r="G249" s="632">
        <v>8603207615</v>
      </c>
    </row>
    <row r="250" spans="1:10" ht="18.75" customHeight="1" x14ac:dyDescent="0.3">
      <c r="A250" s="314" t="s">
        <v>9606</v>
      </c>
      <c r="B250" s="314" t="s">
        <v>9605</v>
      </c>
      <c r="C250" s="347" t="s">
        <v>9604</v>
      </c>
      <c r="E250" s="320">
        <v>45100</v>
      </c>
    </row>
    <row r="251" spans="1:10" ht="18.75" customHeight="1" x14ac:dyDescent="0.3">
      <c r="A251" s="314" t="s">
        <v>9606</v>
      </c>
      <c r="B251" s="314" t="s">
        <v>9605</v>
      </c>
      <c r="C251" s="347" t="s">
        <v>11074</v>
      </c>
      <c r="E251" s="320">
        <v>45499</v>
      </c>
      <c r="H251" s="652">
        <v>0</v>
      </c>
      <c r="I251" s="314">
        <v>200</v>
      </c>
      <c r="J251" s="319" t="s">
        <v>10871</v>
      </c>
    </row>
    <row r="252" spans="1:10" ht="18.75" customHeight="1" x14ac:dyDescent="0.3">
      <c r="A252" s="314" t="s">
        <v>9738</v>
      </c>
      <c r="B252" s="314" t="s">
        <v>9739</v>
      </c>
      <c r="C252" t="s">
        <v>9740</v>
      </c>
      <c r="E252" s="320">
        <v>45120</v>
      </c>
      <c r="G252" s="632">
        <v>8296092664</v>
      </c>
      <c r="H252" s="652">
        <v>4640</v>
      </c>
      <c r="I252" s="314">
        <v>300</v>
      </c>
    </row>
    <row r="253" spans="1:10" ht="18.75" customHeight="1" x14ac:dyDescent="0.3">
      <c r="A253" s="314" t="s">
        <v>9738</v>
      </c>
      <c r="B253" s="314" t="s">
        <v>10905</v>
      </c>
      <c r="C253" s="323" t="s">
        <v>10906</v>
      </c>
      <c r="E253" s="320">
        <v>45483</v>
      </c>
      <c r="H253" s="652">
        <v>50840</v>
      </c>
      <c r="I253" s="314">
        <v>400</v>
      </c>
      <c r="J253" s="319" t="s">
        <v>10871</v>
      </c>
    </row>
    <row r="254" spans="1:10" ht="18.75" customHeight="1" x14ac:dyDescent="0.3">
      <c r="A254" s="314" t="s">
        <v>8522</v>
      </c>
      <c r="B254" s="314" t="s">
        <v>8523</v>
      </c>
      <c r="C254" s="347" t="s">
        <v>8524</v>
      </c>
      <c r="E254" s="320">
        <v>44773</v>
      </c>
      <c r="F254" s="319">
        <v>4380</v>
      </c>
      <c r="G254" s="632">
        <v>9835951591</v>
      </c>
    </row>
    <row r="255" spans="1:10" ht="18.75" customHeight="1" x14ac:dyDescent="0.3">
      <c r="A255" s="314" t="s">
        <v>10767</v>
      </c>
      <c r="B255" s="314" t="s">
        <v>10572</v>
      </c>
      <c r="C255" s="323" t="s">
        <v>10771</v>
      </c>
      <c r="E255" s="320">
        <v>45457</v>
      </c>
      <c r="G255" s="632">
        <v>8863823206</v>
      </c>
      <c r="I255" s="314">
        <v>300</v>
      </c>
    </row>
    <row r="256" spans="1:10" ht="18.75" customHeight="1" x14ac:dyDescent="0.3">
      <c r="A256" s="314" t="s">
        <v>10765</v>
      </c>
      <c r="B256" s="314" t="s">
        <v>7601</v>
      </c>
      <c r="C256" s="323" t="s">
        <v>10766</v>
      </c>
      <c r="E256" s="320">
        <v>45411</v>
      </c>
      <c r="H256" s="652">
        <v>23580</v>
      </c>
      <c r="I256" s="314">
        <v>300</v>
      </c>
    </row>
    <row r="257" spans="1:11" ht="18.75" customHeight="1" x14ac:dyDescent="0.3">
      <c r="A257" s="314" t="s">
        <v>9828</v>
      </c>
      <c r="B257" s="314" t="s">
        <v>9829</v>
      </c>
      <c r="C257" s="323" t="s">
        <v>9830</v>
      </c>
      <c r="D257" s="320">
        <v>28185</v>
      </c>
      <c r="E257" s="320">
        <v>45127</v>
      </c>
      <c r="G257" s="632">
        <v>8102093509</v>
      </c>
      <c r="H257" s="652">
        <v>0</v>
      </c>
      <c r="I257" s="314">
        <v>200</v>
      </c>
    </row>
    <row r="258" spans="1:11" ht="18.75" customHeight="1" x14ac:dyDescent="0.3">
      <c r="A258" s="314" t="s">
        <v>11082</v>
      </c>
      <c r="B258" s="314" t="s">
        <v>11083</v>
      </c>
      <c r="C258" s="323" t="s">
        <v>11085</v>
      </c>
      <c r="D258" s="320">
        <v>22909</v>
      </c>
      <c r="E258" s="320">
        <v>45500</v>
      </c>
      <c r="G258" s="632">
        <v>9431544541</v>
      </c>
      <c r="H258" s="652">
        <v>0</v>
      </c>
      <c r="I258" s="314">
        <v>300</v>
      </c>
      <c r="J258" s="319" t="s">
        <v>10871</v>
      </c>
    </row>
    <row r="259" spans="1:11" ht="18.75" customHeight="1" x14ac:dyDescent="0.3">
      <c r="A259" s="147" t="s">
        <v>7510</v>
      </c>
      <c r="B259" s="147" t="s">
        <v>5420</v>
      </c>
      <c r="C259" s="147" t="s">
        <v>7511</v>
      </c>
      <c r="E259" s="320">
        <v>45136</v>
      </c>
      <c r="G259" s="632">
        <v>7909044681</v>
      </c>
      <c r="H259" s="652">
        <v>29565</v>
      </c>
      <c r="I259" s="314">
        <v>400</v>
      </c>
    </row>
    <row r="260" spans="1:11" ht="18.75" customHeight="1" x14ac:dyDescent="0.3">
      <c r="A260" s="147" t="s">
        <v>7510</v>
      </c>
      <c r="B260" s="147" t="s">
        <v>5420</v>
      </c>
      <c r="C260" s="147" t="s">
        <v>7511</v>
      </c>
      <c r="E260" s="320">
        <v>45500</v>
      </c>
      <c r="G260" s="632">
        <v>7909044681</v>
      </c>
      <c r="H260" s="652">
        <v>49480</v>
      </c>
      <c r="I260" s="314">
        <v>400</v>
      </c>
      <c r="J260" s="319" t="s">
        <v>7057</v>
      </c>
    </row>
    <row r="261" spans="1:11" ht="18.75" customHeight="1" x14ac:dyDescent="0.3">
      <c r="A261" s="314" t="s">
        <v>9552</v>
      </c>
      <c r="B261" s="314" t="s">
        <v>9553</v>
      </c>
      <c r="C261" s="314" t="s">
        <v>9554</v>
      </c>
      <c r="D261" s="320">
        <v>19495</v>
      </c>
      <c r="E261" s="320">
        <v>45090</v>
      </c>
      <c r="G261" s="632">
        <v>9234550363</v>
      </c>
    </row>
    <row r="262" spans="1:11" ht="18.75" customHeight="1" x14ac:dyDescent="0.3">
      <c r="A262" s="314" t="s">
        <v>9552</v>
      </c>
      <c r="B262" s="314" t="s">
        <v>9553</v>
      </c>
      <c r="C262" s="314" t="s">
        <v>9554</v>
      </c>
      <c r="D262" s="320">
        <v>19495</v>
      </c>
      <c r="E262" s="320">
        <v>45467</v>
      </c>
      <c r="G262" s="632">
        <v>9234550363</v>
      </c>
      <c r="H262" s="652">
        <v>530</v>
      </c>
      <c r="I262" s="314">
        <v>200</v>
      </c>
      <c r="J262" s="319" t="s">
        <v>10871</v>
      </c>
    </row>
    <row r="263" spans="1:11" ht="18.75" customHeight="1" x14ac:dyDescent="0.3">
      <c r="A263" s="314" t="s">
        <v>11004</v>
      </c>
      <c r="B263" s="314" t="s">
        <v>11005</v>
      </c>
      <c r="C263" s="323" t="s">
        <v>11006</v>
      </c>
      <c r="F263" s="351"/>
      <c r="G263" s="632">
        <v>8603206132</v>
      </c>
    </row>
    <row r="264" spans="1:11" ht="18.75" customHeight="1" x14ac:dyDescent="0.3">
      <c r="A264" s="314" t="s">
        <v>8448</v>
      </c>
      <c r="B264" s="314" t="s">
        <v>8449</v>
      </c>
      <c r="C264" s="323" t="s">
        <v>7335</v>
      </c>
      <c r="E264" s="320">
        <v>45127</v>
      </c>
      <c r="G264" s="632">
        <v>8280177646</v>
      </c>
      <c r="H264" s="652">
        <v>0</v>
      </c>
      <c r="I264" s="314">
        <v>200</v>
      </c>
    </row>
    <row r="265" spans="1:11" ht="18.75" customHeight="1" x14ac:dyDescent="0.3">
      <c r="A265" s="314" t="s">
        <v>8448</v>
      </c>
      <c r="B265" s="314" t="s">
        <v>8449</v>
      </c>
      <c r="C265" s="323" t="s">
        <v>7335</v>
      </c>
      <c r="E265" s="320">
        <v>45131</v>
      </c>
      <c r="G265" s="632">
        <v>8280177646</v>
      </c>
      <c r="H265" s="652">
        <v>0</v>
      </c>
      <c r="I265" s="314">
        <v>200</v>
      </c>
      <c r="J265" s="319" t="s">
        <v>10871</v>
      </c>
    </row>
    <row r="266" spans="1:11" ht="18.75" customHeight="1" x14ac:dyDescent="0.3">
      <c r="A266" s="147" t="s">
        <v>7388</v>
      </c>
      <c r="B266" s="147" t="s">
        <v>7389</v>
      </c>
      <c r="C266" s="315" t="s">
        <v>7390</v>
      </c>
      <c r="D266" s="318">
        <v>21108</v>
      </c>
      <c r="E266" s="320">
        <v>44743</v>
      </c>
      <c r="F266" s="281">
        <v>346553267336</v>
      </c>
      <c r="G266" s="633">
        <v>7033628523</v>
      </c>
      <c r="H266" s="651"/>
      <c r="I266" s="147"/>
    </row>
    <row r="267" spans="1:11" ht="18.75" customHeight="1" x14ac:dyDescent="0.3">
      <c r="A267" s="147" t="s">
        <v>7467</v>
      </c>
      <c r="B267" s="147" t="s">
        <v>7468</v>
      </c>
      <c r="C267" s="315" t="s">
        <v>7469</v>
      </c>
      <c r="E267" s="320">
        <v>44743</v>
      </c>
    </row>
    <row r="268" spans="1:11" ht="18.75" customHeight="1" x14ac:dyDescent="0.3">
      <c r="A268" s="314" t="s">
        <v>9817</v>
      </c>
      <c r="B268" s="314" t="s">
        <v>722</v>
      </c>
      <c r="C268" s="323" t="s">
        <v>9818</v>
      </c>
      <c r="E268" s="320">
        <v>45083</v>
      </c>
    </row>
    <row r="269" spans="1:11" ht="18.75" customHeight="1" x14ac:dyDescent="0.3">
      <c r="A269" s="314" t="s">
        <v>10815</v>
      </c>
      <c r="B269" s="314" t="s">
        <v>10816</v>
      </c>
      <c r="C269" s="323" t="s">
        <v>10817</v>
      </c>
      <c r="E269" s="320">
        <v>45465</v>
      </c>
      <c r="G269" s="632">
        <v>7209504023</v>
      </c>
      <c r="H269" s="652">
        <v>24360</v>
      </c>
      <c r="I269" s="314">
        <v>500</v>
      </c>
    </row>
    <row r="270" spans="1:11" ht="18.75" customHeight="1" x14ac:dyDescent="0.3">
      <c r="A270" s="147" t="s">
        <v>7519</v>
      </c>
      <c r="B270" s="147" t="s">
        <v>7520</v>
      </c>
      <c r="C270" s="649" t="s">
        <v>7521</v>
      </c>
      <c r="E270" s="320">
        <v>45128</v>
      </c>
      <c r="G270" s="634">
        <v>9234612204</v>
      </c>
      <c r="H270" s="652">
        <v>10130</v>
      </c>
      <c r="I270" s="314">
        <v>250</v>
      </c>
    </row>
    <row r="271" spans="1:11" ht="18.75" customHeight="1" x14ac:dyDescent="0.3">
      <c r="A271" s="147" t="s">
        <v>7519</v>
      </c>
      <c r="B271" s="147" t="s">
        <v>7520</v>
      </c>
      <c r="C271" s="147" t="s">
        <v>7521</v>
      </c>
      <c r="E271" s="272">
        <v>45461</v>
      </c>
      <c r="G271" s="634">
        <v>9234612204</v>
      </c>
      <c r="H271" s="652">
        <v>2440</v>
      </c>
      <c r="I271" s="314">
        <v>300</v>
      </c>
      <c r="K271" s="314" t="s">
        <v>11130</v>
      </c>
    </row>
    <row r="272" spans="1:11" ht="18.75" customHeight="1" x14ac:dyDescent="0.3">
      <c r="A272" s="147" t="s">
        <v>7384</v>
      </c>
      <c r="B272" s="147" t="s">
        <v>7385</v>
      </c>
      <c r="C272" s="315" t="s">
        <v>7386</v>
      </c>
      <c r="D272" s="318" t="s">
        <v>7387</v>
      </c>
      <c r="E272" s="320">
        <v>45130</v>
      </c>
      <c r="F272" s="352"/>
      <c r="G272" s="633">
        <v>7033533918</v>
      </c>
      <c r="H272" s="651"/>
      <c r="I272" s="314">
        <v>150</v>
      </c>
    </row>
    <row r="273" spans="1:10" ht="18.75" customHeight="1" x14ac:dyDescent="0.3">
      <c r="A273" s="147" t="s">
        <v>7384</v>
      </c>
      <c r="B273" s="147" t="s">
        <v>7385</v>
      </c>
      <c r="C273" s="315" t="s">
        <v>7386</v>
      </c>
      <c r="D273" s="318" t="s">
        <v>7387</v>
      </c>
      <c r="E273" s="320">
        <v>45500</v>
      </c>
      <c r="F273" s="352"/>
      <c r="G273" s="633">
        <v>7033533918</v>
      </c>
      <c r="H273" s="651"/>
      <c r="I273" s="314">
        <v>150</v>
      </c>
      <c r="J273" s="319" t="s">
        <v>10871</v>
      </c>
    </row>
    <row r="274" spans="1:10" ht="18.75" customHeight="1" x14ac:dyDescent="0.3">
      <c r="A274" s="314" t="s">
        <v>9916</v>
      </c>
      <c r="B274" s="314" t="s">
        <v>9917</v>
      </c>
      <c r="D274" s="320">
        <v>23090</v>
      </c>
    </row>
    <row r="275" spans="1:10" ht="18.75" customHeight="1" x14ac:dyDescent="0.3">
      <c r="A275" s="314" t="s">
        <v>9916</v>
      </c>
      <c r="B275" s="314" t="s">
        <v>9917</v>
      </c>
      <c r="C275" s="323" t="s">
        <v>11131</v>
      </c>
      <c r="D275" s="320">
        <v>23090</v>
      </c>
      <c r="E275" s="320">
        <v>45502</v>
      </c>
      <c r="I275" s="314">
        <v>200</v>
      </c>
      <c r="J275" s="319" t="s">
        <v>10871</v>
      </c>
    </row>
    <row r="276" spans="1:10" ht="18.75" customHeight="1" x14ac:dyDescent="0.3">
      <c r="A276" s="147" t="s">
        <v>7462</v>
      </c>
      <c r="C276" s="315" t="s">
        <v>7463</v>
      </c>
      <c r="E276" s="320">
        <v>44743</v>
      </c>
      <c r="H276" s="652">
        <v>40000</v>
      </c>
      <c r="J276" s="319">
        <v>3</v>
      </c>
    </row>
    <row r="277" spans="1:10" ht="18.75" customHeight="1" x14ac:dyDescent="0.3">
      <c r="A277" s="314" t="s">
        <v>9788</v>
      </c>
      <c r="B277" s="314" t="s">
        <v>9790</v>
      </c>
      <c r="C277" s="323" t="s">
        <v>9789</v>
      </c>
      <c r="E277" s="320">
        <v>45124</v>
      </c>
      <c r="G277" s="632">
        <v>9835931837</v>
      </c>
      <c r="H277" s="652">
        <v>10700</v>
      </c>
      <c r="I277" s="314">
        <v>200</v>
      </c>
    </row>
    <row r="278" spans="1:10" ht="18.75" customHeight="1" x14ac:dyDescent="0.3">
      <c r="A278" s="314" t="s">
        <v>9788</v>
      </c>
      <c r="B278" s="314" t="s">
        <v>9790</v>
      </c>
      <c r="C278" s="323" t="s">
        <v>10834</v>
      </c>
      <c r="E278" s="320">
        <v>45470</v>
      </c>
      <c r="G278" s="632">
        <v>9835931837</v>
      </c>
      <c r="H278" s="652">
        <v>13430</v>
      </c>
      <c r="I278" s="314">
        <v>300</v>
      </c>
      <c r="J278" s="319" t="s">
        <v>10871</v>
      </c>
    </row>
    <row r="279" spans="1:10" ht="18.75" customHeight="1" x14ac:dyDescent="0.3">
      <c r="A279" s="314" t="s">
        <v>9577</v>
      </c>
      <c r="B279" s="314" t="s">
        <v>9313</v>
      </c>
      <c r="C279" s="323" t="s">
        <v>9578</v>
      </c>
      <c r="D279" s="320">
        <v>27458</v>
      </c>
      <c r="E279" s="320">
        <v>45097</v>
      </c>
      <c r="F279" s="319">
        <v>24280296581</v>
      </c>
      <c r="G279" s="632">
        <v>8235230872</v>
      </c>
      <c r="H279" s="652">
        <v>2300</v>
      </c>
      <c r="I279" s="323" t="s">
        <v>9579</v>
      </c>
      <c r="J279" s="319" t="s">
        <v>9580</v>
      </c>
    </row>
    <row r="280" spans="1:10" ht="18.75" customHeight="1" x14ac:dyDescent="0.3">
      <c r="A280" s="314" t="s">
        <v>8375</v>
      </c>
      <c r="B280" s="314" t="s">
        <v>8376</v>
      </c>
      <c r="C280" s="347" t="s">
        <v>8377</v>
      </c>
      <c r="D280" s="320">
        <v>26040</v>
      </c>
      <c r="E280" s="320">
        <v>44761</v>
      </c>
      <c r="G280" s="632">
        <v>9263388612</v>
      </c>
    </row>
    <row r="281" spans="1:10" ht="18.75" customHeight="1" x14ac:dyDescent="0.3">
      <c r="A281" s="314" t="s">
        <v>8502</v>
      </c>
      <c r="B281" s="314" t="s">
        <v>8503</v>
      </c>
      <c r="C281" s="347" t="s">
        <v>8501</v>
      </c>
      <c r="E281" s="320">
        <v>45138</v>
      </c>
      <c r="G281" s="632">
        <v>7979827467</v>
      </c>
      <c r="I281" s="314">
        <v>300</v>
      </c>
    </row>
    <row r="282" spans="1:10" ht="18.75" customHeight="1" x14ac:dyDescent="0.3">
      <c r="A282" s="314" t="s">
        <v>9607</v>
      </c>
      <c r="B282" s="347" t="s">
        <v>8451</v>
      </c>
      <c r="C282" s="347" t="s">
        <v>9608</v>
      </c>
      <c r="E282" s="320">
        <v>45100</v>
      </c>
      <c r="G282" s="632">
        <v>9204255634</v>
      </c>
      <c r="H282" s="652">
        <v>10710</v>
      </c>
    </row>
    <row r="283" spans="1:10" ht="18.75" customHeight="1" x14ac:dyDescent="0.3">
      <c r="A283" s="314" t="s">
        <v>9607</v>
      </c>
      <c r="B283" s="314" t="s">
        <v>10850</v>
      </c>
      <c r="C283" s="347" t="s">
        <v>9608</v>
      </c>
      <c r="E283" s="320">
        <v>45100</v>
      </c>
      <c r="G283" s="632">
        <v>9204255634</v>
      </c>
      <c r="H283" s="652">
        <v>3220</v>
      </c>
      <c r="I283" s="314">
        <v>300</v>
      </c>
      <c r="J283" s="319" t="s">
        <v>10871</v>
      </c>
    </row>
    <row r="284" spans="1:10" ht="18.75" customHeight="1" x14ac:dyDescent="0.3">
      <c r="A284" s="147" t="s">
        <v>8239</v>
      </c>
      <c r="B284" s="147" t="s">
        <v>8229</v>
      </c>
      <c r="C284" s="609" t="s">
        <v>9581</v>
      </c>
      <c r="E284" s="320">
        <v>45096</v>
      </c>
      <c r="G284" s="632">
        <v>9931714273</v>
      </c>
      <c r="H284" s="652">
        <v>680</v>
      </c>
    </row>
    <row r="285" spans="1:10" ht="18.75" customHeight="1" x14ac:dyDescent="0.3">
      <c r="A285" s="147" t="s">
        <v>8239</v>
      </c>
      <c r="B285" s="147" t="s">
        <v>8229</v>
      </c>
      <c r="C285" s="609" t="s">
        <v>9581</v>
      </c>
    </row>
    <row r="286" spans="1:10" ht="18.75" customHeight="1" x14ac:dyDescent="0.3">
      <c r="A286" s="314" t="s">
        <v>11457</v>
      </c>
      <c r="B286" s="314" t="s">
        <v>11458</v>
      </c>
      <c r="C286" s="323" t="s">
        <v>11459</v>
      </c>
      <c r="D286" s="320">
        <v>21367</v>
      </c>
      <c r="F286" s="351"/>
      <c r="G286" s="632">
        <v>8092243055</v>
      </c>
    </row>
    <row r="287" spans="1:10" ht="18.75" customHeight="1" x14ac:dyDescent="0.3">
      <c r="A287" s="314" t="s">
        <v>10872</v>
      </c>
      <c r="B287" s="314" t="s">
        <v>10873</v>
      </c>
      <c r="C287" s="323" t="s">
        <v>10874</v>
      </c>
      <c r="D287" s="320">
        <v>18056</v>
      </c>
      <c r="E287" s="320">
        <v>45474</v>
      </c>
      <c r="G287" s="632">
        <v>9931145822</v>
      </c>
      <c r="I287" s="314">
        <v>300</v>
      </c>
      <c r="J287" s="319" t="s">
        <v>10871</v>
      </c>
    </row>
    <row r="288" spans="1:10" ht="18.75" customHeight="1" x14ac:dyDescent="0.3">
      <c r="A288" s="147" t="s">
        <v>7412</v>
      </c>
      <c r="B288" s="147" t="s">
        <v>7133</v>
      </c>
      <c r="C288" s="315" t="s">
        <v>7413</v>
      </c>
      <c r="D288" s="272">
        <v>18798</v>
      </c>
      <c r="E288" s="272">
        <v>45119</v>
      </c>
      <c r="F288" s="281"/>
      <c r="H288" s="651"/>
    </row>
    <row r="289" spans="1:10" ht="18.75" customHeight="1" x14ac:dyDescent="0.3">
      <c r="A289" s="147" t="s">
        <v>7412</v>
      </c>
      <c r="B289" s="147" t="s">
        <v>7133</v>
      </c>
      <c r="C289" s="315" t="s">
        <v>7413</v>
      </c>
      <c r="D289" s="272">
        <v>18798</v>
      </c>
      <c r="E289" s="320">
        <v>45500</v>
      </c>
      <c r="F289" s="281"/>
      <c r="G289" s="632">
        <v>9162141596</v>
      </c>
      <c r="H289" s="651">
        <v>0</v>
      </c>
      <c r="I289" s="314">
        <v>200</v>
      </c>
      <c r="J289" s="319" t="s">
        <v>10974</v>
      </c>
    </row>
    <row r="290" spans="1:10" ht="18.75" customHeight="1" x14ac:dyDescent="0.3">
      <c r="A290" s="314" t="s">
        <v>9602</v>
      </c>
      <c r="B290" s="314" t="s">
        <v>9603</v>
      </c>
      <c r="C290" s="323" t="s">
        <v>9604</v>
      </c>
      <c r="E290" s="320">
        <v>45100</v>
      </c>
      <c r="G290" s="632">
        <v>9234686740</v>
      </c>
    </row>
    <row r="291" spans="1:10" ht="18.75" customHeight="1" x14ac:dyDescent="0.3">
      <c r="A291" s="314" t="s">
        <v>9602</v>
      </c>
      <c r="B291" s="314" t="s">
        <v>9603</v>
      </c>
      <c r="C291" s="323" t="s">
        <v>11073</v>
      </c>
      <c r="E291" s="320">
        <v>45499</v>
      </c>
      <c r="G291" s="632">
        <v>9234686740</v>
      </c>
      <c r="H291" s="652">
        <v>860</v>
      </c>
      <c r="I291" s="314">
        <v>400</v>
      </c>
      <c r="J291" s="319" t="s">
        <v>7057</v>
      </c>
    </row>
    <row r="292" spans="1:10" ht="18.75" customHeight="1" x14ac:dyDescent="0.3">
      <c r="A292" s="314" t="s">
        <v>10902</v>
      </c>
      <c r="B292" s="314" t="s">
        <v>10904</v>
      </c>
      <c r="C292" s="323" t="s">
        <v>10903</v>
      </c>
      <c r="E292" s="320">
        <v>45480</v>
      </c>
      <c r="G292" s="632">
        <v>8797461140</v>
      </c>
      <c r="I292" s="314">
        <v>400</v>
      </c>
      <c r="J292" s="319" t="s">
        <v>10871</v>
      </c>
    </row>
    <row r="293" spans="1:10" ht="18.75" customHeight="1" x14ac:dyDescent="0.3">
      <c r="A293" s="314" t="s">
        <v>9646</v>
      </c>
      <c r="B293" s="314" t="s">
        <v>9647</v>
      </c>
      <c r="C293" s="323" t="s">
        <v>9648</v>
      </c>
      <c r="E293" s="320">
        <v>45105</v>
      </c>
      <c r="G293" s="632">
        <v>7974928772</v>
      </c>
      <c r="H293" s="652">
        <v>2450</v>
      </c>
    </row>
    <row r="294" spans="1:10" ht="18.75" customHeight="1" x14ac:dyDescent="0.3">
      <c r="A294" s="314" t="s">
        <v>9646</v>
      </c>
      <c r="B294" s="314" t="s">
        <v>9647</v>
      </c>
      <c r="C294" s="323" t="s">
        <v>9648</v>
      </c>
      <c r="E294" s="320">
        <v>45475</v>
      </c>
      <c r="G294" s="632">
        <v>7974928772</v>
      </c>
      <c r="H294" s="652">
        <v>2450</v>
      </c>
      <c r="I294" s="314">
        <v>300</v>
      </c>
      <c r="J294" s="319" t="s">
        <v>10871</v>
      </c>
    </row>
    <row r="295" spans="1:10" ht="18.75" customHeight="1" x14ac:dyDescent="0.3">
      <c r="A295" s="314" t="s">
        <v>9768</v>
      </c>
      <c r="B295" s="314" t="s">
        <v>9769</v>
      </c>
      <c r="C295" s="314" t="s">
        <v>9767</v>
      </c>
      <c r="D295" s="320">
        <v>22423</v>
      </c>
      <c r="E295" s="320">
        <v>45123</v>
      </c>
      <c r="G295" s="632">
        <v>8797462622</v>
      </c>
      <c r="H295" s="652">
        <v>9897</v>
      </c>
      <c r="I295" s="314">
        <v>200</v>
      </c>
    </row>
    <row r="296" spans="1:10" ht="18.75" customHeight="1" x14ac:dyDescent="0.3">
      <c r="A296" s="314" t="s">
        <v>9768</v>
      </c>
      <c r="B296" s="314" t="s">
        <v>9769</v>
      </c>
      <c r="C296" s="314" t="s">
        <v>9767</v>
      </c>
      <c r="D296" s="320">
        <v>22423</v>
      </c>
      <c r="E296" s="272">
        <v>45461</v>
      </c>
      <c r="G296" s="632">
        <v>8797462622</v>
      </c>
      <c r="H296" s="652">
        <v>16500</v>
      </c>
      <c r="I296" s="314">
        <v>500</v>
      </c>
    </row>
    <row r="297" spans="1:10" ht="18.75" customHeight="1" x14ac:dyDescent="0.3">
      <c r="A297" s="314" t="s">
        <v>8476</v>
      </c>
      <c r="B297" s="314" t="s">
        <v>8477</v>
      </c>
      <c r="C297" s="323" t="s">
        <v>9735</v>
      </c>
      <c r="E297" s="320">
        <v>45119</v>
      </c>
      <c r="F297" s="319">
        <v>0</v>
      </c>
      <c r="G297" s="632">
        <v>6200881788</v>
      </c>
      <c r="H297" s="652">
        <v>5460</v>
      </c>
      <c r="I297" s="314">
        <v>300</v>
      </c>
    </row>
    <row r="298" spans="1:10" ht="18.75" customHeight="1" x14ac:dyDescent="0.3">
      <c r="A298" s="314" t="s">
        <v>8476</v>
      </c>
      <c r="B298" s="314" t="s">
        <v>8477</v>
      </c>
      <c r="C298" s="323" t="s">
        <v>9735</v>
      </c>
      <c r="E298" s="320">
        <v>45487</v>
      </c>
      <c r="F298" s="319">
        <v>0</v>
      </c>
      <c r="G298" s="632">
        <v>6200881788</v>
      </c>
      <c r="I298" s="314">
        <v>300</v>
      </c>
      <c r="J298" s="319" t="s">
        <v>7057</v>
      </c>
    </row>
    <row r="299" spans="1:10" ht="18.75" customHeight="1" x14ac:dyDescent="0.3">
      <c r="A299" s="147" t="s">
        <v>7453</v>
      </c>
      <c r="B299" s="147" t="s">
        <v>7454</v>
      </c>
      <c r="C299" s="315" t="s">
        <v>7455</v>
      </c>
      <c r="D299" s="272">
        <v>23895</v>
      </c>
      <c r="E299" s="320">
        <v>44743</v>
      </c>
    </row>
    <row r="300" spans="1:10" ht="18.75" customHeight="1" x14ac:dyDescent="0.3">
      <c r="B300" s="314" t="s">
        <v>10772</v>
      </c>
      <c r="E300" s="320">
        <v>45458</v>
      </c>
      <c r="I300" s="314">
        <v>200</v>
      </c>
    </row>
    <row r="301" spans="1:10" ht="18.75" customHeight="1" x14ac:dyDescent="0.3">
      <c r="A301" s="314" t="s">
        <v>11576</v>
      </c>
      <c r="B301" s="314" t="s">
        <v>9637</v>
      </c>
      <c r="C301" s="323" t="s">
        <v>11575</v>
      </c>
      <c r="E301" s="320">
        <v>45589</v>
      </c>
      <c r="F301" s="351"/>
      <c r="G301" s="632">
        <v>8789492258</v>
      </c>
      <c r="I301" s="314">
        <v>300</v>
      </c>
    </row>
    <row r="302" spans="1:10" ht="18.75" customHeight="1" x14ac:dyDescent="0.3">
      <c r="A302" s="314" t="s">
        <v>11773</v>
      </c>
      <c r="B302" s="314" t="s">
        <v>11774</v>
      </c>
      <c r="C302" s="323" t="s">
        <v>10766</v>
      </c>
      <c r="E302" s="320">
        <v>45647</v>
      </c>
      <c r="F302" s="319">
        <v>500145375900</v>
      </c>
      <c r="G302" s="632">
        <v>920255659</v>
      </c>
      <c r="I302" s="314">
        <v>300</v>
      </c>
    </row>
    <row r="303" spans="1:10" ht="18.75" customHeight="1" x14ac:dyDescent="0.3">
      <c r="A303" s="314" t="s">
        <v>12234</v>
      </c>
      <c r="B303" s="314" t="s">
        <v>12171</v>
      </c>
      <c r="C303" s="323" t="s">
        <v>12172</v>
      </c>
      <c r="E303" s="320">
        <v>27147</v>
      </c>
    </row>
    <row r="304" spans="1:10" ht="18.75" customHeight="1" x14ac:dyDescent="0.3">
      <c r="A304" s="314" t="s">
        <v>12173</v>
      </c>
      <c r="B304" s="314" t="s">
        <v>12174</v>
      </c>
      <c r="E304" s="320">
        <v>26121</v>
      </c>
      <c r="F304" s="351"/>
      <c r="G304" s="632">
        <v>8797240138</v>
      </c>
      <c r="I304" s="314" t="s">
        <v>12175</v>
      </c>
    </row>
    <row r="305" spans="1:9" ht="18.75" customHeight="1" x14ac:dyDescent="0.3">
      <c r="F305" s="351"/>
    </row>
    <row r="306" spans="1:9" ht="18.75" customHeight="1" x14ac:dyDescent="0.3">
      <c r="F306" s="351"/>
    </row>
    <row r="307" spans="1:9" ht="18.75" customHeight="1" x14ac:dyDescent="0.3">
      <c r="A307" s="314" t="s">
        <v>11457</v>
      </c>
      <c r="B307" s="314" t="s">
        <v>11458</v>
      </c>
      <c r="C307" s="323" t="s">
        <v>12215</v>
      </c>
      <c r="D307" s="320">
        <v>21367</v>
      </c>
      <c r="E307" s="320">
        <v>45812</v>
      </c>
      <c r="F307" s="351"/>
      <c r="G307" s="632">
        <v>8092243055</v>
      </c>
      <c r="I307" s="314">
        <v>200</v>
      </c>
    </row>
    <row r="308" spans="1:9" ht="18.75" customHeight="1" x14ac:dyDescent="0.3">
      <c r="A308" s="147" t="s">
        <v>7398</v>
      </c>
      <c r="B308" s="147" t="s">
        <v>7399</v>
      </c>
      <c r="C308" s="315" t="s">
        <v>7400</v>
      </c>
      <c r="D308" s="272">
        <v>28550</v>
      </c>
      <c r="E308" s="320">
        <v>45486</v>
      </c>
      <c r="F308" s="281">
        <v>573458807266</v>
      </c>
      <c r="G308" s="633">
        <v>9470030023</v>
      </c>
    </row>
    <row r="309" spans="1:9" ht="18.75" customHeight="1" x14ac:dyDescent="0.3">
      <c r="A309" s="314" t="s">
        <v>10815</v>
      </c>
      <c r="B309" s="314" t="s">
        <v>10816</v>
      </c>
      <c r="C309" s="323" t="s">
        <v>10817</v>
      </c>
      <c r="E309" s="320">
        <v>45815</v>
      </c>
      <c r="G309" s="632">
        <v>7209504023</v>
      </c>
      <c r="H309" s="652">
        <v>5860</v>
      </c>
      <c r="I309" s="314">
        <v>350</v>
      </c>
    </row>
    <row r="310" spans="1:9" ht="18.75" customHeight="1" x14ac:dyDescent="0.3">
      <c r="A310" s="314" t="s">
        <v>12232</v>
      </c>
      <c r="B310" s="314" t="s">
        <v>12233</v>
      </c>
      <c r="C310" s="314" t="s">
        <v>12231</v>
      </c>
      <c r="D310" s="320">
        <v>25623</v>
      </c>
      <c r="E310" s="320">
        <v>45815</v>
      </c>
      <c r="F310" s="351"/>
      <c r="H310" s="652">
        <v>7340</v>
      </c>
      <c r="I310" s="314">
        <v>350</v>
      </c>
    </row>
    <row r="311" spans="1:9" ht="18.75" customHeight="1" x14ac:dyDescent="0.3">
      <c r="A311" s="314" t="s">
        <v>10300</v>
      </c>
      <c r="B311" s="314" t="s">
        <v>10301</v>
      </c>
      <c r="C311" s="323" t="s">
        <v>10302</v>
      </c>
      <c r="E311" s="272"/>
      <c r="G311" s="632">
        <v>8340605039</v>
      </c>
      <c r="H311" s="652">
        <v>0</v>
      </c>
    </row>
    <row r="312" spans="1:9" ht="18.75" customHeight="1" x14ac:dyDescent="0.3">
      <c r="A312" s="147" t="s">
        <v>9699</v>
      </c>
      <c r="B312" s="147" t="s">
        <v>7512</v>
      </c>
      <c r="C312" s="147" t="s">
        <v>7513</v>
      </c>
      <c r="E312" s="320">
        <v>45816</v>
      </c>
      <c r="G312" s="632">
        <v>8252679991</v>
      </c>
    </row>
    <row r="313" spans="1:9" ht="18.75" customHeight="1" x14ac:dyDescent="0.3">
      <c r="A313" s="314" t="s">
        <v>12239</v>
      </c>
      <c r="B313" s="314" t="s">
        <v>12240</v>
      </c>
      <c r="C313" s="323" t="s">
        <v>12241</v>
      </c>
      <c r="D313" s="319" t="s">
        <v>12242</v>
      </c>
      <c r="F313" s="351"/>
      <c r="G313" s="632">
        <v>9955579391</v>
      </c>
      <c r="H313" s="652" t="s">
        <v>12243</v>
      </c>
    </row>
    <row r="314" spans="1:9" ht="18.75" customHeight="1" x14ac:dyDescent="0.3">
      <c r="A314" s="314" t="s">
        <v>11512</v>
      </c>
      <c r="B314" s="314" t="s">
        <v>11513</v>
      </c>
      <c r="C314" s="323" t="s">
        <v>11514</v>
      </c>
      <c r="D314" s="320">
        <v>20821</v>
      </c>
      <c r="E314" s="320">
        <v>45816</v>
      </c>
      <c r="F314" s="351">
        <v>746469247884</v>
      </c>
      <c r="G314" s="632">
        <v>9234501981</v>
      </c>
      <c r="I314" s="314">
        <v>300</v>
      </c>
    </row>
    <row r="315" spans="1:9" ht="18.75" customHeight="1" x14ac:dyDescent="0.3">
      <c r="A315" s="314" t="s">
        <v>12248</v>
      </c>
      <c r="B315" s="314" t="s">
        <v>12249</v>
      </c>
      <c r="C315" s="323" t="s">
        <v>12250</v>
      </c>
      <c r="D315" s="320">
        <v>34072</v>
      </c>
      <c r="E315" s="320">
        <v>45817</v>
      </c>
      <c r="F315" s="319">
        <v>700008480198</v>
      </c>
      <c r="G315" s="632">
        <v>7979961402</v>
      </c>
    </row>
    <row r="316" spans="1:9" ht="18.75" customHeight="1" x14ac:dyDescent="0.3">
      <c r="A316" s="314" t="s">
        <v>9972</v>
      </c>
      <c r="B316" s="314" t="s">
        <v>1441</v>
      </c>
      <c r="C316" s="323" t="s">
        <v>9973</v>
      </c>
      <c r="E316" s="320">
        <v>45818</v>
      </c>
      <c r="G316" s="632">
        <v>9608333434</v>
      </c>
      <c r="H316" s="652">
        <v>5420</v>
      </c>
      <c r="I316" s="314">
        <v>300</v>
      </c>
    </row>
    <row r="317" spans="1:9" ht="18.75" customHeight="1" x14ac:dyDescent="0.3">
      <c r="A317" s="314" t="s">
        <v>12259</v>
      </c>
      <c r="B317" s="314" t="s">
        <v>12260</v>
      </c>
      <c r="C317" s="323" t="s">
        <v>12261</v>
      </c>
      <c r="G317" s="632">
        <v>7250663380</v>
      </c>
    </row>
    <row r="318" spans="1:9" ht="18.75" customHeight="1" x14ac:dyDescent="0.3">
      <c r="A318" s="314" t="s">
        <v>12262</v>
      </c>
      <c r="B318" s="314" t="s">
        <v>12263</v>
      </c>
      <c r="C318" s="323" t="s">
        <v>12264</v>
      </c>
    </row>
    <row r="319" spans="1:9" ht="18.75" customHeight="1" x14ac:dyDescent="0.3">
      <c r="A319" s="147" t="s">
        <v>7479</v>
      </c>
      <c r="B319" s="147" t="s">
        <v>6073</v>
      </c>
      <c r="C319" s="147" t="s">
        <v>7480</v>
      </c>
      <c r="D319" s="171" t="s">
        <v>7481</v>
      </c>
      <c r="E319" s="272">
        <v>45819</v>
      </c>
      <c r="G319" s="634">
        <v>9771441692</v>
      </c>
      <c r="I319" s="314">
        <v>150</v>
      </c>
    </row>
    <row r="320" spans="1:9" ht="18.75" customHeight="1" x14ac:dyDescent="0.3">
      <c r="A320" s="314" t="s">
        <v>10877</v>
      </c>
      <c r="B320" s="314" t="s">
        <v>10878</v>
      </c>
      <c r="C320" s="323" t="s">
        <v>10879</v>
      </c>
    </row>
    <row r="321" spans="1:10" ht="18.75" customHeight="1" x14ac:dyDescent="0.3">
      <c r="A321" s="314" t="s">
        <v>12271</v>
      </c>
      <c r="B321" s="314" t="s">
        <v>12272</v>
      </c>
      <c r="C321" s="314" t="s">
        <v>12273</v>
      </c>
      <c r="D321" s="320">
        <v>23352</v>
      </c>
      <c r="E321" s="320">
        <v>45820</v>
      </c>
      <c r="G321" s="632">
        <v>8603845751</v>
      </c>
      <c r="I321" s="314">
        <v>300</v>
      </c>
    </row>
    <row r="322" spans="1:10" ht="18.75" customHeight="1" x14ac:dyDescent="0.3">
      <c r="A322" s="314" t="s">
        <v>9713</v>
      </c>
      <c r="B322" s="314" t="s">
        <v>9712</v>
      </c>
      <c r="C322" s="323" t="s">
        <v>9714</v>
      </c>
      <c r="E322" s="320">
        <v>45821</v>
      </c>
      <c r="G322" s="632">
        <v>9304837622</v>
      </c>
      <c r="H322" s="652">
        <v>9930</v>
      </c>
      <c r="I322" s="314">
        <v>300</v>
      </c>
    </row>
    <row r="323" spans="1:10" ht="18.75" customHeight="1" x14ac:dyDescent="0.3">
      <c r="A323" s="314" t="s">
        <v>8456</v>
      </c>
      <c r="B323" s="314" t="s">
        <v>8457</v>
      </c>
      <c r="C323" s="347" t="s">
        <v>9824</v>
      </c>
      <c r="E323" s="320">
        <v>45821</v>
      </c>
      <c r="H323" s="652">
        <v>30050</v>
      </c>
      <c r="I323" s="314">
        <v>400</v>
      </c>
    </row>
    <row r="324" spans="1:10" ht="18.75" customHeight="1" x14ac:dyDescent="0.3">
      <c r="A324" s="314" t="s">
        <v>8473</v>
      </c>
      <c r="B324" s="314" t="s">
        <v>8474</v>
      </c>
      <c r="C324" s="323" t="s">
        <v>9593</v>
      </c>
      <c r="E324" s="320">
        <v>45824</v>
      </c>
      <c r="G324" s="632">
        <v>9955955911</v>
      </c>
      <c r="H324" s="652">
        <v>4850</v>
      </c>
      <c r="I324" s="314">
        <v>200</v>
      </c>
    </row>
    <row r="325" spans="1:10" ht="18.75" customHeight="1" x14ac:dyDescent="0.3">
      <c r="A325" s="314" t="s">
        <v>1667</v>
      </c>
      <c r="B325" s="314" t="s">
        <v>1666</v>
      </c>
      <c r="C325" s="323" t="s">
        <v>10833</v>
      </c>
      <c r="E325" s="320" t="s">
        <v>12290</v>
      </c>
      <c r="G325" s="632">
        <v>9939221087</v>
      </c>
      <c r="I325" s="314">
        <v>500</v>
      </c>
      <c r="J325" s="319" t="s">
        <v>10871</v>
      </c>
    </row>
    <row r="326" spans="1:10" ht="18.75" customHeight="1" x14ac:dyDescent="0.3">
      <c r="A326" s="147" t="s">
        <v>7459</v>
      </c>
      <c r="B326" s="147" t="s">
        <v>7460</v>
      </c>
      <c r="C326" s="315" t="s">
        <v>7461</v>
      </c>
      <c r="D326" s="272">
        <v>29530</v>
      </c>
      <c r="E326" s="272">
        <v>45824</v>
      </c>
      <c r="G326" s="632">
        <v>9308457927</v>
      </c>
      <c r="H326" s="652">
        <v>3900</v>
      </c>
      <c r="I326" s="314">
        <v>300</v>
      </c>
      <c r="J326" s="319" t="s">
        <v>7058</v>
      </c>
    </row>
    <row r="327" spans="1:10" ht="18.75" customHeight="1" x14ac:dyDescent="0.3">
      <c r="A327" s="314" t="s">
        <v>11059</v>
      </c>
      <c r="B327" s="314" t="s">
        <v>11060</v>
      </c>
      <c r="C327" s="323" t="s">
        <v>11058</v>
      </c>
      <c r="D327" s="320">
        <v>27703</v>
      </c>
      <c r="E327" s="272"/>
      <c r="G327" s="632">
        <v>8521411224</v>
      </c>
      <c r="J327" s="319" t="s">
        <v>10871</v>
      </c>
    </row>
    <row r="328" spans="1:10" ht="18.75" customHeight="1" x14ac:dyDescent="0.3">
      <c r="A328" s="314" t="s">
        <v>12295</v>
      </c>
      <c r="B328" s="314" t="s">
        <v>8901</v>
      </c>
      <c r="C328" s="314" t="s">
        <v>12296</v>
      </c>
    </row>
    <row r="329" spans="1:10" ht="18.75" customHeight="1" x14ac:dyDescent="0.3">
      <c r="A329" s="314" t="s">
        <v>12297</v>
      </c>
      <c r="B329" s="314" t="s">
        <v>12298</v>
      </c>
      <c r="C329" s="323" t="s">
        <v>12299</v>
      </c>
    </row>
    <row r="330" spans="1:10" ht="18.75" customHeight="1" x14ac:dyDescent="0.3">
      <c r="A330" s="314" t="s">
        <v>9838</v>
      </c>
      <c r="B330" s="314" t="s">
        <v>9839</v>
      </c>
      <c r="C330" s="323" t="s">
        <v>9840</v>
      </c>
      <c r="E330" s="320">
        <v>45826</v>
      </c>
      <c r="G330" s="632">
        <v>8603317931</v>
      </c>
      <c r="H330" s="652">
        <v>20370</v>
      </c>
      <c r="I330" s="314">
        <v>300</v>
      </c>
      <c r="J330" s="319" t="s">
        <v>7057</v>
      </c>
    </row>
    <row r="331" spans="1:10" ht="18.75" customHeight="1" x14ac:dyDescent="0.3">
      <c r="A331" s="926" t="s">
        <v>10839</v>
      </c>
      <c r="B331" s="314" t="s">
        <v>7089</v>
      </c>
      <c r="C331" s="323" t="s">
        <v>10840</v>
      </c>
      <c r="E331" s="320">
        <v>45827</v>
      </c>
      <c r="I331" s="314">
        <v>200</v>
      </c>
    </row>
    <row r="332" spans="1:10" ht="18.75" customHeight="1" x14ac:dyDescent="0.3">
      <c r="A332" s="314" t="s">
        <v>12301</v>
      </c>
      <c r="B332" s="314" t="s">
        <v>12300</v>
      </c>
      <c r="C332" s="323" t="s">
        <v>12302</v>
      </c>
      <c r="E332" s="320">
        <v>45827</v>
      </c>
      <c r="I332" s="314">
        <v>200</v>
      </c>
      <c r="J332" s="319" t="s">
        <v>7057</v>
      </c>
    </row>
    <row r="333" spans="1:10" ht="18.75" customHeight="1" x14ac:dyDescent="0.3">
      <c r="A333" s="314" t="s">
        <v>10967</v>
      </c>
      <c r="B333" s="314" t="s">
        <v>10968</v>
      </c>
      <c r="C333" s="323" t="s">
        <v>10969</v>
      </c>
      <c r="E333" s="320">
        <v>45486</v>
      </c>
      <c r="H333" s="652">
        <v>18700</v>
      </c>
      <c r="I333" s="314">
        <v>500</v>
      </c>
      <c r="J333" s="319" t="s">
        <v>10871</v>
      </c>
    </row>
    <row r="334" spans="1:10" ht="18.75" customHeight="1" x14ac:dyDescent="0.3">
      <c r="A334" s="1622" t="s">
        <v>12303</v>
      </c>
      <c r="B334" s="314" t="s">
        <v>12304</v>
      </c>
      <c r="C334" s="323" t="s">
        <v>12305</v>
      </c>
      <c r="I334" s="314">
        <v>300</v>
      </c>
    </row>
    <row r="335" spans="1:10" ht="18.75" customHeight="1" x14ac:dyDescent="0.3">
      <c r="A335" s="314" t="s">
        <v>10970</v>
      </c>
      <c r="B335" s="314" t="s">
        <v>11039</v>
      </c>
      <c r="C335" s="323" t="s">
        <v>10971</v>
      </c>
      <c r="E335" s="320"/>
      <c r="H335" s="652">
        <v>10000</v>
      </c>
      <c r="I335" s="314">
        <v>300</v>
      </c>
      <c r="J335" s="319" t="s">
        <v>10871</v>
      </c>
    </row>
    <row r="336" spans="1:10" ht="18.75" customHeight="1" x14ac:dyDescent="0.3">
      <c r="A336" s="147" t="s">
        <v>7407</v>
      </c>
      <c r="B336" s="147" t="s">
        <v>7408</v>
      </c>
      <c r="C336" s="315" t="s">
        <v>7409</v>
      </c>
      <c r="D336" s="272">
        <v>28494</v>
      </c>
      <c r="E336" s="272">
        <v>45828</v>
      </c>
      <c r="F336" s="281">
        <v>383671701192</v>
      </c>
      <c r="G336" s="633">
        <v>7903634461</v>
      </c>
      <c r="H336" s="651">
        <v>77</v>
      </c>
      <c r="I336" s="147">
        <v>200</v>
      </c>
    </row>
    <row r="337" spans="1:10" ht="18.75" customHeight="1" x14ac:dyDescent="0.3">
      <c r="A337" s="314" t="s">
        <v>9552</v>
      </c>
      <c r="B337" s="314" t="s">
        <v>9553</v>
      </c>
      <c r="C337" s="314" t="s">
        <v>9554</v>
      </c>
      <c r="D337" s="320">
        <v>19495</v>
      </c>
      <c r="E337" s="320"/>
      <c r="G337" s="632">
        <v>9234550363</v>
      </c>
      <c r="H337" s="652">
        <v>530</v>
      </c>
      <c r="I337" s="314">
        <v>200</v>
      </c>
      <c r="J337" s="319" t="s">
        <v>10871</v>
      </c>
    </row>
    <row r="338" spans="1:10" ht="18.75" customHeight="1" x14ac:dyDescent="0.3">
      <c r="A338" s="314" t="s">
        <v>12307</v>
      </c>
      <c r="B338" s="314" t="s">
        <v>12308</v>
      </c>
      <c r="C338" s="323" t="s">
        <v>12309</v>
      </c>
      <c r="E338" s="320">
        <v>45829</v>
      </c>
      <c r="H338" s="652">
        <v>23490</v>
      </c>
      <c r="J338" s="319" t="s">
        <v>7057</v>
      </c>
    </row>
    <row r="339" spans="1:10" ht="18.75" customHeight="1" x14ac:dyDescent="0.3">
      <c r="A339" s="314" t="s">
        <v>10768</v>
      </c>
      <c r="B339" s="314" t="s">
        <v>10769</v>
      </c>
      <c r="C339" s="323" t="s">
        <v>10770</v>
      </c>
      <c r="D339" s="320">
        <v>26909</v>
      </c>
      <c r="E339" s="320">
        <v>45829</v>
      </c>
      <c r="G339" s="632">
        <v>8092532463</v>
      </c>
      <c r="H339" s="921">
        <v>17090</v>
      </c>
      <c r="I339" s="314">
        <v>500</v>
      </c>
      <c r="J339" s="319" t="s">
        <v>10871</v>
      </c>
    </row>
    <row r="340" spans="1:10" ht="18.75" customHeight="1" x14ac:dyDescent="0.3">
      <c r="A340" s="314" t="s">
        <v>10835</v>
      </c>
      <c r="B340" s="314" t="s">
        <v>972</v>
      </c>
      <c r="C340" s="323" t="s">
        <v>10836</v>
      </c>
      <c r="E340" s="320">
        <v>45829</v>
      </c>
      <c r="G340" s="632">
        <v>8804848058</v>
      </c>
      <c r="H340" s="652">
        <v>0</v>
      </c>
      <c r="I340" s="314">
        <v>150</v>
      </c>
      <c r="J340" s="319" t="s">
        <v>10871</v>
      </c>
    </row>
    <row r="341" spans="1:10" ht="18.75" customHeight="1" x14ac:dyDescent="0.3">
      <c r="A341" s="147" t="s">
        <v>8240</v>
      </c>
      <c r="B341" s="147" t="s">
        <v>972</v>
      </c>
      <c r="C341" s="609" t="s">
        <v>12310</v>
      </c>
      <c r="D341" s="320">
        <v>26567</v>
      </c>
      <c r="E341" s="320">
        <v>45829</v>
      </c>
      <c r="H341" s="652">
        <v>2900</v>
      </c>
      <c r="I341" s="314">
        <v>200</v>
      </c>
    </row>
    <row r="342" spans="1:10" ht="18.75" customHeight="1" x14ac:dyDescent="0.3">
      <c r="A342" s="147" t="s">
        <v>7484</v>
      </c>
      <c r="B342" s="147" t="s">
        <v>7485</v>
      </c>
      <c r="C342" s="147" t="s">
        <v>7486</v>
      </c>
      <c r="E342" s="320">
        <v>45829</v>
      </c>
      <c r="G342" s="634">
        <v>7979052016</v>
      </c>
      <c r="H342" s="652">
        <v>22910</v>
      </c>
      <c r="I342" s="314">
        <v>400</v>
      </c>
      <c r="J342" s="319" t="s">
        <v>7057</v>
      </c>
    </row>
    <row r="343" spans="1:10" ht="18.75" customHeight="1" x14ac:dyDescent="0.3">
      <c r="A343" s="314" t="s">
        <v>9760</v>
      </c>
      <c r="B343" s="314" t="s">
        <v>9761</v>
      </c>
      <c r="C343" t="s">
        <v>9762</v>
      </c>
      <c r="D343" s="320">
        <v>26538</v>
      </c>
      <c r="E343" s="320"/>
      <c r="G343" s="632">
        <v>8797946237</v>
      </c>
      <c r="I343" s="314">
        <v>350</v>
      </c>
    </row>
    <row r="344" spans="1:10" ht="18.75" customHeight="1" x14ac:dyDescent="0.3">
      <c r="A344" s="314" t="s">
        <v>12323</v>
      </c>
      <c r="B344" s="314" t="s">
        <v>12324</v>
      </c>
      <c r="C344" s="323" t="s">
        <v>12325</v>
      </c>
      <c r="E344" s="320">
        <v>45830</v>
      </c>
      <c r="I344" s="314">
        <v>100</v>
      </c>
    </row>
    <row r="345" spans="1:10" ht="18.75" customHeight="1" x14ac:dyDescent="0.3">
      <c r="A345" s="314" t="s">
        <v>12326</v>
      </c>
      <c r="B345" s="314" t="s">
        <v>12330</v>
      </c>
      <c r="C345" s="323" t="s">
        <v>12327</v>
      </c>
      <c r="D345" s="320">
        <v>33239</v>
      </c>
      <c r="E345" s="320">
        <v>45830</v>
      </c>
      <c r="G345" s="632">
        <v>6205626518</v>
      </c>
      <c r="I345" s="314">
        <v>300</v>
      </c>
      <c r="J345" s="319" t="s">
        <v>7057</v>
      </c>
    </row>
    <row r="346" spans="1:10" ht="18.75" customHeight="1" x14ac:dyDescent="0.3">
      <c r="A346" s="314" t="s">
        <v>12328</v>
      </c>
      <c r="C346" s="323" t="s">
        <v>12329</v>
      </c>
      <c r="E346" s="320">
        <v>45830</v>
      </c>
      <c r="I346" s="314">
        <v>100</v>
      </c>
    </row>
    <row r="347" spans="1:10" ht="18.75" customHeight="1" x14ac:dyDescent="0.3">
      <c r="A347" s="314" t="s">
        <v>7482</v>
      </c>
      <c r="B347" s="314" t="s">
        <v>8445</v>
      </c>
      <c r="C347" s="323" t="s">
        <v>8446</v>
      </c>
      <c r="E347" s="320">
        <v>45831</v>
      </c>
      <c r="G347" s="632">
        <v>9955906594</v>
      </c>
      <c r="H347" s="652">
        <v>35000</v>
      </c>
      <c r="I347" s="314">
        <v>400</v>
      </c>
      <c r="J347" s="319" t="s">
        <v>7057</v>
      </c>
    </row>
    <row r="348" spans="1:10" ht="18.75" customHeight="1" x14ac:dyDescent="0.3">
      <c r="A348" s="314" t="s">
        <v>12332</v>
      </c>
      <c r="B348" s="314" t="s">
        <v>12333</v>
      </c>
      <c r="C348" s="323" t="s">
        <v>12334</v>
      </c>
      <c r="D348" s="320">
        <v>35049</v>
      </c>
      <c r="E348" s="320">
        <v>45831</v>
      </c>
      <c r="G348" s="632">
        <v>6203311349</v>
      </c>
      <c r="I348" s="314">
        <v>300</v>
      </c>
    </row>
    <row r="349" spans="1:10" ht="18.75" customHeight="1" x14ac:dyDescent="0.3">
      <c r="A349" s="314" t="s">
        <v>12336</v>
      </c>
      <c r="B349" s="314" t="s">
        <v>12337</v>
      </c>
      <c r="C349" s="323" t="s">
        <v>12338</v>
      </c>
      <c r="E349" s="320">
        <v>45831</v>
      </c>
      <c r="H349" s="652">
        <v>18000</v>
      </c>
      <c r="I349" s="314">
        <v>400</v>
      </c>
      <c r="J349" s="319" t="s">
        <v>7057</v>
      </c>
    </row>
    <row r="350" spans="1:10" ht="18.75" customHeight="1" x14ac:dyDescent="0.3">
      <c r="B350" s="314" t="s">
        <v>12339</v>
      </c>
      <c r="C350" s="323" t="s">
        <v>12340</v>
      </c>
    </row>
  </sheetData>
  <sortState xmlns:xlrd2="http://schemas.microsoft.com/office/spreadsheetml/2017/richdata2" ref="A2:J303">
    <sortCondition descending="1" ref="A2:A303"/>
  </sortState>
  <hyperlinks>
    <hyperlink ref="C53" r:id="rId1" xr:uid="{F50658D5-E90A-4FAF-AF03-414896FAACBA}"/>
    <hyperlink ref="C199" r:id="rId2" xr:uid="{1374AA1A-8112-4C4F-A65E-FC3472581B99}"/>
    <hyperlink ref="C284" r:id="rId3" xr:uid="{D3F3B83B-BEEF-4189-B1A2-7CB688F0C66A}"/>
    <hyperlink ref="C197" r:id="rId4" xr:uid="{ADC49C70-A3C8-4A87-87E8-A02548E5F3CD}"/>
    <hyperlink ref="C30" r:id="rId5" xr:uid="{9C867EBA-500B-4FDF-AEF7-DE2AA7882316}"/>
    <hyperlink ref="C96" r:id="rId6" xr:uid="{6BCD93C1-1CD7-4A4B-B1AB-E5E304B0AA88}"/>
    <hyperlink ref="C166" r:id="rId7" xr:uid="{9DAD17BD-ECC3-4C16-8CB1-F5326E7D0785}"/>
    <hyperlink ref="C26" r:id="rId8" xr:uid="{79829409-43C5-42A2-AE36-5BABDE3464AC}"/>
    <hyperlink ref="C144" r:id="rId9" xr:uid="{F477D16A-9AD6-46C5-B187-586CCB250F52}"/>
    <hyperlink ref="C280" r:id="rId10" xr:uid="{9FCFC024-7A13-41D4-920D-00E8970206A3}"/>
    <hyperlink ref="C93" r:id="rId11" xr:uid="{2349CB44-6273-443D-8C02-907E62173567}"/>
    <hyperlink ref="C121" r:id="rId12" xr:uid="{4A13A7D3-8D1D-4035-852E-FD11DBAEAFAF}"/>
    <hyperlink ref="C46" r:id="rId13" xr:uid="{3A9BDC4D-F9D1-4FBC-AA0A-4E23C5CF5024}"/>
    <hyperlink ref="C49" r:id="rId14" xr:uid="{F8628216-42DD-4117-8CE5-D5D8AC172850}"/>
    <hyperlink ref="C22" r:id="rId15" xr:uid="{C563102B-A374-4231-B9B2-38A3E3501219}"/>
    <hyperlink ref="C148" r:id="rId16" xr:uid="{18C02F22-79F8-4AAF-A707-FEFBD595216E}"/>
    <hyperlink ref="C135" r:id="rId17" xr:uid="{49E205E8-4485-4763-BEA5-D76D0E50EEF2}"/>
    <hyperlink ref="C181" r:id="rId18" xr:uid="{365C9D63-6E55-4ACA-BDB4-FD7D145FCC57}"/>
    <hyperlink ref="C238" r:id="rId19" xr:uid="{C0670A70-ADE2-47B6-B5CF-B0A04142FB22}"/>
    <hyperlink ref="C264" r:id="rId20" xr:uid="{65B888F1-6A3F-4C28-84C6-EC5298F0FFF0}"/>
    <hyperlink ref="C38" r:id="rId21" xr:uid="{208B2CC9-EC31-4F42-8A1B-124DD667B7F1}"/>
    <hyperlink ref="C204" r:id="rId22" xr:uid="{017517A3-F3BD-4567-A66D-9F67AD638524}"/>
    <hyperlink ref="C249" r:id="rId23" xr:uid="{25116B7D-9346-485A-80D2-7BAF0B465842}"/>
    <hyperlink ref="C241" r:id="rId24" xr:uid="{4A4FA873-2578-45BE-A252-311B4498893E}"/>
    <hyperlink ref="C297" r:id="rId25" xr:uid="{A64F96AD-AE5B-4D32-99BF-6AC4460F0DF3}"/>
    <hyperlink ref="C145" r:id="rId26" xr:uid="{981561E0-0F61-4ECF-A901-5EFBB42FE8B5}"/>
    <hyperlink ref="C89" r:id="rId27" xr:uid="{F7C75836-6021-41E2-B304-B235FAAFE892}"/>
    <hyperlink ref="C281" r:id="rId28" xr:uid="{844D517B-90C0-4423-BED9-A0ABD70866CC}"/>
    <hyperlink ref="C245" r:id="rId29" xr:uid="{AA995465-13D8-41D3-A2B6-F963C2DC0835}"/>
    <hyperlink ref="C153" r:id="rId30" xr:uid="{ACCD0E7D-E844-4F24-8BF0-08BB7E175C36}"/>
    <hyperlink ref="C10" r:id="rId31" xr:uid="{1FDBEB89-195C-4B1E-988D-95618F9BD19A}"/>
    <hyperlink ref="C3" r:id="rId32" xr:uid="{5FCA93A5-E047-4CEA-8FB5-9E5808356DFE}"/>
    <hyperlink ref="C254" r:id="rId33" xr:uid="{FB39C6B8-C787-481D-89FB-9AE87D1D6258}"/>
    <hyperlink ref="C182" r:id="rId34" xr:uid="{D87FF963-F700-4B4E-9B79-395379F50D10}"/>
    <hyperlink ref="C128" r:id="rId35" xr:uid="{3B162CF9-E8ED-4118-9006-092B0590F49A}"/>
    <hyperlink ref="C183" r:id="rId36" xr:uid="{19876F0B-F3BD-439A-8848-974855975A2A}"/>
    <hyperlink ref="C119" r:id="rId37" xr:uid="{AF8647F3-DD0A-42B6-9AA5-C7B97CEEB682}"/>
    <hyperlink ref="C178" r:id="rId38" xr:uid="{C5C761D3-2E7F-436F-80D4-10C7B675DB95}"/>
    <hyperlink ref="C169" r:id="rId39" xr:uid="{7AFFDC08-9E9A-4C9B-9A54-EA668D6F032B}"/>
    <hyperlink ref="C189" r:id="rId40" xr:uid="{8F7054B0-DCD8-4A39-BF73-7D68D0DAC3F0}"/>
    <hyperlink ref="C200" r:id="rId41" xr:uid="{5BFDCE9E-7D81-42A6-A277-D5CD47B8C0EE}"/>
    <hyperlink ref="C7" r:id="rId42" xr:uid="{8291C7F8-DEFE-49A7-A7D9-4C378AE7E32D}"/>
    <hyperlink ref="C80" r:id="rId43" xr:uid="{43083FB3-15A8-4BCC-91BD-A47897593F4B}"/>
    <hyperlink ref="C158" r:id="rId44" xr:uid="{54E66587-B8E6-4D6C-B7C3-630A03123336}"/>
    <hyperlink ref="C31" r:id="rId45" xr:uid="{F58196A2-A6F3-45BC-B76A-107C70C0E408}"/>
    <hyperlink ref="C218" r:id="rId46" xr:uid="{95C089CA-0DC1-4F9D-863D-6DF35D896D39}"/>
    <hyperlink ref="C279" r:id="rId47" xr:uid="{2CA2C987-00A0-40DC-B463-05458A1E2123}"/>
    <hyperlink ref="I279" r:id="rId48" xr:uid="{F94A010E-3504-4383-985B-8B5612241538}"/>
    <hyperlink ref="C52" r:id="rId49" xr:uid="{FBAEBEE6-EF46-470B-B66D-219740536AF6}"/>
    <hyperlink ref="C112" r:id="rId50" xr:uid="{38632A50-F61D-4F05-84DC-E7ADBD639D69}"/>
    <hyperlink ref="C290" r:id="rId51" xr:uid="{899DF456-B064-442F-8B6A-143DEC8E1F50}"/>
    <hyperlink ref="C250" r:id="rId52" xr:uid="{9BEB16DD-3500-477C-94CB-113EA60D36A7}"/>
    <hyperlink ref="C282" r:id="rId53" xr:uid="{552FE4FA-9604-4032-815F-A307812453DC}"/>
    <hyperlink ref="C168" r:id="rId54" xr:uid="{52D5B24E-FB4A-40DD-83BD-F94FBA7EE1B8}"/>
    <hyperlink ref="C57" r:id="rId55" xr:uid="{68907927-CC53-407C-8780-1D7C77792572}"/>
    <hyperlink ref="C293" r:id="rId56" xr:uid="{32A5D9AF-57BF-4571-9342-9E779DDE8E52}"/>
    <hyperlink ref="C156" r:id="rId57" xr:uid="{8E2C6DFB-F72A-4F37-ADB1-44E0685A2E49}"/>
    <hyperlink ref="C122" r:id="rId58" xr:uid="{9A303AE5-39ED-44B1-828A-5E35C807F78A}"/>
    <hyperlink ref="C15" r:id="rId59" xr:uid="{91F121DF-B43B-4B94-A2FE-662AE412C9CD}"/>
    <hyperlink ref="C106" r:id="rId60" xr:uid="{C5C64A5C-0E2D-45B0-B138-52F6FADF7CD7}"/>
    <hyperlink ref="B282" r:id="rId61" xr:uid="{0CF482B6-3241-4F5C-B891-55AF4CAD703B}"/>
    <hyperlink ref="C98" r:id="rId62" xr:uid="{1F8E979B-5312-4199-AA9F-ECA160BE2351}"/>
    <hyperlink ref="C277" r:id="rId63" xr:uid="{08784DB8-B853-4637-903C-5D665039ACC4}"/>
    <hyperlink ref="C195" r:id="rId64" xr:uid="{88DC957C-17B0-48B6-950D-8E5B7C423BDA}"/>
    <hyperlink ref="C142" r:id="rId65" xr:uid="{53963941-91D3-4642-9981-7FF2C1F341B3}"/>
    <hyperlink ref="C103" r:id="rId66" xr:uid="{10745D20-B0ED-4D0E-82B1-B9E3B6300D45}"/>
    <hyperlink ref="C268" r:id="rId67" xr:uid="{88A7A062-3E49-4953-9136-E95F374FBCFA}"/>
    <hyperlink ref="C257" r:id="rId68" xr:uid="{B3EBBAB9-2C7C-4E23-87F8-3D4D87D18F9D}"/>
    <hyperlink ref="C86" r:id="rId69" xr:uid="{8243D5B4-08BB-43D2-ACE7-59B7C92DD4B9}"/>
    <hyperlink ref="C206" r:id="rId70" xr:uid="{CC122F64-0332-4AE2-B726-EE8B6EE16E0C}"/>
    <hyperlink ref="C63" r:id="rId71" xr:uid="{492E848C-6F6C-4A3A-8B01-FD902D64ED9C}"/>
    <hyperlink ref="C216" r:id="rId72" xr:uid="{2E6A61DB-E22E-4A30-B9E1-108483EA9039}"/>
    <hyperlink ref="C161" r:id="rId73" xr:uid="{0AB78116-25F8-4410-8512-293CBBA7AC8C}"/>
    <hyperlink ref="C73" r:id="rId74" xr:uid="{F89268BC-552A-4644-A909-C30A808159CA}"/>
    <hyperlink ref="C24" r:id="rId75" xr:uid="{E94B13EF-27C0-43F3-821A-E3C8725C7B62}"/>
    <hyperlink ref="C32" r:id="rId76" xr:uid="{AC47DF90-C6AD-44A1-979E-FDF8B69E983B}"/>
    <hyperlink ref="C68" r:id="rId77" xr:uid="{5C1B738B-7287-451D-AF45-689ECBBE8F62}"/>
    <hyperlink ref="C237" r:id="rId78" xr:uid="{D5FE59C4-76B9-4630-893F-39559F0F935B}"/>
    <hyperlink ref="C100" r:id="rId79" xr:uid="{6AADDE4B-9F30-49EE-B3B6-61CE9DE01E45}"/>
    <hyperlink ref="C131" r:id="rId80" xr:uid="{B5D4826A-B010-4117-BB6C-0BA3FDDEA016}"/>
    <hyperlink ref="C232" r:id="rId81" xr:uid="{54596692-71DE-4D8A-AD22-9C3F0AC812B0}"/>
    <hyperlink ref="C124" r:id="rId82" xr:uid="{F24FBDF0-90AD-451E-BCEB-43251C5234E5}"/>
    <hyperlink ref="C101" r:id="rId83" xr:uid="{57BC178D-B110-41CB-AE90-E2F96EF7C839}"/>
    <hyperlink ref="C211" r:id="rId84" xr:uid="{2B014960-E1E0-4863-B925-FF750256ABB8}"/>
    <hyperlink ref="C120" r:id="rId85" xr:uid="{93AE9D58-6687-48E1-A0A3-A1B8E29CEA06}"/>
    <hyperlink ref="C155" r:id="rId86" xr:uid="{447396AA-D1A9-4D44-A7F5-1FB8A70AD4A2}"/>
    <hyperlink ref="C61" r:id="rId87" xr:uid="{66142D89-02AC-431B-AE10-9BA3E9D751D8}"/>
    <hyperlink ref="C25" r:id="rId88" xr:uid="{79C0A5CB-6E98-4D7E-816A-94FF329F99A4}"/>
    <hyperlink ref="C190" r:id="rId89" xr:uid="{0594C734-984B-4BF5-814C-497723B210B3}"/>
    <hyperlink ref="C114" r:id="rId90" xr:uid="{990F8824-512F-47BB-ACAF-6ADF887E805A}"/>
    <hyperlink ref="C78" r:id="rId91" xr:uid="{76F67CB3-50C6-40A5-AD06-41EF1098688C}"/>
    <hyperlink ref="C117" r:id="rId92" xr:uid="{29063C07-A3A3-4C69-BC46-B7A4A208302D}"/>
    <hyperlink ref="C240" r:id="rId93" xr:uid="{D2CD04EC-110D-4B2E-8CEB-1596B6797BA3}"/>
    <hyperlink ref="C21" r:id="rId94" xr:uid="{7080E100-47D7-45C4-9553-3AAEC86F935D}"/>
    <hyperlink ref="C285" r:id="rId95" xr:uid="{F2994875-3E33-4BA3-BA29-4B3EEBF8033D}"/>
    <hyperlink ref="C81" r:id="rId96" xr:uid="{5DEBCCB1-ED78-45B6-9F74-2B0AF85AFDD0}"/>
    <hyperlink ref="C198" r:id="rId97" xr:uid="{4B452CE7-5C66-4C23-AE4F-0C60DC63A447}"/>
    <hyperlink ref="C256" r:id="rId98" xr:uid="{9F13CF4A-B3C0-46C7-ABF9-CF146BDE6861}"/>
    <hyperlink ref="C208" r:id="rId99" xr:uid="{6D5543F4-A2D7-4D99-B3A4-02AE48043ECA}"/>
    <hyperlink ref="C255" r:id="rId100" xr:uid="{FB1D19F2-A33B-4B72-A24E-29EC30FCC361}"/>
    <hyperlink ref="C50" r:id="rId101" xr:uid="{52C44C8A-781A-4488-A27D-A126002757FB}"/>
    <hyperlink ref="C84" r:id="rId102" xr:uid="{A8D36C6D-393E-496A-9127-504124709D33}"/>
    <hyperlink ref="C165" r:id="rId103" xr:uid="{860AD8F1-7FD9-40E1-9079-7FB26E10DDC5}"/>
    <hyperlink ref="C115" r:id="rId104" xr:uid="{053E6724-BDE4-4579-9595-CDA7528700C7}"/>
    <hyperlink ref="C127" r:id="rId105" xr:uid="{49DD29C6-E965-45C6-A48C-30D7BE7E75C1}"/>
    <hyperlink ref="C278" r:id="rId106" xr:uid="{212DF13C-DC5F-47C8-ACCE-07B0A1548078}"/>
    <hyperlink ref="C196" r:id="rId107" xr:uid="{662978A3-C82E-4576-9CF3-046117DBC7B5}"/>
    <hyperlink ref="C242" r:id="rId108" xr:uid="{81AFB413-62EA-4950-87BD-B4E5DD321C77}"/>
    <hyperlink ref="C76" r:id="rId109" xr:uid="{8C99536E-3C30-4471-8BAB-F69BFA2CBB73}"/>
    <hyperlink ref="C97" r:id="rId110" xr:uid="{A85E3A41-A1FF-49B2-8463-646777750C0B}"/>
    <hyperlink ref="C87" r:id="rId111" xr:uid="{F4BEBD2A-79E4-408B-BE62-C8D6A469543F}"/>
    <hyperlink ref="C269" r:id="rId112" xr:uid="{EF155981-71E3-48CB-B2AB-FE02764F3E29}"/>
    <hyperlink ref="C141" r:id="rId113" xr:uid="{0DA3FD73-6589-4990-9F56-677574D56F7B}"/>
    <hyperlink ref="C203" r:id="rId114" xr:uid="{8FC9DBDC-DCDD-4054-BA09-2EBCCC0AACA9}"/>
    <hyperlink ref="C12" r:id="rId115" xr:uid="{524CF475-2F76-4DA1-9A3C-9AF09CF0B761}"/>
    <hyperlink ref="C236" r:id="rId116" xr:uid="{7725B1BA-3FA9-4F13-A0DE-9256C9DEC713}"/>
    <hyperlink ref="C171" r:id="rId117" xr:uid="{AD69F35C-BA75-4A41-93D7-B4F5A6D203AD}"/>
    <hyperlink ref="C105" r:id="rId118" xr:uid="{46682052-3F78-4BC3-AA8F-C878870BCC92}"/>
    <hyperlink ref="C99" r:id="rId119" xr:uid="{E66C7577-FC19-46BA-A98B-1F9E7A5E29AE}"/>
    <hyperlink ref="C71" r:id="rId120" xr:uid="{687222FA-DCE1-4FDA-80CE-5EAD3B53CDBC}"/>
    <hyperlink ref="C283" r:id="rId121" xr:uid="{B10602B8-7A36-4968-8927-E96E723C7763}"/>
    <hyperlink ref="C64" r:id="rId122" xr:uid="{1F3806B9-0D8A-4566-A4D1-50C917D9C004}"/>
    <hyperlink ref="C110" r:id="rId123" xr:uid="{B65F5555-F05E-4846-BEA0-0923DCFAD8B6}"/>
    <hyperlink ref="C239" r:id="rId124" xr:uid="{D879ACB8-4167-4432-87DB-89577CD4A590}"/>
    <hyperlink ref="C287" r:id="rId125" xr:uid="{CFD8B7EA-E9EF-4233-9573-37E30092C1AD}"/>
    <hyperlink ref="C294" r:id="rId126" xr:uid="{3679C9E0-49B6-4839-9BE7-490A79E7DFBE}"/>
    <hyperlink ref="C79" r:id="rId127" xr:uid="{E8446629-65EA-4394-8EE5-C81586B66A52}"/>
    <hyperlink ref="C152" r:id="rId128" xr:uid="{31706EC4-78D1-41EE-AFCC-16A3C80FC12F}"/>
    <hyperlink ref="C228" r:id="rId129" xr:uid="{F17BEF7B-8959-48F3-8B39-1203A4201CE7}"/>
    <hyperlink ref="C205" r:id="rId130" xr:uid="{92A6693A-CF9F-4D7B-B586-CFC15CABD09E}"/>
    <hyperlink ref="C11" r:id="rId131" xr:uid="{BFE31D38-BD7A-44A7-8106-9F959E968292}"/>
    <hyperlink ref="C292" r:id="rId132" xr:uid="{738B2098-17E5-47E9-A864-B104220EEAF6}"/>
    <hyperlink ref="C253" r:id="rId133" xr:uid="{3E5B47D5-C6EE-4224-8CE9-7B47B05914F1}"/>
    <hyperlink ref="C82" r:id="rId134" xr:uid="{17BFE114-5057-4A1C-93A4-84699F8C4C21}"/>
    <hyperlink ref="C27" r:id="rId135" xr:uid="{DBF1D316-B27E-4A14-A127-7331EA79D2BE}"/>
    <hyperlink ref="C170" r:id="rId136" xr:uid="{92E566BC-0790-4317-8934-7E9E7AEA8465}"/>
    <hyperlink ref="C248" r:id="rId137" xr:uid="{7EA9EB8E-56D1-4CF6-BD75-127D9326B569}"/>
    <hyperlink ref="C123" r:id="rId138" xr:uid="{A9814532-9201-409E-A4ED-C7B4B5F21246}"/>
    <hyperlink ref="C174" r:id="rId139" xr:uid="{0ABA9E68-99C0-4F53-8EB4-F05A7B702FCC}"/>
    <hyperlink ref="C177" r:id="rId140" xr:uid="{C97DD99A-3714-4E2D-8A25-F6BFF6BD6C7A}"/>
    <hyperlink ref="C224" r:id="rId141" xr:uid="{5025A05F-051A-4018-8565-25A544708CB4}"/>
    <hyperlink ref="C70" r:id="rId142" xr:uid="{993E8A0A-E5D8-4878-ADD4-15DAC7B1643A}"/>
    <hyperlink ref="C2" r:id="rId143" xr:uid="{E35D75E5-9A50-41F7-90AE-CB4F564C2C6D}"/>
    <hyperlink ref="C150" r:id="rId144" xr:uid="{7D083718-A957-4ECA-A26F-99C0BF350634}"/>
    <hyperlink ref="C60" r:id="rId145" xr:uid="{4D28EE27-C99F-44B8-AE6A-B9DC2A6A05AE}"/>
    <hyperlink ref="C298" r:id="rId146" xr:uid="{90C77586-BAC1-4ED1-BFB4-825AC473AFE4}"/>
    <hyperlink ref="C263" r:id="rId147" xr:uid="{EEE3E69A-31E9-49A0-B137-5454BE5A325D}"/>
    <hyperlink ref="C151" r:id="rId148" xr:uid="{C25E2BE2-CCC0-46EB-B241-DA29DA44C2B9}"/>
    <hyperlink ref="C246" r:id="rId149" xr:uid="{225091FD-9710-4049-B288-B9934190C3F4}"/>
    <hyperlink ref="C154" r:id="rId150" xr:uid="{1AC0164E-1543-4EB3-BFB1-96169404C2BA}"/>
    <hyperlink ref="C217" r:id="rId151" xr:uid="{1B1A69BF-A0CD-48A6-AE86-F29C8EC84BD6}"/>
    <hyperlink ref="C207" r:id="rId152" xr:uid="{251ECC28-946F-46A4-A259-0B0DDED0123F}"/>
    <hyperlink ref="C125" r:id="rId153" xr:uid="{36F20B8E-5345-4C6D-856F-B435DD2120CE}"/>
    <hyperlink ref="C85" r:id="rId154" xr:uid="{F5E3C994-2C84-4F72-8687-536791FC9645}"/>
    <hyperlink ref="C67" r:id="rId155" xr:uid="{1805F418-A598-470B-A399-F63537569792}"/>
    <hyperlink ref="C90" r:id="rId156" xr:uid="{1074CF7F-0D30-4D16-B2DB-3B134EB1A9A4}"/>
    <hyperlink ref="C265" r:id="rId157" xr:uid="{958DF7CE-2164-4958-84BD-4AC98F21D1B0}"/>
    <hyperlink ref="C167" r:id="rId158" xr:uid="{262BAADC-C9E2-4D13-B1C3-B192BF83FA15}"/>
    <hyperlink ref="C130" r:id="rId159" xr:uid="{0AAF6142-050E-4B49-A612-0558CEE20A63}"/>
    <hyperlink ref="C291" r:id="rId160" xr:uid="{D5320844-40CB-4475-A573-0AA2139C6028}"/>
    <hyperlink ref="C251" r:id="rId161" xr:uid="{929743A1-0533-4155-919F-A2EDB829C148}"/>
    <hyperlink ref="C132" r:id="rId162" xr:uid="{F8268871-062D-4D15-B9D6-5328D2C5C2DD}"/>
    <hyperlink ref="C56" r:id="rId163" xr:uid="{0D2DA36B-4AFD-4583-8881-B156ED7C740A}"/>
    <hyperlink ref="C209" r:id="rId164" xr:uid="{E40598AE-C747-48B5-A625-0360BB232E17}"/>
    <hyperlink ref="C69" r:id="rId165" display="Feha@~6574" xr:uid="{311D7492-1B2E-43A9-A1A5-E66F5932F33F}"/>
    <hyperlink ref="C129" r:id="rId166" xr:uid="{6CF50781-BC39-452D-9BD4-0E9F68D85AEC}"/>
    <hyperlink ref="C62" r:id="rId167" xr:uid="{4BB939DA-5828-49B4-A74A-8F22AF4EA86E}"/>
    <hyperlink ref="C258" r:id="rId168" xr:uid="{1C0D780C-0F43-424E-BC63-927779094F71}"/>
    <hyperlink ref="C6" r:id="rId169" xr:uid="{BF1FD295-4F2C-414A-B5FB-687CB7D1B82E}"/>
    <hyperlink ref="C48" r:id="rId170" xr:uid="{5A7C27E3-322C-43C8-83B3-0EDCCF839C0E}"/>
    <hyperlink ref="C47" r:id="rId171" xr:uid="{BA837C2D-B6F7-41D2-BBDA-21644F3E8756}"/>
    <hyperlink ref="C143" r:id="rId172" xr:uid="{B3C83945-2749-44C5-992D-A37B0E5D7DDB}"/>
    <hyperlink ref="C275" r:id="rId173" xr:uid="{27E44A9F-A199-4AC5-B6A2-95443E8B6BBB}"/>
    <hyperlink ref="C180" r:id="rId174" xr:uid="{495F40DC-B889-4BB7-8CBE-60F71CCCEA68}"/>
    <hyperlink ref="C58" r:id="rId175" xr:uid="{B1D7961F-5ED1-465B-8DE5-4D40974C8B11}"/>
    <hyperlink ref="C102" r:id="rId176" xr:uid="{6B8CA564-7344-4F86-9D33-A862B36DAAA7}"/>
    <hyperlink ref="C192" r:id="rId177" xr:uid="{5B2889D6-DD09-481A-B1D9-B62008729937}"/>
    <hyperlink ref="C72" r:id="rId178" xr:uid="{D76E4191-DA50-466B-8D37-38ADB77487EB}"/>
    <hyperlink ref="C4" r:id="rId179" xr:uid="{DDB0A4EB-0FF3-41F5-9903-A09175632254}"/>
    <hyperlink ref="C16" r:id="rId180" xr:uid="{E1F791D3-A798-4C57-902C-984AA71EAE4F}"/>
    <hyperlink ref="C111" r:id="rId181" xr:uid="{AFB6049D-F9E0-4942-8F06-740B1FAB3B56}"/>
    <hyperlink ref="C286" r:id="rId182" xr:uid="{A1DC6EE6-F062-4BA2-820B-D2970AE851B5}"/>
    <hyperlink ref="C116" r:id="rId183" xr:uid="{0CBC70F3-DFD4-44A5-AD24-C4A9B6B649CC}"/>
    <hyperlink ref="C95" r:id="rId184" xr:uid="{689F5239-D541-4247-979D-78E3B0D6DC1D}"/>
    <hyperlink ref="C8" r:id="rId185" xr:uid="{6A9E3E8B-4090-4851-BAFD-7680CD4449BA}"/>
    <hyperlink ref="C301" r:id="rId186" xr:uid="{23EAADB7-2840-4C2B-90C5-78E636F38BA2}"/>
    <hyperlink ref="C179" r:id="rId187" xr:uid="{18E18503-EBB0-4564-A3C5-575AC3AD2E58}"/>
    <hyperlink ref="C302" r:id="rId188" xr:uid="{9A0CFFEC-7190-4354-B8F5-FCF5056340B5}"/>
    <hyperlink ref="C303" r:id="rId189" xr:uid="{53E77844-C56D-42BA-BAE6-CB9DFAF0C12A}"/>
    <hyperlink ref="C307" r:id="rId190" xr:uid="{690EB736-B67E-44C2-8377-21254D396C05}"/>
    <hyperlink ref="C309" r:id="rId191" xr:uid="{C019282A-BA93-4E53-A410-D0D4B7AA22BB}"/>
    <hyperlink ref="C311" r:id="rId192" xr:uid="{AF188C17-CF93-4511-BEEF-8B89E032CDE3}"/>
    <hyperlink ref="C313" r:id="rId193" xr:uid="{6EB71FB1-69BC-4E22-856B-9D301E21A803}"/>
    <hyperlink ref="C314" r:id="rId194" xr:uid="{4AEE8502-D894-4EE3-BBF4-D22C76F17A29}"/>
    <hyperlink ref="C315" r:id="rId195" xr:uid="{D4666AB6-E59B-4630-A97D-07BDCD5BCB0D}"/>
    <hyperlink ref="C316" r:id="rId196" xr:uid="{1EA08BAA-8B88-4D72-B429-C261E10F174E}"/>
    <hyperlink ref="C317" r:id="rId197" xr:uid="{7BFF6E5C-AAE3-40CC-A069-2F8456C1173C}"/>
    <hyperlink ref="C318" r:id="rId198" xr:uid="{01682712-BC6A-4819-9292-F6C924767F8A}"/>
    <hyperlink ref="C320" r:id="rId199" xr:uid="{FE8DD9FA-7E43-4ABE-9BFC-D3319ABF100B}"/>
    <hyperlink ref="C322" r:id="rId200" xr:uid="{CA7AD8AE-0E6B-4752-B3D4-72DF98A9B0B0}"/>
    <hyperlink ref="C323" r:id="rId201" xr:uid="{CDEC1E4C-F01F-4DFB-905A-F1DB686DC07B}"/>
    <hyperlink ref="C324" r:id="rId202" xr:uid="{7709D9EC-2EFC-4242-A75B-CD54C31D269C}"/>
    <hyperlink ref="C325" r:id="rId203" xr:uid="{8DBC41E2-52B5-4DBD-AA2E-39A96CDF0037}"/>
    <hyperlink ref="C327" r:id="rId204" xr:uid="{D774E6A9-E8BB-4BCC-9042-330F82E80365}"/>
    <hyperlink ref="C329" r:id="rId205" xr:uid="{E6C4969B-F969-451B-BADF-87E27CE2D76D}"/>
    <hyperlink ref="C330" r:id="rId206" xr:uid="{63103242-E4BB-4F62-B99B-2D03ED1FCDA6}"/>
    <hyperlink ref="C331" r:id="rId207" xr:uid="{2F5D0AA4-884E-49E5-80E0-B0548A1C1B83}"/>
    <hyperlink ref="C332" r:id="rId208" xr:uid="{AB19F83A-BFB5-4416-BFD6-4E8972958FB4}"/>
    <hyperlink ref="C333" r:id="rId209" xr:uid="{DD50D57B-B54E-4108-A4A0-46625DB1CB51}"/>
    <hyperlink ref="C334" r:id="rId210" xr:uid="{97F875FA-436A-4885-BAF8-BE71BF3E490B}"/>
    <hyperlink ref="C335" r:id="rId211" xr:uid="{F0B901A5-B6AF-466A-824E-083EB6F2B6FF}"/>
    <hyperlink ref="C338" r:id="rId212" xr:uid="{38815480-91C6-4158-B60C-D254EDF32E2B}"/>
    <hyperlink ref="C339" r:id="rId213" xr:uid="{54AF4253-90F4-4F7B-ADD9-4030DC456130}"/>
    <hyperlink ref="C340" r:id="rId214" xr:uid="{DB34C143-42C2-4FF5-B9B8-1127FDA65924}"/>
    <hyperlink ref="C341" r:id="rId215" xr:uid="{6B3FEC48-3DBF-4DA8-B952-BF73C8278630}"/>
    <hyperlink ref="C344" r:id="rId216" xr:uid="{45263206-F6B7-46FF-82B8-50CBB4F70EBA}"/>
    <hyperlink ref="C345" r:id="rId217" xr:uid="{955EC087-31AB-49C0-B83F-BCE57046F89E}"/>
    <hyperlink ref="C346" r:id="rId218" xr:uid="{65AA5E9B-624B-4D6D-A910-EF8DF5A8BBFE}"/>
    <hyperlink ref="C347" r:id="rId219" xr:uid="{A5AF867D-180C-4495-9709-2B98B91CA313}"/>
    <hyperlink ref="C348" r:id="rId220" xr:uid="{C5D3B22A-3AB4-4C52-9488-F617DFB10F21}"/>
    <hyperlink ref="C349" r:id="rId221" xr:uid="{91E93008-CF31-4797-B6C7-87F0EA2624B6}"/>
    <hyperlink ref="C350" r:id="rId222" xr:uid="{50DF8936-52EE-4231-9E19-C730AD949E20}"/>
  </hyperlinks>
  <pageMargins left="0.7" right="0.7" top="0.75" bottom="0.75" header="0" footer="0"/>
  <pageSetup paperSize="9" orientation="portrait" r:id="rId2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topLeftCell="I1" zoomScaleNormal="100" workbookViewId="0">
      <pane ySplit="2" topLeftCell="A299" activePane="bottomLeft" state="frozen"/>
      <selection pane="bottomLeft" activeCell="O315" sqref="O315"/>
    </sheetView>
  </sheetViews>
  <sheetFormatPr defaultColWidth="14.42578125" defaultRowHeight="15" customHeight="1" x14ac:dyDescent="0.25"/>
  <cols>
    <col min="1" max="1" width="15.28515625" customWidth="1"/>
    <col min="2" max="2" width="18.7109375" style="629" customWidth="1"/>
    <col min="3" max="3" width="33" customWidth="1"/>
    <col min="4" max="4" width="16.140625" style="282" customWidth="1"/>
    <col min="5" max="5" width="21.140625" style="282" customWidth="1"/>
    <col min="6" max="6" width="21.85546875" customWidth="1"/>
    <col min="7" max="7" width="41.140625" customWidth="1"/>
    <col min="8" max="8" width="62.140625" customWidth="1"/>
    <col min="9" max="9" width="15.42578125" style="282" customWidth="1"/>
    <col min="10" max="10" width="11.85546875" customWidth="1"/>
    <col min="11" max="11" width="9.140625" customWidth="1"/>
    <col min="12" max="12" width="14.5703125" customWidth="1"/>
    <col min="13" max="13" width="134.5703125" customWidth="1"/>
    <col min="14" max="14" width="9.140625" customWidth="1"/>
    <col min="15" max="15" width="11.28515625" customWidth="1"/>
    <col min="16" max="16" width="13.28515625" customWidth="1"/>
    <col min="17" max="17" width="19.140625" customWidth="1"/>
    <col min="18" max="27" width="9.140625" customWidth="1"/>
  </cols>
  <sheetData>
    <row r="1" spans="1:27" ht="18" customHeight="1" x14ac:dyDescent="0.3">
      <c r="A1" s="157" t="s">
        <v>7527</v>
      </c>
      <c r="B1" s="827" t="s">
        <v>7528</v>
      </c>
      <c r="C1" s="159"/>
      <c r="D1" s="161" t="s">
        <v>7056</v>
      </c>
      <c r="E1" s="161"/>
      <c r="F1" s="160" t="s">
        <v>7529</v>
      </c>
      <c r="G1" s="158" t="s">
        <v>7530</v>
      </c>
      <c r="H1" s="158"/>
      <c r="I1" s="158" t="s">
        <v>7531</v>
      </c>
      <c r="J1" s="158"/>
      <c r="K1" s="158" t="s">
        <v>7532</v>
      </c>
      <c r="L1" s="158" t="s">
        <v>7533</v>
      </c>
      <c r="M1" s="158"/>
      <c r="N1" s="158" t="s">
        <v>7534</v>
      </c>
      <c r="O1" s="158" t="s">
        <v>7535</v>
      </c>
      <c r="P1" s="158" t="s">
        <v>7536</v>
      </c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</row>
    <row r="2" spans="1:27" ht="18" customHeight="1" x14ac:dyDescent="0.3">
      <c r="A2" s="162"/>
      <c r="B2" s="828"/>
      <c r="C2" s="164"/>
      <c r="D2" s="165"/>
      <c r="E2" s="272"/>
      <c r="F2" s="147"/>
      <c r="G2" s="163"/>
      <c r="H2" s="163"/>
      <c r="I2" s="163"/>
      <c r="J2" s="163"/>
      <c r="K2" s="163"/>
      <c r="L2" s="166">
        <f>SUM(L4:L398)</f>
        <v>55100</v>
      </c>
      <c r="M2" s="166"/>
      <c r="N2" s="166"/>
      <c r="O2" s="166"/>
      <c r="P2" s="166">
        <f>SUM(P4:P398)</f>
        <v>54850</v>
      </c>
      <c r="Q2" s="166">
        <f>P2-L2</f>
        <v>-250</v>
      </c>
      <c r="R2" s="147"/>
      <c r="S2" s="147"/>
      <c r="T2" s="147"/>
      <c r="U2" s="147"/>
      <c r="V2" s="147"/>
      <c r="W2" s="147"/>
      <c r="X2" s="147"/>
      <c r="Y2" s="147"/>
      <c r="Z2" s="147"/>
      <c r="AA2" s="147"/>
    </row>
    <row r="3" spans="1:27" ht="18" customHeight="1" x14ac:dyDescent="0.3">
      <c r="A3" s="167">
        <v>43227</v>
      </c>
      <c r="B3" s="829">
        <v>955062118</v>
      </c>
      <c r="C3" s="168" t="s">
        <v>7219</v>
      </c>
      <c r="D3" s="273">
        <v>36016</v>
      </c>
      <c r="E3" s="273" t="s">
        <v>7865</v>
      </c>
      <c r="F3" s="169"/>
      <c r="G3" s="170"/>
      <c r="H3" s="169"/>
      <c r="I3" s="173" t="s">
        <v>7537</v>
      </c>
      <c r="J3" s="169" t="s">
        <v>7538</v>
      </c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</row>
    <row r="4" spans="1:27" ht="18" customHeight="1" x14ac:dyDescent="0.3">
      <c r="A4" s="162">
        <v>43513</v>
      </c>
      <c r="B4" s="172">
        <v>506354419</v>
      </c>
      <c r="C4" s="164" t="s">
        <v>7539</v>
      </c>
      <c r="D4" s="272">
        <v>34341</v>
      </c>
      <c r="E4" s="272" t="s">
        <v>7866</v>
      </c>
      <c r="F4" s="147" t="s">
        <v>7540</v>
      </c>
      <c r="G4" s="171"/>
      <c r="H4" s="147"/>
      <c r="I4" s="171" t="s">
        <v>7541</v>
      </c>
      <c r="J4" s="147">
        <v>4300</v>
      </c>
      <c r="K4" s="147">
        <v>4300</v>
      </c>
      <c r="L4" s="147">
        <f t="shared" ref="L4:L10" si="0">J4-K4</f>
        <v>0</v>
      </c>
      <c r="M4" s="147"/>
      <c r="N4" s="147">
        <v>3500</v>
      </c>
      <c r="O4" s="147">
        <v>3500</v>
      </c>
      <c r="P4" s="147">
        <f t="shared" ref="P4:P38" si="1">N4-O4</f>
        <v>0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</row>
    <row r="5" spans="1:27" ht="18" customHeight="1" x14ac:dyDescent="0.3">
      <c r="A5" s="162"/>
      <c r="B5" s="172" t="s">
        <v>7542</v>
      </c>
      <c r="C5" s="164" t="s">
        <v>7543</v>
      </c>
      <c r="D5" s="272">
        <v>20973</v>
      </c>
      <c r="E5" s="272" t="s">
        <v>7867</v>
      </c>
      <c r="F5" s="147"/>
      <c r="G5" s="171"/>
      <c r="H5" s="147"/>
      <c r="I5" s="171" t="s">
        <v>7544</v>
      </c>
      <c r="J5" s="147">
        <v>4800</v>
      </c>
      <c r="K5" s="147">
        <f>3000+1800</f>
        <v>4800</v>
      </c>
      <c r="L5" s="147">
        <f t="shared" si="0"/>
        <v>0</v>
      </c>
      <c r="M5" s="147"/>
      <c r="N5" s="147">
        <v>4000</v>
      </c>
      <c r="O5" s="147">
        <v>4000</v>
      </c>
      <c r="P5" s="147">
        <f t="shared" si="1"/>
        <v>0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</row>
    <row r="6" spans="1:27" ht="18" customHeight="1" x14ac:dyDescent="0.3">
      <c r="A6" s="162">
        <v>43568</v>
      </c>
      <c r="B6" s="172"/>
      <c r="C6" s="164" t="s">
        <v>7545</v>
      </c>
      <c r="D6" s="272"/>
      <c r="E6" s="272" t="s">
        <v>7868</v>
      </c>
      <c r="F6" s="147"/>
      <c r="G6" s="171"/>
      <c r="H6" s="147"/>
      <c r="I6" s="171" t="s">
        <v>7546</v>
      </c>
      <c r="J6" s="147">
        <v>2800</v>
      </c>
      <c r="K6" s="147">
        <v>2800</v>
      </c>
      <c r="L6" s="147">
        <f t="shared" si="0"/>
        <v>0</v>
      </c>
      <c r="M6" s="147"/>
      <c r="N6" s="147">
        <v>2500</v>
      </c>
      <c r="O6" s="147">
        <v>2500</v>
      </c>
      <c r="P6" s="147">
        <f t="shared" si="1"/>
        <v>0</v>
      </c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</row>
    <row r="7" spans="1:27" ht="18" customHeight="1" x14ac:dyDescent="0.3">
      <c r="A7" s="167"/>
      <c r="B7" s="182">
        <v>2072130619</v>
      </c>
      <c r="C7" s="168" t="s">
        <v>5368</v>
      </c>
      <c r="D7" s="273"/>
      <c r="E7" s="273" t="s">
        <v>7869</v>
      </c>
      <c r="F7" s="169" t="s">
        <v>7540</v>
      </c>
      <c r="G7" s="173"/>
      <c r="H7" s="169"/>
      <c r="I7" s="173" t="s">
        <v>7547</v>
      </c>
      <c r="J7" s="169">
        <v>4300</v>
      </c>
      <c r="K7" s="169">
        <v>4300</v>
      </c>
      <c r="L7" s="169">
        <f t="shared" si="0"/>
        <v>0</v>
      </c>
      <c r="M7" s="169"/>
      <c r="N7" s="169">
        <v>3500</v>
      </c>
      <c r="O7" s="169">
        <v>3500</v>
      </c>
      <c r="P7" s="169">
        <f t="shared" si="1"/>
        <v>0</v>
      </c>
      <c r="Q7" s="169" t="s">
        <v>7548</v>
      </c>
      <c r="R7" s="169"/>
      <c r="S7" s="169"/>
      <c r="T7" s="169"/>
      <c r="U7" s="169"/>
      <c r="V7" s="169"/>
      <c r="W7" s="169"/>
      <c r="X7" s="169"/>
      <c r="Y7" s="169"/>
      <c r="Z7" s="169"/>
      <c r="AA7" s="169"/>
    </row>
    <row r="8" spans="1:27" ht="18" customHeight="1" x14ac:dyDescent="0.3">
      <c r="A8" s="162"/>
      <c r="B8" s="172"/>
      <c r="C8" s="164" t="s">
        <v>7549</v>
      </c>
      <c r="D8" s="272"/>
      <c r="E8" s="272" t="s">
        <v>7870</v>
      </c>
      <c r="F8" s="147"/>
      <c r="G8" s="171"/>
      <c r="H8" s="147"/>
      <c r="I8" s="171" t="s">
        <v>7546</v>
      </c>
      <c r="J8" s="147">
        <v>4700</v>
      </c>
      <c r="K8" s="147">
        <v>4700</v>
      </c>
      <c r="L8" s="147">
        <f t="shared" si="0"/>
        <v>0</v>
      </c>
      <c r="M8" s="147"/>
      <c r="N8" s="147">
        <v>3400</v>
      </c>
      <c r="O8" s="147">
        <v>3400</v>
      </c>
      <c r="P8" s="147">
        <f t="shared" si="1"/>
        <v>0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</row>
    <row r="9" spans="1:27" ht="18" customHeight="1" x14ac:dyDescent="0.3">
      <c r="A9" s="167">
        <v>43698</v>
      </c>
      <c r="B9" s="182">
        <v>4733277619</v>
      </c>
      <c r="C9" s="168" t="s">
        <v>2713</v>
      </c>
      <c r="D9" s="273">
        <v>29537</v>
      </c>
      <c r="E9" s="273" t="s">
        <v>7871</v>
      </c>
      <c r="F9" s="169"/>
      <c r="G9" s="173"/>
      <c r="H9" s="169"/>
      <c r="I9" s="173" t="s">
        <v>7550</v>
      </c>
      <c r="J9" s="169">
        <v>4600</v>
      </c>
      <c r="K9" s="169">
        <f>3000+1600</f>
        <v>4600</v>
      </c>
      <c r="L9" s="169">
        <f t="shared" si="0"/>
        <v>0</v>
      </c>
      <c r="M9" s="169"/>
      <c r="N9" s="169">
        <v>3700</v>
      </c>
      <c r="O9" s="169">
        <f>3000+700</f>
        <v>3700</v>
      </c>
      <c r="P9" s="169">
        <f t="shared" si="1"/>
        <v>0</v>
      </c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</row>
    <row r="10" spans="1:27" ht="18" customHeight="1" x14ac:dyDescent="0.3">
      <c r="A10" s="167">
        <v>43699</v>
      </c>
      <c r="B10" s="182" t="s">
        <v>7551</v>
      </c>
      <c r="C10" s="168" t="s">
        <v>7552</v>
      </c>
      <c r="D10" s="273">
        <v>36613</v>
      </c>
      <c r="E10" s="273" t="s">
        <v>7872</v>
      </c>
      <c r="F10" s="169"/>
      <c r="G10" s="173"/>
      <c r="H10" s="169"/>
      <c r="I10" s="173" t="s">
        <v>7550</v>
      </c>
      <c r="J10" s="169">
        <v>4500</v>
      </c>
      <c r="K10" s="169">
        <v>4500</v>
      </c>
      <c r="L10" s="169">
        <f t="shared" si="0"/>
        <v>0</v>
      </c>
      <c r="M10" s="169"/>
      <c r="N10" s="169">
        <v>3700</v>
      </c>
      <c r="O10" s="169">
        <v>3700</v>
      </c>
      <c r="P10" s="169">
        <f t="shared" si="1"/>
        <v>0</v>
      </c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</row>
    <row r="11" spans="1:27" ht="18" customHeight="1" x14ac:dyDescent="0.3">
      <c r="A11" s="167"/>
      <c r="B11" s="182"/>
      <c r="C11" s="168" t="s">
        <v>7552</v>
      </c>
      <c r="D11" s="273"/>
      <c r="E11" s="273" t="s">
        <v>7873</v>
      </c>
      <c r="F11" s="169"/>
      <c r="G11" s="173"/>
      <c r="H11" s="169"/>
      <c r="I11" s="173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</row>
    <row r="12" spans="1:27" ht="18" customHeight="1" x14ac:dyDescent="0.3">
      <c r="A12" s="167"/>
      <c r="B12" s="182"/>
      <c r="C12" s="168" t="s">
        <v>7552</v>
      </c>
      <c r="D12" s="273"/>
      <c r="E12" s="273" t="s">
        <v>7874</v>
      </c>
      <c r="F12" s="169"/>
      <c r="G12" s="173"/>
      <c r="H12" s="169"/>
      <c r="I12" s="173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</row>
    <row r="13" spans="1:27" ht="18" customHeight="1" x14ac:dyDescent="0.3">
      <c r="A13" s="172"/>
      <c r="B13" s="172">
        <v>2735580119</v>
      </c>
      <c r="C13" s="174" t="s">
        <v>7553</v>
      </c>
      <c r="D13" s="272">
        <v>23023</v>
      </c>
      <c r="E13" s="274" t="s">
        <v>7875</v>
      </c>
      <c r="F13" s="147"/>
      <c r="G13" s="171"/>
      <c r="H13" s="147"/>
      <c r="I13" s="171" t="s">
        <v>7546</v>
      </c>
      <c r="J13" s="147">
        <v>1700</v>
      </c>
      <c r="K13" s="147">
        <v>1700</v>
      </c>
      <c r="L13" s="147">
        <f t="shared" ref="L13:L38" si="2">J13-K13</f>
        <v>0</v>
      </c>
      <c r="M13" s="147"/>
      <c r="N13" s="147">
        <v>1200</v>
      </c>
      <c r="O13" s="147">
        <v>1200</v>
      </c>
      <c r="P13" s="147">
        <f t="shared" si="1"/>
        <v>0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</row>
    <row r="14" spans="1:27" ht="18" customHeight="1" x14ac:dyDescent="0.3">
      <c r="A14" s="162">
        <v>43713</v>
      </c>
      <c r="B14" s="172"/>
      <c r="C14" s="174" t="s">
        <v>7554</v>
      </c>
      <c r="D14" s="272"/>
      <c r="E14" s="274" t="s">
        <v>7876</v>
      </c>
      <c r="F14" s="147" t="s">
        <v>7540</v>
      </c>
      <c r="G14" s="171"/>
      <c r="H14" s="147"/>
      <c r="I14" s="171" t="s">
        <v>7546</v>
      </c>
      <c r="J14" s="147">
        <f>1700+1100</f>
        <v>2800</v>
      </c>
      <c r="K14" s="147">
        <v>2800</v>
      </c>
      <c r="L14" s="147">
        <f t="shared" si="2"/>
        <v>0</v>
      </c>
      <c r="M14" s="147"/>
      <c r="N14" s="147">
        <f>1300+1100</f>
        <v>2400</v>
      </c>
      <c r="O14" s="147">
        <v>2400</v>
      </c>
      <c r="P14" s="147">
        <f t="shared" si="1"/>
        <v>0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</row>
    <row r="15" spans="1:27" ht="18" customHeight="1" x14ac:dyDescent="0.3">
      <c r="A15" s="162">
        <v>43713</v>
      </c>
      <c r="B15" s="172"/>
      <c r="C15" s="174" t="s">
        <v>7555</v>
      </c>
      <c r="D15" s="272"/>
      <c r="E15" s="274" t="s">
        <v>7877</v>
      </c>
      <c r="F15" s="147" t="s">
        <v>7540</v>
      </c>
      <c r="G15" s="171"/>
      <c r="H15" s="147"/>
      <c r="I15" s="171" t="s">
        <v>7550</v>
      </c>
      <c r="J15" s="147">
        <f>1700+500</f>
        <v>2200</v>
      </c>
      <c r="K15" s="147">
        <v>2200</v>
      </c>
      <c r="L15" s="147">
        <f t="shared" si="2"/>
        <v>0</v>
      </c>
      <c r="M15" s="147"/>
      <c r="N15" s="147">
        <f>1300+400</f>
        <v>1700</v>
      </c>
      <c r="O15" s="147">
        <v>1700</v>
      </c>
      <c r="P15" s="147">
        <f t="shared" si="1"/>
        <v>0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</row>
    <row r="16" spans="1:27" ht="18" customHeight="1" x14ac:dyDescent="0.3">
      <c r="A16" s="167">
        <v>43713</v>
      </c>
      <c r="B16" s="182">
        <v>2767761419</v>
      </c>
      <c r="C16" s="168" t="s">
        <v>7556</v>
      </c>
      <c r="D16" s="273">
        <v>35227</v>
      </c>
      <c r="E16" s="273" t="s">
        <v>7878</v>
      </c>
      <c r="F16" s="169"/>
      <c r="G16" s="173"/>
      <c r="H16" s="169"/>
      <c r="I16" s="173" t="s">
        <v>7550</v>
      </c>
      <c r="J16" s="169">
        <v>4600</v>
      </c>
      <c r="K16" s="169">
        <v>4600</v>
      </c>
      <c r="L16" s="169">
        <f t="shared" si="2"/>
        <v>0</v>
      </c>
      <c r="M16" s="169"/>
      <c r="N16" s="169">
        <v>3700</v>
      </c>
      <c r="O16" s="169">
        <f t="shared" ref="O16:O18" si="3">1500+2200</f>
        <v>3700</v>
      </c>
      <c r="P16" s="169">
        <f t="shared" si="1"/>
        <v>0</v>
      </c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</row>
    <row r="17" spans="1:27" ht="18" customHeight="1" x14ac:dyDescent="0.3">
      <c r="A17" s="167"/>
      <c r="B17" s="182">
        <v>2767761419</v>
      </c>
      <c r="C17" s="168" t="s">
        <v>7556</v>
      </c>
      <c r="D17" s="273"/>
      <c r="E17" s="273" t="s">
        <v>7879</v>
      </c>
      <c r="F17" s="169"/>
      <c r="G17" s="173"/>
      <c r="H17" s="169"/>
      <c r="I17" s="173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</row>
    <row r="18" spans="1:27" ht="18" customHeight="1" x14ac:dyDescent="0.3">
      <c r="A18" s="167">
        <v>43716</v>
      </c>
      <c r="B18" s="182" t="s">
        <v>7557</v>
      </c>
      <c r="C18" s="168" t="s">
        <v>7449</v>
      </c>
      <c r="D18" s="273">
        <v>33368</v>
      </c>
      <c r="E18" s="273" t="s">
        <v>7880</v>
      </c>
      <c r="F18" s="169"/>
      <c r="G18" s="173"/>
      <c r="H18" s="169"/>
      <c r="I18" s="173" t="s">
        <v>7550</v>
      </c>
      <c r="J18" s="169">
        <v>4500</v>
      </c>
      <c r="K18" s="169">
        <f>2000+2500</f>
        <v>4500</v>
      </c>
      <c r="L18" s="169">
        <f t="shared" si="2"/>
        <v>0</v>
      </c>
      <c r="M18" s="169"/>
      <c r="N18" s="169">
        <v>3700</v>
      </c>
      <c r="O18" s="169">
        <f t="shared" si="3"/>
        <v>3700</v>
      </c>
      <c r="P18" s="169">
        <f t="shared" si="1"/>
        <v>0</v>
      </c>
      <c r="Q18" s="169" t="s">
        <v>7558</v>
      </c>
      <c r="R18" s="169"/>
      <c r="S18" s="169"/>
      <c r="T18" s="169"/>
      <c r="U18" s="169"/>
      <c r="V18" s="169"/>
      <c r="W18" s="169"/>
      <c r="X18" s="169"/>
      <c r="Y18" s="169"/>
      <c r="Z18" s="169"/>
      <c r="AA18" s="169"/>
    </row>
    <row r="19" spans="1:27" ht="18" customHeight="1" x14ac:dyDescent="0.3">
      <c r="A19" s="162">
        <v>43719</v>
      </c>
      <c r="B19" s="172"/>
      <c r="C19" s="164" t="s">
        <v>1017</v>
      </c>
      <c r="D19" s="272"/>
      <c r="E19" s="272" t="s">
        <v>7881</v>
      </c>
      <c r="F19" s="147"/>
      <c r="G19" s="171"/>
      <c r="H19" s="147"/>
      <c r="I19" s="171" t="s">
        <v>7546</v>
      </c>
      <c r="J19" s="147">
        <v>2900</v>
      </c>
      <c r="K19" s="147">
        <v>2900</v>
      </c>
      <c r="L19" s="147">
        <f t="shared" si="2"/>
        <v>0</v>
      </c>
      <c r="M19" s="147"/>
      <c r="N19" s="147">
        <v>2400</v>
      </c>
      <c r="O19" s="147">
        <v>2400</v>
      </c>
      <c r="P19" s="147">
        <f t="shared" si="1"/>
        <v>0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</row>
    <row r="20" spans="1:27" ht="18" customHeight="1" x14ac:dyDescent="0.3">
      <c r="A20" s="167">
        <v>43719</v>
      </c>
      <c r="B20" s="182">
        <v>2896050719</v>
      </c>
      <c r="C20" s="168" t="s">
        <v>1839</v>
      </c>
      <c r="D20" s="273">
        <v>27936</v>
      </c>
      <c r="E20" s="273" t="s">
        <v>7882</v>
      </c>
      <c r="F20" s="169"/>
      <c r="G20" s="173"/>
      <c r="H20" s="169"/>
      <c r="I20" s="173" t="s">
        <v>7550</v>
      </c>
      <c r="J20" s="169">
        <v>4400</v>
      </c>
      <c r="K20" s="169">
        <v>4400</v>
      </c>
      <c r="L20" s="169">
        <f t="shared" si="2"/>
        <v>0</v>
      </c>
      <c r="M20" s="169"/>
      <c r="N20" s="169">
        <v>3700</v>
      </c>
      <c r="O20" s="169">
        <f>2500+1200</f>
        <v>3700</v>
      </c>
      <c r="P20" s="169">
        <f t="shared" si="1"/>
        <v>0</v>
      </c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</row>
    <row r="21" spans="1:27" ht="18" customHeight="1" x14ac:dyDescent="0.3">
      <c r="A21" s="162">
        <v>43735</v>
      </c>
      <c r="B21" s="172"/>
      <c r="C21" s="175" t="s">
        <v>7559</v>
      </c>
      <c r="D21" s="272"/>
      <c r="E21" s="275" t="s">
        <v>7883</v>
      </c>
      <c r="F21" s="147"/>
      <c r="G21" s="171"/>
      <c r="H21" s="147"/>
      <c r="I21" s="171" t="s">
        <v>7546</v>
      </c>
      <c r="J21" s="147">
        <f>1100+1700</f>
        <v>2800</v>
      </c>
      <c r="K21" s="147">
        <v>2800</v>
      </c>
      <c r="L21" s="147">
        <f t="shared" si="2"/>
        <v>0</v>
      </c>
      <c r="M21" s="147"/>
      <c r="N21" s="147">
        <f>1100+1300</f>
        <v>2400</v>
      </c>
      <c r="O21" s="147">
        <v>2400</v>
      </c>
      <c r="P21" s="147">
        <f t="shared" si="1"/>
        <v>0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</row>
    <row r="22" spans="1:27" ht="18" customHeight="1" x14ac:dyDescent="0.3">
      <c r="A22" s="167">
        <v>43751</v>
      </c>
      <c r="B22" s="182">
        <v>3617237319</v>
      </c>
      <c r="C22" s="168" t="s">
        <v>7560</v>
      </c>
      <c r="D22" s="273">
        <v>24901</v>
      </c>
      <c r="E22" s="273" t="s">
        <v>7884</v>
      </c>
      <c r="F22" s="169"/>
      <c r="G22" s="173">
        <v>1083670820</v>
      </c>
      <c r="H22" s="169"/>
      <c r="I22" s="173" t="s">
        <v>7550</v>
      </c>
      <c r="J22" s="169">
        <v>4500</v>
      </c>
      <c r="K22" s="169">
        <f>1500+3000</f>
        <v>4500</v>
      </c>
      <c r="L22" s="169">
        <f t="shared" si="2"/>
        <v>0</v>
      </c>
      <c r="M22" s="169"/>
      <c r="N22" s="169">
        <v>3700</v>
      </c>
      <c r="O22" s="169">
        <f>1500+2200</f>
        <v>3700</v>
      </c>
      <c r="P22" s="169">
        <f t="shared" si="1"/>
        <v>0</v>
      </c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</row>
    <row r="23" spans="1:27" ht="18" customHeight="1" x14ac:dyDescent="0.3">
      <c r="A23" s="167">
        <v>43751</v>
      </c>
      <c r="B23" s="182">
        <v>3617765419</v>
      </c>
      <c r="C23" s="168" t="s">
        <v>7561</v>
      </c>
      <c r="D23" s="273">
        <v>26456</v>
      </c>
      <c r="E23" s="273" t="s">
        <v>7885</v>
      </c>
      <c r="F23" s="169"/>
      <c r="G23" s="173"/>
      <c r="H23" s="169"/>
      <c r="I23" s="173" t="s">
        <v>7550</v>
      </c>
      <c r="J23" s="169">
        <v>4200</v>
      </c>
      <c r="K23" s="169">
        <f>1500+2700</f>
        <v>4200</v>
      </c>
      <c r="L23" s="169">
        <f t="shared" si="2"/>
        <v>0</v>
      </c>
      <c r="M23" s="169"/>
      <c r="N23" s="169">
        <v>3700</v>
      </c>
      <c r="O23" s="169">
        <v>3700</v>
      </c>
      <c r="P23" s="169">
        <f t="shared" si="1"/>
        <v>0</v>
      </c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</row>
    <row r="24" spans="1:27" ht="18" customHeight="1" x14ac:dyDescent="0.3">
      <c r="A24" s="167">
        <v>43753</v>
      </c>
      <c r="B24" s="182">
        <v>3618088419</v>
      </c>
      <c r="C24" s="168" t="s">
        <v>7562</v>
      </c>
      <c r="D24" s="273">
        <v>32152</v>
      </c>
      <c r="E24" s="273" t="s">
        <v>7886</v>
      </c>
      <c r="F24" s="169"/>
      <c r="G24" s="176">
        <v>1083441220</v>
      </c>
      <c r="H24" s="169"/>
      <c r="I24" s="173" t="s">
        <v>7550</v>
      </c>
      <c r="J24" s="169">
        <v>4300</v>
      </c>
      <c r="K24" s="169">
        <f>3000+1300</f>
        <v>4300</v>
      </c>
      <c r="L24" s="169">
        <f t="shared" si="2"/>
        <v>0</v>
      </c>
      <c r="M24" s="169"/>
      <c r="N24" s="169">
        <v>3700</v>
      </c>
      <c r="O24" s="169">
        <f t="shared" ref="O24:O26" si="4">1500+2200</f>
        <v>3700</v>
      </c>
      <c r="P24" s="169">
        <f t="shared" si="1"/>
        <v>0</v>
      </c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</row>
    <row r="25" spans="1:27" ht="18" customHeight="1" x14ac:dyDescent="0.3">
      <c r="A25" s="167">
        <v>43759</v>
      </c>
      <c r="B25" s="182">
        <v>3769626919</v>
      </c>
      <c r="C25" s="168" t="s">
        <v>7563</v>
      </c>
      <c r="D25" s="273">
        <v>33758</v>
      </c>
      <c r="E25" s="273" t="s">
        <v>7887</v>
      </c>
      <c r="F25" s="169"/>
      <c r="G25" s="173">
        <v>934847220</v>
      </c>
      <c r="H25" s="169"/>
      <c r="I25" s="173" t="s">
        <v>7550</v>
      </c>
      <c r="J25" s="169">
        <f>4300+500</f>
        <v>4800</v>
      </c>
      <c r="K25" s="169">
        <f>2500+2300</f>
        <v>4800</v>
      </c>
      <c r="L25" s="169">
        <f t="shared" si="2"/>
        <v>0</v>
      </c>
      <c r="M25" s="169"/>
      <c r="N25" s="169">
        <v>3700</v>
      </c>
      <c r="O25" s="169">
        <f t="shared" si="4"/>
        <v>3700</v>
      </c>
      <c r="P25" s="169">
        <f t="shared" si="1"/>
        <v>0</v>
      </c>
      <c r="Q25" s="169"/>
      <c r="R25" s="169">
        <v>4000</v>
      </c>
      <c r="S25" s="169"/>
      <c r="T25" s="169"/>
      <c r="U25" s="169"/>
      <c r="V25" s="169"/>
      <c r="W25" s="169"/>
      <c r="X25" s="169"/>
      <c r="Y25" s="169"/>
      <c r="Z25" s="169"/>
      <c r="AA25" s="169"/>
    </row>
    <row r="26" spans="1:27" ht="18" customHeight="1" x14ac:dyDescent="0.3">
      <c r="A26" s="167">
        <v>43764</v>
      </c>
      <c r="B26" s="182">
        <v>3868186019</v>
      </c>
      <c r="C26" s="168" t="s">
        <v>7564</v>
      </c>
      <c r="D26" s="273">
        <v>35278</v>
      </c>
      <c r="E26" s="273" t="s">
        <v>7888</v>
      </c>
      <c r="F26" s="169"/>
      <c r="G26" s="173"/>
      <c r="H26" s="169"/>
      <c r="I26" s="173" t="s">
        <v>7550</v>
      </c>
      <c r="J26" s="169">
        <v>4300</v>
      </c>
      <c r="K26" s="169">
        <v>4300</v>
      </c>
      <c r="L26" s="169">
        <f t="shared" si="2"/>
        <v>0</v>
      </c>
      <c r="M26" s="169"/>
      <c r="N26" s="169">
        <v>3700</v>
      </c>
      <c r="O26" s="169">
        <f t="shared" si="4"/>
        <v>3700</v>
      </c>
      <c r="P26" s="169">
        <f t="shared" si="1"/>
        <v>0</v>
      </c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</row>
    <row r="27" spans="1:27" ht="18" customHeight="1" x14ac:dyDescent="0.3">
      <c r="A27" s="167">
        <v>43768</v>
      </c>
      <c r="B27" s="182">
        <v>3888169819</v>
      </c>
      <c r="C27" s="168" t="s">
        <v>7565</v>
      </c>
      <c r="D27" s="273">
        <v>37915</v>
      </c>
      <c r="E27" s="273" t="s">
        <v>7889</v>
      </c>
      <c r="F27" s="169"/>
      <c r="G27" s="173"/>
      <c r="H27" s="169"/>
      <c r="I27" s="173" t="s">
        <v>7550</v>
      </c>
      <c r="J27" s="169">
        <v>3000</v>
      </c>
      <c r="K27" s="169">
        <v>3000</v>
      </c>
      <c r="L27" s="169">
        <f t="shared" si="2"/>
        <v>0</v>
      </c>
      <c r="M27" s="169"/>
      <c r="N27" s="169">
        <v>2700</v>
      </c>
      <c r="O27" s="169">
        <f>1500+1200</f>
        <v>2700</v>
      </c>
      <c r="P27" s="169">
        <f t="shared" si="1"/>
        <v>0</v>
      </c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</row>
    <row r="28" spans="1:27" ht="18" customHeight="1" x14ac:dyDescent="0.3">
      <c r="A28" s="167">
        <v>43752</v>
      </c>
      <c r="B28" s="182">
        <v>4138167919</v>
      </c>
      <c r="C28" s="168" t="s">
        <v>7110</v>
      </c>
      <c r="D28" s="273">
        <v>35804</v>
      </c>
      <c r="E28" s="273" t="s">
        <v>7890</v>
      </c>
      <c r="F28" s="169"/>
      <c r="G28" s="173"/>
      <c r="H28" s="169"/>
      <c r="I28" s="173" t="s">
        <v>7550</v>
      </c>
      <c r="J28" s="169">
        <v>4500</v>
      </c>
      <c r="K28" s="169">
        <f>2500+2000</f>
        <v>4500</v>
      </c>
      <c r="L28" s="169">
        <f t="shared" si="2"/>
        <v>0</v>
      </c>
      <c r="M28" s="169"/>
      <c r="N28" s="169">
        <v>3700</v>
      </c>
      <c r="O28" s="169">
        <f t="shared" ref="O28:O30" si="5">1500+1000+1200</f>
        <v>3700</v>
      </c>
      <c r="P28" s="169">
        <f t="shared" si="1"/>
        <v>0</v>
      </c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</row>
    <row r="29" spans="1:27" ht="18" customHeight="1" x14ac:dyDescent="0.3">
      <c r="A29" s="167">
        <v>43752</v>
      </c>
      <c r="B29" s="182">
        <v>4150091319</v>
      </c>
      <c r="C29" s="168" t="s">
        <v>7566</v>
      </c>
      <c r="D29" s="273">
        <v>35531</v>
      </c>
      <c r="E29" s="273" t="s">
        <v>7891</v>
      </c>
      <c r="F29" s="169"/>
      <c r="G29" s="173">
        <v>1036735220</v>
      </c>
      <c r="H29" s="169"/>
      <c r="I29" s="173" t="s">
        <v>7550</v>
      </c>
      <c r="J29" s="169">
        <v>4300</v>
      </c>
      <c r="K29" s="169">
        <f>2000+2300</f>
        <v>4300</v>
      </c>
      <c r="L29" s="169">
        <f t="shared" si="2"/>
        <v>0</v>
      </c>
      <c r="M29" s="169"/>
      <c r="N29" s="169">
        <v>3700</v>
      </c>
      <c r="O29" s="169">
        <f t="shared" si="5"/>
        <v>3700</v>
      </c>
      <c r="P29" s="169">
        <f t="shared" si="1"/>
        <v>0</v>
      </c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</row>
    <row r="30" spans="1:27" ht="18" customHeight="1" x14ac:dyDescent="0.3">
      <c r="A30" s="167">
        <v>43752</v>
      </c>
      <c r="B30" s="182">
        <v>4150679619</v>
      </c>
      <c r="C30" s="168" t="s">
        <v>3600</v>
      </c>
      <c r="D30" s="273">
        <v>36170</v>
      </c>
      <c r="E30" s="273" t="s">
        <v>7892</v>
      </c>
      <c r="F30" s="169"/>
      <c r="G30" s="173"/>
      <c r="H30" s="169"/>
      <c r="I30" s="173" t="s">
        <v>7550</v>
      </c>
      <c r="J30" s="169">
        <v>4300</v>
      </c>
      <c r="K30" s="169">
        <v>4300</v>
      </c>
      <c r="L30" s="169">
        <f t="shared" si="2"/>
        <v>0</v>
      </c>
      <c r="M30" s="169"/>
      <c r="N30" s="169">
        <v>3700</v>
      </c>
      <c r="O30" s="169">
        <f t="shared" si="5"/>
        <v>3700</v>
      </c>
      <c r="P30" s="169">
        <f t="shared" si="1"/>
        <v>0</v>
      </c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</row>
    <row r="31" spans="1:27" ht="18" customHeight="1" x14ac:dyDescent="0.3">
      <c r="A31" s="167">
        <v>43756</v>
      </c>
      <c r="B31" s="182">
        <v>4218308919</v>
      </c>
      <c r="C31" s="168" t="s">
        <v>7567</v>
      </c>
      <c r="D31" s="273">
        <v>35643</v>
      </c>
      <c r="E31" s="273" t="s">
        <v>7893</v>
      </c>
      <c r="F31" s="169"/>
      <c r="G31" s="173">
        <v>1079233420</v>
      </c>
      <c r="H31" s="169"/>
      <c r="I31" s="173" t="s">
        <v>7550</v>
      </c>
      <c r="J31" s="169">
        <v>3300</v>
      </c>
      <c r="K31" s="169">
        <f>2000+1200</f>
        <v>3200</v>
      </c>
      <c r="L31" s="169">
        <f t="shared" si="2"/>
        <v>100</v>
      </c>
      <c r="M31" s="169"/>
      <c r="N31" s="169">
        <v>2700</v>
      </c>
      <c r="O31" s="169">
        <f>1500+700+500</f>
        <v>2700</v>
      </c>
      <c r="P31" s="169">
        <f t="shared" si="1"/>
        <v>0</v>
      </c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</row>
    <row r="32" spans="1:27" ht="18" customHeight="1" x14ac:dyDescent="0.3">
      <c r="A32" s="167">
        <v>43795</v>
      </c>
      <c r="B32" s="182"/>
      <c r="C32" s="168" t="s">
        <v>7083</v>
      </c>
      <c r="D32" s="273"/>
      <c r="E32" s="273" t="s">
        <v>7894</v>
      </c>
      <c r="F32" s="169"/>
      <c r="G32" s="173"/>
      <c r="H32" s="169"/>
      <c r="I32" s="173" t="s">
        <v>7188</v>
      </c>
      <c r="J32" s="169">
        <v>2500</v>
      </c>
      <c r="K32" s="169">
        <v>2500</v>
      </c>
      <c r="L32" s="169">
        <f t="shared" si="2"/>
        <v>0</v>
      </c>
      <c r="M32" s="169"/>
      <c r="N32" s="169">
        <v>1900</v>
      </c>
      <c r="O32" s="169">
        <v>1900</v>
      </c>
      <c r="P32" s="169">
        <f t="shared" si="1"/>
        <v>0</v>
      </c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</row>
    <row r="33" spans="1:27" ht="18" customHeight="1" x14ac:dyDescent="0.3">
      <c r="A33" s="177">
        <v>43824</v>
      </c>
      <c r="B33" s="830">
        <v>4853253819</v>
      </c>
      <c r="C33" s="179" t="s">
        <v>7568</v>
      </c>
      <c r="D33" s="276">
        <v>34439</v>
      </c>
      <c r="E33" s="276" t="s">
        <v>7895</v>
      </c>
      <c r="F33" s="178" t="s">
        <v>7569</v>
      </c>
      <c r="G33" s="180" t="s">
        <v>7570</v>
      </c>
      <c r="H33" s="178"/>
      <c r="I33" s="180" t="s">
        <v>7550</v>
      </c>
      <c r="J33" s="178">
        <f>4300+500+300+500</f>
        <v>5600</v>
      </c>
      <c r="K33" s="178">
        <f>2500+3300</f>
        <v>5800</v>
      </c>
      <c r="L33" s="178">
        <f t="shared" si="2"/>
        <v>-200</v>
      </c>
      <c r="M33" s="178"/>
      <c r="N33" s="178">
        <f>3700+400+500+500</f>
        <v>5100</v>
      </c>
      <c r="O33" s="178">
        <v>1500</v>
      </c>
      <c r="P33" s="178">
        <f t="shared" si="1"/>
        <v>3600</v>
      </c>
      <c r="Q33" s="178" t="s">
        <v>7571</v>
      </c>
      <c r="R33" s="178"/>
      <c r="S33" s="178"/>
      <c r="T33" s="178"/>
      <c r="U33" s="178"/>
      <c r="V33" s="178"/>
      <c r="W33" s="178"/>
      <c r="X33" s="178"/>
      <c r="Y33" s="178"/>
      <c r="Z33" s="178"/>
      <c r="AA33" s="178"/>
    </row>
    <row r="34" spans="1:27" ht="18" customHeight="1" x14ac:dyDescent="0.3">
      <c r="A34" s="167">
        <v>43832</v>
      </c>
      <c r="B34" s="182">
        <v>42323620</v>
      </c>
      <c r="C34" s="168" t="s">
        <v>7572</v>
      </c>
      <c r="D34" s="273">
        <v>34722</v>
      </c>
      <c r="E34" s="273" t="s">
        <v>7896</v>
      </c>
      <c r="F34" s="169" t="s">
        <v>7573</v>
      </c>
      <c r="G34" s="173">
        <v>2793709520</v>
      </c>
      <c r="H34" s="169"/>
      <c r="I34" s="173" t="s">
        <v>7574</v>
      </c>
      <c r="J34" s="169">
        <v>3200</v>
      </c>
      <c r="K34" s="169">
        <f>2000+1200</f>
        <v>3200</v>
      </c>
      <c r="L34" s="169">
        <f t="shared" si="2"/>
        <v>0</v>
      </c>
      <c r="M34" s="169"/>
      <c r="N34" s="169">
        <v>2700</v>
      </c>
      <c r="O34" s="169">
        <f t="shared" ref="O34:O35" si="6">1500+1200</f>
        <v>2700</v>
      </c>
      <c r="P34" s="169">
        <f t="shared" si="1"/>
        <v>0</v>
      </c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</row>
    <row r="35" spans="1:27" ht="18" customHeight="1" x14ac:dyDescent="0.3">
      <c r="A35" s="167">
        <v>43836</v>
      </c>
      <c r="B35" s="182">
        <v>67495620</v>
      </c>
      <c r="C35" s="168" t="s">
        <v>7575</v>
      </c>
      <c r="D35" s="273">
        <v>29110</v>
      </c>
      <c r="E35" s="273" t="s">
        <v>7897</v>
      </c>
      <c r="F35" s="169" t="s">
        <v>7576</v>
      </c>
      <c r="G35" s="181">
        <v>3352360720</v>
      </c>
      <c r="H35" s="178"/>
      <c r="I35" s="173" t="s">
        <v>7574</v>
      </c>
      <c r="J35" s="169">
        <v>3000</v>
      </c>
      <c r="K35" s="169">
        <f>1500+1500</f>
        <v>3000</v>
      </c>
      <c r="L35" s="169">
        <f t="shared" si="2"/>
        <v>0</v>
      </c>
      <c r="M35" s="169"/>
      <c r="N35" s="169">
        <v>2700</v>
      </c>
      <c r="O35" s="169">
        <f t="shared" si="6"/>
        <v>2700</v>
      </c>
      <c r="P35" s="169">
        <f t="shared" si="1"/>
        <v>0</v>
      </c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</row>
    <row r="36" spans="1:27" ht="18" customHeight="1" x14ac:dyDescent="0.3">
      <c r="A36" s="182"/>
      <c r="B36" s="182">
        <v>137821120</v>
      </c>
      <c r="C36" s="168" t="s">
        <v>7133</v>
      </c>
      <c r="D36" s="273">
        <v>18798</v>
      </c>
      <c r="E36" s="273" t="s">
        <v>7898</v>
      </c>
      <c r="F36" s="169"/>
      <c r="G36" s="173"/>
      <c r="H36" s="169"/>
      <c r="I36" s="173" t="s">
        <v>7188</v>
      </c>
      <c r="J36" s="169">
        <v>1700</v>
      </c>
      <c r="K36" s="169">
        <v>1700</v>
      </c>
      <c r="L36" s="169">
        <f t="shared" si="2"/>
        <v>0</v>
      </c>
      <c r="M36" s="169"/>
      <c r="N36" s="169">
        <v>1300</v>
      </c>
      <c r="O36" s="169">
        <v>1300</v>
      </c>
      <c r="P36" s="169">
        <f t="shared" si="1"/>
        <v>0</v>
      </c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</row>
    <row r="37" spans="1:27" ht="18" customHeight="1" x14ac:dyDescent="0.3">
      <c r="A37" s="182"/>
      <c r="B37" s="182">
        <v>156980820</v>
      </c>
      <c r="C37" s="168" t="s">
        <v>7141</v>
      </c>
      <c r="D37" s="273">
        <v>27764</v>
      </c>
      <c r="E37" s="273" t="s">
        <v>7899</v>
      </c>
      <c r="F37" s="169" t="s">
        <v>7577</v>
      </c>
      <c r="G37" s="183">
        <v>3538908020</v>
      </c>
      <c r="H37" s="169"/>
      <c r="I37" s="173" t="s">
        <v>7550</v>
      </c>
      <c r="J37" s="169">
        <v>4300</v>
      </c>
      <c r="K37" s="169">
        <f>2000+1000</f>
        <v>3000</v>
      </c>
      <c r="L37" s="169">
        <f t="shared" si="2"/>
        <v>1300</v>
      </c>
      <c r="M37" s="169"/>
      <c r="N37" s="169">
        <v>3700</v>
      </c>
      <c r="O37" s="169">
        <v>3700</v>
      </c>
      <c r="P37" s="169">
        <f t="shared" si="1"/>
        <v>0</v>
      </c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</row>
    <row r="38" spans="1:27" ht="18" customHeight="1" x14ac:dyDescent="0.3">
      <c r="A38" s="168">
        <v>43848</v>
      </c>
      <c r="B38" s="182"/>
      <c r="C38" s="168" t="s">
        <v>7578</v>
      </c>
      <c r="D38" s="273">
        <v>34629</v>
      </c>
      <c r="E38" s="273" t="s">
        <v>7900</v>
      </c>
      <c r="F38" s="184" t="s">
        <v>7579</v>
      </c>
      <c r="G38" s="173">
        <v>259918020</v>
      </c>
      <c r="H38" s="169"/>
      <c r="I38" s="173" t="s">
        <v>7550</v>
      </c>
      <c r="J38" s="169">
        <v>4800</v>
      </c>
      <c r="K38" s="169">
        <v>4000</v>
      </c>
      <c r="L38" s="169">
        <f t="shared" si="2"/>
        <v>800</v>
      </c>
      <c r="M38" s="169"/>
      <c r="N38" s="169">
        <v>3700</v>
      </c>
      <c r="O38" s="169">
        <f>1500+2200</f>
        <v>3700</v>
      </c>
      <c r="P38" s="169">
        <f t="shared" si="1"/>
        <v>0</v>
      </c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</row>
    <row r="39" spans="1:27" ht="18" customHeight="1" x14ac:dyDescent="0.3">
      <c r="A39" s="164">
        <v>43848</v>
      </c>
      <c r="B39" s="172">
        <v>260000020</v>
      </c>
      <c r="C39" s="185" t="s">
        <v>7580</v>
      </c>
      <c r="D39" s="272">
        <v>34669</v>
      </c>
      <c r="E39" s="277" t="s">
        <v>7901</v>
      </c>
      <c r="F39" s="186" t="s">
        <v>7581</v>
      </c>
      <c r="G39" s="171"/>
      <c r="H39" s="147"/>
      <c r="I39" s="171" t="s">
        <v>7550</v>
      </c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</row>
    <row r="40" spans="1:27" ht="18" customHeight="1" x14ac:dyDescent="0.3">
      <c r="A40" s="167">
        <v>43850</v>
      </c>
      <c r="B40" s="182">
        <v>273088420</v>
      </c>
      <c r="C40" s="168" t="s">
        <v>3497</v>
      </c>
      <c r="D40" s="273">
        <v>27395</v>
      </c>
      <c r="E40" s="273" t="s">
        <v>7902</v>
      </c>
      <c r="F40" s="169"/>
      <c r="G40" s="176">
        <v>3352316220</v>
      </c>
      <c r="H40" s="169"/>
      <c r="I40" s="173" t="s">
        <v>7550</v>
      </c>
      <c r="J40" s="169">
        <v>4500</v>
      </c>
      <c r="K40" s="169">
        <v>4500</v>
      </c>
      <c r="L40" s="169">
        <f t="shared" ref="L40:L171" si="7">J40-K40</f>
        <v>0</v>
      </c>
      <c r="M40" s="169"/>
      <c r="N40" s="169">
        <v>3700</v>
      </c>
      <c r="O40" s="169">
        <f>1500+2000+200</f>
        <v>3700</v>
      </c>
      <c r="P40" s="169">
        <f>N40-O40</f>
        <v>0</v>
      </c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</row>
    <row r="41" spans="1:27" ht="18" customHeight="1" x14ac:dyDescent="0.3">
      <c r="A41" s="182"/>
      <c r="B41" s="182"/>
      <c r="C41" s="168" t="s">
        <v>7131</v>
      </c>
      <c r="D41" s="273">
        <v>20041</v>
      </c>
      <c r="E41" s="273" t="s">
        <v>7903</v>
      </c>
      <c r="F41" s="169"/>
      <c r="G41" s="173"/>
      <c r="H41" s="169"/>
      <c r="I41" s="173" t="s">
        <v>7582</v>
      </c>
      <c r="J41" s="169">
        <v>5000</v>
      </c>
      <c r="K41" s="169">
        <v>5000</v>
      </c>
      <c r="L41" s="147">
        <f t="shared" si="7"/>
        <v>0</v>
      </c>
      <c r="M41" s="147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</row>
    <row r="42" spans="1:27" ht="18" customHeight="1" x14ac:dyDescent="0.3">
      <c r="A42" s="187">
        <v>43862</v>
      </c>
      <c r="B42" s="831">
        <v>466444120</v>
      </c>
      <c r="C42" s="189" t="s">
        <v>7583</v>
      </c>
      <c r="D42" s="278">
        <v>26304</v>
      </c>
      <c r="E42" s="278" t="s">
        <v>7904</v>
      </c>
      <c r="F42" s="188"/>
      <c r="G42" s="190">
        <v>804604721</v>
      </c>
      <c r="H42" s="188"/>
      <c r="I42" s="195" t="s">
        <v>7584</v>
      </c>
      <c r="J42" s="188">
        <v>3300</v>
      </c>
      <c r="K42" s="188">
        <v>3300</v>
      </c>
      <c r="L42" s="188">
        <f t="shared" si="7"/>
        <v>0</v>
      </c>
      <c r="M42" s="188"/>
      <c r="N42" s="188">
        <v>2700</v>
      </c>
      <c r="O42" s="188">
        <f>1500+1200</f>
        <v>2700</v>
      </c>
      <c r="P42" s="188">
        <f t="shared" ref="P42:P168" si="8">N42-O42</f>
        <v>0</v>
      </c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</row>
    <row r="43" spans="1:27" ht="18" customHeight="1" x14ac:dyDescent="0.3">
      <c r="A43" s="182"/>
      <c r="B43" s="182"/>
      <c r="C43" s="168" t="s">
        <v>7585</v>
      </c>
      <c r="D43" s="273"/>
      <c r="E43" s="273" t="s">
        <v>7905</v>
      </c>
      <c r="F43" s="169"/>
      <c r="G43" s="173"/>
      <c r="H43" s="169"/>
      <c r="I43" s="173" t="s">
        <v>7582</v>
      </c>
      <c r="J43" s="169">
        <v>1500</v>
      </c>
      <c r="K43" s="169">
        <v>1500</v>
      </c>
      <c r="L43" s="169">
        <f t="shared" si="7"/>
        <v>0</v>
      </c>
      <c r="M43" s="169"/>
      <c r="N43" s="169">
        <v>1300</v>
      </c>
      <c r="O43" s="169">
        <v>1300</v>
      </c>
      <c r="P43" s="169">
        <f t="shared" si="8"/>
        <v>0</v>
      </c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</row>
    <row r="44" spans="1:27" ht="18" customHeight="1" x14ac:dyDescent="0.3">
      <c r="A44" s="182"/>
      <c r="B44" s="182"/>
      <c r="C44" s="168" t="s">
        <v>7586</v>
      </c>
      <c r="D44" s="273"/>
      <c r="E44" s="273" t="s">
        <v>7906</v>
      </c>
      <c r="F44" s="169"/>
      <c r="G44" s="173"/>
      <c r="H44" s="169"/>
      <c r="I44" s="173" t="s">
        <v>7587</v>
      </c>
      <c r="J44" s="169">
        <v>1400</v>
      </c>
      <c r="K44" s="169">
        <v>1400</v>
      </c>
      <c r="L44" s="169">
        <f t="shared" si="7"/>
        <v>0</v>
      </c>
      <c r="M44" s="169"/>
      <c r="N44" s="169">
        <v>1100</v>
      </c>
      <c r="O44" s="169">
        <v>1100</v>
      </c>
      <c r="P44" s="169">
        <f t="shared" si="8"/>
        <v>0</v>
      </c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</row>
    <row r="45" spans="1:27" ht="18" customHeight="1" x14ac:dyDescent="0.3">
      <c r="A45" s="182"/>
      <c r="B45" s="182">
        <v>584124220</v>
      </c>
      <c r="C45" s="168" t="s">
        <v>7588</v>
      </c>
      <c r="D45" s="273">
        <v>34669</v>
      </c>
      <c r="E45" s="273" t="s">
        <v>7901</v>
      </c>
      <c r="F45" s="169" t="s">
        <v>7589</v>
      </c>
      <c r="G45" s="176">
        <v>3352289120</v>
      </c>
      <c r="H45" s="169"/>
      <c r="I45" s="173" t="s">
        <v>7550</v>
      </c>
      <c r="J45" s="169">
        <v>4800</v>
      </c>
      <c r="K45" s="169">
        <v>4800</v>
      </c>
      <c r="L45" s="169">
        <f t="shared" si="7"/>
        <v>0</v>
      </c>
      <c r="M45" s="169"/>
      <c r="N45" s="169">
        <v>3700</v>
      </c>
      <c r="O45" s="169">
        <f>1500+2200</f>
        <v>3700</v>
      </c>
      <c r="P45" s="169">
        <f t="shared" si="8"/>
        <v>0</v>
      </c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</row>
    <row r="46" spans="1:27" ht="18" customHeight="1" x14ac:dyDescent="0.3">
      <c r="A46" s="182"/>
      <c r="B46" s="182">
        <v>598977420</v>
      </c>
      <c r="C46" s="168" t="s">
        <v>7561</v>
      </c>
      <c r="D46" s="273">
        <v>30935</v>
      </c>
      <c r="E46" s="273" t="s">
        <v>7907</v>
      </c>
      <c r="F46" s="169"/>
      <c r="G46" s="173"/>
      <c r="H46" s="169"/>
      <c r="I46" s="173" t="s">
        <v>7587</v>
      </c>
      <c r="J46" s="169">
        <v>1500</v>
      </c>
      <c r="K46" s="169">
        <v>1500</v>
      </c>
      <c r="L46" s="169">
        <f t="shared" si="7"/>
        <v>0</v>
      </c>
      <c r="M46" s="169"/>
      <c r="N46" s="169">
        <v>1100</v>
      </c>
      <c r="O46" s="169">
        <v>1100</v>
      </c>
      <c r="P46" s="169">
        <f t="shared" si="8"/>
        <v>0</v>
      </c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</row>
    <row r="47" spans="1:27" ht="18" customHeight="1" x14ac:dyDescent="0.3">
      <c r="A47" s="162"/>
      <c r="B47" s="172">
        <v>824093420</v>
      </c>
      <c r="C47" s="164" t="s">
        <v>7590</v>
      </c>
      <c r="D47" s="272">
        <v>35049</v>
      </c>
      <c r="E47" s="272" t="s">
        <v>7905</v>
      </c>
      <c r="F47" s="191"/>
      <c r="G47" s="192"/>
      <c r="H47" s="147"/>
      <c r="I47" s="171" t="s">
        <v>7591</v>
      </c>
      <c r="J47" s="147">
        <v>3200</v>
      </c>
      <c r="K47" s="147">
        <v>1000</v>
      </c>
      <c r="L47" s="147">
        <f t="shared" si="7"/>
        <v>2200</v>
      </c>
      <c r="M47" s="147"/>
      <c r="N47" s="147">
        <v>2700</v>
      </c>
      <c r="O47" s="147">
        <v>1500</v>
      </c>
      <c r="P47" s="147">
        <f t="shared" si="8"/>
        <v>1200</v>
      </c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</row>
    <row r="48" spans="1:27" ht="18" customHeight="1" x14ac:dyDescent="0.3">
      <c r="A48" s="162">
        <v>43892</v>
      </c>
      <c r="B48" s="172">
        <v>899858420</v>
      </c>
      <c r="C48" s="164" t="s">
        <v>7592</v>
      </c>
      <c r="D48" s="272">
        <v>33604</v>
      </c>
      <c r="E48" s="272" t="s">
        <v>7908</v>
      </c>
      <c r="F48" s="191"/>
      <c r="G48" s="192" t="s">
        <v>7570</v>
      </c>
      <c r="H48" s="147"/>
      <c r="I48" s="171" t="s">
        <v>7593</v>
      </c>
      <c r="J48" s="147">
        <v>4700</v>
      </c>
      <c r="K48" s="147">
        <f>2500+2200</f>
        <v>4700</v>
      </c>
      <c r="L48" s="147">
        <f t="shared" si="7"/>
        <v>0</v>
      </c>
      <c r="M48" s="147"/>
      <c r="N48" s="147">
        <v>3700</v>
      </c>
      <c r="O48" s="147">
        <v>1500</v>
      </c>
      <c r="P48" s="147">
        <f t="shared" si="8"/>
        <v>2200</v>
      </c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</row>
    <row r="49" spans="1:27" ht="18" customHeight="1" x14ac:dyDescent="0.3">
      <c r="A49" s="167">
        <v>43899</v>
      </c>
      <c r="B49" s="182"/>
      <c r="C49" s="168" t="s">
        <v>7594</v>
      </c>
      <c r="D49" s="273">
        <v>33012</v>
      </c>
      <c r="E49" s="273" t="s">
        <v>7909</v>
      </c>
      <c r="F49" s="184"/>
      <c r="G49" s="173"/>
      <c r="H49" s="169"/>
      <c r="I49" s="173" t="s">
        <v>7261</v>
      </c>
      <c r="J49" s="169">
        <v>1500</v>
      </c>
      <c r="K49" s="169">
        <v>1500</v>
      </c>
      <c r="L49" s="169">
        <f t="shared" si="7"/>
        <v>0</v>
      </c>
      <c r="M49" s="169"/>
      <c r="N49" s="169"/>
      <c r="O49" s="169"/>
      <c r="P49" s="169">
        <f t="shared" si="8"/>
        <v>0</v>
      </c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</row>
    <row r="50" spans="1:27" ht="18" customHeight="1" x14ac:dyDescent="0.3">
      <c r="A50" s="167">
        <v>43901</v>
      </c>
      <c r="B50" s="182"/>
      <c r="C50" s="168" t="s">
        <v>7138</v>
      </c>
      <c r="D50" s="273">
        <v>25995</v>
      </c>
      <c r="E50" s="273" t="s">
        <v>7910</v>
      </c>
      <c r="F50" s="184"/>
      <c r="G50" s="193"/>
      <c r="H50" s="169"/>
      <c r="I50" s="173" t="s">
        <v>7261</v>
      </c>
      <c r="J50" s="169">
        <v>1700</v>
      </c>
      <c r="K50" s="169">
        <v>1700</v>
      </c>
      <c r="L50" s="169">
        <f t="shared" si="7"/>
        <v>0</v>
      </c>
      <c r="M50" s="169"/>
      <c r="N50" s="169">
        <v>1300</v>
      </c>
      <c r="O50" s="169">
        <v>1300</v>
      </c>
      <c r="P50" s="169">
        <f t="shared" si="8"/>
        <v>0</v>
      </c>
      <c r="Q50" s="169" t="s">
        <v>8008</v>
      </c>
      <c r="R50" s="169"/>
      <c r="S50" s="169"/>
      <c r="T50" s="169"/>
      <c r="U50" s="169"/>
      <c r="V50" s="169"/>
      <c r="W50" s="169"/>
      <c r="X50" s="169"/>
      <c r="Y50" s="169"/>
      <c r="Z50" s="169"/>
      <c r="AA50" s="169"/>
    </row>
    <row r="51" spans="1:27" ht="18" customHeight="1" x14ac:dyDescent="0.3">
      <c r="A51" s="167"/>
      <c r="B51" s="182"/>
      <c r="C51" s="168" t="s">
        <v>7595</v>
      </c>
      <c r="D51" s="273"/>
      <c r="E51" s="273" t="s">
        <v>7911</v>
      </c>
      <c r="F51" s="184"/>
      <c r="G51" s="193"/>
      <c r="H51" s="169"/>
      <c r="I51" s="173"/>
      <c r="J51" s="169">
        <f>2200+1700+400</f>
        <v>4300</v>
      </c>
      <c r="K51" s="169">
        <v>3000</v>
      </c>
      <c r="L51" s="169">
        <f t="shared" si="7"/>
        <v>1300</v>
      </c>
      <c r="M51" s="169"/>
      <c r="N51" s="169">
        <v>2700</v>
      </c>
      <c r="O51" s="169">
        <v>2700</v>
      </c>
      <c r="P51" s="169">
        <f t="shared" si="8"/>
        <v>0</v>
      </c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</row>
    <row r="52" spans="1:27" ht="18" customHeight="1" x14ac:dyDescent="0.3">
      <c r="A52" s="167">
        <v>43910</v>
      </c>
      <c r="B52" s="182"/>
      <c r="C52" s="168" t="s">
        <v>7596</v>
      </c>
      <c r="D52" s="273"/>
      <c r="E52" s="273" t="s">
        <v>7912</v>
      </c>
      <c r="F52" s="184" t="s">
        <v>7597</v>
      </c>
      <c r="G52" s="193"/>
      <c r="H52" s="169"/>
      <c r="I52" s="173" t="s">
        <v>7587</v>
      </c>
      <c r="J52" s="169">
        <f>1500+400</f>
        <v>1900</v>
      </c>
      <c r="K52" s="169">
        <v>1900</v>
      </c>
      <c r="L52" s="169">
        <f t="shared" si="7"/>
        <v>0</v>
      </c>
      <c r="M52" s="169"/>
      <c r="N52" s="169">
        <v>1600</v>
      </c>
      <c r="O52" s="169">
        <v>1600</v>
      </c>
      <c r="P52" s="169">
        <f t="shared" si="8"/>
        <v>0</v>
      </c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</row>
    <row r="53" spans="1:27" ht="18" customHeight="1" x14ac:dyDescent="0.3">
      <c r="A53" s="167">
        <v>44078</v>
      </c>
      <c r="B53" s="182">
        <v>2509951020</v>
      </c>
      <c r="C53" s="168" t="s">
        <v>7598</v>
      </c>
      <c r="D53" s="273">
        <v>30330</v>
      </c>
      <c r="E53" s="273" t="s">
        <v>7913</v>
      </c>
      <c r="F53" s="184" t="s">
        <v>7599</v>
      </c>
      <c r="G53" s="193"/>
      <c r="H53" s="169"/>
      <c r="I53" s="173" t="s">
        <v>7587</v>
      </c>
      <c r="J53" s="169">
        <v>1500</v>
      </c>
      <c r="K53" s="169">
        <v>1500</v>
      </c>
      <c r="L53" s="169">
        <f t="shared" si="7"/>
        <v>0</v>
      </c>
      <c r="M53" s="169"/>
      <c r="N53" s="169">
        <v>1200</v>
      </c>
      <c r="O53" s="169">
        <v>1200</v>
      </c>
      <c r="P53" s="169">
        <f t="shared" si="8"/>
        <v>0</v>
      </c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</row>
    <row r="54" spans="1:27" ht="18" customHeight="1" x14ac:dyDescent="0.3">
      <c r="A54" s="182"/>
      <c r="B54" s="182">
        <v>2499081620</v>
      </c>
      <c r="C54" s="168" t="s">
        <v>7600</v>
      </c>
      <c r="D54" s="273">
        <v>27603</v>
      </c>
      <c r="E54" s="273" t="s">
        <v>7914</v>
      </c>
      <c r="F54" s="169"/>
      <c r="G54" s="173"/>
      <c r="H54" s="169"/>
      <c r="I54" s="173" t="s">
        <v>7587</v>
      </c>
      <c r="J54" s="169">
        <v>1500</v>
      </c>
      <c r="K54" s="169">
        <v>1500</v>
      </c>
      <c r="L54" s="169">
        <f t="shared" si="7"/>
        <v>0</v>
      </c>
      <c r="M54" s="169"/>
      <c r="N54" s="169">
        <v>1200</v>
      </c>
      <c r="O54" s="169">
        <v>1200</v>
      </c>
      <c r="P54" s="169">
        <f t="shared" si="8"/>
        <v>0</v>
      </c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</row>
    <row r="55" spans="1:27" ht="18" customHeight="1" x14ac:dyDescent="0.3">
      <c r="A55" s="167">
        <v>44102</v>
      </c>
      <c r="B55" s="182"/>
      <c r="C55" s="168" t="s">
        <v>7601</v>
      </c>
      <c r="D55" s="273"/>
      <c r="E55" s="273" t="s">
        <v>7915</v>
      </c>
      <c r="F55" s="169"/>
      <c r="G55" s="173"/>
      <c r="H55" s="169"/>
      <c r="I55" s="173" t="s">
        <v>7587</v>
      </c>
      <c r="J55" s="169">
        <v>1800</v>
      </c>
      <c r="K55" s="169">
        <v>1800</v>
      </c>
      <c r="L55" s="169">
        <f t="shared" si="7"/>
        <v>0</v>
      </c>
      <c r="M55" s="169"/>
      <c r="N55" s="169">
        <v>1400</v>
      </c>
      <c r="O55" s="169">
        <v>1400</v>
      </c>
      <c r="P55" s="169">
        <f t="shared" si="8"/>
        <v>0</v>
      </c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</row>
    <row r="56" spans="1:27" ht="18" customHeight="1" x14ac:dyDescent="0.3">
      <c r="A56" s="167">
        <v>44103</v>
      </c>
      <c r="B56" s="182"/>
      <c r="C56" s="168" t="s">
        <v>7602</v>
      </c>
      <c r="D56" s="273"/>
      <c r="E56" s="273" t="s">
        <v>7916</v>
      </c>
      <c r="F56" s="169"/>
      <c r="G56" s="173"/>
      <c r="H56" s="169"/>
      <c r="I56" s="173" t="s">
        <v>7587</v>
      </c>
      <c r="J56" s="169">
        <v>2000</v>
      </c>
      <c r="K56" s="169">
        <v>2000</v>
      </c>
      <c r="L56" s="169">
        <f t="shared" si="7"/>
        <v>0</v>
      </c>
      <c r="M56" s="169"/>
      <c r="N56" s="169">
        <v>1500</v>
      </c>
      <c r="O56" s="169">
        <v>1500</v>
      </c>
      <c r="P56" s="169">
        <f t="shared" si="8"/>
        <v>0</v>
      </c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</row>
    <row r="57" spans="1:27" ht="18" customHeight="1" x14ac:dyDescent="0.3">
      <c r="A57" s="187">
        <v>44110</v>
      </c>
      <c r="B57" s="831"/>
      <c r="C57" s="189" t="s">
        <v>7603</v>
      </c>
      <c r="D57" s="278"/>
      <c r="E57" s="278" t="s">
        <v>7917</v>
      </c>
      <c r="F57" s="194"/>
      <c r="G57" s="195"/>
      <c r="H57" s="147"/>
      <c r="I57" s="195" t="s">
        <v>7587</v>
      </c>
      <c r="J57" s="188">
        <v>7400</v>
      </c>
      <c r="K57" s="188">
        <f>6000+1400</f>
        <v>7400</v>
      </c>
      <c r="L57" s="188">
        <f t="shared" si="7"/>
        <v>0</v>
      </c>
      <c r="M57" s="188"/>
      <c r="N57" s="188">
        <f>1500+2100*2+1400</f>
        <v>7100</v>
      </c>
      <c r="O57" s="188">
        <f>6000+1100</f>
        <v>7100</v>
      </c>
      <c r="P57" s="188">
        <f t="shared" si="8"/>
        <v>0</v>
      </c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</row>
    <row r="58" spans="1:27" ht="18" customHeight="1" x14ac:dyDescent="0.3">
      <c r="A58" s="167">
        <v>44109</v>
      </c>
      <c r="B58" s="182"/>
      <c r="C58" s="168" t="s">
        <v>7604</v>
      </c>
      <c r="D58" s="273"/>
      <c r="E58" s="273" t="s">
        <v>7918</v>
      </c>
      <c r="F58" s="194"/>
      <c r="G58" s="173"/>
      <c r="H58" s="169"/>
      <c r="I58" s="173" t="s">
        <v>7605</v>
      </c>
      <c r="J58" s="169">
        <v>1500</v>
      </c>
      <c r="K58" s="169">
        <v>1500</v>
      </c>
      <c r="L58" s="169">
        <f t="shared" si="7"/>
        <v>0</v>
      </c>
      <c r="M58" s="169"/>
      <c r="N58" s="169">
        <v>1300</v>
      </c>
      <c r="O58" s="169">
        <v>1300</v>
      </c>
      <c r="P58" s="169">
        <f t="shared" si="8"/>
        <v>0</v>
      </c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</row>
    <row r="59" spans="1:27" ht="18" customHeight="1" x14ac:dyDescent="0.3">
      <c r="A59" s="182"/>
      <c r="B59" s="182"/>
      <c r="C59" s="168" t="s">
        <v>7606</v>
      </c>
      <c r="D59" s="273"/>
      <c r="E59" s="273" t="s">
        <v>7919</v>
      </c>
      <c r="F59" s="194"/>
      <c r="G59" s="173"/>
      <c r="H59" s="147"/>
      <c r="I59" s="173" t="s">
        <v>7607</v>
      </c>
      <c r="J59" s="169">
        <v>1500</v>
      </c>
      <c r="K59" s="169">
        <v>1500</v>
      </c>
      <c r="L59" s="169">
        <f t="shared" si="7"/>
        <v>0</v>
      </c>
      <c r="M59" s="169"/>
      <c r="N59" s="169">
        <v>1200</v>
      </c>
      <c r="O59" s="169">
        <v>1200</v>
      </c>
      <c r="P59" s="169">
        <f t="shared" si="8"/>
        <v>0</v>
      </c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</row>
    <row r="60" spans="1:27" ht="18" customHeight="1" x14ac:dyDescent="0.3">
      <c r="A60" s="182"/>
      <c r="B60" s="832">
        <v>3502052020</v>
      </c>
      <c r="C60" s="168" t="s">
        <v>7608</v>
      </c>
      <c r="D60" s="273">
        <v>24211</v>
      </c>
      <c r="E60" s="273" t="s">
        <v>7920</v>
      </c>
      <c r="F60" s="196"/>
      <c r="G60" s="173"/>
      <c r="H60" s="169"/>
      <c r="I60" s="173" t="s">
        <v>7609</v>
      </c>
      <c r="J60" s="169">
        <v>3500</v>
      </c>
      <c r="K60" s="169">
        <v>3500</v>
      </c>
      <c r="L60" s="169">
        <f t="shared" si="7"/>
        <v>0</v>
      </c>
      <c r="M60" s="169"/>
      <c r="N60" s="169">
        <v>3000</v>
      </c>
      <c r="O60" s="147">
        <f>2000+1000</f>
        <v>3000</v>
      </c>
      <c r="P60" s="147">
        <f t="shared" si="8"/>
        <v>0</v>
      </c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</row>
    <row r="61" spans="1:27" ht="18" customHeight="1" x14ac:dyDescent="0.3">
      <c r="A61" s="162">
        <v>44150</v>
      </c>
      <c r="B61" s="833">
        <v>3382242720</v>
      </c>
      <c r="C61" s="169" t="s">
        <v>7610</v>
      </c>
      <c r="D61" s="272">
        <v>29112</v>
      </c>
      <c r="E61" s="173" t="s">
        <v>7921</v>
      </c>
      <c r="F61" s="194" t="s">
        <v>7611</v>
      </c>
      <c r="G61" s="171"/>
      <c r="H61" s="147"/>
      <c r="I61" s="171" t="s">
        <v>7593</v>
      </c>
      <c r="J61" s="147">
        <v>4500</v>
      </c>
      <c r="K61" s="147">
        <f>3000+1500</f>
        <v>4500</v>
      </c>
      <c r="L61" s="169">
        <f t="shared" si="7"/>
        <v>0</v>
      </c>
      <c r="M61" s="169"/>
      <c r="N61" s="147">
        <v>3700</v>
      </c>
      <c r="O61" s="147">
        <v>1500</v>
      </c>
      <c r="P61" s="147">
        <f t="shared" si="8"/>
        <v>2200</v>
      </c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</row>
    <row r="62" spans="1:27" ht="18" customHeight="1" x14ac:dyDescent="0.3">
      <c r="A62" s="162">
        <v>37576</v>
      </c>
      <c r="B62" s="833">
        <v>3367893920</v>
      </c>
      <c r="C62" s="169" t="s">
        <v>7612</v>
      </c>
      <c r="D62" s="272">
        <v>36494</v>
      </c>
      <c r="E62" s="173" t="s">
        <v>7922</v>
      </c>
      <c r="F62" s="194">
        <v>44237</v>
      </c>
      <c r="G62" s="171"/>
      <c r="H62" s="147"/>
      <c r="I62" s="171" t="s">
        <v>7593</v>
      </c>
      <c r="J62" s="147">
        <f>4300+400+300</f>
        <v>5000</v>
      </c>
      <c r="K62" s="147">
        <f t="shared" ref="K62:K63" si="9">2500+2500</f>
        <v>5000</v>
      </c>
      <c r="L62" s="147">
        <f t="shared" si="7"/>
        <v>0</v>
      </c>
      <c r="M62" s="147"/>
      <c r="N62" s="147">
        <f t="shared" ref="N62:N63" si="10">3700+400</f>
        <v>4100</v>
      </c>
      <c r="O62" s="147">
        <v>1500</v>
      </c>
      <c r="P62" s="147">
        <f t="shared" si="8"/>
        <v>2600</v>
      </c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</row>
    <row r="63" spans="1:27" ht="18" customHeight="1" x14ac:dyDescent="0.3">
      <c r="A63" s="162">
        <v>37576</v>
      </c>
      <c r="B63" s="172">
        <v>3367961220</v>
      </c>
      <c r="C63" s="169" t="s">
        <v>4322</v>
      </c>
      <c r="D63" s="272">
        <v>37346</v>
      </c>
      <c r="E63" s="173" t="s">
        <v>7922</v>
      </c>
      <c r="F63" s="194">
        <v>44232</v>
      </c>
      <c r="G63" s="171"/>
      <c r="H63" s="147"/>
      <c r="I63" s="171" t="s">
        <v>7593</v>
      </c>
      <c r="J63" s="147">
        <f>4300+400</f>
        <v>4700</v>
      </c>
      <c r="K63" s="147">
        <f t="shared" si="9"/>
        <v>5000</v>
      </c>
      <c r="L63" s="147">
        <f t="shared" si="7"/>
        <v>-300</v>
      </c>
      <c r="M63" s="147"/>
      <c r="N63" s="147">
        <f t="shared" si="10"/>
        <v>4100</v>
      </c>
      <c r="O63" s="147">
        <v>1500</v>
      </c>
      <c r="P63" s="147">
        <f t="shared" si="8"/>
        <v>2600</v>
      </c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</row>
    <row r="64" spans="1:27" ht="18" customHeight="1" x14ac:dyDescent="0.3">
      <c r="A64" s="162">
        <v>44166</v>
      </c>
      <c r="B64" s="172">
        <v>3563341920</v>
      </c>
      <c r="C64" s="168" t="s">
        <v>1671</v>
      </c>
      <c r="D64" s="273">
        <v>36377</v>
      </c>
      <c r="E64" s="273" t="s">
        <v>7923</v>
      </c>
      <c r="F64" s="197" t="s">
        <v>7613</v>
      </c>
      <c r="G64" s="198">
        <v>804042521</v>
      </c>
      <c r="H64" s="169"/>
      <c r="I64" s="173" t="s">
        <v>7593</v>
      </c>
      <c r="J64" s="169">
        <v>4500</v>
      </c>
      <c r="K64" s="169">
        <f t="shared" ref="K64:K65" si="11">2500+1000</f>
        <v>3500</v>
      </c>
      <c r="L64" s="169">
        <f t="shared" si="7"/>
        <v>1000</v>
      </c>
      <c r="M64" s="169"/>
      <c r="N64" s="169">
        <v>4100</v>
      </c>
      <c r="O64" s="169">
        <f t="shared" ref="O64:O65" si="12">1600+1000+1500</f>
        <v>4100</v>
      </c>
      <c r="P64" s="169">
        <f t="shared" si="8"/>
        <v>0</v>
      </c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</row>
    <row r="65" spans="1:27" ht="18" customHeight="1" x14ac:dyDescent="0.3">
      <c r="A65" s="162">
        <v>44166</v>
      </c>
      <c r="B65" s="172">
        <v>3564414420</v>
      </c>
      <c r="C65" s="168" t="s">
        <v>4355</v>
      </c>
      <c r="D65" s="273">
        <v>37414</v>
      </c>
      <c r="E65" s="273" t="s">
        <v>7924</v>
      </c>
      <c r="F65" s="197"/>
      <c r="G65" s="183">
        <v>798828121</v>
      </c>
      <c r="H65" s="169"/>
      <c r="I65" s="173" t="s">
        <v>7593</v>
      </c>
      <c r="J65" s="169">
        <v>4500</v>
      </c>
      <c r="K65" s="169">
        <f t="shared" si="11"/>
        <v>3500</v>
      </c>
      <c r="L65" s="169">
        <f t="shared" si="7"/>
        <v>1000</v>
      </c>
      <c r="M65" s="169"/>
      <c r="N65" s="169">
        <v>4100</v>
      </c>
      <c r="O65" s="169">
        <f t="shared" si="12"/>
        <v>4100</v>
      </c>
      <c r="P65" s="169">
        <f t="shared" si="8"/>
        <v>0</v>
      </c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</row>
    <row r="66" spans="1:27" ht="18" customHeight="1" x14ac:dyDescent="0.3">
      <c r="A66" s="167">
        <v>44168</v>
      </c>
      <c r="B66" s="182">
        <v>3609103020</v>
      </c>
      <c r="C66" s="169" t="s">
        <v>7614</v>
      </c>
      <c r="D66" s="273">
        <v>21705</v>
      </c>
      <c r="E66" s="173" t="s">
        <v>7925</v>
      </c>
      <c r="F66" s="197"/>
      <c r="G66" s="173"/>
      <c r="H66" s="169"/>
      <c r="I66" s="173" t="s">
        <v>7587</v>
      </c>
      <c r="J66" s="169">
        <v>1700</v>
      </c>
      <c r="K66" s="169">
        <v>1700</v>
      </c>
      <c r="L66" s="169">
        <f t="shared" si="7"/>
        <v>0</v>
      </c>
      <c r="M66" s="169"/>
      <c r="N66" s="169">
        <v>1300</v>
      </c>
      <c r="O66" s="169">
        <v>1300</v>
      </c>
      <c r="P66" s="169">
        <f t="shared" si="8"/>
        <v>0</v>
      </c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</row>
    <row r="67" spans="1:27" ht="18" customHeight="1" x14ac:dyDescent="0.3">
      <c r="A67" s="162">
        <v>44172</v>
      </c>
      <c r="B67" s="172">
        <v>3653545020</v>
      </c>
      <c r="C67" s="169" t="s">
        <v>7615</v>
      </c>
      <c r="D67" s="272">
        <v>37441</v>
      </c>
      <c r="E67" s="173" t="s">
        <v>7926</v>
      </c>
      <c r="F67" s="199" t="s">
        <v>7616</v>
      </c>
      <c r="G67" s="171"/>
      <c r="H67" s="147"/>
      <c r="I67" s="171" t="s">
        <v>7593</v>
      </c>
      <c r="J67" s="147">
        <v>4700</v>
      </c>
      <c r="K67" s="147">
        <v>4700</v>
      </c>
      <c r="L67" s="147">
        <f t="shared" si="7"/>
        <v>0</v>
      </c>
      <c r="M67" s="147"/>
      <c r="N67" s="147">
        <v>4100</v>
      </c>
      <c r="O67" s="147">
        <f>2000+2100</f>
        <v>4100</v>
      </c>
      <c r="P67" s="147">
        <f t="shared" si="8"/>
        <v>0</v>
      </c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</row>
    <row r="68" spans="1:27" ht="18" customHeight="1" x14ac:dyDescent="0.3">
      <c r="A68" s="182"/>
      <c r="B68" s="182">
        <v>3770683020</v>
      </c>
      <c r="C68" s="169" t="s">
        <v>7617</v>
      </c>
      <c r="D68" s="273">
        <v>21740</v>
      </c>
      <c r="E68" s="173" t="s">
        <v>7927</v>
      </c>
      <c r="F68" s="197"/>
      <c r="G68" s="173"/>
      <c r="H68" s="169"/>
      <c r="I68" s="173" t="s">
        <v>7188</v>
      </c>
      <c r="J68" s="169">
        <v>2100</v>
      </c>
      <c r="K68" s="169">
        <v>2100</v>
      </c>
      <c r="L68" s="169">
        <f t="shared" si="7"/>
        <v>0</v>
      </c>
      <c r="M68" s="169"/>
      <c r="N68" s="169">
        <v>1800</v>
      </c>
      <c r="O68" s="169">
        <v>1800</v>
      </c>
      <c r="P68" s="169">
        <f t="shared" si="8"/>
        <v>0</v>
      </c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</row>
    <row r="69" spans="1:27" ht="18" customHeight="1" x14ac:dyDescent="0.3">
      <c r="A69" s="167">
        <v>44183</v>
      </c>
      <c r="B69" s="200">
        <v>3837603220</v>
      </c>
      <c r="C69" s="169" t="s">
        <v>7618</v>
      </c>
      <c r="D69" s="273">
        <v>19953</v>
      </c>
      <c r="E69" s="173" t="s">
        <v>7928</v>
      </c>
      <c r="F69" s="201"/>
      <c r="G69" s="173"/>
      <c r="H69" s="147"/>
      <c r="I69" s="173" t="s">
        <v>7188</v>
      </c>
      <c r="J69" s="169">
        <v>1300</v>
      </c>
      <c r="K69" s="169">
        <v>0</v>
      </c>
      <c r="L69" s="169">
        <f t="shared" si="7"/>
        <v>1300</v>
      </c>
      <c r="M69" s="169"/>
      <c r="N69" s="169">
        <v>1300</v>
      </c>
      <c r="O69" s="169">
        <v>1300</v>
      </c>
      <c r="P69" s="169">
        <f t="shared" si="8"/>
        <v>0</v>
      </c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</row>
    <row r="70" spans="1:27" ht="18" customHeight="1" x14ac:dyDescent="0.3">
      <c r="A70" s="162">
        <v>44184</v>
      </c>
      <c r="B70" s="172">
        <v>3850961920</v>
      </c>
      <c r="C70" s="169" t="s">
        <v>7619</v>
      </c>
      <c r="D70" s="272">
        <v>30913</v>
      </c>
      <c r="E70" s="173" t="s">
        <v>7929</v>
      </c>
      <c r="F70" s="196">
        <v>44237</v>
      </c>
      <c r="G70" s="171"/>
      <c r="H70" s="147"/>
      <c r="I70" s="171" t="s">
        <v>7620</v>
      </c>
      <c r="J70" s="147">
        <v>4700</v>
      </c>
      <c r="K70" s="147">
        <v>4700</v>
      </c>
      <c r="L70" s="147">
        <f t="shared" si="7"/>
        <v>0</v>
      </c>
      <c r="M70" s="147"/>
      <c r="N70" s="147">
        <v>4100</v>
      </c>
      <c r="O70" s="147">
        <f>2000+2100</f>
        <v>4100</v>
      </c>
      <c r="P70" s="147">
        <f t="shared" si="8"/>
        <v>0</v>
      </c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</row>
    <row r="71" spans="1:27" ht="18" customHeight="1" x14ac:dyDescent="0.3">
      <c r="A71" s="167">
        <v>44184</v>
      </c>
      <c r="B71" s="182"/>
      <c r="C71" s="169" t="s">
        <v>7621</v>
      </c>
      <c r="D71" s="273"/>
      <c r="E71" s="173" t="s">
        <v>7930</v>
      </c>
      <c r="F71" s="197"/>
      <c r="G71" s="173"/>
      <c r="H71" s="169"/>
      <c r="I71" s="173" t="s">
        <v>7622</v>
      </c>
      <c r="J71" s="169">
        <v>2800</v>
      </c>
      <c r="K71" s="169">
        <v>2800</v>
      </c>
      <c r="L71" s="169">
        <f t="shared" si="7"/>
        <v>0</v>
      </c>
      <c r="M71" s="169"/>
      <c r="N71" s="169">
        <f>1200+600+200</f>
        <v>2000</v>
      </c>
      <c r="O71" s="169">
        <v>2000</v>
      </c>
      <c r="P71" s="169">
        <f t="shared" si="8"/>
        <v>0</v>
      </c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</row>
    <row r="72" spans="1:27" ht="18" customHeight="1" x14ac:dyDescent="0.3">
      <c r="A72" s="162">
        <v>44184</v>
      </c>
      <c r="B72" s="172">
        <v>3864625320</v>
      </c>
      <c r="C72" s="169" t="s">
        <v>7623</v>
      </c>
      <c r="D72" s="272">
        <v>27300</v>
      </c>
      <c r="E72" s="173" t="s">
        <v>7931</v>
      </c>
      <c r="F72" s="194" t="s">
        <v>7624</v>
      </c>
      <c r="G72" s="171"/>
      <c r="H72" s="147"/>
      <c r="I72" s="171" t="s">
        <v>7620</v>
      </c>
      <c r="J72" s="147">
        <f>4700+300</f>
        <v>5000</v>
      </c>
      <c r="K72" s="147">
        <f>2500+300+2200</f>
        <v>5000</v>
      </c>
      <c r="L72" s="147">
        <f t="shared" si="7"/>
        <v>0</v>
      </c>
      <c r="M72" s="147"/>
      <c r="N72" s="147">
        <v>4100</v>
      </c>
      <c r="O72" s="147">
        <f>2000+300+1800</f>
        <v>4100</v>
      </c>
      <c r="P72" s="147">
        <f t="shared" si="8"/>
        <v>0</v>
      </c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</row>
    <row r="73" spans="1:27" ht="18" customHeight="1" x14ac:dyDescent="0.3">
      <c r="A73" s="187">
        <v>44188</v>
      </c>
      <c r="B73" s="831">
        <v>3931606220</v>
      </c>
      <c r="C73" s="188" t="s">
        <v>7095</v>
      </c>
      <c r="D73" s="278">
        <v>37314</v>
      </c>
      <c r="E73" s="195" t="s">
        <v>7932</v>
      </c>
      <c r="F73" s="202" t="s">
        <v>7624</v>
      </c>
      <c r="G73" s="195"/>
      <c r="H73" s="188"/>
      <c r="I73" s="195" t="s">
        <v>7620</v>
      </c>
      <c r="J73" s="188">
        <v>4700</v>
      </c>
      <c r="K73" s="188">
        <f>2500+2200</f>
        <v>4700</v>
      </c>
      <c r="L73" s="188">
        <f t="shared" si="7"/>
        <v>0</v>
      </c>
      <c r="M73" s="188"/>
      <c r="N73" s="188">
        <v>4100</v>
      </c>
      <c r="O73" s="147">
        <f>1600+2500</f>
        <v>4100</v>
      </c>
      <c r="P73" s="147">
        <f t="shared" si="8"/>
        <v>0</v>
      </c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</row>
    <row r="74" spans="1:27" ht="18" customHeight="1" x14ac:dyDescent="0.3">
      <c r="A74" s="167">
        <v>44195</v>
      </c>
      <c r="B74" s="182">
        <v>3976656220</v>
      </c>
      <c r="C74" s="169" t="s">
        <v>7497</v>
      </c>
      <c r="D74" s="273">
        <v>29945</v>
      </c>
      <c r="E74" s="173" t="s">
        <v>7933</v>
      </c>
      <c r="F74" s="194"/>
      <c r="G74" s="173"/>
      <c r="H74" s="169"/>
      <c r="I74" s="173" t="s">
        <v>7188</v>
      </c>
      <c r="J74" s="169">
        <v>1700</v>
      </c>
      <c r="K74" s="169">
        <v>500</v>
      </c>
      <c r="L74" s="169">
        <f t="shared" si="7"/>
        <v>1200</v>
      </c>
      <c r="M74" s="169"/>
      <c r="N74" s="169">
        <v>1300</v>
      </c>
      <c r="O74" s="169">
        <v>1300</v>
      </c>
      <c r="P74" s="169">
        <f t="shared" si="8"/>
        <v>0</v>
      </c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</row>
    <row r="75" spans="1:27" ht="18" customHeight="1" x14ac:dyDescent="0.3">
      <c r="A75" s="167">
        <v>44202</v>
      </c>
      <c r="B75" s="182">
        <v>71130821</v>
      </c>
      <c r="C75" s="169" t="s">
        <v>7460</v>
      </c>
      <c r="D75" s="273">
        <v>29530</v>
      </c>
      <c r="E75" s="173" t="s">
        <v>7934</v>
      </c>
      <c r="F75" s="196" t="s">
        <v>1604</v>
      </c>
      <c r="G75" s="173" t="s">
        <v>7625</v>
      </c>
      <c r="H75" s="169"/>
      <c r="I75" s="173" t="s">
        <v>7188</v>
      </c>
      <c r="J75" s="169">
        <v>2700</v>
      </c>
      <c r="K75" s="169">
        <v>2700</v>
      </c>
      <c r="L75" s="169">
        <f t="shared" si="7"/>
        <v>0</v>
      </c>
      <c r="M75" s="169"/>
      <c r="N75" s="169">
        <v>1200</v>
      </c>
      <c r="O75" s="169">
        <v>1200</v>
      </c>
      <c r="P75" s="169">
        <f t="shared" si="8"/>
        <v>0</v>
      </c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</row>
    <row r="76" spans="1:27" ht="18" customHeight="1" x14ac:dyDescent="0.3">
      <c r="A76" s="187">
        <v>44207</v>
      </c>
      <c r="B76" s="831">
        <v>140986421</v>
      </c>
      <c r="C76" s="188" t="s">
        <v>7626</v>
      </c>
      <c r="D76" s="278">
        <v>31607</v>
      </c>
      <c r="E76" s="195" t="s">
        <v>7935</v>
      </c>
      <c r="F76" s="202" t="s">
        <v>7624</v>
      </c>
      <c r="G76" s="195"/>
      <c r="H76" s="188"/>
      <c r="I76" s="195" t="s">
        <v>7627</v>
      </c>
      <c r="J76" s="188">
        <v>3500</v>
      </c>
      <c r="K76" s="188">
        <v>3500</v>
      </c>
      <c r="L76" s="188">
        <f t="shared" si="7"/>
        <v>0</v>
      </c>
      <c r="M76" s="188"/>
      <c r="N76" s="188">
        <v>3100</v>
      </c>
      <c r="O76" s="188">
        <f>2000+1100</f>
        <v>3100</v>
      </c>
      <c r="P76" s="188">
        <f t="shared" si="8"/>
        <v>0</v>
      </c>
      <c r="Q76" s="188" t="s">
        <v>237</v>
      </c>
      <c r="R76" s="147"/>
      <c r="S76" s="147"/>
      <c r="T76" s="147"/>
      <c r="U76" s="147"/>
      <c r="V76" s="147"/>
      <c r="W76" s="147"/>
      <c r="X76" s="147"/>
      <c r="Y76" s="147"/>
      <c r="Z76" s="147"/>
      <c r="AA76" s="147"/>
    </row>
    <row r="77" spans="1:27" ht="18" customHeight="1" x14ac:dyDescent="0.3">
      <c r="A77" s="167">
        <v>44207</v>
      </c>
      <c r="B77" s="182"/>
      <c r="C77" s="169" t="s">
        <v>7628</v>
      </c>
      <c r="D77" s="273">
        <v>29229</v>
      </c>
      <c r="E77" s="173" t="s">
        <v>7935</v>
      </c>
      <c r="F77" s="196"/>
      <c r="G77" s="173"/>
      <c r="H77" s="169"/>
      <c r="I77" s="173" t="s">
        <v>7629</v>
      </c>
      <c r="J77" s="169">
        <f>1700+1100</f>
        <v>2800</v>
      </c>
      <c r="K77" s="169">
        <v>2800</v>
      </c>
      <c r="L77" s="169">
        <f t="shared" si="7"/>
        <v>0</v>
      </c>
      <c r="M77" s="169"/>
      <c r="N77" s="169">
        <v>1300</v>
      </c>
      <c r="O77" s="169">
        <v>1300</v>
      </c>
      <c r="P77" s="169">
        <f t="shared" si="8"/>
        <v>0</v>
      </c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</row>
    <row r="78" spans="1:27" ht="18" customHeight="1" x14ac:dyDescent="0.3">
      <c r="A78" s="162">
        <v>44209</v>
      </c>
      <c r="B78" s="172">
        <v>181148621</v>
      </c>
      <c r="C78" s="147" t="s">
        <v>7630</v>
      </c>
      <c r="D78" s="272">
        <v>34980</v>
      </c>
      <c r="E78" s="171" t="s">
        <v>7936</v>
      </c>
      <c r="F78" s="194" t="s">
        <v>7624</v>
      </c>
      <c r="G78" s="171">
        <v>7978419984</v>
      </c>
      <c r="H78" s="147"/>
      <c r="I78" s="171" t="s">
        <v>7620</v>
      </c>
      <c r="J78" s="147">
        <v>5000</v>
      </c>
      <c r="K78" s="147">
        <f>3000+2000</f>
        <v>5000</v>
      </c>
      <c r="L78" s="147">
        <f t="shared" si="7"/>
        <v>0</v>
      </c>
      <c r="M78" s="147"/>
      <c r="N78" s="147">
        <f>4100+300</f>
        <v>4400</v>
      </c>
      <c r="O78" s="147">
        <f>2500+300+1600</f>
        <v>4400</v>
      </c>
      <c r="P78" s="147">
        <f t="shared" si="8"/>
        <v>0</v>
      </c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</row>
    <row r="79" spans="1:27" ht="18" customHeight="1" x14ac:dyDescent="0.3">
      <c r="A79" s="203">
        <v>44209</v>
      </c>
      <c r="B79" s="834">
        <v>179280521</v>
      </c>
      <c r="C79" s="204" t="s">
        <v>7631</v>
      </c>
      <c r="D79" s="272">
        <v>31339</v>
      </c>
      <c r="E79" s="212" t="s">
        <v>7937</v>
      </c>
      <c r="F79" s="205">
        <v>44279</v>
      </c>
      <c r="G79" s="171"/>
      <c r="H79" s="147"/>
      <c r="I79" s="171" t="s">
        <v>7620</v>
      </c>
      <c r="J79" s="147">
        <v>4500</v>
      </c>
      <c r="K79" s="147">
        <f>2500+2000</f>
        <v>4500</v>
      </c>
      <c r="L79" s="147">
        <f t="shared" si="7"/>
        <v>0</v>
      </c>
      <c r="M79" s="147"/>
      <c r="N79" s="147">
        <v>4400</v>
      </c>
      <c r="O79" s="147">
        <f>2500+1900</f>
        <v>4400</v>
      </c>
      <c r="P79" s="147">
        <f t="shared" si="8"/>
        <v>0</v>
      </c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</row>
    <row r="80" spans="1:27" ht="18" customHeight="1" x14ac:dyDescent="0.3">
      <c r="A80" s="162">
        <v>44217</v>
      </c>
      <c r="B80" s="172">
        <v>318184621</v>
      </c>
      <c r="C80" s="169" t="s">
        <v>7632</v>
      </c>
      <c r="D80" s="272">
        <v>32653</v>
      </c>
      <c r="E80" s="173" t="s">
        <v>7938</v>
      </c>
      <c r="F80" s="194">
        <v>44267</v>
      </c>
      <c r="G80" s="171"/>
      <c r="H80" s="147"/>
      <c r="I80" s="171" t="s">
        <v>7620</v>
      </c>
      <c r="J80" s="147">
        <v>5000</v>
      </c>
      <c r="K80" s="147">
        <f>2600+2400</f>
        <v>5000</v>
      </c>
      <c r="L80" s="147">
        <f t="shared" si="7"/>
        <v>0</v>
      </c>
      <c r="M80" s="147"/>
      <c r="N80" s="147">
        <f>4100+300</f>
        <v>4400</v>
      </c>
      <c r="O80" s="147">
        <f>2000+300+2100</f>
        <v>4400</v>
      </c>
      <c r="P80" s="147">
        <f t="shared" si="8"/>
        <v>0</v>
      </c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</row>
    <row r="81" spans="1:27" ht="18" customHeight="1" x14ac:dyDescent="0.3">
      <c r="A81" s="172"/>
      <c r="B81" s="172">
        <v>285290821</v>
      </c>
      <c r="C81" s="169" t="s">
        <v>7633</v>
      </c>
      <c r="D81" s="272">
        <v>36484</v>
      </c>
      <c r="E81" s="173" t="s">
        <v>7939</v>
      </c>
      <c r="F81" s="194" t="s">
        <v>7634</v>
      </c>
      <c r="G81" s="171"/>
      <c r="H81" s="147"/>
      <c r="I81" s="171" t="s">
        <v>7620</v>
      </c>
      <c r="J81" s="147">
        <v>5000</v>
      </c>
      <c r="K81" s="147">
        <f>2000+3000</f>
        <v>5000</v>
      </c>
      <c r="L81" s="147">
        <f t="shared" si="7"/>
        <v>0</v>
      </c>
      <c r="M81" s="147"/>
      <c r="N81" s="147">
        <v>4100</v>
      </c>
      <c r="O81" s="147">
        <f>2000+300+1800</f>
        <v>4100</v>
      </c>
      <c r="P81" s="147">
        <f t="shared" si="8"/>
        <v>0</v>
      </c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</row>
    <row r="82" spans="1:27" ht="18" customHeight="1" x14ac:dyDescent="0.3">
      <c r="A82" s="167">
        <v>44222</v>
      </c>
      <c r="B82" s="182"/>
      <c r="C82" s="169" t="s">
        <v>7635</v>
      </c>
      <c r="D82" s="273">
        <v>20937</v>
      </c>
      <c r="E82" s="173" t="s">
        <v>7940</v>
      </c>
      <c r="F82" s="196" t="s">
        <v>7636</v>
      </c>
      <c r="G82" s="173"/>
      <c r="H82" s="169"/>
      <c r="I82" s="173" t="s">
        <v>7587</v>
      </c>
      <c r="J82" s="169">
        <v>3100</v>
      </c>
      <c r="K82" s="169">
        <v>3100</v>
      </c>
      <c r="L82" s="169">
        <f t="shared" si="7"/>
        <v>0</v>
      </c>
      <c r="M82" s="169"/>
      <c r="N82" s="169">
        <v>1400</v>
      </c>
      <c r="O82" s="169">
        <v>1400</v>
      </c>
      <c r="P82" s="169">
        <f t="shared" si="8"/>
        <v>0</v>
      </c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</row>
    <row r="83" spans="1:27" ht="18" customHeight="1" x14ac:dyDescent="0.3">
      <c r="A83" s="162">
        <v>44224</v>
      </c>
      <c r="B83" s="172">
        <v>407553221</v>
      </c>
      <c r="C83" s="169" t="s">
        <v>7093</v>
      </c>
      <c r="D83" s="272">
        <v>36148</v>
      </c>
      <c r="E83" s="173" t="s">
        <v>7941</v>
      </c>
      <c r="F83" s="194" t="s">
        <v>7637</v>
      </c>
      <c r="G83" s="171"/>
      <c r="H83" s="147"/>
      <c r="I83" s="171" t="s">
        <v>7620</v>
      </c>
      <c r="J83" s="147">
        <v>5000</v>
      </c>
      <c r="K83" s="147">
        <f>2500+2500</f>
        <v>5000</v>
      </c>
      <c r="L83" s="147">
        <f t="shared" si="7"/>
        <v>0</v>
      </c>
      <c r="M83" s="147"/>
      <c r="N83" s="147">
        <v>4400</v>
      </c>
      <c r="O83" s="147">
        <f>2000+300+2100</f>
        <v>4400</v>
      </c>
      <c r="P83" s="147">
        <f t="shared" si="8"/>
        <v>0</v>
      </c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</row>
    <row r="84" spans="1:27" ht="18" customHeight="1" x14ac:dyDescent="0.3">
      <c r="A84" s="167">
        <v>44224</v>
      </c>
      <c r="B84" s="182">
        <v>9534014105</v>
      </c>
      <c r="C84" s="169" t="s">
        <v>7638</v>
      </c>
      <c r="D84" s="273"/>
      <c r="E84" s="173" t="s">
        <v>7942</v>
      </c>
      <c r="F84" s="196" t="s">
        <v>1604</v>
      </c>
      <c r="G84" s="173">
        <v>6201309013</v>
      </c>
      <c r="H84" s="169"/>
      <c r="I84" s="173" t="s">
        <v>7639</v>
      </c>
      <c r="J84" s="169">
        <v>1500</v>
      </c>
      <c r="K84" s="169">
        <v>1500</v>
      </c>
      <c r="L84" s="169">
        <f t="shared" si="7"/>
        <v>0</v>
      </c>
      <c r="M84" s="169"/>
      <c r="N84" s="169">
        <v>1100</v>
      </c>
      <c r="O84" s="169">
        <v>1100</v>
      </c>
      <c r="P84" s="169">
        <f t="shared" si="8"/>
        <v>0</v>
      </c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</row>
    <row r="85" spans="1:27" ht="18" customHeight="1" x14ac:dyDescent="0.3">
      <c r="A85" s="162">
        <v>44225</v>
      </c>
      <c r="B85" s="172">
        <v>432920321</v>
      </c>
      <c r="C85" s="147" t="s">
        <v>7640</v>
      </c>
      <c r="D85" s="272">
        <v>36204</v>
      </c>
      <c r="E85" s="171" t="s">
        <v>7943</v>
      </c>
      <c r="F85" s="194" t="s">
        <v>7641</v>
      </c>
      <c r="G85" s="171">
        <v>7004404580</v>
      </c>
      <c r="H85" s="147"/>
      <c r="I85" s="171" t="s">
        <v>7620</v>
      </c>
      <c r="J85" s="147">
        <v>5000</v>
      </c>
      <c r="K85" s="147">
        <f>2500+500</f>
        <v>3000</v>
      </c>
      <c r="L85" s="147">
        <f t="shared" si="7"/>
        <v>2000</v>
      </c>
      <c r="M85" s="147"/>
      <c r="N85" s="147">
        <v>4100</v>
      </c>
      <c r="O85" s="147">
        <f>2000+300</f>
        <v>2300</v>
      </c>
      <c r="P85" s="147">
        <f t="shared" si="8"/>
        <v>1800</v>
      </c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</row>
    <row r="86" spans="1:27" ht="18" customHeight="1" x14ac:dyDescent="0.3">
      <c r="A86" s="187">
        <v>44228</v>
      </c>
      <c r="B86" s="831"/>
      <c r="C86" s="188" t="s">
        <v>7642</v>
      </c>
      <c r="D86" s="278">
        <v>18804</v>
      </c>
      <c r="E86" s="195" t="s">
        <v>7944</v>
      </c>
      <c r="F86" s="188" t="s">
        <v>7643</v>
      </c>
      <c r="G86" s="195"/>
      <c r="H86" s="188"/>
      <c r="I86" s="195" t="s">
        <v>7587</v>
      </c>
      <c r="J86" s="188">
        <v>1700</v>
      </c>
      <c r="K86" s="188">
        <v>1700</v>
      </c>
      <c r="L86" s="188">
        <f t="shared" si="7"/>
        <v>0</v>
      </c>
      <c r="M86" s="188"/>
      <c r="N86" s="188">
        <v>1400</v>
      </c>
      <c r="O86" s="147">
        <v>1400</v>
      </c>
      <c r="P86" s="147">
        <f t="shared" si="8"/>
        <v>0</v>
      </c>
      <c r="Q86" s="147"/>
      <c r="R86" s="147"/>
      <c r="S86" s="147"/>
      <c r="T86" s="147">
        <f>435*4+50</f>
        <v>1790</v>
      </c>
      <c r="U86" s="147"/>
      <c r="V86" s="147"/>
      <c r="W86" s="147"/>
      <c r="X86" s="147"/>
      <c r="Y86" s="147"/>
      <c r="Z86" s="147"/>
      <c r="AA86" s="147"/>
    </row>
    <row r="87" spans="1:27" ht="18" customHeight="1" x14ac:dyDescent="0.3">
      <c r="A87" s="162">
        <v>44243</v>
      </c>
      <c r="B87" s="172">
        <v>708049521</v>
      </c>
      <c r="C87" s="147" t="s">
        <v>7644</v>
      </c>
      <c r="D87" s="272">
        <v>36642</v>
      </c>
      <c r="E87" s="171" t="s">
        <v>7945</v>
      </c>
      <c r="F87" s="147" t="s">
        <v>7645</v>
      </c>
      <c r="G87" s="171"/>
      <c r="H87" s="147"/>
      <c r="I87" s="171" t="s">
        <v>7620</v>
      </c>
      <c r="J87" s="147">
        <v>5000</v>
      </c>
      <c r="K87" s="147">
        <f>2500+2500</f>
        <v>5000</v>
      </c>
      <c r="L87" s="147">
        <f t="shared" si="7"/>
        <v>0</v>
      </c>
      <c r="M87" s="147"/>
      <c r="N87" s="147">
        <v>4100</v>
      </c>
      <c r="O87" s="147">
        <f>2000+300+1800</f>
        <v>4100</v>
      </c>
      <c r="P87" s="147">
        <f t="shared" si="8"/>
        <v>0</v>
      </c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</row>
    <row r="88" spans="1:27" ht="18" customHeight="1" x14ac:dyDescent="0.3">
      <c r="A88" s="162">
        <v>44243</v>
      </c>
      <c r="B88" s="172">
        <v>714568121</v>
      </c>
      <c r="C88" s="147" t="s">
        <v>7646</v>
      </c>
      <c r="D88" s="272">
        <v>35942</v>
      </c>
      <c r="E88" s="171" t="s">
        <v>7946</v>
      </c>
      <c r="F88" s="147" t="s">
        <v>7647</v>
      </c>
      <c r="G88" s="171"/>
      <c r="H88" s="147"/>
      <c r="I88" s="171" t="s">
        <v>7620</v>
      </c>
      <c r="J88" s="147">
        <f>5000+400+750</f>
        <v>6150</v>
      </c>
      <c r="K88" s="147">
        <f>2500+2000+500</f>
        <v>5000</v>
      </c>
      <c r="L88" s="147">
        <f t="shared" si="7"/>
        <v>1150</v>
      </c>
      <c r="M88" s="147"/>
      <c r="N88" s="147">
        <f>4100+300+400+750</f>
        <v>5550</v>
      </c>
      <c r="O88" s="147">
        <f>2000+300+2500+750</f>
        <v>5550</v>
      </c>
      <c r="P88" s="147">
        <f t="shared" si="8"/>
        <v>0</v>
      </c>
      <c r="Q88" s="147">
        <v>9835566462</v>
      </c>
      <c r="R88" s="147"/>
      <c r="S88" s="147"/>
      <c r="T88" s="147"/>
      <c r="U88" s="147"/>
      <c r="V88" s="147"/>
      <c r="W88" s="147"/>
      <c r="X88" s="147"/>
      <c r="Y88" s="147"/>
      <c r="Z88" s="147"/>
      <c r="AA88" s="147"/>
    </row>
    <row r="89" spans="1:27" ht="18" customHeight="1" x14ac:dyDescent="0.3">
      <c r="A89" s="203">
        <v>44244</v>
      </c>
      <c r="B89" s="834">
        <v>725349921</v>
      </c>
      <c r="C89" s="204" t="s">
        <v>7648</v>
      </c>
      <c r="D89" s="272">
        <v>32432</v>
      </c>
      <c r="E89" s="212" t="s">
        <v>7947</v>
      </c>
      <c r="F89" s="204" t="s">
        <v>7085</v>
      </c>
      <c r="G89" s="171"/>
      <c r="H89" s="147"/>
      <c r="I89" s="171">
        <v>2</v>
      </c>
      <c r="J89" s="147">
        <v>3500</v>
      </c>
      <c r="K89" s="147">
        <f>2100+1500</f>
        <v>3600</v>
      </c>
      <c r="L89" s="147">
        <f t="shared" si="7"/>
        <v>-100</v>
      </c>
      <c r="M89" s="147"/>
      <c r="N89" s="147">
        <v>3100</v>
      </c>
      <c r="O89" s="147">
        <f>1600+1500</f>
        <v>3100</v>
      </c>
      <c r="P89" s="147">
        <f t="shared" si="8"/>
        <v>0</v>
      </c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</row>
    <row r="90" spans="1:27" ht="18" customHeight="1" x14ac:dyDescent="0.3">
      <c r="A90" s="162">
        <v>44250</v>
      </c>
      <c r="B90" s="831"/>
      <c r="C90" s="188" t="s">
        <v>548</v>
      </c>
      <c r="D90" s="278">
        <v>23747</v>
      </c>
      <c r="E90" s="195" t="s">
        <v>7948</v>
      </c>
      <c r="F90" s="188"/>
      <c r="G90" s="195"/>
      <c r="H90" s="188"/>
      <c r="I90" s="195" t="s">
        <v>7649</v>
      </c>
      <c r="J90" s="188">
        <v>1900</v>
      </c>
      <c r="K90" s="188">
        <v>1900</v>
      </c>
      <c r="L90" s="188">
        <f t="shared" si="7"/>
        <v>0</v>
      </c>
      <c r="M90" s="188"/>
      <c r="N90" s="188">
        <v>1400</v>
      </c>
      <c r="O90" s="188">
        <v>1400</v>
      </c>
      <c r="P90" s="188">
        <f t="shared" si="8"/>
        <v>0</v>
      </c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</row>
    <row r="91" spans="1:27" ht="18" customHeight="1" x14ac:dyDescent="0.3">
      <c r="A91" s="162">
        <v>44251</v>
      </c>
      <c r="B91" s="623">
        <v>830927621</v>
      </c>
      <c r="C91" s="225" t="s">
        <v>7650</v>
      </c>
      <c r="D91" s="272">
        <v>33769</v>
      </c>
      <c r="E91" s="280" t="s">
        <v>7949</v>
      </c>
      <c r="F91" s="225" t="s">
        <v>8151</v>
      </c>
      <c r="G91" s="171"/>
      <c r="H91" s="147"/>
      <c r="I91" s="171" t="s">
        <v>7651</v>
      </c>
      <c r="J91" s="147">
        <f>3800+500+550</f>
        <v>4850</v>
      </c>
      <c r="K91" s="147">
        <f>2000+2300</f>
        <v>4300</v>
      </c>
      <c r="L91" s="147">
        <f t="shared" si="7"/>
        <v>550</v>
      </c>
      <c r="M91" s="147"/>
      <c r="N91" s="147">
        <f>3400+400+550</f>
        <v>4350</v>
      </c>
      <c r="O91" s="147">
        <f>2000+300+1500+550</f>
        <v>4350</v>
      </c>
      <c r="P91" s="147">
        <f t="shared" si="8"/>
        <v>0</v>
      </c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</row>
    <row r="92" spans="1:27" ht="18" customHeight="1" x14ac:dyDescent="0.3">
      <c r="A92" s="162">
        <v>44252</v>
      </c>
      <c r="B92" s="834">
        <v>862666821</v>
      </c>
      <c r="C92" s="204" t="s">
        <v>1467</v>
      </c>
      <c r="D92" s="272">
        <v>37274</v>
      </c>
      <c r="E92" s="212" t="s">
        <v>7950</v>
      </c>
      <c r="F92" s="204"/>
      <c r="G92" s="171"/>
      <c r="H92" s="147"/>
      <c r="I92" s="171" t="s">
        <v>7620</v>
      </c>
      <c r="J92" s="147">
        <v>5000</v>
      </c>
      <c r="K92" s="147">
        <f>2500+2500</f>
        <v>5000</v>
      </c>
      <c r="L92" s="147">
        <f t="shared" si="7"/>
        <v>0</v>
      </c>
      <c r="M92" s="147"/>
      <c r="N92" s="147">
        <f>4100+300</f>
        <v>4400</v>
      </c>
      <c r="O92" s="147">
        <f>1600+300+2500</f>
        <v>4400</v>
      </c>
      <c r="P92" s="147">
        <f t="shared" si="8"/>
        <v>0</v>
      </c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</row>
    <row r="93" spans="1:27" ht="18" customHeight="1" x14ac:dyDescent="0.3">
      <c r="A93" s="162">
        <v>44255</v>
      </c>
      <c r="B93" s="172">
        <v>892908021</v>
      </c>
      <c r="C93" s="147" t="s">
        <v>7652</v>
      </c>
      <c r="D93" s="272">
        <v>27030</v>
      </c>
      <c r="E93" s="171" t="s">
        <v>7951</v>
      </c>
      <c r="F93" s="147" t="s">
        <v>7653</v>
      </c>
      <c r="G93" s="171"/>
      <c r="H93" s="147"/>
      <c r="I93" s="171" t="s">
        <v>7654</v>
      </c>
      <c r="J93" s="147">
        <f>3500+300</f>
        <v>3800</v>
      </c>
      <c r="K93" s="147">
        <v>2000</v>
      </c>
      <c r="L93" s="147">
        <f t="shared" si="7"/>
        <v>1800</v>
      </c>
      <c r="M93" s="147"/>
      <c r="N93" s="147">
        <f>3100+300</f>
        <v>3400</v>
      </c>
      <c r="O93" s="147">
        <v>1500</v>
      </c>
      <c r="P93" s="147">
        <f t="shared" si="8"/>
        <v>1900</v>
      </c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</row>
    <row r="94" spans="1:27" ht="18" customHeight="1" x14ac:dyDescent="0.3">
      <c r="A94" s="162">
        <v>44269</v>
      </c>
      <c r="B94" s="172">
        <v>1104129821</v>
      </c>
      <c r="C94" s="204" t="s">
        <v>5069</v>
      </c>
      <c r="D94" s="272">
        <v>37340</v>
      </c>
      <c r="E94" s="212" t="s">
        <v>7952</v>
      </c>
      <c r="F94" s="204" t="s">
        <v>7655</v>
      </c>
      <c r="G94" s="171"/>
      <c r="H94" s="147"/>
      <c r="I94" s="171" t="s">
        <v>7620</v>
      </c>
      <c r="J94" s="147">
        <f>5000+500</f>
        <v>5500</v>
      </c>
      <c r="K94" s="147">
        <f>2500+3000</f>
        <v>5500</v>
      </c>
      <c r="L94" s="147">
        <f t="shared" si="7"/>
        <v>0</v>
      </c>
      <c r="M94" s="147"/>
      <c r="N94" s="147">
        <f>4400+400</f>
        <v>4800</v>
      </c>
      <c r="O94" s="147">
        <f>2000+2800</f>
        <v>4800</v>
      </c>
      <c r="P94" s="147">
        <f t="shared" si="8"/>
        <v>0</v>
      </c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</row>
    <row r="95" spans="1:27" ht="18" customHeight="1" x14ac:dyDescent="0.3">
      <c r="A95" s="167">
        <v>44288</v>
      </c>
      <c r="B95" s="182"/>
      <c r="C95" s="169" t="s">
        <v>7656</v>
      </c>
      <c r="D95" s="273">
        <v>20459</v>
      </c>
      <c r="E95" s="173" t="s">
        <v>7953</v>
      </c>
      <c r="F95" s="169" t="s">
        <v>7085</v>
      </c>
      <c r="G95" s="173"/>
      <c r="H95" s="169"/>
      <c r="I95" s="173" t="s">
        <v>7587</v>
      </c>
      <c r="J95" s="169">
        <v>2000</v>
      </c>
      <c r="K95" s="169">
        <v>2000</v>
      </c>
      <c r="L95" s="169">
        <f t="shared" si="7"/>
        <v>0</v>
      </c>
      <c r="M95" s="169"/>
      <c r="N95" s="169">
        <v>1800</v>
      </c>
      <c r="O95" s="169">
        <v>1800</v>
      </c>
      <c r="P95" s="169">
        <f t="shared" si="8"/>
        <v>0</v>
      </c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</row>
    <row r="96" spans="1:27" ht="18" customHeight="1" x14ac:dyDescent="0.3">
      <c r="A96" s="206"/>
      <c r="B96" s="206">
        <v>1480294421</v>
      </c>
      <c r="C96" s="207" t="s">
        <v>7657</v>
      </c>
      <c r="D96" s="624">
        <v>33284</v>
      </c>
      <c r="E96" s="208" t="s">
        <v>7954</v>
      </c>
      <c r="F96" s="207"/>
      <c r="G96" s="208"/>
      <c r="H96" s="207"/>
      <c r="I96" s="208" t="s">
        <v>7620</v>
      </c>
      <c r="J96" s="207">
        <v>5000</v>
      </c>
      <c r="K96" s="207">
        <v>2000</v>
      </c>
      <c r="L96" s="207">
        <f t="shared" si="7"/>
        <v>3000</v>
      </c>
      <c r="M96" s="207"/>
      <c r="N96" s="207">
        <v>4400</v>
      </c>
      <c r="O96" s="207">
        <v>2000</v>
      </c>
      <c r="P96" s="207">
        <f t="shared" si="8"/>
        <v>2400</v>
      </c>
      <c r="Q96" s="207" t="s">
        <v>7658</v>
      </c>
      <c r="R96" s="207"/>
      <c r="S96" s="207"/>
      <c r="T96" s="207"/>
      <c r="U96" s="207"/>
      <c r="V96" s="207"/>
      <c r="W96" s="207"/>
      <c r="X96" s="207"/>
      <c r="Y96" s="207"/>
      <c r="Z96" s="207"/>
      <c r="AA96" s="207"/>
    </row>
    <row r="97" spans="1:27" ht="18" customHeight="1" x14ac:dyDescent="0.3">
      <c r="A97" s="162"/>
      <c r="B97" s="172"/>
      <c r="C97" s="147" t="s">
        <v>7659</v>
      </c>
      <c r="D97" s="272"/>
      <c r="E97" s="171" t="s">
        <v>7955</v>
      </c>
      <c r="F97" s="147"/>
      <c r="G97" s="171"/>
      <c r="H97" s="147"/>
      <c r="I97" s="171" t="s">
        <v>2451</v>
      </c>
      <c r="J97" s="147">
        <v>1600</v>
      </c>
      <c r="K97" s="147">
        <v>1600</v>
      </c>
      <c r="L97" s="147">
        <f t="shared" si="7"/>
        <v>0</v>
      </c>
      <c r="M97" s="147"/>
      <c r="N97" s="147">
        <v>1200</v>
      </c>
      <c r="O97" s="147">
        <v>1200</v>
      </c>
      <c r="P97" s="147">
        <f t="shared" si="8"/>
        <v>0</v>
      </c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</row>
    <row r="98" spans="1:27" ht="18" customHeight="1" x14ac:dyDescent="0.3">
      <c r="A98" s="162">
        <v>44300</v>
      </c>
      <c r="B98" s="172">
        <v>1505084721</v>
      </c>
      <c r="C98" s="204" t="s">
        <v>6912</v>
      </c>
      <c r="D98" s="272">
        <v>29221</v>
      </c>
      <c r="E98" s="212" t="s">
        <v>7956</v>
      </c>
      <c r="F98" s="204" t="s">
        <v>7645</v>
      </c>
      <c r="G98" s="171"/>
      <c r="H98" s="147"/>
      <c r="I98" s="171" t="s">
        <v>7620</v>
      </c>
      <c r="J98" s="147">
        <f>5000+400</f>
        <v>5400</v>
      </c>
      <c r="K98" s="147">
        <f>3000+2400</f>
        <v>5400</v>
      </c>
      <c r="L98" s="147">
        <f t="shared" si="7"/>
        <v>0</v>
      </c>
      <c r="M98" s="147"/>
      <c r="N98" s="147">
        <f t="shared" ref="N98:N102" si="13">4400+400</f>
        <v>4800</v>
      </c>
      <c r="O98" s="147">
        <f t="shared" ref="O98:O100" si="14">2000+2800</f>
        <v>4800</v>
      </c>
      <c r="P98" s="147">
        <f t="shared" si="8"/>
        <v>0</v>
      </c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</row>
    <row r="99" spans="1:27" ht="18" customHeight="1" x14ac:dyDescent="0.3">
      <c r="A99" s="162">
        <v>44354</v>
      </c>
      <c r="B99" s="834">
        <v>1753029121</v>
      </c>
      <c r="C99" s="204" t="s">
        <v>7367</v>
      </c>
      <c r="D99" s="272">
        <v>36007</v>
      </c>
      <c r="E99" s="212" t="s">
        <v>7957</v>
      </c>
      <c r="F99" s="204" t="s">
        <v>7660</v>
      </c>
      <c r="G99" s="171"/>
      <c r="H99" s="147"/>
      <c r="I99" s="171" t="s">
        <v>7620</v>
      </c>
      <c r="J99" s="147">
        <f>5000+500</f>
        <v>5500</v>
      </c>
      <c r="K99" s="147">
        <f>3000+2500</f>
        <v>5500</v>
      </c>
      <c r="L99" s="147">
        <f t="shared" si="7"/>
        <v>0</v>
      </c>
      <c r="M99" s="147"/>
      <c r="N99" s="147">
        <f t="shared" si="13"/>
        <v>4800</v>
      </c>
      <c r="O99" s="147">
        <f t="shared" si="14"/>
        <v>4800</v>
      </c>
      <c r="P99" s="147">
        <f t="shared" si="8"/>
        <v>0</v>
      </c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</row>
    <row r="100" spans="1:27" ht="18" customHeight="1" x14ac:dyDescent="0.3">
      <c r="A100" s="162">
        <v>44370</v>
      </c>
      <c r="B100" s="834">
        <v>1929779421</v>
      </c>
      <c r="C100" s="204" t="s">
        <v>7661</v>
      </c>
      <c r="D100" s="272">
        <v>36743</v>
      </c>
      <c r="E100" s="212" t="s">
        <v>7958</v>
      </c>
      <c r="F100" s="204"/>
      <c r="G100" s="171"/>
      <c r="H100" s="147"/>
      <c r="I100" s="171" t="s">
        <v>7620</v>
      </c>
      <c r="J100" s="147">
        <f>5000+600</f>
        <v>5600</v>
      </c>
      <c r="K100" s="147">
        <f>2500+3100</f>
        <v>5600</v>
      </c>
      <c r="L100" s="147">
        <f t="shared" si="7"/>
        <v>0</v>
      </c>
      <c r="M100" s="147"/>
      <c r="N100" s="147">
        <f t="shared" si="13"/>
        <v>4800</v>
      </c>
      <c r="O100" s="147">
        <f t="shared" si="14"/>
        <v>4800</v>
      </c>
      <c r="P100" s="147">
        <f t="shared" si="8"/>
        <v>0</v>
      </c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</row>
    <row r="101" spans="1:27" ht="18" customHeight="1" x14ac:dyDescent="0.3">
      <c r="A101" s="162">
        <v>44371</v>
      </c>
      <c r="B101" s="172">
        <v>1948596621</v>
      </c>
      <c r="C101" s="147" t="s">
        <v>7662</v>
      </c>
      <c r="D101" s="272">
        <v>35900</v>
      </c>
      <c r="E101" s="171" t="s">
        <v>7959</v>
      </c>
      <c r="F101" s="147"/>
      <c r="G101" s="171"/>
      <c r="H101" s="147"/>
      <c r="I101" s="171" t="s">
        <v>7620</v>
      </c>
      <c r="J101" s="147">
        <f>5000+500</f>
        <v>5500</v>
      </c>
      <c r="K101" s="147">
        <v>2400</v>
      </c>
      <c r="L101" s="147">
        <f t="shared" si="7"/>
        <v>3100</v>
      </c>
      <c r="M101" s="147"/>
      <c r="N101" s="147">
        <f t="shared" si="13"/>
        <v>4800</v>
      </c>
      <c r="O101" s="147">
        <v>2000</v>
      </c>
      <c r="P101" s="147">
        <f t="shared" si="8"/>
        <v>2800</v>
      </c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</row>
    <row r="102" spans="1:27" ht="18" customHeight="1" x14ac:dyDescent="0.3">
      <c r="A102" s="172"/>
      <c r="B102" s="834">
        <v>1972303421</v>
      </c>
      <c r="C102" s="204" t="s">
        <v>1790</v>
      </c>
      <c r="D102" s="272">
        <v>36825</v>
      </c>
      <c r="E102" s="212" t="s">
        <v>7960</v>
      </c>
      <c r="F102" s="204" t="s">
        <v>7660</v>
      </c>
      <c r="G102" s="171"/>
      <c r="H102" s="147"/>
      <c r="I102" s="171" t="s">
        <v>7620</v>
      </c>
      <c r="J102" s="147">
        <f>5000+400</f>
        <v>5400</v>
      </c>
      <c r="K102" s="147">
        <v>5000</v>
      </c>
      <c r="L102" s="147">
        <f t="shared" si="7"/>
        <v>400</v>
      </c>
      <c r="M102" s="147"/>
      <c r="N102" s="147">
        <f t="shared" si="13"/>
        <v>4800</v>
      </c>
      <c r="O102" s="147">
        <f>2000+2800</f>
        <v>4800</v>
      </c>
      <c r="P102" s="147">
        <f t="shared" si="8"/>
        <v>0</v>
      </c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</row>
    <row r="103" spans="1:27" ht="18" customHeight="1" x14ac:dyDescent="0.3">
      <c r="A103" s="172"/>
      <c r="B103" s="835"/>
      <c r="C103" s="262" t="s">
        <v>7663</v>
      </c>
      <c r="D103" s="272">
        <v>35346</v>
      </c>
      <c r="E103" s="279" t="s">
        <v>7905</v>
      </c>
      <c r="F103" s="204" t="s">
        <v>7660</v>
      </c>
      <c r="G103" s="171"/>
      <c r="H103" s="147"/>
      <c r="I103" s="171"/>
      <c r="J103" s="147"/>
      <c r="K103" s="147"/>
      <c r="L103" s="147">
        <f t="shared" si="7"/>
        <v>0</v>
      </c>
      <c r="M103" s="147"/>
      <c r="N103" s="147"/>
      <c r="O103" s="147"/>
      <c r="P103" s="147">
        <f t="shared" si="8"/>
        <v>0</v>
      </c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</row>
    <row r="104" spans="1:27" ht="18" customHeight="1" x14ac:dyDescent="0.3">
      <c r="A104" s="162">
        <v>44384</v>
      </c>
      <c r="B104" s="834"/>
      <c r="C104" s="204" t="s">
        <v>7664</v>
      </c>
      <c r="D104" s="272">
        <v>18056</v>
      </c>
      <c r="E104" s="212" t="s">
        <v>7961</v>
      </c>
      <c r="F104" s="204"/>
      <c r="G104" s="171"/>
      <c r="H104" s="147"/>
      <c r="I104" s="171" t="s">
        <v>7587</v>
      </c>
      <c r="J104" s="147">
        <v>2000</v>
      </c>
      <c r="K104" s="147">
        <v>2000</v>
      </c>
      <c r="L104" s="147">
        <f t="shared" si="7"/>
        <v>0</v>
      </c>
      <c r="M104" s="147"/>
      <c r="N104" s="147">
        <v>1400</v>
      </c>
      <c r="O104" s="147">
        <v>1400</v>
      </c>
      <c r="P104" s="147">
        <f t="shared" si="8"/>
        <v>0</v>
      </c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</row>
    <row r="105" spans="1:27" ht="18" customHeight="1" x14ac:dyDescent="0.3">
      <c r="A105" s="162">
        <v>44386</v>
      </c>
      <c r="B105" s="834"/>
      <c r="C105" s="204" t="s">
        <v>7665</v>
      </c>
      <c r="D105" s="272">
        <v>17770</v>
      </c>
      <c r="E105" s="212" t="s">
        <v>7962</v>
      </c>
      <c r="F105" s="204"/>
      <c r="G105" s="171"/>
      <c r="H105" s="147"/>
      <c r="I105" s="171" t="s">
        <v>7587</v>
      </c>
      <c r="J105" s="147">
        <v>2000</v>
      </c>
      <c r="K105" s="147">
        <v>2000</v>
      </c>
      <c r="L105" s="147">
        <f t="shared" si="7"/>
        <v>0</v>
      </c>
      <c r="M105" s="147"/>
      <c r="N105" s="147">
        <v>1400</v>
      </c>
      <c r="O105" s="147">
        <v>1400</v>
      </c>
      <c r="P105" s="147">
        <f t="shared" si="8"/>
        <v>0</v>
      </c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</row>
    <row r="106" spans="1:27" ht="18" customHeight="1" x14ac:dyDescent="0.3">
      <c r="A106" s="162">
        <v>44385</v>
      </c>
      <c r="B106" s="834"/>
      <c r="C106" s="204" t="s">
        <v>7666</v>
      </c>
      <c r="D106" s="272">
        <v>35013</v>
      </c>
      <c r="E106" s="212" t="s">
        <v>7963</v>
      </c>
      <c r="F106" s="204"/>
      <c r="G106" s="171" t="s">
        <v>7667</v>
      </c>
      <c r="H106" s="147"/>
      <c r="I106" s="171">
        <v>2</v>
      </c>
      <c r="J106" s="147">
        <f>3700+400</f>
        <v>4100</v>
      </c>
      <c r="K106" s="147">
        <f>2000+2100</f>
        <v>4100</v>
      </c>
      <c r="L106" s="147">
        <f t="shared" si="7"/>
        <v>0</v>
      </c>
      <c r="M106" s="147"/>
      <c r="N106" s="147">
        <f>3100+400</f>
        <v>3500</v>
      </c>
      <c r="O106" s="147">
        <f>2000+1500</f>
        <v>3500</v>
      </c>
      <c r="P106" s="147">
        <f t="shared" si="8"/>
        <v>0</v>
      </c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</row>
    <row r="107" spans="1:27" ht="18" customHeight="1" x14ac:dyDescent="0.3">
      <c r="A107" s="162">
        <v>44389</v>
      </c>
      <c r="B107" s="172">
        <v>2187460921</v>
      </c>
      <c r="C107" s="147" t="s">
        <v>5476</v>
      </c>
      <c r="D107" s="272">
        <v>35855</v>
      </c>
      <c r="E107" s="171" t="s">
        <v>7964</v>
      </c>
      <c r="F107" s="209" t="s">
        <v>7668</v>
      </c>
      <c r="G107" s="171"/>
      <c r="H107" s="147"/>
      <c r="I107" s="171" t="s">
        <v>7620</v>
      </c>
      <c r="J107" s="147">
        <f>5000+500</f>
        <v>5500</v>
      </c>
      <c r="K107" s="147">
        <f>2500+3000</f>
        <v>5500</v>
      </c>
      <c r="L107" s="147">
        <f t="shared" si="7"/>
        <v>0</v>
      </c>
      <c r="M107" s="147"/>
      <c r="N107" s="147">
        <v>4400</v>
      </c>
      <c r="O107" s="147">
        <f>2000+2400</f>
        <v>4400</v>
      </c>
      <c r="P107" s="147">
        <f t="shared" si="8"/>
        <v>0</v>
      </c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</row>
    <row r="108" spans="1:27" ht="18" customHeight="1" x14ac:dyDescent="0.3">
      <c r="A108" s="162">
        <v>44387</v>
      </c>
      <c r="B108" s="834"/>
      <c r="C108" s="204" t="s">
        <v>5388</v>
      </c>
      <c r="D108" s="272">
        <v>27760</v>
      </c>
      <c r="E108" s="212" t="s">
        <v>7905</v>
      </c>
      <c r="F108" s="204"/>
      <c r="G108" s="171"/>
      <c r="H108" s="147"/>
      <c r="I108" s="171" t="s">
        <v>7587</v>
      </c>
      <c r="J108" s="147">
        <v>2000</v>
      </c>
      <c r="K108" s="147">
        <v>2000</v>
      </c>
      <c r="L108" s="147">
        <f t="shared" si="7"/>
        <v>0</v>
      </c>
      <c r="M108" s="147"/>
      <c r="N108" s="147">
        <v>1400</v>
      </c>
      <c r="O108" s="147">
        <v>1400</v>
      </c>
      <c r="P108" s="147">
        <f t="shared" si="8"/>
        <v>0</v>
      </c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</row>
    <row r="109" spans="1:27" ht="18" customHeight="1" x14ac:dyDescent="0.3">
      <c r="A109" s="162">
        <v>44389</v>
      </c>
      <c r="B109" s="623">
        <v>2199487021</v>
      </c>
      <c r="C109" s="225" t="s">
        <v>7669</v>
      </c>
      <c r="D109" s="272">
        <v>34675</v>
      </c>
      <c r="E109" s="280" t="s">
        <v>7965</v>
      </c>
      <c r="F109" s="225" t="s">
        <v>7085</v>
      </c>
      <c r="G109" s="171"/>
      <c r="H109" s="147"/>
      <c r="I109" s="171" t="s">
        <v>7620</v>
      </c>
      <c r="J109" s="147">
        <v>5000</v>
      </c>
      <c r="K109" s="147">
        <f>2500+2500</f>
        <v>5000</v>
      </c>
      <c r="L109" s="147">
        <f t="shared" si="7"/>
        <v>0</v>
      </c>
      <c r="M109" s="147"/>
      <c r="N109" s="147">
        <v>4400</v>
      </c>
      <c r="O109" s="147">
        <f>2500+1900</f>
        <v>4400</v>
      </c>
      <c r="P109" s="147">
        <f t="shared" si="8"/>
        <v>0</v>
      </c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</row>
    <row r="110" spans="1:27" ht="18" customHeight="1" x14ac:dyDescent="0.3">
      <c r="A110" s="162">
        <v>44398</v>
      </c>
      <c r="B110" s="834"/>
      <c r="C110" s="204" t="s">
        <v>7130</v>
      </c>
      <c r="D110" s="272" t="s">
        <v>7670</v>
      </c>
      <c r="E110" s="212" t="s">
        <v>7966</v>
      </c>
      <c r="F110" s="204"/>
      <c r="G110" s="171"/>
      <c r="H110" s="147"/>
      <c r="I110" s="171" t="s">
        <v>7587</v>
      </c>
      <c r="J110" s="147">
        <v>4400</v>
      </c>
      <c r="K110" s="147">
        <v>4400</v>
      </c>
      <c r="L110" s="147">
        <f t="shared" si="7"/>
        <v>0</v>
      </c>
      <c r="M110" s="147"/>
      <c r="N110" s="147">
        <v>3400</v>
      </c>
      <c r="O110" s="147">
        <v>3400</v>
      </c>
      <c r="P110" s="147">
        <f t="shared" si="8"/>
        <v>0</v>
      </c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</row>
    <row r="111" spans="1:27" ht="18" customHeight="1" x14ac:dyDescent="0.3">
      <c r="A111" s="162">
        <v>44398</v>
      </c>
      <c r="B111" s="834"/>
      <c r="C111" s="204" t="s">
        <v>7671</v>
      </c>
      <c r="D111" s="272">
        <v>30368</v>
      </c>
      <c r="E111" s="212" t="s">
        <v>7967</v>
      </c>
      <c r="F111" s="210"/>
      <c r="G111" s="171"/>
      <c r="H111" s="147"/>
      <c r="I111" s="171" t="s">
        <v>7587</v>
      </c>
      <c r="J111" s="147">
        <v>3500</v>
      </c>
      <c r="K111" s="147">
        <v>3500</v>
      </c>
      <c r="L111" s="147">
        <f t="shared" si="7"/>
        <v>0</v>
      </c>
      <c r="M111" s="147"/>
      <c r="N111" s="147">
        <v>2500</v>
      </c>
      <c r="O111" s="147">
        <v>2500</v>
      </c>
      <c r="P111" s="147">
        <f t="shared" si="8"/>
        <v>0</v>
      </c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</row>
    <row r="112" spans="1:27" ht="18" customHeight="1" x14ac:dyDescent="0.3">
      <c r="A112" s="162">
        <v>44402</v>
      </c>
      <c r="B112" s="834"/>
      <c r="C112" s="204" t="s">
        <v>7672</v>
      </c>
      <c r="D112" s="272"/>
      <c r="E112" s="212" t="s">
        <v>7905</v>
      </c>
      <c r="F112" s="204"/>
      <c r="G112" s="171"/>
      <c r="H112" s="147"/>
      <c r="I112" s="171" t="s">
        <v>7587</v>
      </c>
      <c r="J112" s="147">
        <v>1850</v>
      </c>
      <c r="K112" s="147">
        <v>1850</v>
      </c>
      <c r="L112" s="147">
        <f t="shared" si="7"/>
        <v>0</v>
      </c>
      <c r="M112" s="147"/>
      <c r="N112" s="147">
        <v>1500</v>
      </c>
      <c r="O112" s="147">
        <v>1500</v>
      </c>
      <c r="P112" s="147">
        <f t="shared" si="8"/>
        <v>0</v>
      </c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</row>
    <row r="113" spans="1:27" ht="18" customHeight="1" x14ac:dyDescent="0.3">
      <c r="A113" s="162">
        <v>44402</v>
      </c>
      <c r="B113" s="834"/>
      <c r="C113" s="204" t="s">
        <v>7673</v>
      </c>
      <c r="D113" s="272">
        <v>26191</v>
      </c>
      <c r="E113" s="212" t="s">
        <v>7968</v>
      </c>
      <c r="F113" s="204"/>
      <c r="G113" s="171"/>
      <c r="H113" s="147"/>
      <c r="I113" s="171" t="s">
        <v>7587</v>
      </c>
      <c r="J113" s="147">
        <v>2900</v>
      </c>
      <c r="K113" s="147">
        <v>2900</v>
      </c>
      <c r="L113" s="147">
        <f t="shared" si="7"/>
        <v>0</v>
      </c>
      <c r="M113" s="147"/>
      <c r="N113" s="147">
        <f>1100+1400</f>
        <v>2500</v>
      </c>
      <c r="O113" s="147">
        <v>2500</v>
      </c>
      <c r="P113" s="147">
        <f t="shared" si="8"/>
        <v>0</v>
      </c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</row>
    <row r="114" spans="1:27" ht="18" customHeight="1" x14ac:dyDescent="0.3">
      <c r="A114" s="162">
        <v>44416</v>
      </c>
      <c r="B114" s="834"/>
      <c r="C114" s="204" t="s">
        <v>7674</v>
      </c>
      <c r="D114" s="272">
        <v>37044</v>
      </c>
      <c r="E114" s="212" t="s">
        <v>7969</v>
      </c>
      <c r="F114" s="204"/>
      <c r="G114" s="171"/>
      <c r="H114" s="147"/>
      <c r="I114" s="171" t="s">
        <v>7675</v>
      </c>
      <c r="J114" s="147">
        <v>4200</v>
      </c>
      <c r="K114" s="147">
        <f>2000+2200</f>
        <v>4200</v>
      </c>
      <c r="L114" s="147">
        <f t="shared" si="7"/>
        <v>0</v>
      </c>
      <c r="M114" s="147"/>
      <c r="N114" s="147">
        <v>3800</v>
      </c>
      <c r="O114" s="147">
        <f>2000+1800</f>
        <v>3800</v>
      </c>
      <c r="P114" s="147">
        <f t="shared" si="8"/>
        <v>0</v>
      </c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</row>
    <row r="115" spans="1:27" ht="18" customHeight="1" x14ac:dyDescent="0.3">
      <c r="A115" s="162">
        <v>44416</v>
      </c>
      <c r="B115" s="834"/>
      <c r="C115" s="204" t="s">
        <v>7676</v>
      </c>
      <c r="D115" s="272">
        <v>25586</v>
      </c>
      <c r="E115" s="212" t="s">
        <v>7970</v>
      </c>
      <c r="F115" s="204"/>
      <c r="G115" s="171"/>
      <c r="H115" s="147"/>
      <c r="I115" s="171" t="s">
        <v>7587</v>
      </c>
      <c r="J115" s="147"/>
      <c r="K115" s="147"/>
      <c r="L115" s="147">
        <f t="shared" si="7"/>
        <v>0</v>
      </c>
      <c r="M115" s="147"/>
      <c r="N115" s="147">
        <v>3800</v>
      </c>
      <c r="O115" s="147">
        <v>3800</v>
      </c>
      <c r="P115" s="147">
        <f t="shared" si="8"/>
        <v>0</v>
      </c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</row>
    <row r="116" spans="1:27" ht="18" customHeight="1" x14ac:dyDescent="0.3">
      <c r="A116" s="162">
        <v>44416</v>
      </c>
      <c r="B116" s="834"/>
      <c r="C116" s="204" t="s">
        <v>5717</v>
      </c>
      <c r="D116" s="272">
        <v>37787</v>
      </c>
      <c r="E116" s="212" t="s">
        <v>7971</v>
      </c>
      <c r="F116" s="204"/>
      <c r="G116" s="171"/>
      <c r="H116" s="147"/>
      <c r="I116" s="171" t="s">
        <v>7620</v>
      </c>
      <c r="J116" s="147">
        <v>5700</v>
      </c>
      <c r="K116" s="147">
        <f>2500+3200</f>
        <v>5700</v>
      </c>
      <c r="L116" s="147">
        <f t="shared" si="7"/>
        <v>0</v>
      </c>
      <c r="M116" s="147"/>
      <c r="N116" s="147">
        <v>5100</v>
      </c>
      <c r="O116" s="147">
        <f>2500+2600</f>
        <v>5100</v>
      </c>
      <c r="P116" s="147">
        <f t="shared" si="8"/>
        <v>0</v>
      </c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</row>
    <row r="117" spans="1:27" ht="18" customHeight="1" x14ac:dyDescent="0.3">
      <c r="A117" s="162">
        <v>44443</v>
      </c>
      <c r="B117" s="834">
        <v>2969875721</v>
      </c>
      <c r="C117" s="204" t="s">
        <v>7677</v>
      </c>
      <c r="D117" s="272">
        <v>36803</v>
      </c>
      <c r="E117" s="212" t="s">
        <v>7972</v>
      </c>
      <c r="F117" s="204" t="s">
        <v>7678</v>
      </c>
      <c r="G117" s="171"/>
      <c r="H117" s="147"/>
      <c r="I117" s="171" t="s">
        <v>7620</v>
      </c>
      <c r="J117" s="147">
        <v>5700</v>
      </c>
      <c r="K117" s="147">
        <f>2900+2800</f>
        <v>5700</v>
      </c>
      <c r="L117" s="147">
        <f t="shared" si="7"/>
        <v>0</v>
      </c>
      <c r="M117" s="147"/>
      <c r="N117" s="147">
        <v>5000</v>
      </c>
      <c r="O117" s="147">
        <f>3500+1500</f>
        <v>5000</v>
      </c>
      <c r="P117" s="147">
        <f t="shared" si="8"/>
        <v>0</v>
      </c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</row>
    <row r="118" spans="1:27" ht="18" customHeight="1" x14ac:dyDescent="0.3">
      <c r="A118" s="162">
        <v>44449</v>
      </c>
      <c r="B118" s="623">
        <v>3069356821</v>
      </c>
      <c r="C118" s="225" t="s">
        <v>7679</v>
      </c>
      <c r="D118" s="272">
        <v>37525</v>
      </c>
      <c r="E118" s="280" t="s">
        <v>7973</v>
      </c>
      <c r="F118" s="225"/>
      <c r="G118" s="137">
        <v>4068194822</v>
      </c>
      <c r="H118" s="147"/>
      <c r="I118" s="171" t="s">
        <v>7620</v>
      </c>
      <c r="J118" s="147">
        <v>5800</v>
      </c>
      <c r="K118" s="147">
        <f>3000+2800</f>
        <v>5800</v>
      </c>
      <c r="L118" s="147">
        <f t="shared" si="7"/>
        <v>0</v>
      </c>
      <c r="M118" s="147"/>
      <c r="N118" s="147">
        <v>4800</v>
      </c>
      <c r="O118" s="147">
        <f>2500+2300</f>
        <v>4800</v>
      </c>
      <c r="P118" s="147">
        <f t="shared" si="8"/>
        <v>0</v>
      </c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</row>
    <row r="119" spans="1:27" ht="18" customHeight="1" x14ac:dyDescent="0.3">
      <c r="A119" s="162">
        <v>44449</v>
      </c>
      <c r="B119" s="834">
        <v>3074618521</v>
      </c>
      <c r="C119" s="204" t="s">
        <v>7680</v>
      </c>
      <c r="D119" s="272">
        <v>33465</v>
      </c>
      <c r="E119" s="212" t="s">
        <v>7974</v>
      </c>
      <c r="F119" s="204" t="s">
        <v>7681</v>
      </c>
      <c r="G119" s="211">
        <v>4575101021</v>
      </c>
      <c r="H119" s="147"/>
      <c r="I119" s="171" t="s">
        <v>7620</v>
      </c>
      <c r="J119" s="147">
        <v>5700</v>
      </c>
      <c r="K119" s="147">
        <f>3000+2700</f>
        <v>5700</v>
      </c>
      <c r="L119" s="147">
        <f t="shared" si="7"/>
        <v>0</v>
      </c>
      <c r="M119" s="147"/>
      <c r="N119" s="147">
        <v>5100</v>
      </c>
      <c r="O119" s="147">
        <f>2500+2600</f>
        <v>5100</v>
      </c>
      <c r="P119" s="147">
        <f t="shared" si="8"/>
        <v>0</v>
      </c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</row>
    <row r="120" spans="1:27" ht="18" customHeight="1" x14ac:dyDescent="0.3">
      <c r="A120" s="162">
        <v>44454</v>
      </c>
      <c r="B120" s="834"/>
      <c r="C120" s="204" t="s">
        <v>7682</v>
      </c>
      <c r="D120" s="272">
        <v>28156</v>
      </c>
      <c r="E120" s="212" t="s">
        <v>7975</v>
      </c>
      <c r="F120" s="204"/>
      <c r="G120" s="171"/>
      <c r="H120" s="147"/>
      <c r="I120" s="171" t="s">
        <v>7587</v>
      </c>
      <c r="J120" s="147">
        <v>1700</v>
      </c>
      <c r="K120" s="147">
        <v>1700</v>
      </c>
      <c r="L120" s="147">
        <f t="shared" si="7"/>
        <v>0</v>
      </c>
      <c r="M120" s="147"/>
      <c r="N120" s="147">
        <v>1200</v>
      </c>
      <c r="O120" s="147">
        <v>1200</v>
      </c>
      <c r="P120" s="147">
        <f t="shared" si="8"/>
        <v>0</v>
      </c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</row>
    <row r="121" spans="1:27" ht="18" customHeight="1" x14ac:dyDescent="0.3">
      <c r="A121" s="162">
        <v>44455</v>
      </c>
      <c r="B121" s="623">
        <v>3156054221</v>
      </c>
      <c r="C121" s="225" t="s">
        <v>7683</v>
      </c>
      <c r="D121" s="272">
        <v>37198</v>
      </c>
      <c r="E121" s="280" t="s">
        <v>7976</v>
      </c>
      <c r="F121" s="225" t="s">
        <v>7085</v>
      </c>
      <c r="G121" s="227">
        <v>1606643422</v>
      </c>
      <c r="H121" s="147"/>
      <c r="I121" s="171" t="s">
        <v>7620</v>
      </c>
      <c r="J121" s="147">
        <v>5700</v>
      </c>
      <c r="K121" s="147">
        <f>2500+3200</f>
        <v>5700</v>
      </c>
      <c r="L121" s="147">
        <f t="shared" si="7"/>
        <v>0</v>
      </c>
      <c r="M121" s="147"/>
      <c r="N121" s="147">
        <v>4800</v>
      </c>
      <c r="O121" s="147">
        <f>2500+2300</f>
        <v>4800</v>
      </c>
      <c r="P121" s="147">
        <f t="shared" si="8"/>
        <v>0</v>
      </c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</row>
    <row r="122" spans="1:27" ht="18" customHeight="1" x14ac:dyDescent="0.3">
      <c r="A122" s="162">
        <v>44457</v>
      </c>
      <c r="B122" s="623">
        <v>3188289721</v>
      </c>
      <c r="C122" s="225" t="s">
        <v>5875</v>
      </c>
      <c r="D122" s="272">
        <v>37824</v>
      </c>
      <c r="E122" s="280" t="s">
        <v>7977</v>
      </c>
      <c r="F122" s="225" t="s">
        <v>7085</v>
      </c>
      <c r="G122" s="171"/>
      <c r="H122" s="147"/>
      <c r="I122" s="171" t="s">
        <v>7620</v>
      </c>
      <c r="J122" s="147">
        <v>5700</v>
      </c>
      <c r="K122" s="147">
        <f>3000+2700</f>
        <v>5700</v>
      </c>
      <c r="L122" s="147">
        <f t="shared" si="7"/>
        <v>0</v>
      </c>
      <c r="M122" s="147"/>
      <c r="N122" s="147">
        <v>4800</v>
      </c>
      <c r="O122" s="147">
        <f>2500+2300</f>
        <v>4800</v>
      </c>
      <c r="P122" s="147">
        <f t="shared" si="8"/>
        <v>0</v>
      </c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</row>
    <row r="123" spans="1:27" ht="18" customHeight="1" x14ac:dyDescent="0.3">
      <c r="A123" s="203">
        <v>44457</v>
      </c>
      <c r="B123" s="834" t="s">
        <v>7684</v>
      </c>
      <c r="C123" s="204" t="s">
        <v>7685</v>
      </c>
      <c r="D123" s="272">
        <v>29707</v>
      </c>
      <c r="E123" s="212" t="s">
        <v>7978</v>
      </c>
      <c r="F123" s="204"/>
      <c r="G123" s="171"/>
      <c r="H123" s="147"/>
      <c r="I123" s="171" t="s">
        <v>7686</v>
      </c>
      <c r="J123" s="147">
        <v>2000</v>
      </c>
      <c r="K123" s="147">
        <f>1500+500</f>
        <v>2000</v>
      </c>
      <c r="L123" s="147">
        <f t="shared" si="7"/>
        <v>0</v>
      </c>
      <c r="M123" s="147"/>
      <c r="N123" s="147">
        <v>1500</v>
      </c>
      <c r="O123" s="147">
        <v>1500</v>
      </c>
      <c r="P123" s="147">
        <f t="shared" si="8"/>
        <v>0</v>
      </c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</row>
    <row r="124" spans="1:27" ht="18" customHeight="1" x14ac:dyDescent="0.3">
      <c r="A124" s="162">
        <v>44462</v>
      </c>
      <c r="B124" s="834">
        <v>3336165421</v>
      </c>
      <c r="C124" s="204" t="s">
        <v>7061</v>
      </c>
      <c r="D124" s="272">
        <v>31070</v>
      </c>
      <c r="E124" s="212" t="s">
        <v>7979</v>
      </c>
      <c r="F124" s="204" t="s">
        <v>7678</v>
      </c>
      <c r="G124" s="171"/>
      <c r="H124" s="147"/>
      <c r="I124" s="171" t="s">
        <v>7687</v>
      </c>
      <c r="J124" s="147">
        <v>4500</v>
      </c>
      <c r="K124" s="147">
        <f>2500+2000</f>
        <v>4500</v>
      </c>
      <c r="L124" s="147">
        <f t="shared" si="7"/>
        <v>0</v>
      </c>
      <c r="M124" s="147"/>
      <c r="N124" s="147">
        <v>3900</v>
      </c>
      <c r="O124" s="147">
        <f>2000+1900</f>
        <v>3900</v>
      </c>
      <c r="P124" s="147">
        <f t="shared" si="8"/>
        <v>0</v>
      </c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</row>
    <row r="125" spans="1:27" ht="18" customHeight="1" x14ac:dyDescent="0.3">
      <c r="A125" s="162">
        <v>44462</v>
      </c>
      <c r="B125" s="623">
        <v>3277993021</v>
      </c>
      <c r="C125" s="225" t="s">
        <v>7688</v>
      </c>
      <c r="D125" s="272">
        <v>44462</v>
      </c>
      <c r="E125" s="280" t="s">
        <v>7980</v>
      </c>
      <c r="F125" s="225"/>
      <c r="G125" s="137">
        <v>661382522</v>
      </c>
      <c r="H125" s="147"/>
      <c r="I125" s="171" t="s">
        <v>7620</v>
      </c>
      <c r="J125" s="147">
        <f>5500+100</f>
        <v>5600</v>
      </c>
      <c r="K125" s="147">
        <f>3000+2600</f>
        <v>5600</v>
      </c>
      <c r="L125" s="147">
        <f t="shared" si="7"/>
        <v>0</v>
      </c>
      <c r="M125" s="147"/>
      <c r="N125" s="147">
        <v>5100</v>
      </c>
      <c r="O125" s="147">
        <f>2500+2600</f>
        <v>5100</v>
      </c>
      <c r="P125" s="147">
        <f t="shared" si="8"/>
        <v>0</v>
      </c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</row>
    <row r="126" spans="1:27" ht="18" customHeight="1" x14ac:dyDescent="0.3">
      <c r="A126" s="172"/>
      <c r="B126" s="834"/>
      <c r="C126" s="204" t="s">
        <v>7689</v>
      </c>
      <c r="D126" s="272">
        <v>20475</v>
      </c>
      <c r="E126" s="212" t="s">
        <v>7981</v>
      </c>
      <c r="F126" s="204" t="s">
        <v>7085</v>
      </c>
      <c r="G126" s="171"/>
      <c r="H126" s="147"/>
      <c r="I126" s="171" t="s">
        <v>7587</v>
      </c>
      <c r="J126" s="147">
        <v>2000</v>
      </c>
      <c r="K126" s="147">
        <v>2000</v>
      </c>
      <c r="L126" s="147">
        <f t="shared" si="7"/>
        <v>0</v>
      </c>
      <c r="M126" s="147"/>
      <c r="N126" s="147">
        <v>1300</v>
      </c>
      <c r="O126" s="147">
        <v>1300</v>
      </c>
      <c r="P126" s="147">
        <f t="shared" si="8"/>
        <v>0</v>
      </c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</row>
    <row r="127" spans="1:27" ht="18" customHeight="1" x14ac:dyDescent="0.3">
      <c r="A127" s="162">
        <v>44474</v>
      </c>
      <c r="B127" s="623">
        <v>3443911421</v>
      </c>
      <c r="C127" s="225" t="s">
        <v>7690</v>
      </c>
      <c r="D127" s="272">
        <v>37817</v>
      </c>
      <c r="E127" s="280" t="s">
        <v>7982</v>
      </c>
      <c r="F127" s="204" t="s">
        <v>7085</v>
      </c>
      <c r="G127" s="171">
        <v>1602015922</v>
      </c>
      <c r="H127" s="147"/>
      <c r="I127" s="171" t="s">
        <v>7620</v>
      </c>
      <c r="J127" s="147">
        <v>5500</v>
      </c>
      <c r="K127" s="147">
        <f>2500+3000</f>
        <v>5500</v>
      </c>
      <c r="L127" s="147">
        <f t="shared" si="7"/>
        <v>0</v>
      </c>
      <c r="M127" s="147"/>
      <c r="N127" s="147">
        <v>4800</v>
      </c>
      <c r="O127" s="147">
        <f>2500+2300</f>
        <v>4800</v>
      </c>
      <c r="P127" s="147">
        <f t="shared" si="8"/>
        <v>0</v>
      </c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</row>
    <row r="128" spans="1:27" ht="18" customHeight="1" x14ac:dyDescent="0.3">
      <c r="A128" s="162">
        <v>44479</v>
      </c>
      <c r="B128" s="834">
        <v>3518415621</v>
      </c>
      <c r="C128" s="204" t="s">
        <v>7691</v>
      </c>
      <c r="D128" s="272">
        <v>34609</v>
      </c>
      <c r="E128" s="212" t="s">
        <v>7983</v>
      </c>
      <c r="F128" s="204" t="s">
        <v>7678</v>
      </c>
      <c r="G128" s="171"/>
      <c r="H128" s="147"/>
      <c r="I128" s="171" t="s">
        <v>7620</v>
      </c>
      <c r="J128" s="147">
        <v>5500</v>
      </c>
      <c r="K128" s="147">
        <f>3000+2500</f>
        <v>5500</v>
      </c>
      <c r="L128" s="147">
        <f t="shared" si="7"/>
        <v>0</v>
      </c>
      <c r="M128" s="147"/>
      <c r="N128" s="147">
        <v>5100</v>
      </c>
      <c r="O128" s="147">
        <f t="shared" ref="O128:O129" si="15">2500+2600</f>
        <v>5100</v>
      </c>
      <c r="P128" s="147">
        <f t="shared" si="8"/>
        <v>0</v>
      </c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</row>
    <row r="129" spans="1:27" ht="18" customHeight="1" x14ac:dyDescent="0.3">
      <c r="A129" s="162">
        <v>44483</v>
      </c>
      <c r="B129" s="834">
        <v>3572358621</v>
      </c>
      <c r="C129" s="204" t="s">
        <v>7692</v>
      </c>
      <c r="D129" s="272">
        <v>37803</v>
      </c>
      <c r="E129" s="212" t="s">
        <v>7984</v>
      </c>
      <c r="F129" s="204" t="s">
        <v>7678</v>
      </c>
      <c r="G129" s="171"/>
      <c r="H129" s="147"/>
      <c r="I129" s="171" t="s">
        <v>7620</v>
      </c>
      <c r="J129" s="147">
        <v>5800</v>
      </c>
      <c r="K129" s="147">
        <f>3000+2800</f>
        <v>5800</v>
      </c>
      <c r="L129" s="147">
        <f t="shared" si="7"/>
        <v>0</v>
      </c>
      <c r="M129" s="147"/>
      <c r="N129" s="147">
        <v>5100</v>
      </c>
      <c r="O129" s="147">
        <f t="shared" si="15"/>
        <v>5100</v>
      </c>
      <c r="P129" s="147">
        <f t="shared" si="8"/>
        <v>0</v>
      </c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</row>
    <row r="130" spans="1:27" ht="18" customHeight="1" x14ac:dyDescent="0.3">
      <c r="A130" s="162">
        <v>44493</v>
      </c>
      <c r="B130" s="834">
        <v>3685956321</v>
      </c>
      <c r="C130" s="204" t="s">
        <v>7103</v>
      </c>
      <c r="D130" s="272">
        <v>25623</v>
      </c>
      <c r="E130" s="212" t="s">
        <v>7985</v>
      </c>
      <c r="F130" s="204" t="s">
        <v>7678</v>
      </c>
      <c r="G130" s="171"/>
      <c r="H130" s="147"/>
      <c r="I130" s="171" t="s">
        <v>7620</v>
      </c>
      <c r="J130" s="147">
        <v>5800</v>
      </c>
      <c r="K130" s="147">
        <f t="shared" ref="K130:K132" si="16">3000+2800</f>
        <v>5800</v>
      </c>
      <c r="L130" s="147">
        <f t="shared" si="7"/>
        <v>0</v>
      </c>
      <c r="M130" s="147"/>
      <c r="N130" s="147">
        <v>5300</v>
      </c>
      <c r="O130" s="147">
        <f t="shared" ref="O130:O131" si="17">3000+2300</f>
        <v>5300</v>
      </c>
      <c r="P130" s="147">
        <f t="shared" si="8"/>
        <v>0</v>
      </c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</row>
    <row r="131" spans="1:27" ht="18" customHeight="1" x14ac:dyDescent="0.3">
      <c r="A131" s="162">
        <v>44493</v>
      </c>
      <c r="B131" s="834">
        <v>3686003321</v>
      </c>
      <c r="C131" s="204" t="s">
        <v>7693</v>
      </c>
      <c r="D131" s="272">
        <v>25625</v>
      </c>
      <c r="E131" s="212" t="s">
        <v>7986</v>
      </c>
      <c r="F131" s="204" t="s">
        <v>7678</v>
      </c>
      <c r="G131" s="171"/>
      <c r="H131" s="147"/>
      <c r="I131" s="171" t="s">
        <v>7620</v>
      </c>
      <c r="J131" s="147">
        <v>5800</v>
      </c>
      <c r="K131" s="147">
        <f t="shared" si="16"/>
        <v>5800</v>
      </c>
      <c r="L131" s="147">
        <f t="shared" si="7"/>
        <v>0</v>
      </c>
      <c r="M131" s="147"/>
      <c r="N131" s="147">
        <v>5300</v>
      </c>
      <c r="O131" s="147">
        <f t="shared" si="17"/>
        <v>5300</v>
      </c>
      <c r="P131" s="147">
        <f t="shared" si="8"/>
        <v>0</v>
      </c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</row>
    <row r="132" spans="1:27" ht="18" customHeight="1" x14ac:dyDescent="0.3">
      <c r="A132" s="162">
        <v>44518</v>
      </c>
      <c r="B132" s="834">
        <v>4014981421</v>
      </c>
      <c r="C132" s="204" t="s">
        <v>7694</v>
      </c>
      <c r="D132" s="272">
        <v>30628</v>
      </c>
      <c r="E132" s="212" t="s">
        <v>7987</v>
      </c>
      <c r="F132" s="204" t="s">
        <v>7695</v>
      </c>
      <c r="G132" s="171"/>
      <c r="H132" s="147"/>
      <c r="I132" s="171" t="s">
        <v>7620</v>
      </c>
      <c r="J132" s="147">
        <f>5500+300</f>
        <v>5800</v>
      </c>
      <c r="K132" s="147">
        <f t="shared" si="16"/>
        <v>5800</v>
      </c>
      <c r="L132" s="147">
        <f t="shared" si="7"/>
        <v>0</v>
      </c>
      <c r="M132" s="147"/>
      <c r="N132" s="147">
        <f>4800+300</f>
        <v>5100</v>
      </c>
      <c r="O132" s="147">
        <f>2500+2600</f>
        <v>5100</v>
      </c>
      <c r="P132" s="147">
        <f t="shared" si="8"/>
        <v>0</v>
      </c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</row>
    <row r="133" spans="1:27" ht="18" customHeight="1" x14ac:dyDescent="0.3">
      <c r="A133" s="162">
        <v>44522</v>
      </c>
      <c r="B133" s="834">
        <v>3915462621</v>
      </c>
      <c r="C133" s="204" t="s">
        <v>7696</v>
      </c>
      <c r="D133" s="272">
        <v>34346</v>
      </c>
      <c r="E133" s="212" t="s">
        <v>7988</v>
      </c>
      <c r="F133" s="204" t="s">
        <v>7678</v>
      </c>
      <c r="G133" s="171"/>
      <c r="H133" s="147"/>
      <c r="I133" s="171" t="s">
        <v>7620</v>
      </c>
      <c r="J133" s="147">
        <f>5500</f>
        <v>5500</v>
      </c>
      <c r="K133" s="147">
        <f>3000+2500</f>
        <v>5500</v>
      </c>
      <c r="L133" s="147">
        <f t="shared" si="7"/>
        <v>0</v>
      </c>
      <c r="M133" s="147"/>
      <c r="N133" s="147">
        <f>4800</f>
        <v>4800</v>
      </c>
      <c r="O133" s="147">
        <f>2500+2300</f>
        <v>4800</v>
      </c>
      <c r="P133" s="147">
        <f t="shared" si="8"/>
        <v>0</v>
      </c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</row>
    <row r="134" spans="1:27" ht="18" customHeight="1" x14ac:dyDescent="0.3">
      <c r="A134" s="172"/>
      <c r="B134" s="623">
        <v>4282754721</v>
      </c>
      <c r="C134" s="225" t="s">
        <v>7697</v>
      </c>
      <c r="D134" s="272">
        <v>27549</v>
      </c>
      <c r="E134" s="280" t="s">
        <v>7989</v>
      </c>
      <c r="F134" s="204" t="s">
        <v>8142</v>
      </c>
      <c r="G134" s="171" t="s">
        <v>3303</v>
      </c>
      <c r="H134" s="147"/>
      <c r="I134" s="171" t="s">
        <v>7587</v>
      </c>
      <c r="J134" s="147">
        <v>3800</v>
      </c>
      <c r="K134" s="147">
        <v>3800</v>
      </c>
      <c r="L134" s="147">
        <f t="shared" si="7"/>
        <v>0</v>
      </c>
      <c r="M134" s="147"/>
      <c r="N134" s="147">
        <v>3000</v>
      </c>
      <c r="O134" s="147">
        <v>3000</v>
      </c>
      <c r="P134" s="147">
        <f t="shared" si="8"/>
        <v>0</v>
      </c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</row>
    <row r="135" spans="1:27" ht="18" customHeight="1" x14ac:dyDescent="0.3">
      <c r="A135" s="172"/>
      <c r="B135" s="834"/>
      <c r="C135" s="204" t="s">
        <v>1839</v>
      </c>
      <c r="D135" s="272"/>
      <c r="E135" s="212" t="s">
        <v>7882</v>
      </c>
      <c r="F135" s="204"/>
      <c r="G135" s="212"/>
      <c r="H135" s="147"/>
      <c r="I135" s="171" t="s">
        <v>7698</v>
      </c>
      <c r="J135" s="147">
        <v>1800</v>
      </c>
      <c r="K135" s="147">
        <v>1800</v>
      </c>
      <c r="L135" s="147">
        <f t="shared" si="7"/>
        <v>0</v>
      </c>
      <c r="M135" s="147"/>
      <c r="N135" s="147">
        <v>1200</v>
      </c>
      <c r="O135" s="147">
        <v>1200</v>
      </c>
      <c r="P135" s="147">
        <f t="shared" si="8"/>
        <v>0</v>
      </c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</row>
    <row r="136" spans="1:27" ht="18" customHeight="1" x14ac:dyDescent="0.3">
      <c r="A136" s="172" t="s">
        <v>7699</v>
      </c>
      <c r="B136" s="623">
        <v>4327748521</v>
      </c>
      <c r="C136" s="225" t="s">
        <v>6057</v>
      </c>
      <c r="D136" s="272">
        <v>37888</v>
      </c>
      <c r="E136" s="280" t="s">
        <v>7990</v>
      </c>
      <c r="F136" s="204" t="s">
        <v>7085</v>
      </c>
      <c r="G136" s="171"/>
      <c r="H136" s="147"/>
      <c r="I136" s="171" t="s">
        <v>7620</v>
      </c>
      <c r="J136" s="147">
        <v>5500</v>
      </c>
      <c r="K136" s="147">
        <f t="shared" ref="K136:K137" si="18">3000+2500</f>
        <v>5500</v>
      </c>
      <c r="L136" s="147">
        <f t="shared" si="7"/>
        <v>0</v>
      </c>
      <c r="M136" s="147"/>
      <c r="N136" s="147">
        <v>4800</v>
      </c>
      <c r="O136" s="147">
        <f t="shared" ref="O136:O137" si="19">2500+2300</f>
        <v>4800</v>
      </c>
      <c r="P136" s="147">
        <f t="shared" si="8"/>
        <v>0</v>
      </c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</row>
    <row r="137" spans="1:27" ht="18" customHeight="1" x14ac:dyDescent="0.3">
      <c r="A137" s="162">
        <v>44544</v>
      </c>
      <c r="B137" s="623">
        <v>4361447321</v>
      </c>
      <c r="C137" s="225" t="s">
        <v>7700</v>
      </c>
      <c r="D137" s="272">
        <v>37964</v>
      </c>
      <c r="E137" s="280" t="s">
        <v>7991</v>
      </c>
      <c r="F137" s="204" t="s">
        <v>7085</v>
      </c>
      <c r="G137" s="171"/>
      <c r="H137" s="147"/>
      <c r="I137" s="171" t="s">
        <v>7620</v>
      </c>
      <c r="J137" s="147">
        <v>5500</v>
      </c>
      <c r="K137" s="147">
        <f t="shared" si="18"/>
        <v>5500</v>
      </c>
      <c r="L137" s="147">
        <f t="shared" si="7"/>
        <v>0</v>
      </c>
      <c r="M137" s="147"/>
      <c r="N137" s="147">
        <v>4800</v>
      </c>
      <c r="O137" s="147">
        <f t="shared" si="19"/>
        <v>4800</v>
      </c>
      <c r="P137" s="147">
        <f t="shared" si="8"/>
        <v>0</v>
      </c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</row>
    <row r="138" spans="1:27" ht="18" customHeight="1" x14ac:dyDescent="0.3">
      <c r="A138" s="172"/>
      <c r="B138" s="834"/>
      <c r="C138" s="204" t="s">
        <v>7701</v>
      </c>
      <c r="D138" s="272"/>
      <c r="E138" s="212" t="s">
        <v>7992</v>
      </c>
      <c r="F138" s="204" t="s">
        <v>7702</v>
      </c>
      <c r="G138" s="212"/>
      <c r="H138" s="147"/>
      <c r="I138" s="171"/>
      <c r="J138" s="147">
        <v>4200</v>
      </c>
      <c r="K138" s="147">
        <v>4200</v>
      </c>
      <c r="L138" s="147">
        <f t="shared" si="7"/>
        <v>0</v>
      </c>
      <c r="M138" s="147"/>
      <c r="N138" s="147">
        <v>3700</v>
      </c>
      <c r="O138" s="147">
        <v>3700</v>
      </c>
      <c r="P138" s="147">
        <f t="shared" si="8"/>
        <v>0</v>
      </c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</row>
    <row r="139" spans="1:27" ht="18" customHeight="1" x14ac:dyDescent="0.3">
      <c r="A139" s="172"/>
      <c r="B139" s="836"/>
      <c r="C139" s="213" t="s">
        <v>7703</v>
      </c>
      <c r="D139" s="272">
        <v>23540</v>
      </c>
      <c r="E139" s="214" t="s">
        <v>7993</v>
      </c>
      <c r="F139" s="213" t="s">
        <v>7704</v>
      </c>
      <c r="G139" s="214"/>
      <c r="H139" s="147"/>
      <c r="I139" s="171" t="s">
        <v>7687</v>
      </c>
      <c r="J139" s="147">
        <v>4200</v>
      </c>
      <c r="K139" s="147">
        <f>2500+1700</f>
        <v>4200</v>
      </c>
      <c r="L139" s="147">
        <f t="shared" si="7"/>
        <v>0</v>
      </c>
      <c r="M139" s="147"/>
      <c r="N139" s="147">
        <v>3700</v>
      </c>
      <c r="O139" s="147">
        <f>2500+1200</f>
        <v>3700</v>
      </c>
      <c r="P139" s="147">
        <f t="shared" si="8"/>
        <v>0</v>
      </c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</row>
    <row r="140" spans="1:27" ht="18" customHeight="1" x14ac:dyDescent="0.3">
      <c r="A140" s="172"/>
      <c r="B140" s="834"/>
      <c r="C140" s="204" t="s">
        <v>7705</v>
      </c>
      <c r="D140" s="272">
        <v>18813</v>
      </c>
      <c r="E140" s="212" t="s">
        <v>7994</v>
      </c>
      <c r="F140" s="204" t="s">
        <v>7085</v>
      </c>
      <c r="G140" s="212"/>
      <c r="H140" s="147"/>
      <c r="I140" s="171" t="s">
        <v>7629</v>
      </c>
      <c r="J140" s="147">
        <v>1900</v>
      </c>
      <c r="K140" s="147">
        <v>1900</v>
      </c>
      <c r="L140" s="147">
        <f t="shared" si="7"/>
        <v>0</v>
      </c>
      <c r="M140" s="147"/>
      <c r="N140" s="147">
        <v>1400</v>
      </c>
      <c r="O140" s="147">
        <v>1400</v>
      </c>
      <c r="P140" s="147">
        <f t="shared" si="8"/>
        <v>0</v>
      </c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</row>
    <row r="141" spans="1:27" ht="18" customHeight="1" x14ac:dyDescent="0.3">
      <c r="A141" s="162">
        <v>44599</v>
      </c>
      <c r="B141" s="834"/>
      <c r="C141" s="204" t="s">
        <v>7706</v>
      </c>
      <c r="D141" s="272">
        <v>23747</v>
      </c>
      <c r="E141" s="212" t="s">
        <v>7995</v>
      </c>
      <c r="F141" s="204" t="s">
        <v>7085</v>
      </c>
      <c r="G141" s="171"/>
      <c r="H141" s="147"/>
      <c r="I141" s="171" t="s">
        <v>7629</v>
      </c>
      <c r="J141" s="147">
        <v>1500</v>
      </c>
      <c r="K141" s="147">
        <v>1500</v>
      </c>
      <c r="L141" s="147">
        <f t="shared" si="7"/>
        <v>0</v>
      </c>
      <c r="M141" s="147"/>
      <c r="N141" s="147">
        <v>1200</v>
      </c>
      <c r="O141" s="147">
        <v>1200</v>
      </c>
      <c r="P141" s="147">
        <f t="shared" si="8"/>
        <v>0</v>
      </c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</row>
    <row r="142" spans="1:27" ht="18" customHeight="1" x14ac:dyDescent="0.3">
      <c r="A142" s="172"/>
      <c r="B142" s="834"/>
      <c r="C142" s="204" t="s">
        <v>7707</v>
      </c>
      <c r="D142" s="272">
        <v>30822</v>
      </c>
      <c r="E142" s="212" t="s">
        <v>7996</v>
      </c>
      <c r="F142" s="204" t="s">
        <v>7085</v>
      </c>
      <c r="G142" s="171"/>
      <c r="H142" s="147"/>
      <c r="I142" s="171" t="s">
        <v>7587</v>
      </c>
      <c r="J142" s="147">
        <v>1900</v>
      </c>
      <c r="K142" s="147">
        <v>1900</v>
      </c>
      <c r="L142" s="147">
        <f t="shared" si="7"/>
        <v>0</v>
      </c>
      <c r="M142" s="147"/>
      <c r="N142" s="147">
        <v>1300</v>
      </c>
      <c r="O142" s="147">
        <v>1300</v>
      </c>
      <c r="P142" s="147">
        <f t="shared" si="8"/>
        <v>0</v>
      </c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</row>
    <row r="143" spans="1:27" ht="18" customHeight="1" x14ac:dyDescent="0.3">
      <c r="A143" s="172"/>
      <c r="B143" s="623">
        <v>729478722</v>
      </c>
      <c r="C143" s="225" t="s">
        <v>6714</v>
      </c>
      <c r="D143" s="272">
        <v>30176</v>
      </c>
      <c r="E143" s="280" t="s">
        <v>7997</v>
      </c>
      <c r="F143" s="204" t="s">
        <v>7085</v>
      </c>
      <c r="G143" s="171"/>
      <c r="H143" s="147"/>
      <c r="I143" s="171" t="s">
        <v>7708</v>
      </c>
      <c r="J143" s="147">
        <f>1800+500</f>
        <v>2300</v>
      </c>
      <c r="K143" s="147">
        <v>2300</v>
      </c>
      <c r="L143" s="147">
        <f t="shared" si="7"/>
        <v>0</v>
      </c>
      <c r="M143" s="147"/>
      <c r="N143" s="147">
        <f>1300+400</f>
        <v>1700</v>
      </c>
      <c r="O143" s="147">
        <v>1700</v>
      </c>
      <c r="P143" s="147">
        <f t="shared" si="8"/>
        <v>0</v>
      </c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</row>
    <row r="144" spans="1:27" ht="18" customHeight="1" x14ac:dyDescent="0.3">
      <c r="A144" s="162">
        <v>44605</v>
      </c>
      <c r="B144" s="623">
        <v>639494122</v>
      </c>
      <c r="C144" s="225" t="s">
        <v>7709</v>
      </c>
      <c r="D144" s="272">
        <v>33732</v>
      </c>
      <c r="E144" s="280" t="s">
        <v>7998</v>
      </c>
      <c r="F144" s="204" t="s">
        <v>7085</v>
      </c>
      <c r="G144" s="171"/>
      <c r="H144" s="147"/>
      <c r="I144" s="171" t="s">
        <v>7057</v>
      </c>
      <c r="J144" s="147">
        <v>5500</v>
      </c>
      <c r="K144" s="147">
        <v>4000</v>
      </c>
      <c r="L144" s="147">
        <f>J144-K144-1500</f>
        <v>0</v>
      </c>
      <c r="M144" s="147"/>
      <c r="N144" s="147">
        <v>4800</v>
      </c>
      <c r="O144" s="147">
        <f>2500+2300</f>
        <v>4800</v>
      </c>
      <c r="P144" s="147">
        <f t="shared" si="8"/>
        <v>0</v>
      </c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</row>
    <row r="145" spans="1:27" ht="18" customHeight="1" x14ac:dyDescent="0.3">
      <c r="A145" s="162">
        <v>44613</v>
      </c>
      <c r="B145" s="172">
        <v>736550822</v>
      </c>
      <c r="C145" s="147" t="s">
        <v>6680</v>
      </c>
      <c r="D145" s="272">
        <v>35549</v>
      </c>
      <c r="E145" s="171" t="s">
        <v>7999</v>
      </c>
      <c r="F145" s="147" t="s">
        <v>8349</v>
      </c>
      <c r="G145" s="171">
        <v>8336027836</v>
      </c>
      <c r="H145" s="147"/>
      <c r="I145" s="171" t="s">
        <v>7057</v>
      </c>
      <c r="J145" s="147">
        <v>5500</v>
      </c>
      <c r="K145" s="147">
        <v>5500</v>
      </c>
      <c r="L145" s="147">
        <f t="shared" si="7"/>
        <v>0</v>
      </c>
      <c r="M145" s="147"/>
      <c r="N145" s="147">
        <v>4800</v>
      </c>
      <c r="O145" s="147">
        <f>2500+2300</f>
        <v>4800</v>
      </c>
      <c r="P145" s="147">
        <f t="shared" si="8"/>
        <v>0</v>
      </c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</row>
    <row r="146" spans="1:27" ht="18" customHeight="1" x14ac:dyDescent="0.3">
      <c r="A146" s="172"/>
      <c r="B146" s="834">
        <v>744478022</v>
      </c>
      <c r="C146" s="204" t="s">
        <v>7710</v>
      </c>
      <c r="D146" s="272">
        <v>35158</v>
      </c>
      <c r="E146" s="204" t="s">
        <v>8000</v>
      </c>
      <c r="F146" s="204" t="s">
        <v>8543</v>
      </c>
      <c r="G146" s="171"/>
      <c r="H146" s="147"/>
      <c r="I146" s="171" t="s">
        <v>7057</v>
      </c>
      <c r="J146" s="147">
        <v>5500</v>
      </c>
      <c r="K146" s="147">
        <f>3000+2500</f>
        <v>5500</v>
      </c>
      <c r="L146" s="147">
        <f t="shared" si="7"/>
        <v>0</v>
      </c>
      <c r="M146" s="147"/>
      <c r="N146" s="147">
        <v>4800</v>
      </c>
      <c r="O146" s="147">
        <f>2500+2300</f>
        <v>4800</v>
      </c>
      <c r="P146" s="147">
        <f t="shared" si="8"/>
        <v>0</v>
      </c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</row>
    <row r="147" spans="1:27" ht="18" customHeight="1" x14ac:dyDescent="0.3">
      <c r="A147" s="172"/>
      <c r="B147" s="623">
        <v>342016222</v>
      </c>
      <c r="C147" s="225" t="s">
        <v>7711</v>
      </c>
      <c r="D147" s="272">
        <v>30326</v>
      </c>
      <c r="E147" s="280" t="s">
        <v>8001</v>
      </c>
      <c r="F147" s="225"/>
      <c r="G147" s="171"/>
      <c r="H147" s="147"/>
      <c r="I147" s="171" t="s">
        <v>7587</v>
      </c>
      <c r="J147" s="147">
        <v>1900</v>
      </c>
      <c r="K147" s="147">
        <v>1900</v>
      </c>
      <c r="L147" s="147">
        <f t="shared" si="7"/>
        <v>0</v>
      </c>
      <c r="M147" s="147"/>
      <c r="N147" s="147">
        <v>1300</v>
      </c>
      <c r="O147" s="147">
        <v>1300</v>
      </c>
      <c r="P147" s="147">
        <f t="shared" si="8"/>
        <v>0</v>
      </c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</row>
    <row r="148" spans="1:27" ht="18" customHeight="1" x14ac:dyDescent="0.3">
      <c r="A148" s="162">
        <v>44618</v>
      </c>
      <c r="B148" s="623"/>
      <c r="C148" s="225" t="s">
        <v>7712</v>
      </c>
      <c r="D148" s="272"/>
      <c r="E148" s="280" t="s">
        <v>8002</v>
      </c>
      <c r="F148" s="225" t="s">
        <v>7713</v>
      </c>
      <c r="G148" s="171"/>
      <c r="H148" s="147"/>
      <c r="I148" s="171" t="s">
        <v>7714</v>
      </c>
      <c r="J148" s="147">
        <v>4200</v>
      </c>
      <c r="K148" s="147">
        <v>4200</v>
      </c>
      <c r="L148" s="147">
        <f t="shared" si="7"/>
        <v>0</v>
      </c>
      <c r="M148" s="147"/>
      <c r="N148" s="147">
        <v>3600</v>
      </c>
      <c r="O148" s="147">
        <v>3600</v>
      </c>
      <c r="P148" s="147">
        <f t="shared" si="8"/>
        <v>0</v>
      </c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</row>
    <row r="149" spans="1:27" ht="18" customHeight="1" x14ac:dyDescent="0.3">
      <c r="A149" s="172" t="s">
        <v>7046</v>
      </c>
      <c r="B149" s="172">
        <v>1197292822</v>
      </c>
      <c r="C149" s="147" t="s">
        <v>7715</v>
      </c>
      <c r="D149" s="272">
        <v>34977</v>
      </c>
      <c r="E149" s="171" t="s">
        <v>8003</v>
      </c>
      <c r="F149" s="147"/>
      <c r="G149" s="171"/>
      <c r="H149" s="147"/>
      <c r="I149" s="171" t="s">
        <v>7057</v>
      </c>
      <c r="J149" s="147">
        <f>5500+600</f>
        <v>6100</v>
      </c>
      <c r="K149" s="147">
        <v>6100</v>
      </c>
      <c r="L149" s="147">
        <f t="shared" si="7"/>
        <v>0</v>
      </c>
      <c r="M149" s="147"/>
      <c r="N149" s="147">
        <f>4800+600</f>
        <v>5400</v>
      </c>
      <c r="O149" s="147">
        <f>2500+2300+600</f>
        <v>5400</v>
      </c>
      <c r="P149" s="147">
        <f t="shared" si="8"/>
        <v>0</v>
      </c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</row>
    <row r="150" spans="1:27" ht="18" customHeight="1" x14ac:dyDescent="0.3">
      <c r="A150" s="162">
        <v>44645</v>
      </c>
      <c r="B150" s="623">
        <v>1257832422</v>
      </c>
      <c r="C150" s="225" t="s">
        <v>7742</v>
      </c>
      <c r="D150" s="272">
        <v>22282</v>
      </c>
      <c r="E150" s="280" t="s">
        <v>8004</v>
      </c>
      <c r="F150" s="225" t="s">
        <v>870</v>
      </c>
      <c r="G150" s="227">
        <v>2306728622</v>
      </c>
      <c r="H150" s="147"/>
      <c r="I150" s="171" t="s">
        <v>7057</v>
      </c>
      <c r="J150" s="147">
        <v>6000</v>
      </c>
      <c r="K150" s="147">
        <f>5000+1000</f>
        <v>6000</v>
      </c>
      <c r="L150" s="147">
        <f t="shared" si="7"/>
        <v>0</v>
      </c>
      <c r="M150" s="147"/>
      <c r="N150" s="147">
        <v>5100</v>
      </c>
      <c r="O150" s="147">
        <f>3000+2100</f>
        <v>5100</v>
      </c>
      <c r="P150" s="147">
        <f t="shared" si="8"/>
        <v>0</v>
      </c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</row>
    <row r="151" spans="1:27" ht="18" customHeight="1" x14ac:dyDescent="0.3">
      <c r="A151" s="162">
        <v>44669</v>
      </c>
      <c r="B151" s="835">
        <v>1549851422</v>
      </c>
      <c r="C151" s="262" t="s">
        <v>7836</v>
      </c>
      <c r="D151" s="272">
        <v>27927</v>
      </c>
      <c r="E151" s="279" t="s">
        <v>8005</v>
      </c>
      <c r="F151" s="225" t="s">
        <v>7645</v>
      </c>
      <c r="G151" s="343">
        <v>2933433022</v>
      </c>
      <c r="H151" s="147"/>
      <c r="I151" s="171" t="s">
        <v>7057</v>
      </c>
      <c r="J151" s="147">
        <v>5500</v>
      </c>
      <c r="K151" s="147">
        <f>3000+2500</f>
        <v>5500</v>
      </c>
      <c r="L151" s="147">
        <f t="shared" si="7"/>
        <v>0</v>
      </c>
      <c r="M151" s="147"/>
      <c r="N151" s="147">
        <v>4800</v>
      </c>
      <c r="O151" s="147">
        <f>2500+2300</f>
        <v>4800</v>
      </c>
      <c r="P151" s="147">
        <f t="shared" si="8"/>
        <v>0</v>
      </c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</row>
    <row r="152" spans="1:27" ht="18" customHeight="1" x14ac:dyDescent="0.3">
      <c r="A152" s="162">
        <v>44673</v>
      </c>
      <c r="B152" s="623">
        <v>1621702322</v>
      </c>
      <c r="C152" s="225" t="s">
        <v>7843</v>
      </c>
      <c r="D152" s="625">
        <v>32854</v>
      </c>
      <c r="E152" s="280" t="s">
        <v>8006</v>
      </c>
      <c r="F152" s="225" t="s">
        <v>7645</v>
      </c>
      <c r="G152" s="280"/>
      <c r="H152" s="225"/>
      <c r="I152" s="280" t="s">
        <v>7057</v>
      </c>
      <c r="J152" s="225">
        <v>5500</v>
      </c>
      <c r="K152" s="147">
        <f>3000+2500</f>
        <v>5500</v>
      </c>
      <c r="L152" s="147">
        <f t="shared" si="7"/>
        <v>0</v>
      </c>
      <c r="M152" s="147"/>
      <c r="N152" s="147">
        <v>4800</v>
      </c>
      <c r="O152" s="147">
        <f>2500+2300</f>
        <v>4800</v>
      </c>
      <c r="P152" s="147">
        <f t="shared" si="8"/>
        <v>0</v>
      </c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</row>
    <row r="153" spans="1:27" ht="18" customHeight="1" x14ac:dyDescent="0.3">
      <c r="A153" s="172"/>
      <c r="B153" s="623"/>
      <c r="C153" s="225" t="s">
        <v>6420</v>
      </c>
      <c r="D153" s="272">
        <v>20531</v>
      </c>
      <c r="E153" s="280" t="s">
        <v>8007</v>
      </c>
      <c r="F153" s="225" t="s">
        <v>7643</v>
      </c>
      <c r="G153" s="171"/>
      <c r="H153" s="147"/>
      <c r="I153" s="171" t="s">
        <v>7864</v>
      </c>
      <c r="J153" s="147">
        <v>1500</v>
      </c>
      <c r="K153" s="147">
        <v>1500</v>
      </c>
      <c r="L153" s="147">
        <f t="shared" si="7"/>
        <v>0</v>
      </c>
      <c r="M153" s="147"/>
      <c r="N153" s="147">
        <v>1300</v>
      </c>
      <c r="O153" s="147">
        <v>1300</v>
      </c>
      <c r="P153" s="147">
        <f t="shared" si="8"/>
        <v>0</v>
      </c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</row>
    <row r="154" spans="1:27" ht="18" customHeight="1" x14ac:dyDescent="0.3">
      <c r="A154" s="162">
        <v>37389</v>
      </c>
      <c r="B154" s="172">
        <v>1918056222</v>
      </c>
      <c r="C154" s="147" t="s">
        <v>8039</v>
      </c>
      <c r="D154" s="272"/>
      <c r="E154" s="281">
        <v>918298097289</v>
      </c>
      <c r="F154" s="147"/>
      <c r="G154" s="171">
        <v>4829113122</v>
      </c>
      <c r="H154" s="147"/>
      <c r="I154" s="171" t="s">
        <v>7053</v>
      </c>
      <c r="J154" s="147">
        <v>5500</v>
      </c>
      <c r="K154" s="147">
        <f>3000+2500</f>
        <v>5500</v>
      </c>
      <c r="L154" s="147">
        <f t="shared" si="7"/>
        <v>0</v>
      </c>
      <c r="M154" s="147"/>
      <c r="N154" s="147">
        <v>4800</v>
      </c>
      <c r="O154" s="147">
        <f>2500+2300</f>
        <v>4800</v>
      </c>
      <c r="P154" s="147">
        <f t="shared" si="8"/>
        <v>0</v>
      </c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</row>
    <row r="155" spans="1:27" ht="18" customHeight="1" x14ac:dyDescent="0.3">
      <c r="A155" s="162">
        <v>44716</v>
      </c>
      <c r="B155" s="623">
        <v>2201767722</v>
      </c>
      <c r="C155" s="225" t="s">
        <v>5619</v>
      </c>
      <c r="D155" s="272">
        <v>38139</v>
      </c>
      <c r="E155" s="336">
        <v>916200941544</v>
      </c>
      <c r="F155" s="336">
        <v>918986633830</v>
      </c>
      <c r="G155" s="171" t="s">
        <v>8712</v>
      </c>
      <c r="H155" s="147"/>
      <c r="I155" s="171" t="s">
        <v>7057</v>
      </c>
      <c r="J155" s="147">
        <v>5500</v>
      </c>
      <c r="K155" s="147">
        <f>3000+2500</f>
        <v>5500</v>
      </c>
      <c r="L155" s="147">
        <f t="shared" si="7"/>
        <v>0</v>
      </c>
      <c r="M155" s="147"/>
      <c r="N155" s="147">
        <v>4800</v>
      </c>
      <c r="O155" s="147">
        <f>2500+2300</f>
        <v>4800</v>
      </c>
      <c r="P155" s="147">
        <f t="shared" si="8"/>
        <v>0</v>
      </c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</row>
    <row r="156" spans="1:27" ht="18" customHeight="1" x14ac:dyDescent="0.3">
      <c r="A156" s="162">
        <v>44716</v>
      </c>
      <c r="B156" s="623">
        <v>2201767722</v>
      </c>
      <c r="C156" s="225" t="s">
        <v>8133</v>
      </c>
      <c r="D156" s="625">
        <v>28859</v>
      </c>
      <c r="E156" s="336">
        <v>917004519122</v>
      </c>
      <c r="F156" s="225" t="s">
        <v>8709</v>
      </c>
      <c r="G156" s="280"/>
      <c r="H156" s="225"/>
      <c r="I156" s="280" t="s">
        <v>7057</v>
      </c>
      <c r="J156" s="225">
        <v>5500</v>
      </c>
      <c r="K156" s="225">
        <f>3000+2500</f>
        <v>5500</v>
      </c>
      <c r="L156" s="225">
        <f t="shared" si="7"/>
        <v>0</v>
      </c>
      <c r="M156" s="225"/>
      <c r="N156" s="225">
        <v>4800</v>
      </c>
      <c r="O156" s="225">
        <f>2500+2300</f>
        <v>4800</v>
      </c>
      <c r="P156" s="147">
        <f t="shared" si="8"/>
        <v>0</v>
      </c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</row>
    <row r="157" spans="1:27" ht="18" customHeight="1" x14ac:dyDescent="0.3">
      <c r="A157" s="635">
        <v>44724</v>
      </c>
      <c r="B157" s="623">
        <v>2335229422</v>
      </c>
      <c r="C157" s="225" t="s">
        <v>7139</v>
      </c>
      <c r="D157" s="625">
        <v>33826</v>
      </c>
      <c r="E157" s="336">
        <v>918102147187</v>
      </c>
      <c r="F157" s="225"/>
      <c r="G157" s="280">
        <v>3732332222</v>
      </c>
      <c r="H157" s="225" t="s">
        <v>7057</v>
      </c>
      <c r="I157" s="280" t="s">
        <v>7620</v>
      </c>
      <c r="J157" s="225">
        <v>5500</v>
      </c>
      <c r="K157" s="225">
        <f>3000+2500</f>
        <v>5500</v>
      </c>
      <c r="L157" s="225">
        <f t="shared" si="7"/>
        <v>0</v>
      </c>
      <c r="M157" s="225"/>
      <c r="N157" s="225">
        <v>4800</v>
      </c>
      <c r="O157" s="225">
        <f>2500+2300</f>
        <v>4800</v>
      </c>
      <c r="P157" s="147">
        <f t="shared" si="8"/>
        <v>0</v>
      </c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</row>
    <row r="158" spans="1:27" ht="18" customHeight="1" x14ac:dyDescent="0.3">
      <c r="A158" s="162">
        <v>44725</v>
      </c>
      <c r="B158" s="623">
        <v>2328728222</v>
      </c>
      <c r="C158" s="225" t="s">
        <v>8166</v>
      </c>
      <c r="D158" s="625">
        <v>33920</v>
      </c>
      <c r="E158" s="336">
        <v>917870880705</v>
      </c>
      <c r="F158" s="225" t="s">
        <v>7636</v>
      </c>
      <c r="G158" s="280"/>
      <c r="H158" s="225" t="s">
        <v>7057</v>
      </c>
      <c r="I158" s="280" t="s">
        <v>7620</v>
      </c>
      <c r="J158" s="225">
        <f>5500+400+100</f>
        <v>6000</v>
      </c>
      <c r="K158" s="225">
        <f>2500+2000+1500</f>
        <v>6000</v>
      </c>
      <c r="L158" s="225">
        <f t="shared" si="7"/>
        <v>0</v>
      </c>
      <c r="M158" s="225"/>
      <c r="N158" s="225">
        <f>4800+400</f>
        <v>5200</v>
      </c>
      <c r="O158" s="225">
        <f>2500+700+2000</f>
        <v>5200</v>
      </c>
      <c r="P158" s="225">
        <f t="shared" si="8"/>
        <v>0</v>
      </c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</row>
    <row r="159" spans="1:27" ht="18" customHeight="1" x14ac:dyDescent="0.3">
      <c r="A159" s="162">
        <v>44733</v>
      </c>
      <c r="B159" s="623">
        <v>2485914222</v>
      </c>
      <c r="C159" s="225" t="s">
        <v>7520</v>
      </c>
      <c r="D159" s="272">
        <v>21562</v>
      </c>
      <c r="E159" s="336">
        <v>919234612204</v>
      </c>
      <c r="F159" s="225" t="s">
        <v>8221</v>
      </c>
      <c r="G159" s="171"/>
      <c r="H159" s="147" t="s">
        <v>7587</v>
      </c>
      <c r="I159" s="171" t="s">
        <v>7587</v>
      </c>
      <c r="J159" s="147">
        <v>1800</v>
      </c>
      <c r="K159" s="147">
        <v>1800</v>
      </c>
      <c r="L159" s="147">
        <f t="shared" si="7"/>
        <v>0</v>
      </c>
      <c r="M159" s="147"/>
      <c r="N159" s="147">
        <v>1300</v>
      </c>
      <c r="O159" s="147">
        <v>1300</v>
      </c>
      <c r="P159" s="147">
        <f t="shared" si="8"/>
        <v>0</v>
      </c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</row>
    <row r="160" spans="1:27" ht="18" customHeight="1" x14ac:dyDescent="0.3">
      <c r="B160" s="172">
        <v>1379294922</v>
      </c>
      <c r="C160" s="147" t="s">
        <v>8228</v>
      </c>
      <c r="D160" s="272">
        <v>28397</v>
      </c>
      <c r="J160" s="147">
        <v>5000</v>
      </c>
      <c r="K160" s="147">
        <v>5000</v>
      </c>
      <c r="L160" s="147">
        <f t="shared" si="7"/>
        <v>0</v>
      </c>
      <c r="M160" s="147"/>
      <c r="N160" s="147">
        <f>5000</f>
        <v>5000</v>
      </c>
      <c r="O160" s="385">
        <f>3000+2000</f>
        <v>5000</v>
      </c>
      <c r="P160" s="147">
        <f t="shared" si="8"/>
        <v>0</v>
      </c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</row>
    <row r="161" spans="1:27" ht="18" customHeight="1" x14ac:dyDescent="0.3">
      <c r="B161" s="837">
        <v>2599979722</v>
      </c>
      <c r="C161" s="748" t="s">
        <v>8257</v>
      </c>
      <c r="D161" s="749">
        <v>37155</v>
      </c>
      <c r="E161" s="750">
        <v>919836372800</v>
      </c>
      <c r="F161" s="752"/>
      <c r="G161" s="752"/>
      <c r="H161" s="752"/>
      <c r="I161" s="751" t="s">
        <v>7620</v>
      </c>
      <c r="J161" s="748">
        <f>5500+400+1500</f>
        <v>7400</v>
      </c>
      <c r="K161" s="748">
        <f>3000+2900+1500</f>
        <v>7400</v>
      </c>
      <c r="L161" s="748">
        <f t="shared" si="7"/>
        <v>0</v>
      </c>
      <c r="M161" s="748"/>
      <c r="N161" s="748">
        <f>5100+2000</f>
        <v>7100</v>
      </c>
      <c r="O161" s="748">
        <f>3000+2100+2000</f>
        <v>7100</v>
      </c>
      <c r="P161" s="748">
        <f t="shared" si="8"/>
        <v>0</v>
      </c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</row>
    <row r="162" spans="1:27" ht="18" customHeight="1" x14ac:dyDescent="0.3">
      <c r="A162" s="162">
        <v>44753</v>
      </c>
      <c r="B162" s="623">
        <v>2764541822</v>
      </c>
      <c r="C162" s="225" t="s">
        <v>3445</v>
      </c>
      <c r="D162" s="625">
        <v>30128</v>
      </c>
      <c r="E162" s="336">
        <v>918235232583</v>
      </c>
      <c r="F162" s="462">
        <v>44965</v>
      </c>
      <c r="G162" s="280"/>
      <c r="H162" s="147" t="s">
        <v>7057</v>
      </c>
      <c r="I162" s="171" t="s">
        <v>7620</v>
      </c>
      <c r="J162" s="147">
        <f>5500+500</f>
        <v>6000</v>
      </c>
      <c r="K162" s="147">
        <f>3000+3000</f>
        <v>6000</v>
      </c>
      <c r="L162" s="147">
        <f t="shared" si="7"/>
        <v>0</v>
      </c>
      <c r="M162" s="147"/>
      <c r="N162" s="147">
        <f>4800+400</f>
        <v>5200</v>
      </c>
      <c r="O162" s="147">
        <f>2500+2700</f>
        <v>5200</v>
      </c>
      <c r="P162" s="147">
        <f t="shared" si="8"/>
        <v>0</v>
      </c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</row>
    <row r="163" spans="1:27" ht="18" customHeight="1" x14ac:dyDescent="0.3">
      <c r="A163" s="162">
        <v>44759</v>
      </c>
      <c r="B163" s="172">
        <v>2850505122</v>
      </c>
      <c r="C163" s="147" t="s">
        <v>8365</v>
      </c>
      <c r="D163" s="272">
        <v>34744</v>
      </c>
      <c r="E163" s="281">
        <v>919065618910</v>
      </c>
      <c r="F163" s="147" t="s">
        <v>9012</v>
      </c>
      <c r="G163" s="171">
        <v>4919917522</v>
      </c>
      <c r="H163" s="147" t="s">
        <v>7057</v>
      </c>
      <c r="I163" s="171" t="s">
        <v>7620</v>
      </c>
      <c r="J163" s="147">
        <v>5500</v>
      </c>
      <c r="K163" s="147">
        <f>2500+3000</f>
        <v>5500</v>
      </c>
      <c r="L163" s="147">
        <f t="shared" si="7"/>
        <v>0</v>
      </c>
      <c r="M163" s="147"/>
      <c r="N163" s="147">
        <v>4800</v>
      </c>
      <c r="O163" s="147">
        <f>2500+2300</f>
        <v>4800</v>
      </c>
      <c r="P163" s="147">
        <f t="shared" si="8"/>
        <v>0</v>
      </c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</row>
    <row r="164" spans="1:27" ht="18" customHeight="1" x14ac:dyDescent="0.3">
      <c r="A164" s="162">
        <v>44759</v>
      </c>
      <c r="B164" s="623"/>
      <c r="C164" s="225" t="s">
        <v>8579</v>
      </c>
      <c r="D164" s="272"/>
      <c r="E164" s="336">
        <v>919279250587</v>
      </c>
      <c r="F164" s="225" t="s">
        <v>8581</v>
      </c>
      <c r="G164" s="171"/>
      <c r="H164" s="147" t="s">
        <v>8580</v>
      </c>
      <c r="I164" s="171"/>
      <c r="J164" s="147">
        <v>5200</v>
      </c>
      <c r="K164" s="147">
        <v>5200</v>
      </c>
      <c r="L164" s="147">
        <f t="shared" si="7"/>
        <v>0</v>
      </c>
      <c r="M164" s="147"/>
      <c r="N164" s="147">
        <v>4800</v>
      </c>
      <c r="O164" s="147">
        <v>4800</v>
      </c>
      <c r="P164" s="147">
        <f t="shared" si="8"/>
        <v>0</v>
      </c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</row>
    <row r="165" spans="1:27" ht="18" customHeight="1" x14ac:dyDescent="0.3">
      <c r="A165" s="172"/>
      <c r="B165" s="838">
        <v>3473872722</v>
      </c>
      <c r="C165" s="166" t="s">
        <v>7137</v>
      </c>
      <c r="D165" s="272"/>
      <c r="E165" s="391">
        <v>918271665898</v>
      </c>
      <c r="F165" s="147"/>
      <c r="G165" s="171"/>
      <c r="H165" s="147"/>
      <c r="I165" s="171" t="s">
        <v>8639</v>
      </c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</row>
    <row r="166" spans="1:27" ht="18" customHeight="1" x14ac:dyDescent="0.3">
      <c r="A166" s="162">
        <v>44804</v>
      </c>
      <c r="B166" s="623">
        <v>3495027122</v>
      </c>
      <c r="C166" s="225" t="s">
        <v>8642</v>
      </c>
      <c r="D166" s="272">
        <v>35270</v>
      </c>
      <c r="E166" s="336">
        <v>917903517966</v>
      </c>
      <c r="F166" s="225"/>
      <c r="G166" s="280" t="s">
        <v>7645</v>
      </c>
      <c r="H166" s="147"/>
      <c r="I166" s="171" t="s">
        <v>7620</v>
      </c>
      <c r="J166" s="147">
        <v>5500</v>
      </c>
      <c r="K166" s="147">
        <f>3000+2500</f>
        <v>5500</v>
      </c>
      <c r="L166" s="147">
        <f t="shared" si="7"/>
        <v>0</v>
      </c>
      <c r="M166" s="147"/>
      <c r="N166" s="147">
        <f>4800+100</f>
        <v>4900</v>
      </c>
      <c r="O166" s="147">
        <f>2500+2400</f>
        <v>4900</v>
      </c>
      <c r="P166" s="147">
        <f t="shared" si="8"/>
        <v>0</v>
      </c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</row>
    <row r="167" spans="1:27" ht="18" customHeight="1" x14ac:dyDescent="0.3">
      <c r="A167" s="162">
        <v>44813</v>
      </c>
      <c r="B167" s="623">
        <v>3619128922</v>
      </c>
      <c r="C167" s="225" t="s">
        <v>8685</v>
      </c>
      <c r="D167" s="625">
        <v>37477</v>
      </c>
      <c r="E167" s="336">
        <v>918340545792</v>
      </c>
      <c r="F167" s="225"/>
      <c r="G167" s="280"/>
      <c r="H167" s="225"/>
      <c r="I167" s="280" t="s">
        <v>7620</v>
      </c>
      <c r="J167" s="225">
        <v>5500</v>
      </c>
      <c r="K167" s="225">
        <v>5500</v>
      </c>
      <c r="L167" s="225">
        <f t="shared" si="7"/>
        <v>0</v>
      </c>
      <c r="M167" s="225"/>
      <c r="N167" s="225">
        <f>4800+100</f>
        <v>4900</v>
      </c>
      <c r="O167" s="225">
        <f>2500+2400</f>
        <v>4900</v>
      </c>
      <c r="P167" s="147">
        <f t="shared" si="8"/>
        <v>0</v>
      </c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</row>
    <row r="168" spans="1:27" ht="18" customHeight="1" x14ac:dyDescent="0.3">
      <c r="A168" s="162">
        <v>44815</v>
      </c>
      <c r="B168" s="623">
        <v>3633114622</v>
      </c>
      <c r="C168" s="225" t="s">
        <v>8694</v>
      </c>
      <c r="D168" s="625">
        <v>31778</v>
      </c>
      <c r="E168" s="336">
        <v>916200448906</v>
      </c>
      <c r="F168" s="225"/>
      <c r="G168" s="280"/>
      <c r="H168" s="225"/>
      <c r="I168" s="280" t="s">
        <v>7620</v>
      </c>
      <c r="J168" s="225">
        <v>5500</v>
      </c>
      <c r="K168" s="225">
        <f>4000+1500</f>
        <v>5500</v>
      </c>
      <c r="L168" s="225">
        <f t="shared" si="7"/>
        <v>0</v>
      </c>
      <c r="M168" s="225"/>
      <c r="N168" s="225">
        <v>4800</v>
      </c>
      <c r="O168" s="225">
        <f>2500+2300</f>
        <v>4800</v>
      </c>
      <c r="P168" s="147">
        <f t="shared" si="8"/>
        <v>0</v>
      </c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</row>
    <row r="169" spans="1:27" ht="18" customHeight="1" x14ac:dyDescent="0.3">
      <c r="A169" s="172"/>
      <c r="B169" s="623">
        <v>3662340522</v>
      </c>
      <c r="C169" s="225" t="s">
        <v>7137</v>
      </c>
      <c r="D169" s="625">
        <v>25208</v>
      </c>
      <c r="E169" s="336">
        <v>918271665898</v>
      </c>
      <c r="F169" s="225"/>
      <c r="G169" s="280"/>
      <c r="H169" s="225"/>
      <c r="I169" s="280">
        <v>2</v>
      </c>
      <c r="J169" s="225">
        <f>4500+500</f>
        <v>5000</v>
      </c>
      <c r="K169" s="225">
        <f>2500+2500</f>
        <v>5000</v>
      </c>
      <c r="L169" s="225">
        <f>J169-K169</f>
        <v>0</v>
      </c>
      <c r="M169" s="225"/>
      <c r="N169" s="225">
        <f>3850+800+400</f>
        <v>5050</v>
      </c>
      <c r="O169" s="225">
        <f>2500+2500</f>
        <v>5000</v>
      </c>
      <c r="P169" s="147">
        <f>N169-O169</f>
        <v>50</v>
      </c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</row>
    <row r="170" spans="1:27" ht="18" customHeight="1" x14ac:dyDescent="0.3">
      <c r="A170" s="162">
        <v>44822</v>
      </c>
      <c r="B170" s="623">
        <v>3728954222</v>
      </c>
      <c r="C170" s="225" t="s">
        <v>8711</v>
      </c>
      <c r="D170" s="625">
        <v>30236</v>
      </c>
      <c r="E170" s="336">
        <v>919204730087</v>
      </c>
      <c r="F170" s="462">
        <v>44958</v>
      </c>
      <c r="G170" s="477" t="s">
        <v>8806</v>
      </c>
      <c r="H170" s="225"/>
      <c r="I170" s="280" t="s">
        <v>7620</v>
      </c>
      <c r="J170" s="225">
        <v>5500</v>
      </c>
      <c r="K170" s="225">
        <f>3000+2500</f>
        <v>5500</v>
      </c>
      <c r="L170" s="225">
        <f t="shared" si="7"/>
        <v>0</v>
      </c>
      <c r="M170" s="225"/>
      <c r="N170" s="225">
        <f>4800+100</f>
        <v>4900</v>
      </c>
      <c r="O170" s="225">
        <f>2500+2400</f>
        <v>4900</v>
      </c>
      <c r="P170" s="147">
        <f t="shared" ref="P170:P171" si="20">N170-O170</f>
        <v>0</v>
      </c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</row>
    <row r="171" spans="1:27" ht="18" customHeight="1" x14ac:dyDescent="0.3">
      <c r="A171" s="162">
        <v>44829</v>
      </c>
      <c r="B171" s="623">
        <v>3825414322</v>
      </c>
      <c r="C171" s="225" t="s">
        <v>7718</v>
      </c>
      <c r="D171" s="625">
        <v>37510</v>
      </c>
      <c r="E171" s="336">
        <v>918092191457</v>
      </c>
      <c r="F171" s="462">
        <v>45289</v>
      </c>
      <c r="G171" s="280">
        <v>4908954622</v>
      </c>
      <c r="H171" s="225"/>
      <c r="I171" s="280" t="s">
        <v>7620</v>
      </c>
      <c r="J171" s="225">
        <v>5500</v>
      </c>
      <c r="K171" s="225">
        <f>3000+2500</f>
        <v>5500</v>
      </c>
      <c r="L171" s="225">
        <f t="shared" si="7"/>
        <v>0</v>
      </c>
      <c r="M171" s="225"/>
      <c r="N171" s="225">
        <v>4800</v>
      </c>
      <c r="O171" s="225">
        <f>2500+2300</f>
        <v>4800</v>
      </c>
      <c r="P171" s="225">
        <f t="shared" si="20"/>
        <v>0</v>
      </c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</row>
    <row r="172" spans="1:27" s="752" customFormat="1" ht="18" customHeight="1" x14ac:dyDescent="0.3">
      <c r="A172" s="747">
        <v>44829</v>
      </c>
      <c r="B172" s="839">
        <v>889224423</v>
      </c>
      <c r="C172" s="748" t="s">
        <v>8726</v>
      </c>
      <c r="D172" s="749">
        <v>33923</v>
      </c>
      <c r="E172" s="750">
        <v>918789573411</v>
      </c>
      <c r="F172" s="748" t="s">
        <v>9764</v>
      </c>
      <c r="G172" s="773" t="s">
        <v>9044</v>
      </c>
      <c r="H172" s="748"/>
      <c r="I172" s="751" t="s">
        <v>7620</v>
      </c>
      <c r="J172" s="748">
        <v>5500</v>
      </c>
      <c r="K172" s="748">
        <f>3000+1000</f>
        <v>4000</v>
      </c>
      <c r="L172" s="748">
        <f t="shared" ref="L172:L178" si="21">J172-K172</f>
        <v>1500</v>
      </c>
      <c r="M172" s="748"/>
      <c r="N172" s="748">
        <v>4800</v>
      </c>
      <c r="O172" s="748">
        <f>2500+2300</f>
        <v>4800</v>
      </c>
      <c r="P172" s="748">
        <f t="shared" ref="P172:P193" si="22">N172-O172</f>
        <v>0</v>
      </c>
      <c r="Q172" s="748"/>
      <c r="R172" s="748"/>
      <c r="S172" s="748"/>
      <c r="T172" s="748"/>
      <c r="U172" s="748"/>
      <c r="V172" s="748"/>
      <c r="W172" s="748"/>
      <c r="X172" s="748"/>
      <c r="Y172" s="748"/>
      <c r="Z172" s="748"/>
      <c r="AA172" s="748"/>
    </row>
    <row r="173" spans="1:27" ht="18" customHeight="1" x14ac:dyDescent="0.3">
      <c r="A173" s="172"/>
      <c r="B173" s="623">
        <v>3956979322</v>
      </c>
      <c r="C173" s="225" t="s">
        <v>8748</v>
      </c>
      <c r="D173" s="625">
        <v>36010</v>
      </c>
      <c r="E173" s="336">
        <v>918709398170</v>
      </c>
      <c r="F173" s="462">
        <v>45012</v>
      </c>
      <c r="G173" s="280"/>
      <c r="H173" s="225"/>
      <c r="I173" s="280" t="s">
        <v>7620</v>
      </c>
      <c r="J173" s="225">
        <v>5500</v>
      </c>
      <c r="K173" s="225">
        <f>3000+2500</f>
        <v>5500</v>
      </c>
      <c r="L173" s="225">
        <f t="shared" si="21"/>
        <v>0</v>
      </c>
      <c r="M173" s="225"/>
      <c r="N173" s="225">
        <v>4800</v>
      </c>
      <c r="O173" s="225">
        <f>2500+2300</f>
        <v>4800</v>
      </c>
      <c r="P173" s="147">
        <f t="shared" si="22"/>
        <v>0</v>
      </c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</row>
    <row r="174" spans="1:27" ht="18" customHeight="1" x14ac:dyDescent="0.3">
      <c r="A174" s="162">
        <v>44861</v>
      </c>
      <c r="B174" s="623">
        <v>4195306722</v>
      </c>
      <c r="C174" s="225" t="s">
        <v>8792</v>
      </c>
      <c r="D174" s="625"/>
      <c r="E174" s="336">
        <v>919780140716</v>
      </c>
      <c r="F174" s="225" t="s">
        <v>237</v>
      </c>
      <c r="G174" s="280"/>
      <c r="H174" s="225" t="s">
        <v>8796</v>
      </c>
      <c r="I174" s="280"/>
      <c r="J174" s="225">
        <v>2900</v>
      </c>
      <c r="K174" s="225">
        <f>2200+700</f>
        <v>2900</v>
      </c>
      <c r="L174" s="225">
        <f t="shared" si="21"/>
        <v>0</v>
      </c>
      <c r="M174" s="225"/>
      <c r="N174" s="225">
        <v>2500</v>
      </c>
      <c r="O174" s="225">
        <v>2500</v>
      </c>
      <c r="P174" s="147">
        <f t="shared" si="22"/>
        <v>0</v>
      </c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</row>
    <row r="175" spans="1:27" s="680" customFormat="1" ht="18" customHeight="1" x14ac:dyDescent="0.3">
      <c r="A175" s="635">
        <v>44862</v>
      </c>
      <c r="B175" s="623">
        <v>4201271822</v>
      </c>
      <c r="C175" s="225" t="s">
        <v>8795</v>
      </c>
      <c r="D175" s="625">
        <v>29657</v>
      </c>
      <c r="E175" s="336">
        <v>918674893552</v>
      </c>
      <c r="F175" s="225" t="s">
        <v>9765</v>
      </c>
      <c r="G175" s="280" t="s">
        <v>7645</v>
      </c>
      <c r="H175" s="225"/>
      <c r="I175" s="280" t="s">
        <v>7620</v>
      </c>
      <c r="J175" s="225">
        <v>6000</v>
      </c>
      <c r="K175" s="225">
        <f>3000+3000</f>
        <v>6000</v>
      </c>
      <c r="L175" s="225">
        <f t="shared" si="21"/>
        <v>0</v>
      </c>
      <c r="M175" s="225"/>
      <c r="N175" s="225">
        <v>5200</v>
      </c>
      <c r="O175" s="225">
        <f>2500+2700</f>
        <v>5200</v>
      </c>
      <c r="P175" s="225">
        <f t="shared" si="22"/>
        <v>0</v>
      </c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</row>
    <row r="176" spans="1:27" s="680" customFormat="1" ht="18" customHeight="1" x14ac:dyDescent="0.3">
      <c r="A176" s="635">
        <v>44866</v>
      </c>
      <c r="B176" s="623">
        <v>4259513922</v>
      </c>
      <c r="C176" s="225" t="s">
        <v>8787</v>
      </c>
      <c r="D176" s="625">
        <v>38270</v>
      </c>
      <c r="E176" s="336">
        <v>919470353182</v>
      </c>
      <c r="F176" s="680" t="s">
        <v>7540</v>
      </c>
      <c r="G176" s="280" t="s">
        <v>8875</v>
      </c>
      <c r="H176" s="225" t="s">
        <v>7057</v>
      </c>
      <c r="I176" s="280" t="s">
        <v>7620</v>
      </c>
      <c r="J176" s="225">
        <v>6000</v>
      </c>
      <c r="K176" s="225">
        <f>3000+3000</f>
        <v>6000</v>
      </c>
      <c r="L176" s="225">
        <f t="shared" si="21"/>
        <v>0</v>
      </c>
      <c r="M176" s="225"/>
      <c r="N176" s="225">
        <v>4900</v>
      </c>
      <c r="O176" s="225">
        <f>2500+2400</f>
        <v>4900</v>
      </c>
      <c r="P176" s="225">
        <f t="shared" si="22"/>
        <v>0</v>
      </c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</row>
    <row r="177" spans="1:27" s="680" customFormat="1" ht="18" customHeight="1" x14ac:dyDescent="0.3">
      <c r="A177" s="623"/>
      <c r="B177" s="840">
        <v>634297623</v>
      </c>
      <c r="C177" s="225" t="s">
        <v>8814</v>
      </c>
      <c r="D177" s="625">
        <v>38240</v>
      </c>
      <c r="E177" s="336">
        <v>919608956144</v>
      </c>
      <c r="F177" s="225" t="s">
        <v>7540</v>
      </c>
      <c r="G177" s="280" t="s">
        <v>7645</v>
      </c>
      <c r="H177" s="225" t="s">
        <v>7057</v>
      </c>
      <c r="I177" s="280" t="s">
        <v>7620</v>
      </c>
      <c r="J177" s="225">
        <v>5500</v>
      </c>
      <c r="K177" s="225">
        <f>3000+2500</f>
        <v>5500</v>
      </c>
      <c r="L177" s="225">
        <f t="shared" si="21"/>
        <v>0</v>
      </c>
      <c r="M177" s="225"/>
      <c r="N177" s="225">
        <v>4800</v>
      </c>
      <c r="O177" s="225">
        <f>3000+1800</f>
        <v>4800</v>
      </c>
      <c r="P177" s="225">
        <f t="shared" si="22"/>
        <v>0</v>
      </c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</row>
    <row r="178" spans="1:27" s="680" customFormat="1" ht="18" customHeight="1" x14ac:dyDescent="0.3">
      <c r="A178" s="635">
        <v>44949</v>
      </c>
      <c r="B178" s="841">
        <v>292667823</v>
      </c>
      <c r="C178" s="526" t="s">
        <v>6844</v>
      </c>
      <c r="D178" s="626">
        <v>35720</v>
      </c>
      <c r="E178" s="527">
        <v>919199916336</v>
      </c>
      <c r="F178" s="526" t="s">
        <v>7645</v>
      </c>
      <c r="G178" s="528" t="s">
        <v>8872</v>
      </c>
      <c r="H178" s="526" t="s">
        <v>7057</v>
      </c>
      <c r="I178" s="528" t="s">
        <v>7620</v>
      </c>
      <c r="J178" s="526">
        <v>5500</v>
      </c>
      <c r="K178" s="526">
        <f>3000+2500</f>
        <v>5500</v>
      </c>
      <c r="L178" s="526">
        <f t="shared" si="21"/>
        <v>0</v>
      </c>
      <c r="M178" s="526"/>
      <c r="N178" s="526">
        <v>4800</v>
      </c>
      <c r="O178" s="526">
        <f>3000+1800</f>
        <v>4800</v>
      </c>
      <c r="P178" s="526">
        <f t="shared" si="22"/>
        <v>0</v>
      </c>
      <c r="Q178" s="225" t="s">
        <v>9256</v>
      </c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</row>
    <row r="179" spans="1:27" s="680" customFormat="1" ht="18" customHeight="1" x14ac:dyDescent="0.3">
      <c r="A179" s="635">
        <v>44902</v>
      </c>
      <c r="B179" s="623">
        <v>497978223</v>
      </c>
      <c r="C179" s="225" t="s">
        <v>8901</v>
      </c>
      <c r="D179" s="625">
        <v>29209</v>
      </c>
      <c r="E179" s="336">
        <v>919031353035</v>
      </c>
      <c r="F179" s="225" t="s">
        <v>7540</v>
      </c>
      <c r="G179" s="280"/>
      <c r="H179" s="225" t="s">
        <v>7057</v>
      </c>
      <c r="I179" s="280" t="s">
        <v>7620</v>
      </c>
      <c r="J179" s="225">
        <v>5500</v>
      </c>
      <c r="K179" s="225">
        <f>3000+2500</f>
        <v>5500</v>
      </c>
      <c r="L179" s="225">
        <f t="shared" ref="L179:L193" si="23">J179-K179</f>
        <v>0</v>
      </c>
      <c r="M179" s="225"/>
      <c r="N179" s="225">
        <v>4900</v>
      </c>
      <c r="O179" s="225">
        <f>2500+2400</f>
        <v>4900</v>
      </c>
      <c r="P179" s="225">
        <f t="shared" si="22"/>
        <v>0</v>
      </c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</row>
    <row r="180" spans="1:27" ht="18" customHeight="1" x14ac:dyDescent="0.3">
      <c r="A180" s="162">
        <v>44903</v>
      </c>
      <c r="B180" s="835">
        <v>513495523</v>
      </c>
      <c r="C180" s="262" t="s">
        <v>9022</v>
      </c>
      <c r="D180" s="627">
        <v>23409</v>
      </c>
      <c r="E180" s="529">
        <v>917667199206</v>
      </c>
      <c r="F180" s="262" t="s">
        <v>7540</v>
      </c>
      <c r="G180" s="279"/>
      <c r="H180" s="262" t="s">
        <v>7057</v>
      </c>
      <c r="I180" s="279" t="s">
        <v>7620</v>
      </c>
      <c r="J180" s="262">
        <v>5500</v>
      </c>
      <c r="K180" s="262">
        <f>3000+2500</f>
        <v>5500</v>
      </c>
      <c r="L180" s="262">
        <f t="shared" si="23"/>
        <v>0</v>
      </c>
      <c r="M180" s="262"/>
      <c r="N180" s="262">
        <v>4900</v>
      </c>
      <c r="O180" s="262">
        <f>2500+2400</f>
        <v>4900</v>
      </c>
      <c r="P180" s="262">
        <f t="shared" si="22"/>
        <v>0</v>
      </c>
      <c r="Q180" s="147" t="s">
        <v>9261</v>
      </c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</row>
    <row r="181" spans="1:27" ht="18" customHeight="1" x14ac:dyDescent="0.3">
      <c r="A181" s="162">
        <v>44911</v>
      </c>
      <c r="B181" s="623">
        <v>4813797222</v>
      </c>
      <c r="C181" s="225" t="s">
        <v>8916</v>
      </c>
      <c r="D181" s="625"/>
      <c r="E181" s="336">
        <v>917255865733</v>
      </c>
      <c r="F181" s="225"/>
      <c r="G181" s="280"/>
      <c r="H181" s="225" t="s">
        <v>8917</v>
      </c>
      <c r="I181" s="280"/>
      <c r="J181" s="225">
        <v>1700</v>
      </c>
      <c r="K181" s="225">
        <v>1700</v>
      </c>
      <c r="L181" s="225">
        <f t="shared" si="23"/>
        <v>0</v>
      </c>
      <c r="M181" s="225"/>
      <c r="N181" s="225">
        <v>1300</v>
      </c>
      <c r="O181" s="225">
        <v>1300</v>
      </c>
      <c r="P181" s="147">
        <f t="shared" si="22"/>
        <v>0</v>
      </c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</row>
    <row r="182" spans="1:27" ht="18" customHeight="1" x14ac:dyDescent="0.3">
      <c r="A182" s="162">
        <v>44915</v>
      </c>
      <c r="B182" s="172">
        <v>873455423</v>
      </c>
      <c r="C182" s="147" t="s">
        <v>8928</v>
      </c>
      <c r="D182" s="272"/>
      <c r="E182" s="281">
        <v>917050492415</v>
      </c>
      <c r="F182" s="147" t="s">
        <v>9092</v>
      </c>
      <c r="G182" s="171"/>
      <c r="H182" s="147"/>
      <c r="I182" s="171" t="s">
        <v>7620</v>
      </c>
      <c r="J182" s="147">
        <v>6000</v>
      </c>
      <c r="K182" s="147">
        <v>6000</v>
      </c>
      <c r="L182" s="147">
        <f t="shared" si="23"/>
        <v>0</v>
      </c>
      <c r="M182" s="147"/>
      <c r="N182" s="147">
        <v>5200</v>
      </c>
      <c r="O182" s="147">
        <f>3000+2200</f>
        <v>5200</v>
      </c>
      <c r="P182" s="147">
        <f t="shared" si="22"/>
        <v>0</v>
      </c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</row>
    <row r="183" spans="1:27" ht="18" customHeight="1" x14ac:dyDescent="0.3">
      <c r="A183" s="162">
        <v>44923</v>
      </c>
      <c r="B183" s="172">
        <v>901952123</v>
      </c>
      <c r="C183" s="147" t="s">
        <v>7090</v>
      </c>
      <c r="D183" s="272">
        <v>28185</v>
      </c>
      <c r="E183" s="281">
        <v>918102093509</v>
      </c>
      <c r="F183" s="147"/>
      <c r="G183" s="171" t="s">
        <v>9044</v>
      </c>
      <c r="H183" s="147" t="s">
        <v>7057</v>
      </c>
      <c r="I183" s="171" t="s">
        <v>7620</v>
      </c>
      <c r="J183" s="147">
        <v>5500</v>
      </c>
      <c r="K183" s="147">
        <f>3000+2500</f>
        <v>5500</v>
      </c>
      <c r="L183" s="147">
        <f t="shared" si="23"/>
        <v>0</v>
      </c>
      <c r="M183" s="147"/>
      <c r="N183" s="147">
        <v>4900</v>
      </c>
      <c r="O183" s="147">
        <f>2500+2400</f>
        <v>4900</v>
      </c>
      <c r="P183" s="147">
        <f t="shared" si="22"/>
        <v>0</v>
      </c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</row>
    <row r="184" spans="1:27" ht="18" customHeight="1" x14ac:dyDescent="0.3">
      <c r="A184" s="172"/>
      <c r="B184" s="172"/>
      <c r="C184" s="147" t="s">
        <v>8976</v>
      </c>
      <c r="D184" s="272">
        <v>33393</v>
      </c>
      <c r="E184" s="281">
        <v>917250238627</v>
      </c>
      <c r="F184" s="147"/>
      <c r="G184" s="171" t="s">
        <v>8992</v>
      </c>
      <c r="H184" s="147" t="s">
        <v>7629</v>
      </c>
      <c r="I184" s="171"/>
      <c r="J184" s="147">
        <v>4700</v>
      </c>
      <c r="K184" s="147">
        <v>4700</v>
      </c>
      <c r="L184" s="147">
        <f t="shared" si="23"/>
        <v>0</v>
      </c>
      <c r="M184" s="147"/>
      <c r="N184" s="147">
        <v>4200</v>
      </c>
      <c r="O184" s="147">
        <v>4200</v>
      </c>
      <c r="P184" s="147">
        <f t="shared" si="22"/>
        <v>0</v>
      </c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</row>
    <row r="185" spans="1:27" ht="18" customHeight="1" x14ac:dyDescent="0.3">
      <c r="A185" s="162">
        <v>44944</v>
      </c>
      <c r="B185" s="623"/>
      <c r="C185" s="225" t="s">
        <v>8984</v>
      </c>
      <c r="D185" s="625"/>
      <c r="E185" s="336">
        <v>917280073412</v>
      </c>
      <c r="F185" s="225" t="s">
        <v>9260</v>
      </c>
      <c r="G185" s="280" t="s">
        <v>8992</v>
      </c>
      <c r="H185" s="225" t="s">
        <v>8985</v>
      </c>
      <c r="I185" s="280" t="s">
        <v>8986</v>
      </c>
      <c r="J185" s="225">
        <v>5900</v>
      </c>
      <c r="K185" s="225">
        <v>5900</v>
      </c>
      <c r="L185" s="225">
        <f t="shared" si="23"/>
        <v>0</v>
      </c>
      <c r="M185" s="225"/>
      <c r="N185" s="225">
        <f>1200+4100</f>
        <v>5300</v>
      </c>
      <c r="O185" s="225">
        <v>5300</v>
      </c>
      <c r="P185" s="147">
        <f t="shared" si="22"/>
        <v>0</v>
      </c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</row>
    <row r="186" spans="1:27" ht="18" customHeight="1" x14ac:dyDescent="0.3">
      <c r="A186" s="172"/>
      <c r="B186" s="172">
        <v>476106623</v>
      </c>
      <c r="C186" s="147" t="s">
        <v>9027</v>
      </c>
      <c r="D186" s="272">
        <v>26707</v>
      </c>
      <c r="E186" s="281">
        <v>919835749353</v>
      </c>
      <c r="F186" s="147"/>
      <c r="G186" s="171" t="s">
        <v>2451</v>
      </c>
      <c r="H186" s="147" t="s">
        <v>7188</v>
      </c>
      <c r="I186" s="171"/>
      <c r="J186" s="147">
        <v>1700</v>
      </c>
      <c r="K186" s="147">
        <v>1700</v>
      </c>
      <c r="L186" s="147">
        <f t="shared" si="23"/>
        <v>0</v>
      </c>
      <c r="M186" s="147"/>
      <c r="N186" s="147">
        <v>1300</v>
      </c>
      <c r="O186" s="147">
        <v>1300</v>
      </c>
      <c r="P186" s="147">
        <f t="shared" si="22"/>
        <v>0</v>
      </c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</row>
    <row r="187" spans="1:27" ht="18" customHeight="1" x14ac:dyDescent="0.3">
      <c r="A187" s="162">
        <v>44964</v>
      </c>
      <c r="B187" s="623"/>
      <c r="C187" s="225" t="s">
        <v>9011</v>
      </c>
      <c r="D187" s="625"/>
      <c r="E187" s="336">
        <v>919304883771</v>
      </c>
      <c r="F187" s="225"/>
      <c r="G187" s="280"/>
      <c r="H187" s="225" t="s">
        <v>9010</v>
      </c>
      <c r="I187" s="280"/>
      <c r="J187" s="225">
        <v>2500</v>
      </c>
      <c r="K187" s="225">
        <v>2500</v>
      </c>
      <c r="L187" s="225">
        <f t="shared" si="23"/>
        <v>0</v>
      </c>
      <c r="M187" s="225"/>
      <c r="N187" s="225">
        <v>1700</v>
      </c>
      <c r="O187" s="225">
        <v>1700</v>
      </c>
      <c r="P187" s="147">
        <f t="shared" si="22"/>
        <v>0</v>
      </c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</row>
    <row r="188" spans="1:27" ht="18" customHeight="1" x14ac:dyDescent="0.3">
      <c r="A188" s="162">
        <v>44965</v>
      </c>
      <c r="B188" s="623">
        <v>1418582223</v>
      </c>
      <c r="C188" s="225" t="s">
        <v>9015</v>
      </c>
      <c r="D188" s="625">
        <v>36214</v>
      </c>
      <c r="E188" s="336">
        <v>918825107674</v>
      </c>
      <c r="F188" s="225" t="s">
        <v>7540</v>
      </c>
      <c r="G188" s="280"/>
      <c r="H188" s="225" t="s">
        <v>8639</v>
      </c>
      <c r="I188" s="280"/>
      <c r="J188" s="225">
        <v>4700</v>
      </c>
      <c r="K188" s="225">
        <f>2500+2200</f>
        <v>4700</v>
      </c>
      <c r="L188" s="225">
        <f t="shared" si="23"/>
        <v>0</v>
      </c>
      <c r="M188" s="225"/>
      <c r="N188" s="225">
        <v>3800</v>
      </c>
      <c r="O188" s="225">
        <f>2500+1300</f>
        <v>3800</v>
      </c>
      <c r="P188" s="147">
        <f t="shared" si="22"/>
        <v>0</v>
      </c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</row>
    <row r="189" spans="1:27" ht="18" customHeight="1" x14ac:dyDescent="0.3">
      <c r="A189" s="623"/>
      <c r="B189" s="623">
        <v>1968063423</v>
      </c>
      <c r="C189" s="225" t="s">
        <v>9145</v>
      </c>
      <c r="D189" s="625">
        <v>30116</v>
      </c>
      <c r="E189" s="336">
        <v>916202621692</v>
      </c>
      <c r="F189" s="225" t="s">
        <v>7540</v>
      </c>
      <c r="G189" s="625">
        <v>45113</v>
      </c>
      <c r="H189" s="225" t="s">
        <v>7053</v>
      </c>
      <c r="I189" s="280" t="s">
        <v>7620</v>
      </c>
      <c r="J189" s="225">
        <v>5500</v>
      </c>
      <c r="K189" s="225">
        <f>3000+2500</f>
        <v>5500</v>
      </c>
      <c r="L189" s="225">
        <f t="shared" si="23"/>
        <v>0</v>
      </c>
      <c r="M189" s="225"/>
      <c r="N189" s="225">
        <v>4900</v>
      </c>
      <c r="O189" s="147">
        <f>2500+2400</f>
        <v>4900</v>
      </c>
      <c r="P189" s="147">
        <f t="shared" si="22"/>
        <v>0</v>
      </c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</row>
    <row r="190" spans="1:27" ht="18" customHeight="1" x14ac:dyDescent="0.3">
      <c r="A190" s="162">
        <v>45014</v>
      </c>
      <c r="B190" s="172">
        <v>3994870423</v>
      </c>
      <c r="C190" s="147" t="s">
        <v>6370</v>
      </c>
      <c r="D190" s="272">
        <v>37460</v>
      </c>
      <c r="E190" s="281">
        <v>919304540858</v>
      </c>
      <c r="F190" s="171" t="s">
        <v>10120</v>
      </c>
      <c r="H190" s="147" t="s">
        <v>7053</v>
      </c>
      <c r="I190" s="171" t="s">
        <v>7620</v>
      </c>
      <c r="J190" s="147">
        <f>5500+500</f>
        <v>6000</v>
      </c>
      <c r="K190" s="147">
        <f>3000+3000</f>
        <v>6000</v>
      </c>
      <c r="L190" s="147">
        <f t="shared" si="23"/>
        <v>0</v>
      </c>
      <c r="M190" s="147"/>
      <c r="N190" s="147">
        <v>4800</v>
      </c>
      <c r="O190" s="147">
        <f>2500+2300</f>
        <v>4800</v>
      </c>
      <c r="P190" s="147">
        <f t="shared" si="22"/>
        <v>0</v>
      </c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</row>
    <row r="191" spans="1:27" ht="18" customHeight="1" x14ac:dyDescent="0.3">
      <c r="A191" s="172"/>
      <c r="B191" s="172"/>
      <c r="C191" s="147" t="s">
        <v>7601</v>
      </c>
      <c r="D191" s="272"/>
      <c r="E191" s="281">
        <v>918092138922</v>
      </c>
      <c r="F191" s="147" t="s">
        <v>9486</v>
      </c>
      <c r="G191" s="171"/>
      <c r="H191" s="147" t="s">
        <v>9233</v>
      </c>
      <c r="I191" s="171" t="s">
        <v>7687</v>
      </c>
      <c r="J191" s="147">
        <v>4000</v>
      </c>
      <c r="K191" s="147">
        <v>4000</v>
      </c>
      <c r="L191" s="147">
        <f t="shared" si="23"/>
        <v>0</v>
      </c>
      <c r="M191" s="147"/>
      <c r="N191" s="147">
        <v>3600</v>
      </c>
      <c r="O191" s="147">
        <v>3600</v>
      </c>
      <c r="P191" s="147">
        <f t="shared" si="22"/>
        <v>0</v>
      </c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</row>
    <row r="192" spans="1:27" ht="18" customHeight="1" x14ac:dyDescent="0.3">
      <c r="A192" s="172"/>
      <c r="B192" s="623"/>
      <c r="C192" s="225" t="s">
        <v>9234</v>
      </c>
      <c r="D192" s="272"/>
      <c r="E192" s="336">
        <v>919905040647</v>
      </c>
      <c r="F192" s="225" t="s">
        <v>237</v>
      </c>
      <c r="G192" s="171" t="s">
        <v>9236</v>
      </c>
      <c r="H192" s="147" t="s">
        <v>9235</v>
      </c>
      <c r="I192" s="171"/>
      <c r="J192" s="147">
        <v>1700</v>
      </c>
      <c r="K192" s="147">
        <v>1700</v>
      </c>
      <c r="L192" s="147">
        <f t="shared" si="23"/>
        <v>0</v>
      </c>
      <c r="M192" s="147"/>
      <c r="N192" s="147">
        <v>1200</v>
      </c>
      <c r="O192" s="147">
        <v>1200</v>
      </c>
      <c r="P192" s="147">
        <f t="shared" si="22"/>
        <v>0</v>
      </c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</row>
    <row r="193" spans="1:27" ht="18" customHeight="1" x14ac:dyDescent="0.3">
      <c r="A193" s="162">
        <v>45047</v>
      </c>
      <c r="B193" s="623"/>
      <c r="C193" s="225" t="s">
        <v>9247</v>
      </c>
      <c r="D193" s="625"/>
      <c r="E193" s="336">
        <v>917250482933</v>
      </c>
      <c r="F193" s="225" t="s">
        <v>9734</v>
      </c>
      <c r="G193" s="280" t="s">
        <v>9248</v>
      </c>
      <c r="H193" s="225"/>
      <c r="I193" s="280"/>
      <c r="J193" s="225">
        <f>2500+1500</f>
        <v>4000</v>
      </c>
      <c r="K193" s="225">
        <f>1500+500+1000+1000</f>
        <v>4000</v>
      </c>
      <c r="L193" s="225">
        <f t="shared" si="23"/>
        <v>0</v>
      </c>
      <c r="M193" s="225"/>
      <c r="N193" s="225">
        <f>2000+1400</f>
        <v>3400</v>
      </c>
      <c r="O193" s="225">
        <f>2000+1400</f>
        <v>3400</v>
      </c>
      <c r="P193" s="225">
        <f t="shared" si="22"/>
        <v>0</v>
      </c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</row>
    <row r="194" spans="1:27" s="680" customFormat="1" ht="18" customHeight="1" x14ac:dyDescent="0.3">
      <c r="A194" s="774">
        <v>44707</v>
      </c>
      <c r="B194" s="623">
        <v>3192649923</v>
      </c>
      <c r="C194" s="225" t="s">
        <v>8099</v>
      </c>
      <c r="D194" s="625">
        <v>33970</v>
      </c>
      <c r="E194" s="336">
        <v>919204218016</v>
      </c>
      <c r="F194" s="280" t="s">
        <v>7085</v>
      </c>
      <c r="G194" s="775"/>
      <c r="H194" s="225"/>
      <c r="I194" s="280" t="s">
        <v>7057</v>
      </c>
      <c r="J194" s="225">
        <v>5500</v>
      </c>
      <c r="K194" s="225">
        <f>3000+2500</f>
        <v>5500</v>
      </c>
      <c r="L194" s="225">
        <f t="shared" ref="L194:L217" si="24">J194-K194</f>
        <v>0</v>
      </c>
      <c r="M194" s="225"/>
      <c r="N194" s="225">
        <v>4800</v>
      </c>
      <c r="O194" s="225">
        <f>2500+2300</f>
        <v>4800</v>
      </c>
      <c r="P194" s="225">
        <f t="shared" ref="P194:P199" si="25">N194-O194</f>
        <v>0</v>
      </c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  <c r="AA194" s="225"/>
    </row>
    <row r="195" spans="1:27" ht="18" customHeight="1" x14ac:dyDescent="0.3">
      <c r="A195" s="172"/>
      <c r="B195" s="623"/>
      <c r="C195" s="225" t="s">
        <v>9109</v>
      </c>
      <c r="D195" s="272"/>
      <c r="E195" s="336">
        <v>919308309351</v>
      </c>
      <c r="F195" s="225"/>
      <c r="G195" s="171"/>
      <c r="H195" s="147"/>
      <c r="I195" s="171" t="s">
        <v>9290</v>
      </c>
      <c r="J195" s="147">
        <v>1700</v>
      </c>
      <c r="K195" s="147">
        <v>1700</v>
      </c>
      <c r="L195" s="147">
        <f t="shared" si="24"/>
        <v>0</v>
      </c>
      <c r="M195" s="147"/>
      <c r="N195" s="147">
        <v>1300</v>
      </c>
      <c r="O195" s="147">
        <v>1300</v>
      </c>
      <c r="P195" s="147">
        <f t="shared" si="25"/>
        <v>0</v>
      </c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</row>
    <row r="196" spans="1:27" s="680" customFormat="1" ht="18" customHeight="1" x14ac:dyDescent="0.3">
      <c r="A196" s="635">
        <v>45035</v>
      </c>
      <c r="B196" s="842">
        <v>3473345823</v>
      </c>
      <c r="C196" s="225" t="s">
        <v>9304</v>
      </c>
      <c r="D196" s="625">
        <v>38370</v>
      </c>
      <c r="E196" s="336">
        <v>917461074948</v>
      </c>
      <c r="F196" s="225"/>
      <c r="G196" s="280" t="s">
        <v>237</v>
      </c>
      <c r="H196" s="225"/>
      <c r="I196" s="280" t="s">
        <v>7620</v>
      </c>
      <c r="J196" s="225">
        <v>5500</v>
      </c>
      <c r="K196" s="225">
        <f>3000+2500</f>
        <v>5500</v>
      </c>
      <c r="L196" s="225">
        <f t="shared" si="24"/>
        <v>0</v>
      </c>
      <c r="M196" s="225"/>
      <c r="N196" s="225">
        <v>4900</v>
      </c>
      <c r="O196" s="225">
        <f>2500+2400</f>
        <v>4900</v>
      </c>
      <c r="P196" s="225">
        <f t="shared" si="25"/>
        <v>0</v>
      </c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  <c r="AA196" s="225"/>
    </row>
    <row r="197" spans="1:27" ht="18" customHeight="1" x14ac:dyDescent="0.3">
      <c r="A197" s="623"/>
      <c r="B197" s="843">
        <v>2873892723</v>
      </c>
      <c r="C197" s="526" t="s">
        <v>9303</v>
      </c>
      <c r="D197" s="626">
        <v>38427</v>
      </c>
      <c r="E197" s="527">
        <v>917677842838</v>
      </c>
      <c r="F197" s="225" t="s">
        <v>7540</v>
      </c>
      <c r="G197" s="280"/>
      <c r="H197" s="225"/>
      <c r="I197" s="280" t="s">
        <v>7620</v>
      </c>
      <c r="J197" s="225">
        <v>5500</v>
      </c>
      <c r="K197" s="225">
        <f>3000+2500</f>
        <v>5500</v>
      </c>
      <c r="L197" s="225">
        <f t="shared" si="24"/>
        <v>0</v>
      </c>
      <c r="M197" s="225"/>
      <c r="N197" s="225">
        <v>4900</v>
      </c>
      <c r="O197" s="147">
        <f>2500+2500</f>
        <v>5000</v>
      </c>
      <c r="P197" s="147">
        <f t="shared" si="25"/>
        <v>-100</v>
      </c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</row>
    <row r="198" spans="1:27" ht="18" customHeight="1" x14ac:dyDescent="0.3">
      <c r="A198" s="162">
        <v>45040</v>
      </c>
      <c r="B198" s="623">
        <v>1466231123</v>
      </c>
      <c r="C198" s="225" t="s">
        <v>9316</v>
      </c>
      <c r="D198" s="625">
        <v>26754</v>
      </c>
      <c r="E198" s="336">
        <v>919234604219</v>
      </c>
      <c r="F198" s="225" t="s">
        <v>7540</v>
      </c>
      <c r="G198" s="280"/>
      <c r="H198" s="225"/>
      <c r="I198" s="280" t="s">
        <v>9317</v>
      </c>
      <c r="J198" s="225">
        <v>1700</v>
      </c>
      <c r="K198" s="225">
        <v>1700</v>
      </c>
      <c r="L198" s="225">
        <f t="shared" si="24"/>
        <v>0</v>
      </c>
      <c r="M198" s="225"/>
      <c r="N198" s="225">
        <v>1300</v>
      </c>
      <c r="O198" s="225">
        <v>1300</v>
      </c>
      <c r="P198" s="225">
        <f t="shared" si="25"/>
        <v>0</v>
      </c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</row>
    <row r="199" spans="1:27" ht="18" customHeight="1" x14ac:dyDescent="0.3">
      <c r="A199" s="865">
        <v>45061</v>
      </c>
      <c r="B199" s="841">
        <v>3994984223</v>
      </c>
      <c r="C199" s="526" t="s">
        <v>9394</v>
      </c>
      <c r="D199" s="626">
        <v>37867</v>
      </c>
      <c r="E199" s="527">
        <v>919798528846</v>
      </c>
      <c r="F199" s="526">
        <v>7519966508</v>
      </c>
      <c r="G199" s="280" t="s">
        <v>10586</v>
      </c>
      <c r="H199" s="225"/>
      <c r="I199" s="280" t="s">
        <v>7620</v>
      </c>
      <c r="J199" s="225">
        <v>5500</v>
      </c>
      <c r="K199" s="225">
        <f>3000+2500</f>
        <v>5500</v>
      </c>
      <c r="L199" s="225">
        <f t="shared" si="24"/>
        <v>0</v>
      </c>
      <c r="M199" s="225"/>
      <c r="N199" s="741">
        <v>4900</v>
      </c>
      <c r="O199" s="741">
        <f>2500+2400</f>
        <v>4900</v>
      </c>
      <c r="P199" s="741">
        <f t="shared" si="25"/>
        <v>0</v>
      </c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</row>
    <row r="200" spans="1:27" ht="18" customHeight="1" x14ac:dyDescent="0.3">
      <c r="A200" s="162">
        <v>45063</v>
      </c>
      <c r="B200" s="172"/>
      <c r="C200" s="147" t="s">
        <v>6305</v>
      </c>
      <c r="D200" s="272">
        <v>33748</v>
      </c>
      <c r="E200" s="281">
        <v>917070360382</v>
      </c>
      <c r="G200" s="171"/>
      <c r="H200" s="147"/>
      <c r="I200" s="171"/>
      <c r="J200" s="147"/>
      <c r="K200" s="147"/>
      <c r="L200" s="147"/>
      <c r="M200" s="147"/>
      <c r="N200" s="147">
        <v>0</v>
      </c>
      <c r="O200" s="147">
        <v>0</v>
      </c>
      <c r="P200" s="147">
        <f t="shared" ref="P200:P209" si="26">N200-O200</f>
        <v>0</v>
      </c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</row>
    <row r="201" spans="1:27" ht="18" customHeight="1" x14ac:dyDescent="0.3">
      <c r="A201" s="635">
        <v>45076</v>
      </c>
      <c r="B201" s="623">
        <v>1984814023</v>
      </c>
      <c r="C201" s="225" t="s">
        <v>9378</v>
      </c>
      <c r="D201" s="625">
        <v>38471</v>
      </c>
      <c r="E201" s="336">
        <v>917004062939</v>
      </c>
      <c r="F201" s="978" t="s">
        <v>10075</v>
      </c>
      <c r="G201" s="280" t="s">
        <v>10315</v>
      </c>
      <c r="H201" s="225" t="s">
        <v>10652</v>
      </c>
      <c r="I201" s="979" t="s">
        <v>7620</v>
      </c>
      <c r="J201" s="225">
        <v>5500</v>
      </c>
      <c r="K201" s="225">
        <f>3000+2500</f>
        <v>5500</v>
      </c>
      <c r="L201" s="225">
        <f t="shared" si="24"/>
        <v>0</v>
      </c>
      <c r="M201" s="225"/>
      <c r="N201" s="147">
        <v>4900</v>
      </c>
      <c r="O201" s="147">
        <v>2500</v>
      </c>
      <c r="P201" s="147">
        <f t="shared" si="26"/>
        <v>2400</v>
      </c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</row>
    <row r="202" spans="1:27" ht="18" customHeight="1" x14ac:dyDescent="0.3">
      <c r="A202" s="162">
        <v>45078</v>
      </c>
      <c r="B202" s="172">
        <v>2026308823</v>
      </c>
      <c r="C202" s="225" t="s">
        <v>9480</v>
      </c>
      <c r="D202" s="625">
        <v>36167</v>
      </c>
      <c r="E202" s="336">
        <v>919771768870</v>
      </c>
      <c r="F202" s="225" t="s">
        <v>237</v>
      </c>
      <c r="G202" s="280" t="s">
        <v>10093</v>
      </c>
      <c r="H202" s="225"/>
      <c r="I202" s="280" t="s">
        <v>7687</v>
      </c>
      <c r="J202" s="225">
        <v>4300</v>
      </c>
      <c r="K202" s="225">
        <f>2500+1800</f>
        <v>4300</v>
      </c>
      <c r="L202" s="225">
        <f t="shared" si="24"/>
        <v>0</v>
      </c>
      <c r="M202" s="225"/>
      <c r="N202" s="225">
        <v>3600</v>
      </c>
      <c r="O202" s="225">
        <f>2000+1600</f>
        <v>3600</v>
      </c>
      <c r="P202" s="225">
        <f t="shared" si="26"/>
        <v>0</v>
      </c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</row>
    <row r="203" spans="1:27" ht="18" customHeight="1" x14ac:dyDescent="0.3">
      <c r="A203" s="162">
        <v>45079</v>
      </c>
      <c r="B203" s="172"/>
      <c r="C203" s="147" t="s">
        <v>9485</v>
      </c>
      <c r="D203" s="272">
        <v>22809</v>
      </c>
      <c r="E203" s="281">
        <v>919939644298</v>
      </c>
      <c r="F203" s="147" t="s">
        <v>870</v>
      </c>
      <c r="G203" s="171"/>
      <c r="H203" s="147"/>
      <c r="I203" s="171" t="s">
        <v>7629</v>
      </c>
      <c r="J203" s="147">
        <v>5500</v>
      </c>
      <c r="K203" s="147">
        <v>5500</v>
      </c>
      <c r="L203" s="147">
        <f t="shared" si="24"/>
        <v>0</v>
      </c>
      <c r="M203" s="147"/>
      <c r="N203" s="147">
        <v>5100</v>
      </c>
      <c r="O203" s="147">
        <v>5100</v>
      </c>
      <c r="P203" s="147">
        <f t="shared" si="26"/>
        <v>0</v>
      </c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</row>
    <row r="204" spans="1:27" ht="18" customHeight="1" x14ac:dyDescent="0.3">
      <c r="A204" s="635">
        <v>45079</v>
      </c>
      <c r="B204" s="623">
        <v>2043023823</v>
      </c>
      <c r="C204" s="225" t="s">
        <v>9487</v>
      </c>
      <c r="D204" s="625">
        <v>24727</v>
      </c>
      <c r="E204" s="336">
        <v>917209393027</v>
      </c>
      <c r="F204" s="225"/>
      <c r="G204" s="280"/>
      <c r="H204" s="225"/>
      <c r="I204" s="280" t="s">
        <v>7629</v>
      </c>
      <c r="J204" s="225">
        <v>1700</v>
      </c>
      <c r="K204" s="225">
        <v>1700</v>
      </c>
      <c r="L204" s="225">
        <f t="shared" si="24"/>
        <v>0</v>
      </c>
      <c r="M204" s="225"/>
      <c r="N204" s="225">
        <v>1300</v>
      </c>
      <c r="O204" s="225">
        <v>1300</v>
      </c>
      <c r="P204" s="225">
        <f t="shared" si="26"/>
        <v>0</v>
      </c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</row>
    <row r="205" spans="1:27" ht="18" customHeight="1" x14ac:dyDescent="0.3">
      <c r="A205" s="162">
        <v>45081</v>
      </c>
      <c r="B205" s="172"/>
      <c r="C205" s="147" t="s">
        <v>9499</v>
      </c>
      <c r="D205" s="272">
        <v>22839</v>
      </c>
      <c r="E205" s="281">
        <v>918797357063</v>
      </c>
      <c r="G205" s="147" t="s">
        <v>9566</v>
      </c>
      <c r="H205" s="147"/>
      <c r="I205" s="171" t="s">
        <v>7587</v>
      </c>
      <c r="J205" s="147">
        <v>1700</v>
      </c>
      <c r="K205" s="147">
        <v>1700</v>
      </c>
      <c r="L205" s="147">
        <f t="shared" si="24"/>
        <v>0</v>
      </c>
      <c r="M205" s="147"/>
      <c r="N205" s="147">
        <v>1300</v>
      </c>
      <c r="O205" s="147">
        <v>1300</v>
      </c>
      <c r="P205" s="147">
        <f t="shared" si="26"/>
        <v>0</v>
      </c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</row>
    <row r="206" spans="1:27" ht="18" customHeight="1" x14ac:dyDescent="0.3">
      <c r="A206" s="623"/>
      <c r="B206" s="623"/>
      <c r="C206" s="225" t="s">
        <v>9516</v>
      </c>
      <c r="D206" s="625"/>
      <c r="E206" s="336">
        <v>917209497812</v>
      </c>
      <c r="F206" s="225"/>
      <c r="G206" s="280"/>
      <c r="H206" s="225"/>
      <c r="I206" s="280" t="s">
        <v>7099</v>
      </c>
      <c r="J206" s="225">
        <v>1500</v>
      </c>
      <c r="K206" s="225">
        <v>1500</v>
      </c>
      <c r="L206" s="225">
        <f t="shared" si="24"/>
        <v>0</v>
      </c>
      <c r="M206" s="225"/>
      <c r="N206" s="225">
        <v>1200</v>
      </c>
      <c r="O206" s="225">
        <v>1200</v>
      </c>
      <c r="P206" s="225">
        <f t="shared" si="26"/>
        <v>0</v>
      </c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</row>
    <row r="207" spans="1:27" ht="18" customHeight="1" x14ac:dyDescent="0.3">
      <c r="A207" s="635">
        <v>45087</v>
      </c>
      <c r="B207" s="623">
        <v>2152017723</v>
      </c>
      <c r="C207" s="225" t="s">
        <v>9524</v>
      </c>
      <c r="D207" s="625">
        <v>31674</v>
      </c>
      <c r="E207" s="336">
        <v>918797206027</v>
      </c>
      <c r="F207" s="462" t="s">
        <v>10343</v>
      </c>
      <c r="G207" s="280"/>
      <c r="H207" s="225"/>
      <c r="I207" s="280" t="s">
        <v>7620</v>
      </c>
      <c r="J207" s="225">
        <v>5500</v>
      </c>
      <c r="K207" s="225">
        <f>3000+2500</f>
        <v>5500</v>
      </c>
      <c r="L207" s="225">
        <f t="shared" si="24"/>
        <v>0</v>
      </c>
      <c r="M207" s="225"/>
      <c r="N207" s="225">
        <v>4900</v>
      </c>
      <c r="O207" s="225">
        <f>2500+2400</f>
        <v>4900</v>
      </c>
      <c r="P207" s="147">
        <f t="shared" si="26"/>
        <v>0</v>
      </c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</row>
    <row r="208" spans="1:27" ht="18" customHeight="1" x14ac:dyDescent="0.3">
      <c r="A208" s="162">
        <v>45090</v>
      </c>
      <c r="B208" s="623">
        <v>2187739123</v>
      </c>
      <c r="C208" s="225" t="s">
        <v>9565</v>
      </c>
      <c r="D208" s="625">
        <v>26538</v>
      </c>
      <c r="E208" s="336"/>
      <c r="F208" s="225" t="s">
        <v>7540</v>
      </c>
      <c r="G208" s="280"/>
      <c r="H208" s="225"/>
      <c r="I208" s="280" t="s">
        <v>7629</v>
      </c>
      <c r="J208" s="225">
        <v>1700</v>
      </c>
      <c r="K208" s="225">
        <v>1700</v>
      </c>
      <c r="L208" s="225">
        <f t="shared" si="24"/>
        <v>0</v>
      </c>
      <c r="M208" s="225"/>
      <c r="N208" s="225">
        <v>1300</v>
      </c>
      <c r="O208" s="225">
        <v>1300</v>
      </c>
      <c r="P208" s="225">
        <f t="shared" si="26"/>
        <v>0</v>
      </c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</row>
    <row r="209" spans="1:27" ht="18" customHeight="1" x14ac:dyDescent="0.3">
      <c r="A209" s="740">
        <v>45195</v>
      </c>
      <c r="B209" s="844">
        <v>3729667223</v>
      </c>
      <c r="C209" s="741" t="s">
        <v>9636</v>
      </c>
      <c r="D209" s="742">
        <v>36601</v>
      </c>
      <c r="E209" s="743">
        <v>919065675300</v>
      </c>
      <c r="F209" s="744"/>
      <c r="G209" s="745"/>
      <c r="H209" s="741"/>
      <c r="I209" s="745" t="s">
        <v>7620</v>
      </c>
      <c r="J209" s="741">
        <v>5500</v>
      </c>
      <c r="K209" s="741">
        <f>3000+2500</f>
        <v>5500</v>
      </c>
      <c r="L209" s="741">
        <f t="shared" si="24"/>
        <v>0</v>
      </c>
      <c r="M209" s="741"/>
      <c r="N209" s="741">
        <v>4900</v>
      </c>
      <c r="O209" s="741">
        <f>2500+2400</f>
        <v>4900</v>
      </c>
      <c r="P209" s="741">
        <f t="shared" si="26"/>
        <v>0</v>
      </c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</row>
    <row r="210" spans="1:27" ht="18" customHeight="1" x14ac:dyDescent="0.3">
      <c r="A210" s="747">
        <v>45103</v>
      </c>
      <c r="B210" s="839">
        <v>3668300823</v>
      </c>
      <c r="C210" s="748" t="s">
        <v>9637</v>
      </c>
      <c r="D210" s="749">
        <v>33427</v>
      </c>
      <c r="E210" s="750"/>
      <c r="F210" s="751" t="s">
        <v>9044</v>
      </c>
      <c r="G210" s="751" t="s">
        <v>10057</v>
      </c>
      <c r="H210" s="748"/>
      <c r="I210" s="751" t="s">
        <v>7620</v>
      </c>
      <c r="J210" s="748">
        <v>5400</v>
      </c>
      <c r="K210" s="748">
        <f>3000+2400</f>
        <v>5400</v>
      </c>
      <c r="L210" s="748">
        <f t="shared" si="24"/>
        <v>0</v>
      </c>
      <c r="M210" s="748"/>
      <c r="N210" s="748">
        <v>4900</v>
      </c>
      <c r="O210" s="748">
        <f>2500+2400</f>
        <v>4900</v>
      </c>
      <c r="P210" s="748">
        <f t="shared" ref="P210:P217" si="27">N210-O210</f>
        <v>0</v>
      </c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</row>
    <row r="211" spans="1:27" ht="18" customHeight="1" x14ac:dyDescent="0.3">
      <c r="A211" s="747">
        <v>45103</v>
      </c>
      <c r="B211" s="837">
        <v>3668363023</v>
      </c>
      <c r="C211" s="748" t="s">
        <v>9638</v>
      </c>
      <c r="D211" s="749">
        <v>35598</v>
      </c>
      <c r="E211" s="750"/>
      <c r="F211" s="751" t="s">
        <v>9044</v>
      </c>
      <c r="G211" s="749">
        <v>45255</v>
      </c>
      <c r="H211" s="748"/>
      <c r="I211" s="751" t="s">
        <v>7620</v>
      </c>
      <c r="J211" s="748">
        <v>5400</v>
      </c>
      <c r="K211" s="748">
        <f>3000+2400</f>
        <v>5400</v>
      </c>
      <c r="L211" s="748">
        <f t="shared" si="24"/>
        <v>0</v>
      </c>
      <c r="M211" s="748"/>
      <c r="N211" s="748">
        <v>4900</v>
      </c>
      <c r="O211" s="748">
        <f>2500+2400</f>
        <v>4900</v>
      </c>
      <c r="P211" s="748">
        <f t="shared" si="27"/>
        <v>0</v>
      </c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</row>
    <row r="212" spans="1:27" ht="18" customHeight="1" x14ac:dyDescent="0.3">
      <c r="A212" s="747">
        <v>45105</v>
      </c>
      <c r="B212" s="837">
        <v>3684460523</v>
      </c>
      <c r="C212" s="748" t="s">
        <v>9649</v>
      </c>
      <c r="D212" s="749">
        <v>30533</v>
      </c>
      <c r="E212" s="750">
        <v>918709271105</v>
      </c>
      <c r="F212" s="751" t="s">
        <v>9044</v>
      </c>
      <c r="G212" s="749">
        <v>45255</v>
      </c>
      <c r="H212" s="748"/>
      <c r="I212" s="751" t="s">
        <v>7620</v>
      </c>
      <c r="J212" s="748">
        <v>5500</v>
      </c>
      <c r="K212" s="748">
        <f>3000+2500</f>
        <v>5500</v>
      </c>
      <c r="L212" s="748">
        <f t="shared" si="24"/>
        <v>0</v>
      </c>
      <c r="M212" s="748"/>
      <c r="N212" s="748">
        <v>4900</v>
      </c>
      <c r="O212" s="748">
        <f>2500+2400</f>
        <v>4900</v>
      </c>
      <c r="P212" s="748">
        <f t="shared" si="27"/>
        <v>0</v>
      </c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</row>
    <row r="213" spans="1:27" ht="18" customHeight="1" x14ac:dyDescent="0.3">
      <c r="A213" s="623"/>
      <c r="B213" s="623"/>
      <c r="C213" s="225" t="s">
        <v>7068</v>
      </c>
      <c r="D213" s="625"/>
      <c r="E213" s="336">
        <v>919234221972</v>
      </c>
      <c r="F213" s="225" t="s">
        <v>870</v>
      </c>
      <c r="G213" s="280"/>
      <c r="H213" s="225"/>
      <c r="I213" s="280" t="s">
        <v>7587</v>
      </c>
      <c r="J213" s="225">
        <v>1500</v>
      </c>
      <c r="K213" s="225">
        <v>1500</v>
      </c>
      <c r="L213" s="225">
        <f t="shared" si="24"/>
        <v>0</v>
      </c>
      <c r="M213" s="225"/>
      <c r="N213" s="225">
        <v>1300</v>
      </c>
      <c r="O213" s="225">
        <v>1300</v>
      </c>
      <c r="P213" s="225">
        <f t="shared" si="27"/>
        <v>0</v>
      </c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</row>
    <row r="214" spans="1:27" ht="18" customHeight="1" x14ac:dyDescent="0.3">
      <c r="A214" s="623"/>
      <c r="B214" s="623"/>
      <c r="C214" s="225" t="s">
        <v>9680</v>
      </c>
      <c r="D214" s="625"/>
      <c r="E214" s="336">
        <v>917209497812</v>
      </c>
      <c r="G214" s="280" t="s">
        <v>9681</v>
      </c>
      <c r="H214" s="225"/>
      <c r="I214" s="225" t="s">
        <v>9010</v>
      </c>
      <c r="J214" s="225">
        <v>1500</v>
      </c>
      <c r="K214" s="225">
        <v>1500</v>
      </c>
      <c r="L214" s="225">
        <f t="shared" si="24"/>
        <v>0</v>
      </c>
      <c r="M214" s="225"/>
      <c r="N214" s="225">
        <v>1200</v>
      </c>
      <c r="O214" s="225">
        <v>1200</v>
      </c>
      <c r="P214" s="225">
        <f t="shared" si="27"/>
        <v>0</v>
      </c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</row>
    <row r="215" spans="1:27" ht="18" customHeight="1" x14ac:dyDescent="0.3">
      <c r="A215" s="162">
        <v>45111</v>
      </c>
      <c r="B215" s="172"/>
      <c r="C215" s="147" t="s">
        <v>7127</v>
      </c>
      <c r="D215" s="272">
        <v>29343</v>
      </c>
      <c r="E215" s="281">
        <v>919931195820</v>
      </c>
      <c r="F215" s="147" t="s">
        <v>9763</v>
      </c>
      <c r="G215" s="171"/>
      <c r="H215" s="147"/>
      <c r="I215" s="171"/>
      <c r="J215" s="147">
        <v>1500</v>
      </c>
      <c r="K215" s="147">
        <v>1500</v>
      </c>
      <c r="L215" s="147">
        <f t="shared" si="24"/>
        <v>0</v>
      </c>
      <c r="M215" s="147"/>
      <c r="N215" s="147">
        <v>1400</v>
      </c>
      <c r="O215" s="147">
        <v>1400</v>
      </c>
      <c r="P215" s="147">
        <f t="shared" si="27"/>
        <v>0</v>
      </c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</row>
    <row r="216" spans="1:27" ht="18" customHeight="1" x14ac:dyDescent="0.3">
      <c r="A216" s="623"/>
      <c r="B216" s="623">
        <v>2528669823</v>
      </c>
      <c r="C216" s="225" t="s">
        <v>9396</v>
      </c>
      <c r="D216" s="625">
        <v>38239</v>
      </c>
      <c r="E216" s="336">
        <v>919931471556</v>
      </c>
      <c r="F216" s="462">
        <v>45157</v>
      </c>
      <c r="G216" s="280" t="s">
        <v>10263</v>
      </c>
      <c r="H216" s="225"/>
      <c r="I216" s="280" t="s">
        <v>7620</v>
      </c>
      <c r="J216" s="225">
        <v>5500</v>
      </c>
      <c r="K216" s="225">
        <f>3000+2500</f>
        <v>5500</v>
      </c>
      <c r="L216" s="225">
        <f t="shared" si="24"/>
        <v>0</v>
      </c>
      <c r="M216" s="147"/>
      <c r="N216" s="147">
        <v>4900</v>
      </c>
      <c r="O216" s="147">
        <f>2500+2400</f>
        <v>4900</v>
      </c>
      <c r="P216" s="147">
        <f t="shared" si="27"/>
        <v>0</v>
      </c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</row>
    <row r="217" spans="1:27" ht="18" customHeight="1" x14ac:dyDescent="0.3">
      <c r="A217" s="172"/>
      <c r="B217" s="172"/>
      <c r="C217" s="225" t="s">
        <v>9702</v>
      </c>
      <c r="D217" s="625"/>
      <c r="E217" s="336">
        <v>919279250587</v>
      </c>
      <c r="F217" s="225" t="s">
        <v>9826</v>
      </c>
      <c r="G217" s="280"/>
      <c r="H217" s="225"/>
      <c r="I217" s="280" t="s">
        <v>7587</v>
      </c>
      <c r="J217" s="225">
        <v>4500</v>
      </c>
      <c r="K217" s="225">
        <v>4500</v>
      </c>
      <c r="L217" s="225">
        <f t="shared" si="24"/>
        <v>0</v>
      </c>
      <c r="M217" s="225"/>
      <c r="N217" s="225">
        <v>4000</v>
      </c>
      <c r="O217" s="225">
        <v>4000</v>
      </c>
      <c r="P217" s="225">
        <f t="shared" si="27"/>
        <v>0</v>
      </c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</row>
    <row r="218" spans="1:27" ht="18" customHeight="1" x14ac:dyDescent="0.3">
      <c r="A218" s="172"/>
      <c r="B218" s="172"/>
      <c r="C218" s="225" t="s">
        <v>9709</v>
      </c>
      <c r="D218" s="625">
        <v>23877</v>
      </c>
      <c r="E218" s="336">
        <v>919801343027</v>
      </c>
      <c r="F218" s="225" t="s">
        <v>9827</v>
      </c>
      <c r="G218" s="280"/>
      <c r="H218" s="225"/>
      <c r="I218" s="280" t="s">
        <v>7587</v>
      </c>
      <c r="J218" s="225">
        <v>4500</v>
      </c>
      <c r="K218" s="225">
        <v>4500</v>
      </c>
      <c r="L218" s="225">
        <f t="shared" ref="L218:L219" si="28">J218-K218</f>
        <v>0</v>
      </c>
      <c r="M218" s="225"/>
      <c r="N218" s="225">
        <v>4000</v>
      </c>
      <c r="O218" s="225">
        <v>4000</v>
      </c>
      <c r="P218" s="225">
        <f t="shared" ref="P218:P219" si="29">N218-O218</f>
        <v>0</v>
      </c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</row>
    <row r="219" spans="1:27" ht="18" customHeight="1" x14ac:dyDescent="0.3">
      <c r="A219" s="740">
        <v>45195</v>
      </c>
      <c r="B219" s="623">
        <v>3729602523</v>
      </c>
      <c r="C219" s="225" t="s">
        <v>4826</v>
      </c>
      <c r="D219" s="625">
        <v>37563</v>
      </c>
      <c r="E219" s="336">
        <v>917033989059</v>
      </c>
      <c r="F219" s="462" t="s">
        <v>9044</v>
      </c>
      <c r="G219" s="280"/>
      <c r="H219" s="225"/>
      <c r="I219" s="280" t="s">
        <v>7620</v>
      </c>
      <c r="J219" s="225">
        <v>5500</v>
      </c>
      <c r="K219" s="225">
        <f>3000+2500</f>
        <v>5500</v>
      </c>
      <c r="L219" s="225">
        <f t="shared" si="28"/>
        <v>0</v>
      </c>
      <c r="M219" s="225"/>
      <c r="N219" s="225">
        <v>4900</v>
      </c>
      <c r="O219" s="225">
        <f>2500+2400</f>
        <v>4900</v>
      </c>
      <c r="P219" s="225">
        <f t="shared" si="29"/>
        <v>0</v>
      </c>
      <c r="Q219" s="147"/>
      <c r="R219" s="147"/>
      <c r="S219" s="147" t="s">
        <v>10232</v>
      </c>
      <c r="T219" s="147"/>
      <c r="U219" s="147"/>
      <c r="V219" s="147"/>
      <c r="W219" s="147"/>
      <c r="X219" s="147"/>
      <c r="Y219" s="147"/>
      <c r="Z219" s="147"/>
      <c r="AA219" s="147"/>
    </row>
    <row r="220" spans="1:27" s="680" customFormat="1" ht="18" customHeight="1" x14ac:dyDescent="0.3">
      <c r="A220" s="635">
        <v>45130</v>
      </c>
      <c r="B220" s="623">
        <v>2265020123</v>
      </c>
      <c r="C220" s="225" t="s">
        <v>9861</v>
      </c>
      <c r="D220" s="625">
        <v>24451</v>
      </c>
      <c r="E220" s="336">
        <v>919709107355</v>
      </c>
      <c r="I220" s="280" t="s">
        <v>7587</v>
      </c>
      <c r="J220" s="225">
        <v>1700</v>
      </c>
      <c r="K220" s="225">
        <f>1200+500</f>
        <v>1700</v>
      </c>
      <c r="L220" s="225">
        <f t="shared" ref="L220:L225" si="30">J220-K220</f>
        <v>0</v>
      </c>
      <c r="M220" s="225"/>
      <c r="N220" s="225">
        <v>1300</v>
      </c>
      <c r="O220" s="225">
        <v>1300</v>
      </c>
      <c r="P220" s="225">
        <f t="shared" ref="P220:P225" si="31">N220-O220</f>
        <v>0</v>
      </c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  <c r="AA220" s="225"/>
    </row>
    <row r="221" spans="1:27" ht="18" customHeight="1" x14ac:dyDescent="0.3">
      <c r="A221" s="740">
        <v>45250</v>
      </c>
      <c r="B221" s="844">
        <v>4394839923</v>
      </c>
      <c r="C221" s="741" t="s">
        <v>9886</v>
      </c>
      <c r="D221" s="742">
        <v>20350</v>
      </c>
      <c r="E221" s="743">
        <v>919852438170</v>
      </c>
      <c r="F221" s="744" t="s">
        <v>10136</v>
      </c>
      <c r="G221" s="745"/>
      <c r="H221" s="741"/>
      <c r="I221" s="745" t="s">
        <v>7620</v>
      </c>
      <c r="J221" s="741">
        <v>5700</v>
      </c>
      <c r="K221" s="741">
        <f>2500+1200+1000+500+500</f>
        <v>5700</v>
      </c>
      <c r="L221" s="741">
        <f t="shared" si="30"/>
        <v>0</v>
      </c>
      <c r="M221" s="741"/>
      <c r="N221" s="741">
        <v>4900</v>
      </c>
      <c r="O221" s="741">
        <f>2000+2900</f>
        <v>4900</v>
      </c>
      <c r="P221" s="741">
        <f t="shared" si="31"/>
        <v>0</v>
      </c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</row>
    <row r="222" spans="1:27" ht="18" customHeight="1" x14ac:dyDescent="0.3">
      <c r="A222" s="740">
        <v>45136</v>
      </c>
      <c r="B222" s="623">
        <v>3994573223</v>
      </c>
      <c r="C222" s="225" t="s">
        <v>9907</v>
      </c>
      <c r="D222" s="625">
        <v>35676</v>
      </c>
      <c r="E222" s="336">
        <v>918822716325</v>
      </c>
      <c r="F222" s="462" t="s">
        <v>237</v>
      </c>
      <c r="G222" s="625">
        <v>45337</v>
      </c>
      <c r="H222" s="225"/>
      <c r="I222" s="280" t="s">
        <v>7620</v>
      </c>
      <c r="J222" s="225">
        <v>5500</v>
      </c>
      <c r="K222" s="225">
        <f>3000+2500</f>
        <v>5500</v>
      </c>
      <c r="L222" s="225">
        <f t="shared" si="30"/>
        <v>0</v>
      </c>
      <c r="M222" s="225"/>
      <c r="N222" s="225">
        <v>4900</v>
      </c>
      <c r="O222" s="225">
        <f>2500+2400</f>
        <v>4900</v>
      </c>
      <c r="P222" s="225">
        <f t="shared" si="31"/>
        <v>0</v>
      </c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</row>
    <row r="223" spans="1:27" ht="18" customHeight="1" x14ac:dyDescent="0.3">
      <c r="A223" s="740">
        <v>45136</v>
      </c>
      <c r="B223" s="844">
        <v>2873769023</v>
      </c>
      <c r="C223" s="741" t="s">
        <v>9908</v>
      </c>
      <c r="D223" s="742">
        <v>38529</v>
      </c>
      <c r="E223" s="743">
        <v>917070911538</v>
      </c>
      <c r="F223" s="744" t="s">
        <v>10120</v>
      </c>
      <c r="G223" s="742"/>
      <c r="H223" s="741"/>
      <c r="I223" s="745" t="s">
        <v>7620</v>
      </c>
      <c r="J223" s="741">
        <v>5500</v>
      </c>
      <c r="K223" s="741">
        <f>2500+3000</f>
        <v>5500</v>
      </c>
      <c r="L223" s="741">
        <f t="shared" si="30"/>
        <v>0</v>
      </c>
      <c r="M223" s="741"/>
      <c r="N223" s="741">
        <v>4900</v>
      </c>
      <c r="O223" s="741">
        <f>2500+2400</f>
        <v>4900</v>
      </c>
      <c r="P223" s="741">
        <f t="shared" si="31"/>
        <v>0</v>
      </c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</row>
    <row r="224" spans="1:27" ht="18" customHeight="1" x14ac:dyDescent="0.3">
      <c r="A224" s="740">
        <v>45250</v>
      </c>
      <c r="B224" s="844">
        <v>4394920423</v>
      </c>
      <c r="C224" s="741" t="s">
        <v>9928</v>
      </c>
      <c r="D224" s="742">
        <v>35353</v>
      </c>
      <c r="E224" s="743">
        <v>917991103560</v>
      </c>
      <c r="F224" s="746" t="s">
        <v>10135</v>
      </c>
      <c r="G224" s="745"/>
      <c r="H224" s="741"/>
      <c r="I224" s="745" t="s">
        <v>7620</v>
      </c>
      <c r="J224" s="741">
        <v>5500</v>
      </c>
      <c r="K224" s="741">
        <v>3000</v>
      </c>
      <c r="L224" s="741">
        <f t="shared" si="30"/>
        <v>2500</v>
      </c>
      <c r="M224" s="741"/>
      <c r="N224" s="741">
        <v>4900</v>
      </c>
      <c r="O224" s="741">
        <f>2500+2400</f>
        <v>4900</v>
      </c>
      <c r="P224" s="741">
        <f t="shared" si="31"/>
        <v>0</v>
      </c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</row>
    <row r="225" spans="1:27" s="752" customFormat="1" ht="18" customHeight="1" x14ac:dyDescent="0.3">
      <c r="A225" s="747">
        <v>45145</v>
      </c>
      <c r="B225" s="837">
        <v>399481823</v>
      </c>
      <c r="C225" s="748" t="s">
        <v>9954</v>
      </c>
      <c r="D225" s="749">
        <v>36801</v>
      </c>
      <c r="E225" s="750">
        <v>919608781143</v>
      </c>
      <c r="F225" s="1522" t="s">
        <v>7645</v>
      </c>
      <c r="G225" s="749"/>
      <c r="H225" s="748"/>
      <c r="I225" s="751" t="s">
        <v>7620</v>
      </c>
      <c r="J225" s="748">
        <v>5500</v>
      </c>
      <c r="K225" s="748">
        <f>2500+2000+1000</f>
        <v>5500</v>
      </c>
      <c r="L225" s="748">
        <f t="shared" si="30"/>
        <v>0</v>
      </c>
      <c r="M225" s="748"/>
      <c r="N225" s="748">
        <v>4900</v>
      </c>
      <c r="O225" s="748">
        <f>2500+2400</f>
        <v>4900</v>
      </c>
      <c r="P225" s="748">
        <f t="shared" si="31"/>
        <v>0</v>
      </c>
      <c r="Q225" s="748"/>
      <c r="R225" s="748"/>
      <c r="S225" s="748"/>
      <c r="T225" s="748"/>
      <c r="U225" s="748"/>
      <c r="V225" s="748"/>
      <c r="W225" s="748"/>
      <c r="X225" s="748"/>
      <c r="Y225" s="748"/>
      <c r="Z225" s="748"/>
      <c r="AA225" s="748"/>
    </row>
    <row r="226" spans="1:27" ht="18" customHeight="1" x14ac:dyDescent="0.3">
      <c r="A226" s="635">
        <v>45145</v>
      </c>
      <c r="B226" s="623">
        <v>8935997973</v>
      </c>
      <c r="C226" s="225" t="s">
        <v>9841</v>
      </c>
      <c r="D226" s="625">
        <v>26895</v>
      </c>
      <c r="E226" s="336">
        <v>918935997973</v>
      </c>
      <c r="F226" s="225" t="s">
        <v>7540</v>
      </c>
      <c r="G226" s="280"/>
      <c r="H226" s="225"/>
      <c r="I226" s="280" t="s">
        <v>7587</v>
      </c>
      <c r="J226" s="225">
        <v>1600</v>
      </c>
      <c r="K226" s="225">
        <v>1600</v>
      </c>
      <c r="L226" s="225">
        <f t="shared" ref="L226:L278" si="32">J226-K226</f>
        <v>0</v>
      </c>
      <c r="M226" s="225"/>
      <c r="N226" s="225">
        <v>1300</v>
      </c>
      <c r="O226" s="225">
        <v>1300</v>
      </c>
      <c r="P226" s="225">
        <f t="shared" ref="P226:P271" si="33">N226-O226</f>
        <v>0</v>
      </c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</row>
    <row r="227" spans="1:27" ht="18" customHeight="1" x14ac:dyDescent="0.3">
      <c r="A227" s="635">
        <v>45146</v>
      </c>
      <c r="B227" s="623">
        <v>3994748223</v>
      </c>
      <c r="C227" s="225" t="s">
        <v>9956</v>
      </c>
      <c r="D227" s="625">
        <v>30691</v>
      </c>
      <c r="E227" s="336">
        <v>917488177612</v>
      </c>
      <c r="F227" s="462" t="s">
        <v>10585</v>
      </c>
      <c r="G227" s="625"/>
      <c r="H227" s="225"/>
      <c r="I227" s="280" t="s">
        <v>7620</v>
      </c>
      <c r="J227" s="225">
        <v>5500</v>
      </c>
      <c r="K227" s="225">
        <f>3000+2500</f>
        <v>5500</v>
      </c>
      <c r="L227" s="225">
        <f t="shared" si="32"/>
        <v>0</v>
      </c>
      <c r="M227" s="741"/>
      <c r="N227" s="741">
        <v>4900</v>
      </c>
      <c r="O227" s="741">
        <f>2500+2400</f>
        <v>4900</v>
      </c>
      <c r="P227" s="741">
        <f t="shared" si="33"/>
        <v>0</v>
      </c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</row>
    <row r="228" spans="1:27" ht="18" customHeight="1" x14ac:dyDescent="0.3">
      <c r="A228" s="635">
        <v>45250</v>
      </c>
      <c r="B228" s="623">
        <v>4394957123</v>
      </c>
      <c r="C228" s="225" t="s">
        <v>10036</v>
      </c>
      <c r="D228" s="625">
        <v>32528</v>
      </c>
      <c r="E228" s="336">
        <v>917992235737</v>
      </c>
      <c r="F228" s="680"/>
      <c r="G228" s="225"/>
      <c r="H228" s="225"/>
      <c r="I228" s="280" t="s">
        <v>7620</v>
      </c>
      <c r="J228" s="225">
        <v>5500</v>
      </c>
      <c r="K228" s="225">
        <f>3000+2500</f>
        <v>5500</v>
      </c>
      <c r="L228" s="225">
        <f t="shared" si="32"/>
        <v>0</v>
      </c>
      <c r="M228" s="741"/>
      <c r="N228" s="741">
        <v>4900</v>
      </c>
      <c r="O228" s="741">
        <f>2400+2500</f>
        <v>4900</v>
      </c>
      <c r="P228" s="741">
        <f t="shared" si="33"/>
        <v>0</v>
      </c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</row>
    <row r="229" spans="1:27" ht="18" customHeight="1" x14ac:dyDescent="0.3">
      <c r="A229" s="635">
        <v>45189</v>
      </c>
      <c r="B229" s="623"/>
      <c r="C229" s="225" t="s">
        <v>10046</v>
      </c>
      <c r="D229" s="625">
        <v>20428</v>
      </c>
      <c r="E229" s="336">
        <v>919771550850</v>
      </c>
      <c r="F229" s="225" t="s">
        <v>10057</v>
      </c>
      <c r="G229" s="680"/>
      <c r="H229" s="680"/>
      <c r="I229" s="716" t="s">
        <v>10048</v>
      </c>
      <c r="J229" s="225">
        <v>2000</v>
      </c>
      <c r="K229" s="225">
        <v>1700</v>
      </c>
      <c r="L229" s="225">
        <f t="shared" si="32"/>
        <v>300</v>
      </c>
      <c r="M229" s="225"/>
      <c r="N229" s="225">
        <v>1800</v>
      </c>
      <c r="O229" s="147">
        <v>1800</v>
      </c>
      <c r="P229" s="147">
        <f t="shared" si="33"/>
        <v>0</v>
      </c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</row>
    <row r="230" spans="1:27" ht="18" customHeight="1" x14ac:dyDescent="0.3">
      <c r="A230" s="635">
        <v>45189</v>
      </c>
      <c r="B230" s="623"/>
      <c r="C230" s="225" t="s">
        <v>10046</v>
      </c>
      <c r="D230" s="625">
        <v>20428</v>
      </c>
      <c r="E230" s="336">
        <v>919771550850</v>
      </c>
      <c r="F230" s="225" t="s">
        <v>7540</v>
      </c>
      <c r="G230" s="280"/>
      <c r="H230" s="225"/>
      <c r="I230" s="280" t="s">
        <v>7587</v>
      </c>
      <c r="J230" s="225">
        <v>1700</v>
      </c>
      <c r="K230" s="225">
        <v>1700</v>
      </c>
      <c r="L230" s="225">
        <f t="shared" si="32"/>
        <v>0</v>
      </c>
      <c r="M230" s="225"/>
      <c r="N230" s="225">
        <v>1300</v>
      </c>
      <c r="O230" s="147">
        <v>1300</v>
      </c>
      <c r="P230" s="147">
        <f t="shared" si="33"/>
        <v>0</v>
      </c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</row>
    <row r="231" spans="1:27" ht="18" customHeight="1" x14ac:dyDescent="0.3">
      <c r="A231" s="635">
        <v>45189</v>
      </c>
      <c r="B231" s="623">
        <v>3652578623</v>
      </c>
      <c r="C231" s="225" t="s">
        <v>10047</v>
      </c>
      <c r="D231" s="625">
        <v>31550</v>
      </c>
      <c r="E231" s="336">
        <v>917033298239</v>
      </c>
      <c r="F231" s="225"/>
      <c r="G231" s="280"/>
      <c r="H231" s="225"/>
      <c r="I231" s="280" t="s">
        <v>7620</v>
      </c>
      <c r="J231" s="225">
        <v>5500</v>
      </c>
      <c r="K231" s="225">
        <f>3000+2500</f>
        <v>5500</v>
      </c>
      <c r="L231" s="225">
        <f t="shared" si="32"/>
        <v>0</v>
      </c>
      <c r="M231" s="147"/>
      <c r="N231" s="147">
        <v>4900</v>
      </c>
      <c r="O231" s="147">
        <f>2500+2400</f>
        <v>4900</v>
      </c>
      <c r="P231" s="147">
        <f t="shared" si="33"/>
        <v>0</v>
      </c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</row>
    <row r="232" spans="1:27" ht="18" customHeight="1" x14ac:dyDescent="0.3">
      <c r="A232" s="635">
        <v>45250</v>
      </c>
      <c r="B232" s="623">
        <v>4394990923</v>
      </c>
      <c r="C232" s="225" t="s">
        <v>10051</v>
      </c>
      <c r="D232" s="625">
        <v>34949</v>
      </c>
      <c r="E232" s="336">
        <v>916260447345</v>
      </c>
      <c r="F232" s="225" t="s">
        <v>9044</v>
      </c>
      <c r="G232" s="625">
        <v>45307</v>
      </c>
      <c r="H232" s="225"/>
      <c r="I232" s="280" t="s">
        <v>7620</v>
      </c>
      <c r="J232" s="225">
        <v>5500</v>
      </c>
      <c r="K232" s="225">
        <f>3000+2500</f>
        <v>5500</v>
      </c>
      <c r="L232" s="225">
        <f t="shared" si="32"/>
        <v>0</v>
      </c>
      <c r="M232" s="741"/>
      <c r="N232" s="741">
        <v>4900</v>
      </c>
      <c r="O232" s="741">
        <f>2500+2400</f>
        <v>4900</v>
      </c>
      <c r="P232" s="741">
        <f t="shared" si="33"/>
        <v>0</v>
      </c>
      <c r="Q232" s="147"/>
      <c r="R232" s="147"/>
      <c r="S232" s="147">
        <f>4800+2500+1300</f>
        <v>8600</v>
      </c>
      <c r="T232" s="147"/>
      <c r="U232" s="147"/>
      <c r="V232" s="147"/>
      <c r="W232" s="147"/>
      <c r="X232" s="147"/>
      <c r="Y232" s="147"/>
      <c r="Z232" s="147"/>
      <c r="AA232" s="147"/>
    </row>
    <row r="233" spans="1:27" ht="18" customHeight="1" x14ac:dyDescent="0.3">
      <c r="A233" s="635">
        <v>45191</v>
      </c>
      <c r="B233" s="623"/>
      <c r="C233" s="225" t="s">
        <v>6778</v>
      </c>
      <c r="D233" s="625">
        <v>25933</v>
      </c>
      <c r="E233" s="336">
        <v>919570121221</v>
      </c>
      <c r="F233" s="225" t="s">
        <v>9260</v>
      </c>
      <c r="G233" s="280"/>
      <c r="H233" s="225"/>
      <c r="I233" s="280" t="s">
        <v>10056</v>
      </c>
      <c r="J233" s="225">
        <v>1700</v>
      </c>
      <c r="K233" s="225">
        <v>1700</v>
      </c>
      <c r="L233" s="225">
        <f t="shared" si="32"/>
        <v>0</v>
      </c>
      <c r="M233" s="225"/>
      <c r="N233" s="225">
        <v>1300</v>
      </c>
      <c r="O233" s="225">
        <v>1300</v>
      </c>
      <c r="P233" s="225">
        <f t="shared" si="33"/>
        <v>0</v>
      </c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</row>
    <row r="234" spans="1:27" s="680" customFormat="1" ht="18" customHeight="1" x14ac:dyDescent="0.3">
      <c r="A234" s="635">
        <v>45210</v>
      </c>
      <c r="B234" s="623"/>
      <c r="C234" s="225" t="s">
        <v>10102</v>
      </c>
      <c r="D234" s="625"/>
      <c r="E234" s="336">
        <v>8670225647</v>
      </c>
      <c r="F234" s="225" t="s">
        <v>237</v>
      </c>
      <c r="G234" s="625">
        <v>45286</v>
      </c>
      <c r="H234" s="225"/>
      <c r="I234" s="280" t="s">
        <v>7698</v>
      </c>
      <c r="J234" s="225">
        <v>1700</v>
      </c>
      <c r="K234" s="225">
        <v>1700</v>
      </c>
      <c r="L234" s="225">
        <f t="shared" si="32"/>
        <v>0</v>
      </c>
      <c r="M234" s="225"/>
      <c r="N234" s="225">
        <v>1200</v>
      </c>
      <c r="O234" s="225">
        <v>1200</v>
      </c>
      <c r="P234" s="225">
        <f t="shared" si="33"/>
        <v>0</v>
      </c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  <c r="AA234" s="225"/>
    </row>
    <row r="235" spans="1:27" ht="18" customHeight="1" x14ac:dyDescent="0.3">
      <c r="A235" s="635">
        <v>45210</v>
      </c>
      <c r="B235" s="623">
        <v>3910254023</v>
      </c>
      <c r="C235" s="225" t="s">
        <v>10103</v>
      </c>
      <c r="D235" s="625"/>
      <c r="E235" s="336">
        <v>917209643556</v>
      </c>
      <c r="F235" s="225"/>
      <c r="G235" s="280"/>
      <c r="H235" s="225"/>
      <c r="I235" s="280" t="s">
        <v>10104</v>
      </c>
      <c r="J235" s="225">
        <v>1700</v>
      </c>
      <c r="K235" s="225">
        <v>1700</v>
      </c>
      <c r="L235" s="225">
        <f t="shared" si="32"/>
        <v>0</v>
      </c>
      <c r="M235" s="225"/>
      <c r="N235" s="225">
        <v>1300</v>
      </c>
      <c r="O235" s="225">
        <v>1300</v>
      </c>
      <c r="P235" s="225">
        <f t="shared" si="33"/>
        <v>0</v>
      </c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</row>
    <row r="236" spans="1:27" ht="18" customHeight="1" x14ac:dyDescent="0.3">
      <c r="A236" s="623"/>
      <c r="B236" s="623"/>
      <c r="C236" s="225" t="s">
        <v>10113</v>
      </c>
      <c r="D236" s="625"/>
      <c r="E236" s="281">
        <v>919835932956</v>
      </c>
      <c r="F236" s="225"/>
      <c r="G236" s="280"/>
      <c r="H236" s="225"/>
      <c r="I236" s="280" t="s">
        <v>10112</v>
      </c>
      <c r="J236" s="225">
        <v>8200</v>
      </c>
      <c r="K236" s="225">
        <v>8200</v>
      </c>
      <c r="L236" s="225">
        <f t="shared" si="32"/>
        <v>0</v>
      </c>
      <c r="M236" s="225"/>
      <c r="N236" s="225">
        <v>8000</v>
      </c>
      <c r="O236" s="225">
        <v>8000</v>
      </c>
      <c r="P236" s="225">
        <f t="shared" si="33"/>
        <v>0</v>
      </c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</row>
    <row r="237" spans="1:27" ht="18" customHeight="1" x14ac:dyDescent="0.3">
      <c r="A237" s="172"/>
      <c r="B237" s="172"/>
      <c r="C237" s="147"/>
      <c r="D237" s="272"/>
      <c r="E237" s="281">
        <v>917033298422</v>
      </c>
      <c r="F237" s="147"/>
      <c r="G237" s="171"/>
      <c r="H237" s="147"/>
      <c r="I237" s="171"/>
      <c r="J237" s="147"/>
      <c r="K237" s="147"/>
      <c r="L237" s="147">
        <f t="shared" si="32"/>
        <v>0</v>
      </c>
      <c r="M237" s="147"/>
      <c r="N237" s="147"/>
      <c r="O237" s="147"/>
      <c r="P237" s="147">
        <f t="shared" si="33"/>
        <v>0</v>
      </c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</row>
    <row r="238" spans="1:27" ht="18" customHeight="1" x14ac:dyDescent="0.3">
      <c r="A238" s="623"/>
      <c r="B238" s="623"/>
      <c r="C238" s="225" t="s">
        <v>9647</v>
      </c>
      <c r="D238" s="625"/>
      <c r="E238" s="336">
        <v>917974928772</v>
      </c>
      <c r="F238" s="225"/>
      <c r="G238" s="280"/>
      <c r="H238" s="225"/>
      <c r="I238" s="280" t="s">
        <v>10166</v>
      </c>
      <c r="J238" s="225">
        <v>3000</v>
      </c>
      <c r="K238" s="225">
        <v>3000</v>
      </c>
      <c r="L238" s="225">
        <f t="shared" si="32"/>
        <v>0</v>
      </c>
      <c r="M238" s="225"/>
      <c r="N238" s="225">
        <v>2500</v>
      </c>
      <c r="O238" s="225">
        <v>2500</v>
      </c>
      <c r="P238" s="225">
        <f t="shared" si="33"/>
        <v>0</v>
      </c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</row>
    <row r="239" spans="1:27" s="680" customFormat="1" ht="18" customHeight="1" x14ac:dyDescent="0.3">
      <c r="A239" s="623"/>
      <c r="B239" s="623"/>
      <c r="C239" s="225" t="s">
        <v>10185</v>
      </c>
      <c r="D239" s="625">
        <v>24290</v>
      </c>
      <c r="E239" s="336">
        <v>919836372800</v>
      </c>
      <c r="F239" s="225"/>
      <c r="G239" s="280" t="s">
        <v>237</v>
      </c>
      <c r="H239" s="225"/>
      <c r="I239" s="280" t="s">
        <v>7188</v>
      </c>
      <c r="J239" s="225">
        <v>1700</v>
      </c>
      <c r="K239" s="225">
        <v>1700</v>
      </c>
      <c r="L239" s="225">
        <f t="shared" si="32"/>
        <v>0</v>
      </c>
      <c r="M239" s="225"/>
      <c r="N239" s="225">
        <v>1300</v>
      </c>
      <c r="O239" s="225">
        <v>1300</v>
      </c>
      <c r="P239" s="225">
        <f t="shared" si="33"/>
        <v>0</v>
      </c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  <c r="AA239" s="225"/>
    </row>
    <row r="240" spans="1:27" ht="18" customHeight="1" x14ac:dyDescent="0.3">
      <c r="A240" s="162">
        <v>45262</v>
      </c>
      <c r="B240" s="172">
        <v>1404943624</v>
      </c>
      <c r="C240" s="147" t="s">
        <v>10220</v>
      </c>
      <c r="D240" s="272">
        <v>37257</v>
      </c>
      <c r="E240" s="281">
        <v>916203994148</v>
      </c>
      <c r="F240" s="147" t="s">
        <v>9044</v>
      </c>
      <c r="G240" s="272"/>
      <c r="H240" s="147" t="s">
        <v>10541</v>
      </c>
      <c r="I240" s="171" t="s">
        <v>7620</v>
      </c>
      <c r="J240" s="147">
        <v>5500</v>
      </c>
      <c r="K240" s="147">
        <f>2500+2000</f>
        <v>4500</v>
      </c>
      <c r="L240" s="147">
        <f t="shared" si="32"/>
        <v>1000</v>
      </c>
      <c r="M240" s="147"/>
      <c r="N240" s="147">
        <v>4800</v>
      </c>
      <c r="O240" s="147">
        <v>4800</v>
      </c>
      <c r="P240" s="147">
        <f t="shared" si="33"/>
        <v>0</v>
      </c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</row>
    <row r="241" spans="1:27" ht="18" customHeight="1" x14ac:dyDescent="0.3">
      <c r="A241" s="635">
        <v>45262</v>
      </c>
      <c r="B241" s="623">
        <v>4540977623</v>
      </c>
      <c r="C241" s="225" t="s">
        <v>10221</v>
      </c>
      <c r="D241" s="625">
        <v>27030</v>
      </c>
      <c r="E241" s="336">
        <v>918804259165</v>
      </c>
      <c r="F241" s="225" t="s">
        <v>10419</v>
      </c>
      <c r="G241" s="625" t="s">
        <v>10434</v>
      </c>
      <c r="H241" s="225"/>
      <c r="I241" s="280" t="s">
        <v>7620</v>
      </c>
      <c r="J241" s="225">
        <f>5500+200</f>
        <v>5700</v>
      </c>
      <c r="K241" s="225">
        <f>2000+200+3500</f>
        <v>5700</v>
      </c>
      <c r="L241" s="225">
        <f t="shared" si="32"/>
        <v>0</v>
      </c>
      <c r="M241" s="147"/>
      <c r="N241" s="147">
        <v>5000</v>
      </c>
      <c r="O241" s="147">
        <f>2500+2500</f>
        <v>5000</v>
      </c>
      <c r="P241" s="147">
        <f t="shared" si="33"/>
        <v>0</v>
      </c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</row>
    <row r="242" spans="1:27" ht="18" customHeight="1" x14ac:dyDescent="0.3">
      <c r="A242" s="635">
        <v>45263</v>
      </c>
      <c r="B242" s="842">
        <v>498926624</v>
      </c>
      <c r="C242" s="225" t="s">
        <v>10224</v>
      </c>
      <c r="D242" s="625">
        <v>31177</v>
      </c>
      <c r="E242" s="336">
        <v>917209444760</v>
      </c>
      <c r="F242" s="225" t="s">
        <v>10419</v>
      </c>
      <c r="G242" s="625"/>
      <c r="H242" s="225"/>
      <c r="I242" s="280" t="s">
        <v>7620</v>
      </c>
      <c r="J242" s="225">
        <v>5500</v>
      </c>
      <c r="K242" s="225">
        <f>3000+2500</f>
        <v>5500</v>
      </c>
      <c r="L242" s="225">
        <f t="shared" si="32"/>
        <v>0</v>
      </c>
      <c r="M242" s="147"/>
      <c r="N242" s="147">
        <v>4900</v>
      </c>
      <c r="O242" s="147">
        <f>2500+2400</f>
        <v>4900</v>
      </c>
      <c r="P242" s="147">
        <f t="shared" si="33"/>
        <v>0</v>
      </c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</row>
    <row r="243" spans="1:27" ht="18" customHeight="1" x14ac:dyDescent="0.3">
      <c r="A243" s="162">
        <v>45283</v>
      </c>
      <c r="B243" s="172">
        <v>4817857323</v>
      </c>
      <c r="C243" s="147" t="s">
        <v>10272</v>
      </c>
      <c r="D243" s="272">
        <v>32217</v>
      </c>
      <c r="E243" s="281">
        <v>917033298422</v>
      </c>
      <c r="F243" s="147" t="s">
        <v>10625</v>
      </c>
      <c r="G243" s="272">
        <v>45325</v>
      </c>
      <c r="H243" s="147" t="s">
        <v>10566</v>
      </c>
      <c r="I243" s="171" t="s">
        <v>7620</v>
      </c>
      <c r="J243" s="147">
        <v>5500</v>
      </c>
      <c r="K243" s="147">
        <f>3000+2500</f>
        <v>5500</v>
      </c>
      <c r="L243" s="147">
        <f t="shared" si="32"/>
        <v>0</v>
      </c>
      <c r="M243" s="147"/>
      <c r="N243" s="147">
        <v>4900</v>
      </c>
      <c r="O243" s="147">
        <f>2500+2400</f>
        <v>4900</v>
      </c>
      <c r="P243" s="147">
        <f t="shared" si="33"/>
        <v>0</v>
      </c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</row>
    <row r="244" spans="1:27" s="752" customFormat="1" ht="18" customHeight="1" x14ac:dyDescent="0.3">
      <c r="A244" s="1519">
        <v>45294</v>
      </c>
      <c r="B244" s="1520">
        <v>43094424</v>
      </c>
      <c r="C244" s="748" t="s">
        <v>6591</v>
      </c>
      <c r="D244" s="1521">
        <v>38579</v>
      </c>
      <c r="E244" s="750">
        <v>918210945861</v>
      </c>
      <c r="F244" s="748" t="s">
        <v>7636</v>
      </c>
      <c r="G244" s="749">
        <v>45342</v>
      </c>
      <c r="H244" s="748"/>
      <c r="I244" s="751" t="s">
        <v>7620</v>
      </c>
      <c r="J244" s="748">
        <v>5500</v>
      </c>
      <c r="K244" s="748">
        <f>3000+2500</f>
        <v>5500</v>
      </c>
      <c r="L244" s="748">
        <f t="shared" si="32"/>
        <v>0</v>
      </c>
      <c r="M244" s="748"/>
      <c r="N244" s="748">
        <v>4800</v>
      </c>
      <c r="O244" s="748">
        <f>2500+2300</f>
        <v>4800</v>
      </c>
      <c r="P244" s="748">
        <f t="shared" si="33"/>
        <v>0</v>
      </c>
      <c r="Q244" s="748"/>
      <c r="R244" s="748"/>
      <c r="S244" s="748"/>
      <c r="T244" s="748"/>
      <c r="U244" s="748"/>
      <c r="V244" s="748"/>
      <c r="W244" s="748"/>
      <c r="X244" s="748"/>
      <c r="Y244" s="748"/>
      <c r="Z244" s="748"/>
      <c r="AA244" s="748"/>
    </row>
    <row r="245" spans="1:27" ht="18" customHeight="1" x14ac:dyDescent="0.3">
      <c r="A245" s="162">
        <v>45324</v>
      </c>
      <c r="B245" s="172">
        <v>426036024</v>
      </c>
      <c r="C245" s="147" t="s">
        <v>10374</v>
      </c>
      <c r="D245" s="272">
        <v>25522</v>
      </c>
      <c r="E245" s="281">
        <v>918603112961</v>
      </c>
      <c r="F245" s="147" t="s">
        <v>10383</v>
      </c>
      <c r="G245" s="272">
        <v>45355</v>
      </c>
      <c r="H245" s="147" t="s">
        <v>10417</v>
      </c>
      <c r="I245" s="171" t="s">
        <v>7620</v>
      </c>
      <c r="J245" s="147">
        <f>5000+200</f>
        <v>5200</v>
      </c>
      <c r="K245" s="147">
        <v>3000</v>
      </c>
      <c r="L245" s="147">
        <f t="shared" si="32"/>
        <v>2200</v>
      </c>
      <c r="M245" s="147"/>
      <c r="N245" s="147">
        <v>4800</v>
      </c>
      <c r="O245" s="147">
        <v>2500</v>
      </c>
      <c r="P245" s="147">
        <f t="shared" si="33"/>
        <v>2300</v>
      </c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</row>
    <row r="246" spans="1:27" s="752" customFormat="1" ht="18" customHeight="1" x14ac:dyDescent="0.3">
      <c r="A246" s="747">
        <v>45326</v>
      </c>
      <c r="B246" s="837">
        <v>1363035124</v>
      </c>
      <c r="C246" s="748" t="s">
        <v>7399</v>
      </c>
      <c r="D246" s="749">
        <v>28550</v>
      </c>
      <c r="E246" s="750">
        <v>919470030023</v>
      </c>
      <c r="F246" s="748" t="s">
        <v>9044</v>
      </c>
      <c r="G246" s="751"/>
      <c r="H246" s="748"/>
      <c r="I246" s="751" t="s">
        <v>7620</v>
      </c>
      <c r="J246" s="748">
        <f>5000+200</f>
        <v>5200</v>
      </c>
      <c r="K246" s="748">
        <f>2500+2700</f>
        <v>5200</v>
      </c>
      <c r="L246" s="748">
        <f t="shared" si="32"/>
        <v>0</v>
      </c>
      <c r="M246" s="748"/>
      <c r="N246" s="748">
        <v>4800</v>
      </c>
      <c r="O246" s="748">
        <v>4800</v>
      </c>
      <c r="P246" s="748">
        <f t="shared" si="33"/>
        <v>0</v>
      </c>
      <c r="Q246" s="748"/>
      <c r="R246" s="748"/>
      <c r="S246" s="748"/>
      <c r="T246" s="748"/>
      <c r="U246" s="748"/>
      <c r="V246" s="748"/>
      <c r="W246" s="748"/>
      <c r="X246" s="748"/>
      <c r="Y246" s="748"/>
      <c r="Z246" s="748"/>
      <c r="AA246" s="748"/>
    </row>
    <row r="247" spans="1:27" ht="18" customHeight="1" x14ac:dyDescent="0.3">
      <c r="A247" s="855">
        <v>45331</v>
      </c>
      <c r="B247" s="835"/>
      <c r="C247" s="262" t="s">
        <v>10395</v>
      </c>
      <c r="D247" s="627">
        <v>29620</v>
      </c>
      <c r="E247" s="529">
        <v>917903833040</v>
      </c>
      <c r="F247" s="262" t="s">
        <v>10527</v>
      </c>
      <c r="G247" s="279"/>
      <c r="H247" s="262"/>
      <c r="I247" s="279" t="s">
        <v>10396</v>
      </c>
      <c r="J247" s="262">
        <v>5700</v>
      </c>
      <c r="K247" s="262">
        <v>5700</v>
      </c>
      <c r="L247" s="147">
        <f t="shared" si="32"/>
        <v>0</v>
      </c>
      <c r="M247" s="147"/>
      <c r="N247" s="147">
        <v>5200</v>
      </c>
      <c r="O247" s="147">
        <v>5200</v>
      </c>
      <c r="P247" s="147">
        <f t="shared" si="33"/>
        <v>0</v>
      </c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</row>
    <row r="248" spans="1:27" ht="18" customHeight="1" x14ac:dyDescent="0.3">
      <c r="A248" s="635">
        <v>45334</v>
      </c>
      <c r="B248" s="623">
        <v>1446477624</v>
      </c>
      <c r="C248" s="225" t="s">
        <v>5748</v>
      </c>
      <c r="D248" s="625">
        <v>37880</v>
      </c>
      <c r="E248" s="336">
        <v>917488377105</v>
      </c>
      <c r="F248" s="225" t="s">
        <v>10959</v>
      </c>
      <c r="G248" s="280"/>
      <c r="H248" s="225"/>
      <c r="I248" s="280" t="s">
        <v>7620</v>
      </c>
      <c r="J248" s="225">
        <v>5300</v>
      </c>
      <c r="K248" s="225">
        <f>2500+2500+300</f>
        <v>5300</v>
      </c>
      <c r="L248" s="225">
        <f t="shared" si="32"/>
        <v>0</v>
      </c>
      <c r="M248" s="166" t="s">
        <v>10630</v>
      </c>
      <c r="N248" s="147">
        <v>4800</v>
      </c>
      <c r="O248" s="147">
        <f>2500+2300</f>
        <v>4800</v>
      </c>
      <c r="P248" s="147">
        <f t="shared" si="33"/>
        <v>0</v>
      </c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</row>
    <row r="249" spans="1:27" ht="18" customHeight="1" x14ac:dyDescent="0.3">
      <c r="A249" s="835"/>
      <c r="B249" s="835">
        <v>609292924</v>
      </c>
      <c r="C249" s="262" t="s">
        <v>10418</v>
      </c>
      <c r="D249" s="627">
        <v>20403</v>
      </c>
      <c r="E249" s="529">
        <v>918340587671</v>
      </c>
      <c r="F249" s="262"/>
      <c r="G249" s="279" t="s">
        <v>10488</v>
      </c>
      <c r="H249" s="262"/>
      <c r="I249" s="279" t="s">
        <v>7546</v>
      </c>
      <c r="J249" s="262">
        <v>1600</v>
      </c>
      <c r="K249" s="262">
        <v>1600</v>
      </c>
      <c r="L249" s="147">
        <f t="shared" si="32"/>
        <v>0</v>
      </c>
      <c r="M249" s="147"/>
      <c r="N249" s="147">
        <v>1300</v>
      </c>
      <c r="O249" s="147">
        <f>300+1000</f>
        <v>1300</v>
      </c>
      <c r="P249" s="147">
        <f t="shared" si="33"/>
        <v>0</v>
      </c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</row>
    <row r="250" spans="1:27" s="752" customFormat="1" ht="18" customHeight="1" x14ac:dyDescent="0.3">
      <c r="A250" s="747">
        <v>45341</v>
      </c>
      <c r="B250" s="837"/>
      <c r="C250" s="748" t="s">
        <v>10435</v>
      </c>
      <c r="D250" s="749">
        <v>27080</v>
      </c>
      <c r="E250" s="750">
        <v>917739229720</v>
      </c>
      <c r="F250" s="748"/>
      <c r="G250" s="748" t="s">
        <v>10631</v>
      </c>
      <c r="I250" s="751" t="s">
        <v>7546</v>
      </c>
      <c r="J250" s="748">
        <v>1700</v>
      </c>
      <c r="K250" s="748">
        <v>1700</v>
      </c>
      <c r="L250" s="748">
        <f t="shared" si="32"/>
        <v>0</v>
      </c>
      <c r="M250" s="748"/>
      <c r="N250" s="748">
        <v>1300</v>
      </c>
      <c r="O250" s="748">
        <v>1300</v>
      </c>
      <c r="P250" s="748">
        <f t="shared" si="33"/>
        <v>0</v>
      </c>
      <c r="Q250" s="748"/>
      <c r="R250" s="748"/>
      <c r="S250" s="748"/>
      <c r="T250" s="748"/>
      <c r="U250" s="748"/>
      <c r="V250" s="748"/>
      <c r="W250" s="748"/>
      <c r="X250" s="748"/>
      <c r="Y250" s="748"/>
      <c r="Z250" s="748"/>
      <c r="AA250" s="748"/>
    </row>
    <row r="251" spans="1:27" ht="18" customHeight="1" x14ac:dyDescent="0.3">
      <c r="A251" s="162">
        <v>45343</v>
      </c>
      <c r="B251" s="172">
        <v>677773924</v>
      </c>
      <c r="C251" s="147" t="s">
        <v>10436</v>
      </c>
      <c r="D251" s="272">
        <v>34841</v>
      </c>
      <c r="E251" s="281">
        <v>9430745575</v>
      </c>
      <c r="F251" s="147" t="s">
        <v>7636</v>
      </c>
      <c r="G251" s="171"/>
      <c r="H251" s="147" t="s">
        <v>10677</v>
      </c>
      <c r="I251" s="171" t="s">
        <v>7620</v>
      </c>
      <c r="J251" s="147">
        <f>5000+300</f>
        <v>5300</v>
      </c>
      <c r="K251" s="147">
        <f>2500+2800</f>
        <v>5300</v>
      </c>
      <c r="L251" s="147">
        <f t="shared" si="32"/>
        <v>0</v>
      </c>
      <c r="M251" s="147"/>
      <c r="N251" s="147">
        <v>4800</v>
      </c>
      <c r="O251" s="147">
        <f>2000+2800</f>
        <v>4800</v>
      </c>
      <c r="P251" s="147">
        <f t="shared" si="33"/>
        <v>0</v>
      </c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</row>
    <row r="252" spans="1:27" ht="18" customHeight="1" x14ac:dyDescent="0.3">
      <c r="A252" s="162">
        <v>45343</v>
      </c>
      <c r="B252" s="172">
        <v>677913424</v>
      </c>
      <c r="C252" s="147" t="s">
        <v>10437</v>
      </c>
      <c r="D252" s="272">
        <v>35115</v>
      </c>
      <c r="E252" s="281">
        <v>919162187354</v>
      </c>
      <c r="F252" s="147" t="s">
        <v>7636</v>
      </c>
      <c r="G252" s="171"/>
      <c r="H252" s="147" t="s">
        <v>10677</v>
      </c>
      <c r="I252" s="171" t="s">
        <v>7620</v>
      </c>
      <c r="J252" s="147">
        <f>5000+300</f>
        <v>5300</v>
      </c>
      <c r="K252" s="147">
        <f>2500+2800</f>
        <v>5300</v>
      </c>
      <c r="L252" s="147">
        <f t="shared" si="32"/>
        <v>0</v>
      </c>
      <c r="M252" s="147"/>
      <c r="N252" s="147">
        <v>4800</v>
      </c>
      <c r="O252" s="147">
        <f>2000+2800</f>
        <v>4800</v>
      </c>
      <c r="P252" s="147">
        <f t="shared" si="33"/>
        <v>0</v>
      </c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</row>
    <row r="253" spans="1:27" s="752" customFormat="1" ht="18" customHeight="1" x14ac:dyDescent="0.3">
      <c r="A253" s="747">
        <v>45419</v>
      </c>
      <c r="B253" s="837">
        <v>1633906324</v>
      </c>
      <c r="C253" s="748" t="s">
        <v>6765</v>
      </c>
      <c r="D253" s="749">
        <v>36161</v>
      </c>
      <c r="E253" s="750">
        <v>917667701055</v>
      </c>
      <c r="F253" s="748" t="s">
        <v>10629</v>
      </c>
      <c r="G253" s="751"/>
      <c r="H253" s="748"/>
      <c r="I253" s="751" t="s">
        <v>7620</v>
      </c>
      <c r="J253" s="748">
        <f>5000+300</f>
        <v>5300</v>
      </c>
      <c r="K253" s="748">
        <f>5000+300</f>
        <v>5300</v>
      </c>
      <c r="L253" s="748">
        <f t="shared" si="32"/>
        <v>0</v>
      </c>
      <c r="M253" s="748"/>
      <c r="N253" s="748">
        <f>4400+400</f>
        <v>4800</v>
      </c>
      <c r="O253" s="748">
        <f>2500+2300</f>
        <v>4800</v>
      </c>
      <c r="P253" s="748">
        <f t="shared" si="33"/>
        <v>0</v>
      </c>
      <c r="Q253" s="748"/>
      <c r="R253" s="748"/>
      <c r="S253" s="748"/>
      <c r="T253" s="748"/>
      <c r="U253" s="748"/>
      <c r="V253" s="748"/>
      <c r="W253" s="748"/>
      <c r="X253" s="748"/>
      <c r="Y253" s="748"/>
      <c r="Z253" s="748"/>
      <c r="AA253" s="748"/>
    </row>
    <row r="254" spans="1:27" s="752" customFormat="1" ht="18" customHeight="1" x14ac:dyDescent="0.3">
      <c r="A254" s="747">
        <v>45358</v>
      </c>
      <c r="B254" s="837"/>
      <c r="C254" s="748" t="s">
        <v>10496</v>
      </c>
      <c r="D254" s="749">
        <v>25204</v>
      </c>
      <c r="E254" s="750">
        <v>919431330169</v>
      </c>
      <c r="F254" s="748">
        <v>82100236593</v>
      </c>
      <c r="G254" s="751"/>
      <c r="H254" s="1518"/>
      <c r="I254" s="751" t="s">
        <v>10497</v>
      </c>
      <c r="J254" s="748">
        <v>1600</v>
      </c>
      <c r="K254" s="748">
        <v>1600</v>
      </c>
      <c r="L254" s="748">
        <f t="shared" si="32"/>
        <v>0</v>
      </c>
      <c r="M254" s="748"/>
      <c r="N254" s="748">
        <v>1350</v>
      </c>
      <c r="O254" s="748">
        <v>1350</v>
      </c>
      <c r="P254" s="748">
        <f t="shared" si="33"/>
        <v>0</v>
      </c>
      <c r="Q254" s="748"/>
      <c r="R254" s="748"/>
      <c r="S254" s="748"/>
      <c r="T254" s="748"/>
      <c r="U254" s="748"/>
      <c r="V254" s="748"/>
      <c r="W254" s="748"/>
      <c r="X254" s="748"/>
      <c r="Y254" s="748"/>
      <c r="Z254" s="748"/>
      <c r="AA254" s="748"/>
    </row>
    <row r="255" spans="1:27" ht="18" customHeight="1" x14ac:dyDescent="0.3">
      <c r="A255" s="623" t="s">
        <v>10605</v>
      </c>
      <c r="B255" s="623"/>
      <c r="C255" s="225" t="s">
        <v>10132</v>
      </c>
      <c r="D255" s="625">
        <v>23877</v>
      </c>
      <c r="E255" s="336">
        <v>919431568317</v>
      </c>
      <c r="F255" s="225"/>
      <c r="G255" s="280"/>
      <c r="H255" s="225"/>
      <c r="I255" s="280" t="s">
        <v>10604</v>
      </c>
      <c r="J255" s="225">
        <v>1500</v>
      </c>
      <c r="K255" s="225">
        <v>1500</v>
      </c>
      <c r="L255" s="225">
        <f t="shared" si="32"/>
        <v>0</v>
      </c>
      <c r="M255" s="147"/>
      <c r="N255" s="147">
        <v>1300</v>
      </c>
      <c r="O255" s="147">
        <v>1300</v>
      </c>
      <c r="P255" s="147">
        <f t="shared" si="33"/>
        <v>0</v>
      </c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</row>
    <row r="256" spans="1:27" s="752" customFormat="1" ht="18" customHeight="1" x14ac:dyDescent="0.3">
      <c r="A256" s="747">
        <v>45432</v>
      </c>
      <c r="B256" s="837">
        <v>2981392224</v>
      </c>
      <c r="C256" s="748" t="s">
        <v>1232</v>
      </c>
      <c r="D256" s="749">
        <v>29833</v>
      </c>
      <c r="E256" s="750">
        <v>918809128433</v>
      </c>
      <c r="F256" s="748" t="s">
        <v>10625</v>
      </c>
      <c r="G256" s="751" t="s">
        <v>11434</v>
      </c>
      <c r="H256" s="748"/>
      <c r="I256" s="751" t="s">
        <v>7057</v>
      </c>
      <c r="J256" s="748">
        <v>5500</v>
      </c>
      <c r="K256" s="748">
        <f>3000+2500</f>
        <v>5500</v>
      </c>
      <c r="L256" s="748">
        <f t="shared" si="32"/>
        <v>0</v>
      </c>
      <c r="M256" s="748"/>
      <c r="N256" s="748">
        <v>4800</v>
      </c>
      <c r="O256" s="748">
        <f>2500+2300</f>
        <v>4800</v>
      </c>
      <c r="P256" s="748">
        <f t="shared" si="33"/>
        <v>0</v>
      </c>
      <c r="Q256" s="748"/>
      <c r="R256" s="748"/>
      <c r="S256" s="748"/>
      <c r="T256" s="748"/>
      <c r="U256" s="748"/>
      <c r="V256" s="748"/>
      <c r="W256" s="748"/>
      <c r="X256" s="748"/>
      <c r="Y256" s="748"/>
      <c r="Z256" s="748"/>
      <c r="AA256" s="748"/>
    </row>
    <row r="257" spans="1:27" s="752" customFormat="1" ht="18" customHeight="1" x14ac:dyDescent="0.3">
      <c r="A257" s="747">
        <v>45432</v>
      </c>
      <c r="B257" s="837"/>
      <c r="C257" s="748" t="s">
        <v>7485</v>
      </c>
      <c r="D257" s="749">
        <v>26799</v>
      </c>
      <c r="E257" s="750">
        <v>917765917592</v>
      </c>
      <c r="F257" s="748"/>
      <c r="G257" s="751"/>
      <c r="H257" s="748"/>
      <c r="I257" s="751" t="s">
        <v>7188</v>
      </c>
      <c r="J257" s="748">
        <f>1700+1100+1100+300</f>
        <v>4200</v>
      </c>
      <c r="K257" s="748">
        <f>1700+2200+300</f>
        <v>4200</v>
      </c>
      <c r="L257" s="748">
        <f t="shared" si="32"/>
        <v>0</v>
      </c>
      <c r="M257" s="748"/>
      <c r="N257" s="748">
        <v>4000</v>
      </c>
      <c r="O257" s="748">
        <v>4000</v>
      </c>
      <c r="P257" s="748">
        <f t="shared" si="33"/>
        <v>0</v>
      </c>
      <c r="Q257" s="748"/>
      <c r="R257" s="748"/>
      <c r="S257" s="748"/>
      <c r="T257" s="748"/>
      <c r="U257" s="748"/>
      <c r="V257" s="748"/>
      <c r="W257" s="748"/>
      <c r="X257" s="748"/>
      <c r="Y257" s="748"/>
      <c r="Z257" s="748"/>
      <c r="AA257" s="748"/>
    </row>
    <row r="258" spans="1:27" s="752" customFormat="1" ht="18" customHeight="1" x14ac:dyDescent="0.3">
      <c r="A258" s="747">
        <v>45434</v>
      </c>
      <c r="B258" s="837"/>
      <c r="C258" s="748" t="s">
        <v>10701</v>
      </c>
      <c r="D258" s="749">
        <v>26868</v>
      </c>
      <c r="E258" s="750">
        <v>7739925589</v>
      </c>
      <c r="F258" s="748"/>
      <c r="G258" s="751"/>
      <c r="H258" s="748"/>
      <c r="I258" s="751" t="s">
        <v>7188</v>
      </c>
      <c r="J258" s="748">
        <f>1100+1700</f>
        <v>2800</v>
      </c>
      <c r="K258" s="748">
        <v>2800</v>
      </c>
      <c r="L258" s="748">
        <f t="shared" si="32"/>
        <v>0</v>
      </c>
      <c r="M258" s="748"/>
      <c r="N258" s="748">
        <v>1300</v>
      </c>
      <c r="O258" s="748">
        <v>1300</v>
      </c>
      <c r="P258" s="748">
        <f t="shared" si="33"/>
        <v>0</v>
      </c>
      <c r="Q258" s="748"/>
      <c r="R258" s="748"/>
      <c r="S258" s="748"/>
      <c r="T258" s="748"/>
      <c r="U258" s="748"/>
      <c r="V258" s="748"/>
      <c r="W258" s="748"/>
      <c r="X258" s="748"/>
      <c r="Y258" s="748"/>
      <c r="Z258" s="748"/>
      <c r="AA258" s="748"/>
    </row>
    <row r="259" spans="1:27" s="752" customFormat="1" ht="18" customHeight="1" x14ac:dyDescent="0.3">
      <c r="A259" s="837"/>
      <c r="B259" s="837">
        <v>2976590024</v>
      </c>
      <c r="C259" s="748" t="s">
        <v>8908</v>
      </c>
      <c r="D259" s="749">
        <v>38205</v>
      </c>
      <c r="E259" s="750"/>
      <c r="F259" s="748"/>
      <c r="G259" s="751"/>
      <c r="H259" s="748"/>
      <c r="I259" s="751" t="s">
        <v>7620</v>
      </c>
      <c r="J259" s="748">
        <v>4800</v>
      </c>
      <c r="K259" s="748">
        <v>4800</v>
      </c>
      <c r="L259" s="748">
        <f t="shared" si="32"/>
        <v>0</v>
      </c>
      <c r="M259" s="748"/>
      <c r="N259" s="748">
        <v>4800</v>
      </c>
      <c r="O259" s="748">
        <f>2000+1700+1100</f>
        <v>4800</v>
      </c>
      <c r="P259" s="748">
        <f t="shared" si="33"/>
        <v>0</v>
      </c>
      <c r="Q259" s="748"/>
      <c r="R259" s="748"/>
      <c r="S259" s="748"/>
      <c r="T259" s="748"/>
      <c r="U259" s="748"/>
      <c r="V259" s="748"/>
      <c r="W259" s="748"/>
      <c r="X259" s="748"/>
      <c r="Y259" s="748"/>
      <c r="Z259" s="748"/>
      <c r="AA259" s="748"/>
    </row>
    <row r="260" spans="1:27" s="752" customFormat="1" ht="18" customHeight="1" x14ac:dyDescent="0.3">
      <c r="A260" s="747">
        <v>45442</v>
      </c>
      <c r="B260" s="837"/>
      <c r="C260" s="748" t="s">
        <v>10758</v>
      </c>
      <c r="D260" s="749"/>
      <c r="E260" s="750">
        <v>919693859539</v>
      </c>
      <c r="F260" s="748"/>
      <c r="G260" s="751"/>
      <c r="H260" s="748"/>
      <c r="I260" s="751" t="s">
        <v>7629</v>
      </c>
      <c r="J260" s="748">
        <v>1700</v>
      </c>
      <c r="K260" s="748">
        <v>1700</v>
      </c>
      <c r="L260" s="748">
        <f t="shared" si="32"/>
        <v>0</v>
      </c>
      <c r="M260" s="748"/>
      <c r="N260" s="748">
        <v>1300</v>
      </c>
      <c r="O260" s="748">
        <v>1300</v>
      </c>
      <c r="P260" s="748">
        <f t="shared" si="33"/>
        <v>0</v>
      </c>
      <c r="Q260" s="748"/>
      <c r="R260" s="748"/>
      <c r="S260" s="748"/>
      <c r="T260" s="748"/>
      <c r="U260" s="748"/>
      <c r="V260" s="748"/>
      <c r="W260" s="748"/>
      <c r="X260" s="748"/>
      <c r="Y260" s="748"/>
      <c r="Z260" s="748"/>
      <c r="AA260" s="748"/>
    </row>
    <row r="261" spans="1:27" s="752" customFormat="1" ht="18" customHeight="1" x14ac:dyDescent="0.3">
      <c r="A261" s="837"/>
      <c r="B261" s="837"/>
      <c r="C261" s="748" t="s">
        <v>10734</v>
      </c>
      <c r="D261" s="749">
        <v>25369</v>
      </c>
      <c r="E261" s="750">
        <v>918252433937</v>
      </c>
      <c r="F261" s="748"/>
      <c r="G261" s="751"/>
      <c r="H261" s="748"/>
      <c r="I261" s="751" t="s">
        <v>10735</v>
      </c>
      <c r="J261" s="748">
        <v>3000</v>
      </c>
      <c r="K261" s="748">
        <v>3000</v>
      </c>
      <c r="L261" s="748">
        <f t="shared" si="32"/>
        <v>0</v>
      </c>
      <c r="M261" s="748"/>
      <c r="N261" s="748">
        <v>2700</v>
      </c>
      <c r="O261" s="748">
        <v>2700</v>
      </c>
      <c r="P261" s="748">
        <f t="shared" si="33"/>
        <v>0</v>
      </c>
      <c r="Q261" s="748"/>
      <c r="R261" s="748"/>
      <c r="S261" s="748"/>
      <c r="T261" s="748"/>
      <c r="U261" s="748"/>
      <c r="V261" s="748"/>
      <c r="W261" s="748"/>
      <c r="X261" s="748"/>
      <c r="Y261" s="748"/>
      <c r="Z261" s="748"/>
      <c r="AA261" s="748"/>
    </row>
    <row r="262" spans="1:27" ht="18" customHeight="1" x14ac:dyDescent="0.3">
      <c r="A262" s="162">
        <v>45443</v>
      </c>
      <c r="B262" s="172">
        <v>3645723324</v>
      </c>
      <c r="C262" s="920" t="s">
        <v>10809</v>
      </c>
      <c r="D262" s="272">
        <v>38395</v>
      </c>
      <c r="E262" s="281">
        <v>917482994642</v>
      </c>
      <c r="F262" s="147" t="s">
        <v>7645</v>
      </c>
      <c r="G262" s="171"/>
      <c r="H262" s="147"/>
      <c r="I262" s="171" t="s">
        <v>7620</v>
      </c>
      <c r="J262" s="147">
        <v>5500</v>
      </c>
      <c r="K262" s="147">
        <f>2000+2500</f>
        <v>4500</v>
      </c>
      <c r="L262" s="147">
        <f t="shared" si="32"/>
        <v>1000</v>
      </c>
      <c r="M262" s="147"/>
      <c r="N262" s="147">
        <v>4800</v>
      </c>
      <c r="O262" s="147">
        <f>2000+2800</f>
        <v>4800</v>
      </c>
      <c r="P262" s="147">
        <f t="shared" si="33"/>
        <v>0</v>
      </c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</row>
    <row r="263" spans="1:27" ht="18" customHeight="1" x14ac:dyDescent="0.3">
      <c r="A263" s="162">
        <v>45450</v>
      </c>
      <c r="B263" s="623">
        <v>2052338224</v>
      </c>
      <c r="C263" s="225" t="s">
        <v>10752</v>
      </c>
      <c r="D263" s="625">
        <v>38665</v>
      </c>
      <c r="E263" s="336">
        <v>919113414940</v>
      </c>
      <c r="F263" s="225" t="s">
        <v>237</v>
      </c>
      <c r="G263" s="280"/>
      <c r="H263" s="147"/>
      <c r="I263" s="171" t="s">
        <v>7620</v>
      </c>
      <c r="J263" s="147">
        <v>5500</v>
      </c>
      <c r="K263" s="147">
        <f>3000+2500</f>
        <v>5500</v>
      </c>
      <c r="L263" s="147">
        <f t="shared" si="32"/>
        <v>0</v>
      </c>
      <c r="M263" s="147"/>
      <c r="N263" s="147">
        <v>4800</v>
      </c>
      <c r="O263" s="147">
        <v>4800</v>
      </c>
      <c r="P263" s="147">
        <f t="shared" si="33"/>
        <v>0</v>
      </c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</row>
    <row r="264" spans="1:27" s="752" customFormat="1" ht="18" customHeight="1" x14ac:dyDescent="0.3">
      <c r="A264" s="747">
        <v>45464</v>
      </c>
      <c r="B264" s="837"/>
      <c r="C264" s="748" t="s">
        <v>7694</v>
      </c>
      <c r="D264" s="749"/>
      <c r="E264" s="750">
        <v>919199299448</v>
      </c>
      <c r="F264" s="748"/>
      <c r="G264" s="751"/>
      <c r="H264" s="748"/>
      <c r="I264" s="751" t="s">
        <v>10801</v>
      </c>
      <c r="J264" s="748">
        <v>5700</v>
      </c>
      <c r="K264" s="748">
        <v>5700</v>
      </c>
      <c r="L264" s="748">
        <f t="shared" si="32"/>
        <v>0</v>
      </c>
      <c r="M264" s="748"/>
      <c r="N264" s="748">
        <v>5200</v>
      </c>
      <c r="O264" s="748">
        <v>5200</v>
      </c>
      <c r="P264" s="748">
        <f t="shared" si="33"/>
        <v>0</v>
      </c>
      <c r="Q264" s="748"/>
      <c r="R264" s="748"/>
      <c r="S264" s="748"/>
      <c r="T264" s="748"/>
      <c r="U264" s="748"/>
      <c r="V264" s="748"/>
      <c r="W264" s="748"/>
      <c r="X264" s="748"/>
      <c r="Y264" s="748"/>
      <c r="Z264" s="748"/>
      <c r="AA264" s="748"/>
    </row>
    <row r="265" spans="1:27" ht="18" customHeight="1" x14ac:dyDescent="0.3">
      <c r="A265" s="747">
        <v>45471</v>
      </c>
      <c r="B265" s="837">
        <v>3477162524</v>
      </c>
      <c r="C265" s="748" t="s">
        <v>10237</v>
      </c>
      <c r="D265" s="749">
        <v>38643</v>
      </c>
      <c r="E265" s="750">
        <v>918434671734</v>
      </c>
      <c r="F265" s="748"/>
      <c r="G265" s="751"/>
      <c r="H265" s="748"/>
      <c r="I265" s="751" t="s">
        <v>7620</v>
      </c>
      <c r="J265" s="748">
        <v>5500</v>
      </c>
      <c r="K265" s="748">
        <f>3000+2500</f>
        <v>5500</v>
      </c>
      <c r="L265" s="748">
        <f t="shared" si="32"/>
        <v>0</v>
      </c>
      <c r="M265" s="748"/>
      <c r="N265" s="748">
        <v>4800</v>
      </c>
      <c r="O265" s="748">
        <f>2500+2300</f>
        <v>4800</v>
      </c>
      <c r="P265" s="748">
        <f t="shared" si="33"/>
        <v>0</v>
      </c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</row>
    <row r="266" spans="1:27" ht="18" customHeight="1" x14ac:dyDescent="0.3">
      <c r="A266" s="635">
        <v>45487</v>
      </c>
      <c r="B266" s="1449">
        <v>2581493624</v>
      </c>
      <c r="C266" s="225" t="s">
        <v>10990</v>
      </c>
      <c r="D266" s="625">
        <v>33089</v>
      </c>
      <c r="E266" s="336">
        <v>917004771731</v>
      </c>
      <c r="F266" s="225"/>
      <c r="G266" s="280" t="s">
        <v>11486</v>
      </c>
      <c r="H266" s="225"/>
      <c r="I266" s="280" t="s">
        <v>7620</v>
      </c>
      <c r="J266" s="225">
        <v>5500</v>
      </c>
      <c r="K266" s="225">
        <f>2500+3000</f>
        <v>5500</v>
      </c>
      <c r="L266" s="225">
        <f t="shared" si="32"/>
        <v>0</v>
      </c>
      <c r="M266" s="147"/>
      <c r="N266" s="147">
        <v>4800</v>
      </c>
      <c r="O266" s="147">
        <f>2500+800+1500</f>
        <v>4800</v>
      </c>
      <c r="P266" s="147">
        <f t="shared" si="33"/>
        <v>0</v>
      </c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</row>
    <row r="267" spans="1:27" s="752" customFormat="1" ht="18" customHeight="1" x14ac:dyDescent="0.3">
      <c r="A267" s="747">
        <v>45559</v>
      </c>
      <c r="B267" s="837">
        <v>2589224524</v>
      </c>
      <c r="C267" s="748" t="s">
        <v>11024</v>
      </c>
      <c r="D267" s="749">
        <v>37840</v>
      </c>
      <c r="E267" s="750">
        <v>917481012808</v>
      </c>
      <c r="F267" s="748" t="s">
        <v>11435</v>
      </c>
      <c r="G267" s="751" t="s">
        <v>11737</v>
      </c>
      <c r="H267" s="748"/>
      <c r="I267" s="751" t="s">
        <v>7620</v>
      </c>
      <c r="J267" s="748">
        <v>5500</v>
      </c>
      <c r="K267" s="748">
        <f>3000+2500</f>
        <v>5500</v>
      </c>
      <c r="L267" s="748">
        <f t="shared" si="32"/>
        <v>0</v>
      </c>
      <c r="M267" s="748"/>
      <c r="N267" s="748">
        <v>4800</v>
      </c>
      <c r="O267" s="748">
        <f>2500+2300</f>
        <v>4800</v>
      </c>
      <c r="P267" s="748">
        <f t="shared" si="33"/>
        <v>0</v>
      </c>
      <c r="Q267" s="748"/>
      <c r="R267" s="748"/>
      <c r="S267" s="748"/>
      <c r="T267" s="748"/>
      <c r="U267" s="748"/>
      <c r="V267" s="748"/>
      <c r="W267" s="748"/>
      <c r="X267" s="748"/>
      <c r="Y267" s="748"/>
      <c r="Z267" s="748"/>
      <c r="AA267" s="748"/>
    </row>
    <row r="268" spans="1:27" ht="18" customHeight="1" x14ac:dyDescent="0.3">
      <c r="A268" s="172"/>
      <c r="B268" s="172"/>
      <c r="C268" s="147" t="s">
        <v>11031</v>
      </c>
      <c r="D268" s="272"/>
      <c r="E268" s="281">
        <v>919573395115</v>
      </c>
      <c r="F268" s="147"/>
      <c r="G268" s="171"/>
      <c r="H268" s="147"/>
      <c r="I268" s="171" t="s">
        <v>9010</v>
      </c>
      <c r="J268" s="147">
        <v>2800</v>
      </c>
      <c r="K268" s="147">
        <v>2800</v>
      </c>
      <c r="L268" s="147">
        <f t="shared" si="32"/>
        <v>0</v>
      </c>
      <c r="M268" s="147"/>
      <c r="N268" s="147">
        <v>2400</v>
      </c>
      <c r="O268" s="147">
        <v>2400</v>
      </c>
      <c r="P268" s="147">
        <f t="shared" si="33"/>
        <v>0</v>
      </c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</row>
    <row r="269" spans="1:27" ht="18" customHeight="1" x14ac:dyDescent="0.3">
      <c r="A269" s="162">
        <v>45508</v>
      </c>
      <c r="B269" s="172"/>
      <c r="C269" s="147" t="s">
        <v>11182</v>
      </c>
      <c r="D269" s="272">
        <v>27250</v>
      </c>
      <c r="E269" s="281">
        <v>919199171664</v>
      </c>
      <c r="F269" s="147"/>
      <c r="G269" s="171"/>
      <c r="H269" s="147"/>
      <c r="I269" s="171" t="s">
        <v>7587</v>
      </c>
      <c r="J269" s="147">
        <v>1700</v>
      </c>
      <c r="K269" s="147">
        <v>1700</v>
      </c>
      <c r="L269" s="147">
        <f t="shared" si="32"/>
        <v>0</v>
      </c>
      <c r="M269" s="147"/>
      <c r="N269" s="147">
        <v>1300</v>
      </c>
      <c r="O269" s="147">
        <v>1300</v>
      </c>
      <c r="P269" s="147">
        <f t="shared" si="33"/>
        <v>0</v>
      </c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</row>
    <row r="270" spans="1:27" ht="18" customHeight="1" x14ac:dyDescent="0.3">
      <c r="A270" s="623"/>
      <c r="B270" s="623"/>
      <c r="C270" s="225" t="s">
        <v>7072</v>
      </c>
      <c r="D270" s="625">
        <v>23062</v>
      </c>
      <c r="E270" s="280">
        <v>7294164978</v>
      </c>
      <c r="F270" s="225"/>
      <c r="G270" s="280"/>
      <c r="H270" s="225"/>
      <c r="I270" s="280" t="s">
        <v>7587</v>
      </c>
      <c r="J270" s="225">
        <v>1700</v>
      </c>
      <c r="K270" s="225">
        <v>1700</v>
      </c>
      <c r="L270" s="225">
        <f t="shared" si="32"/>
        <v>0</v>
      </c>
      <c r="M270" s="147"/>
      <c r="N270" s="147">
        <v>1400</v>
      </c>
      <c r="O270" s="188">
        <v>1400</v>
      </c>
      <c r="P270" s="147">
        <f t="shared" si="33"/>
        <v>0</v>
      </c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</row>
    <row r="271" spans="1:27" ht="18" customHeight="1" x14ac:dyDescent="0.3">
      <c r="A271" s="635">
        <v>45530</v>
      </c>
      <c r="B271" s="623">
        <v>3154167324</v>
      </c>
      <c r="C271" s="225" t="s">
        <v>11300</v>
      </c>
      <c r="D271" s="625">
        <v>38946</v>
      </c>
      <c r="E271" s="336">
        <v>8797951862</v>
      </c>
      <c r="F271" s="225"/>
      <c r="G271" s="280"/>
      <c r="H271" s="225"/>
      <c r="I271" s="280" t="s">
        <v>7620</v>
      </c>
      <c r="J271" s="225">
        <v>5500</v>
      </c>
      <c r="K271" s="1448">
        <f>3000+2500</f>
        <v>5500</v>
      </c>
      <c r="L271" s="225">
        <f t="shared" si="32"/>
        <v>0</v>
      </c>
      <c r="M271" s="147" t="s">
        <v>11534</v>
      </c>
      <c r="N271" s="147">
        <v>4800</v>
      </c>
      <c r="O271" s="977">
        <f>2500+2300</f>
        <v>4800</v>
      </c>
      <c r="P271" s="147">
        <f t="shared" si="33"/>
        <v>0</v>
      </c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</row>
    <row r="272" spans="1:27" ht="18" customHeight="1" x14ac:dyDescent="0.3">
      <c r="A272" s="162">
        <v>45530</v>
      </c>
      <c r="B272" s="623">
        <v>3146890224</v>
      </c>
      <c r="C272" s="225" t="s">
        <v>11192</v>
      </c>
      <c r="D272" s="625">
        <v>38873</v>
      </c>
      <c r="E272" s="280">
        <v>9430776952</v>
      </c>
      <c r="F272" s="225" t="s">
        <v>7645</v>
      </c>
      <c r="G272" s="280"/>
      <c r="H272" s="225"/>
      <c r="I272" s="171" t="s">
        <v>7620</v>
      </c>
      <c r="J272" s="147">
        <v>5500</v>
      </c>
      <c r="K272" s="188">
        <v>5500</v>
      </c>
      <c r="L272" s="147">
        <f t="shared" si="32"/>
        <v>0</v>
      </c>
      <c r="M272" s="147"/>
      <c r="N272" s="147">
        <v>4800</v>
      </c>
      <c r="O272" s="977">
        <f>2500+2300</f>
        <v>4800</v>
      </c>
      <c r="P272" s="147">
        <f t="shared" ref="P272:P278" si="34">N272-O272</f>
        <v>0</v>
      </c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</row>
    <row r="273" spans="1:27" ht="18" customHeight="1" x14ac:dyDescent="0.3">
      <c r="A273" s="162">
        <v>45548</v>
      </c>
      <c r="B273" s="172">
        <v>3414105624</v>
      </c>
      <c r="C273" s="147" t="s">
        <v>11405</v>
      </c>
      <c r="D273" s="272">
        <v>23599</v>
      </c>
      <c r="E273" s="171">
        <v>6201073246</v>
      </c>
      <c r="F273" s="147"/>
      <c r="G273" s="171"/>
      <c r="H273" s="147"/>
      <c r="I273" s="171">
        <v>2</v>
      </c>
      <c r="J273" s="147">
        <v>4500</v>
      </c>
      <c r="K273" s="147">
        <f>3000+1500</f>
        <v>4500</v>
      </c>
      <c r="L273" s="147">
        <f t="shared" si="32"/>
        <v>0</v>
      </c>
      <c r="M273" s="147"/>
      <c r="N273" s="147">
        <v>3600</v>
      </c>
      <c r="O273" s="147">
        <f>1400+2200</f>
        <v>3600</v>
      </c>
      <c r="P273" s="147">
        <f t="shared" si="34"/>
        <v>0</v>
      </c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</row>
    <row r="274" spans="1:27" s="752" customFormat="1" ht="18" customHeight="1" x14ac:dyDescent="0.3">
      <c r="A274" s="747">
        <v>45548</v>
      </c>
      <c r="B274" s="837"/>
      <c r="C274" s="748" t="s">
        <v>11406</v>
      </c>
      <c r="D274" s="749">
        <v>20766</v>
      </c>
      <c r="E274" s="751">
        <v>9771187593</v>
      </c>
      <c r="F274" s="748" t="s">
        <v>11610</v>
      </c>
      <c r="G274" s="751"/>
      <c r="H274" s="748"/>
      <c r="I274" s="751" t="s">
        <v>7587</v>
      </c>
      <c r="J274" s="748">
        <v>1700</v>
      </c>
      <c r="K274" s="748">
        <v>1700</v>
      </c>
      <c r="L274" s="748">
        <f t="shared" si="32"/>
        <v>0</v>
      </c>
      <c r="M274" s="748"/>
      <c r="N274" s="748">
        <v>1400</v>
      </c>
      <c r="O274" s="748">
        <v>1400</v>
      </c>
      <c r="P274" s="748">
        <f t="shared" si="34"/>
        <v>0</v>
      </c>
      <c r="Q274" s="748"/>
      <c r="R274" s="748"/>
      <c r="S274" s="748"/>
      <c r="T274" s="748"/>
      <c r="U274" s="748"/>
      <c r="V274" s="748"/>
      <c r="W274" s="748"/>
      <c r="X274" s="748"/>
      <c r="Y274" s="748"/>
      <c r="Z274" s="748"/>
      <c r="AA274" s="748"/>
    </row>
    <row r="275" spans="1:27" ht="18" customHeight="1" x14ac:dyDescent="0.3">
      <c r="A275" s="635" t="s">
        <v>693</v>
      </c>
      <c r="B275" s="623">
        <v>3356117124</v>
      </c>
      <c r="C275" s="225" t="s">
        <v>11407</v>
      </c>
      <c r="D275" s="625">
        <v>36496</v>
      </c>
      <c r="E275" s="280">
        <v>7547010301</v>
      </c>
      <c r="F275" s="225"/>
      <c r="G275" s="280"/>
      <c r="H275" s="225"/>
      <c r="I275" s="280" t="s">
        <v>7620</v>
      </c>
      <c r="J275" s="147">
        <v>5500</v>
      </c>
      <c r="K275" s="147">
        <f>3000+2500</f>
        <v>5500</v>
      </c>
      <c r="L275" s="147">
        <f t="shared" si="32"/>
        <v>0</v>
      </c>
      <c r="M275" s="147"/>
      <c r="N275" s="147">
        <v>4800</v>
      </c>
      <c r="O275" s="147">
        <f>3000+1800</f>
        <v>4800</v>
      </c>
      <c r="P275" s="147">
        <f t="shared" si="34"/>
        <v>0</v>
      </c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</row>
    <row r="276" spans="1:27" s="752" customFormat="1" ht="18" customHeight="1" x14ac:dyDescent="0.3">
      <c r="A276" s="747">
        <v>45551</v>
      </c>
      <c r="B276" s="837"/>
      <c r="C276" s="748" t="s">
        <v>11428</v>
      </c>
      <c r="D276" s="749">
        <v>23091</v>
      </c>
      <c r="E276" s="751">
        <v>7739508284</v>
      </c>
      <c r="F276" s="748"/>
      <c r="G276" s="751"/>
      <c r="H276" s="748"/>
      <c r="I276" s="751" t="s">
        <v>7188</v>
      </c>
      <c r="J276" s="748">
        <v>5700</v>
      </c>
      <c r="K276" s="748">
        <v>5700</v>
      </c>
      <c r="L276" s="748">
        <f t="shared" si="32"/>
        <v>0</v>
      </c>
      <c r="M276" s="748"/>
      <c r="N276" s="748">
        <v>5200</v>
      </c>
      <c r="O276" s="748">
        <v>5200</v>
      </c>
      <c r="P276" s="748">
        <f t="shared" si="34"/>
        <v>0</v>
      </c>
      <c r="Q276" s="748"/>
      <c r="R276" s="748"/>
      <c r="S276" s="748"/>
      <c r="T276" s="748"/>
      <c r="U276" s="748"/>
      <c r="V276" s="748"/>
      <c r="W276" s="748"/>
      <c r="X276" s="748"/>
      <c r="Y276" s="748"/>
      <c r="Z276" s="748"/>
      <c r="AA276" s="748"/>
    </row>
    <row r="277" spans="1:27" s="752" customFormat="1" ht="18" customHeight="1" x14ac:dyDescent="0.3">
      <c r="A277" s="747">
        <v>45551</v>
      </c>
      <c r="B277" s="837"/>
      <c r="C277" s="748" t="s">
        <v>11429</v>
      </c>
      <c r="D277" s="749">
        <v>19547</v>
      </c>
      <c r="E277" s="751">
        <v>9234500353</v>
      </c>
      <c r="F277" s="748" t="s">
        <v>11611</v>
      </c>
      <c r="G277" s="751"/>
      <c r="H277" s="748"/>
      <c r="I277" s="751" t="s">
        <v>7188</v>
      </c>
      <c r="J277" s="748">
        <v>1700</v>
      </c>
      <c r="K277" s="748">
        <v>1700</v>
      </c>
      <c r="L277" s="748">
        <f t="shared" si="32"/>
        <v>0</v>
      </c>
      <c r="M277" s="748"/>
      <c r="N277" s="748">
        <v>1400</v>
      </c>
      <c r="O277" s="748">
        <v>1400</v>
      </c>
      <c r="P277" s="748">
        <f t="shared" si="34"/>
        <v>0</v>
      </c>
      <c r="Q277" s="748"/>
      <c r="R277" s="748"/>
      <c r="S277" s="748"/>
      <c r="T277" s="748"/>
      <c r="U277" s="748"/>
      <c r="V277" s="748"/>
      <c r="W277" s="748"/>
      <c r="X277" s="748"/>
      <c r="Y277" s="748"/>
      <c r="Z277" s="748"/>
      <c r="AA277" s="748"/>
    </row>
    <row r="278" spans="1:27" ht="18" customHeight="1" x14ac:dyDescent="0.3">
      <c r="A278" s="172"/>
      <c r="B278" s="172"/>
      <c r="C278" s="147" t="s">
        <v>3134</v>
      </c>
      <c r="D278" s="272">
        <v>18696</v>
      </c>
      <c r="E278" s="171">
        <v>7209105356</v>
      </c>
      <c r="F278" s="147"/>
      <c r="G278" s="171"/>
      <c r="H278" s="147"/>
      <c r="I278" s="171" t="s">
        <v>7188</v>
      </c>
      <c r="J278" s="147">
        <v>1700</v>
      </c>
      <c r="K278" s="147">
        <v>1700</v>
      </c>
      <c r="L278" s="147">
        <f t="shared" si="32"/>
        <v>0</v>
      </c>
      <c r="M278" s="147"/>
      <c r="N278" s="147">
        <v>1400</v>
      </c>
      <c r="O278" s="147">
        <v>1400</v>
      </c>
      <c r="P278" s="147">
        <f t="shared" si="34"/>
        <v>0</v>
      </c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</row>
    <row r="279" spans="1:27" ht="18" customHeight="1" x14ac:dyDescent="0.3">
      <c r="A279" s="172"/>
      <c r="B279" s="172"/>
      <c r="C279" s="147" t="s">
        <v>11445</v>
      </c>
      <c r="D279" s="272">
        <v>27303</v>
      </c>
      <c r="E279" s="171">
        <v>9031736538</v>
      </c>
      <c r="F279" s="147"/>
      <c r="G279" s="171"/>
      <c r="H279" s="147"/>
      <c r="I279" s="171" t="s">
        <v>7188</v>
      </c>
      <c r="J279" s="147">
        <v>1700</v>
      </c>
      <c r="K279" s="147">
        <v>1700</v>
      </c>
      <c r="L279" s="147">
        <f t="shared" ref="L279:L287" si="35">J279-K279</f>
        <v>0</v>
      </c>
      <c r="M279" s="147"/>
      <c r="N279" s="147">
        <v>1400</v>
      </c>
      <c r="O279" s="147">
        <v>1400</v>
      </c>
      <c r="P279" s="147">
        <f t="shared" ref="P279:P287" si="36">N279-O279</f>
        <v>0</v>
      </c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</row>
    <row r="280" spans="1:27" ht="18" customHeight="1" x14ac:dyDescent="0.3">
      <c r="A280" s="172"/>
      <c r="B280" s="837"/>
      <c r="C280" s="748" t="s">
        <v>11481</v>
      </c>
      <c r="D280" s="749"/>
      <c r="E280" s="751"/>
      <c r="F280" s="748" t="s">
        <v>237</v>
      </c>
      <c r="G280" s="749">
        <v>45610</v>
      </c>
      <c r="H280" s="748"/>
      <c r="I280" s="751" t="s">
        <v>7188</v>
      </c>
      <c r="J280" s="748">
        <v>1600</v>
      </c>
      <c r="K280" s="748">
        <v>1600</v>
      </c>
      <c r="L280" s="748">
        <f t="shared" si="35"/>
        <v>0</v>
      </c>
      <c r="M280" s="147"/>
      <c r="N280" s="147">
        <v>1400</v>
      </c>
      <c r="O280" s="147">
        <v>1400</v>
      </c>
      <c r="P280" s="147">
        <f t="shared" si="36"/>
        <v>0</v>
      </c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</row>
    <row r="281" spans="1:27" s="752" customFormat="1" ht="18" customHeight="1" x14ac:dyDescent="0.3">
      <c r="A281" s="837"/>
      <c r="B281" s="837"/>
      <c r="C281" s="748" t="s">
        <v>11603</v>
      </c>
      <c r="D281" s="749"/>
      <c r="E281" s="751">
        <v>9573395115</v>
      </c>
      <c r="F281" s="748" t="s">
        <v>237</v>
      </c>
      <c r="G281" s="751"/>
      <c r="H281" s="748"/>
      <c r="I281" s="751" t="s">
        <v>11507</v>
      </c>
      <c r="J281" s="748"/>
      <c r="K281" s="748"/>
      <c r="L281" s="748"/>
      <c r="M281" s="748"/>
      <c r="N281" s="748">
        <v>2000</v>
      </c>
      <c r="O281" s="748">
        <v>2000</v>
      </c>
      <c r="P281" s="748">
        <f t="shared" si="36"/>
        <v>0</v>
      </c>
      <c r="Q281" s="748"/>
      <c r="R281" s="748"/>
      <c r="S281" s="748"/>
      <c r="T281" s="748"/>
      <c r="U281" s="748"/>
      <c r="V281" s="748"/>
      <c r="W281" s="748"/>
      <c r="X281" s="748"/>
      <c r="Y281" s="748"/>
      <c r="Z281" s="748"/>
      <c r="AA281" s="748"/>
    </row>
    <row r="282" spans="1:27" ht="18" customHeight="1" x14ac:dyDescent="0.3">
      <c r="A282" s="162">
        <v>45580</v>
      </c>
      <c r="B282" s="172"/>
      <c r="C282" s="147" t="s">
        <v>1106</v>
      </c>
      <c r="D282" s="272">
        <v>27317</v>
      </c>
      <c r="E282" s="171">
        <v>7631070520</v>
      </c>
      <c r="F282" s="147"/>
      <c r="G282" s="171"/>
      <c r="H282" s="147"/>
      <c r="I282" s="171" t="s">
        <v>7188</v>
      </c>
      <c r="J282" s="147">
        <v>1700</v>
      </c>
      <c r="K282" s="147">
        <v>1700</v>
      </c>
      <c r="L282" s="147">
        <f t="shared" si="35"/>
        <v>0</v>
      </c>
      <c r="M282" s="147"/>
      <c r="N282" s="147">
        <v>1400</v>
      </c>
      <c r="O282" s="147">
        <v>1400</v>
      </c>
      <c r="P282" s="147">
        <f t="shared" si="36"/>
        <v>0</v>
      </c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</row>
    <row r="283" spans="1:27" ht="18" customHeight="1" x14ac:dyDescent="0.3">
      <c r="A283" s="162">
        <v>45580</v>
      </c>
      <c r="B283" s="172"/>
      <c r="C283" s="225" t="s">
        <v>11505</v>
      </c>
      <c r="D283" s="272"/>
      <c r="E283" s="171">
        <v>7978650271</v>
      </c>
      <c r="F283" s="147">
        <v>38000</v>
      </c>
      <c r="G283" s="171"/>
      <c r="H283" s="147"/>
      <c r="I283" s="171" t="s">
        <v>11506</v>
      </c>
      <c r="J283" s="147">
        <v>500</v>
      </c>
      <c r="K283" s="147">
        <v>500</v>
      </c>
      <c r="L283" s="147">
        <f t="shared" si="35"/>
        <v>0</v>
      </c>
      <c r="M283" s="147"/>
      <c r="N283" s="147">
        <v>500</v>
      </c>
      <c r="O283" s="147">
        <v>500</v>
      </c>
      <c r="P283" s="147">
        <f t="shared" si="36"/>
        <v>0</v>
      </c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</row>
    <row r="284" spans="1:27" s="752" customFormat="1" ht="18" customHeight="1" x14ac:dyDescent="0.3">
      <c r="A284" s="747">
        <v>45583</v>
      </c>
      <c r="B284" s="837">
        <v>3867561024</v>
      </c>
      <c r="C284" s="748" t="s">
        <v>10391</v>
      </c>
      <c r="D284" s="749">
        <v>27314</v>
      </c>
      <c r="E284" s="751">
        <v>9835256820</v>
      </c>
      <c r="F284" s="748" t="s">
        <v>11739</v>
      </c>
      <c r="G284" s="751"/>
      <c r="H284" s="748"/>
      <c r="I284" s="751" t="s">
        <v>7188</v>
      </c>
      <c r="J284" s="748">
        <v>1700</v>
      </c>
      <c r="K284" s="748">
        <v>1700</v>
      </c>
      <c r="L284" s="748">
        <f t="shared" si="35"/>
        <v>0</v>
      </c>
      <c r="M284" s="748"/>
      <c r="N284" s="748">
        <v>1400</v>
      </c>
      <c r="O284" s="748">
        <v>1400</v>
      </c>
      <c r="P284" s="748">
        <f t="shared" si="36"/>
        <v>0</v>
      </c>
      <c r="Q284" s="748"/>
      <c r="R284" s="748"/>
      <c r="S284" s="748"/>
      <c r="T284" s="748"/>
      <c r="U284" s="748"/>
      <c r="V284" s="748"/>
      <c r="W284" s="748"/>
      <c r="X284" s="748"/>
      <c r="Y284" s="748"/>
      <c r="Z284" s="748"/>
      <c r="AA284" s="748"/>
    </row>
    <row r="285" spans="1:27" ht="18" customHeight="1" x14ac:dyDescent="0.3">
      <c r="A285" s="635">
        <v>45586</v>
      </c>
      <c r="B285" s="623">
        <v>4770185524</v>
      </c>
      <c r="C285" s="225" t="s">
        <v>4041</v>
      </c>
      <c r="D285" s="625">
        <v>31911</v>
      </c>
      <c r="E285" s="280">
        <v>8651775827</v>
      </c>
      <c r="F285" s="225" t="s">
        <v>11809</v>
      </c>
      <c r="G285" s="280"/>
      <c r="H285" s="147"/>
      <c r="I285" s="171" t="s">
        <v>7620</v>
      </c>
      <c r="J285" s="147">
        <v>5500</v>
      </c>
      <c r="K285" s="147">
        <f>3000+2500</f>
        <v>5500</v>
      </c>
      <c r="L285" s="225">
        <f t="shared" si="35"/>
        <v>0</v>
      </c>
      <c r="M285" s="147"/>
      <c r="N285" s="147">
        <v>4800</v>
      </c>
      <c r="O285" s="147">
        <f>2500+2300</f>
        <v>4800</v>
      </c>
      <c r="P285" s="147">
        <f t="shared" si="36"/>
        <v>0</v>
      </c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</row>
    <row r="286" spans="1:27" s="752" customFormat="1" ht="18" customHeight="1" x14ac:dyDescent="0.3">
      <c r="A286" s="747">
        <v>45587</v>
      </c>
      <c r="B286" s="837"/>
      <c r="C286" s="748" t="s">
        <v>11550</v>
      </c>
      <c r="D286" s="749">
        <v>23012</v>
      </c>
      <c r="E286" s="751">
        <v>6203234419</v>
      </c>
      <c r="F286" s="748"/>
      <c r="G286" s="751"/>
      <c r="H286" s="748"/>
      <c r="I286" s="751" t="s">
        <v>7587</v>
      </c>
      <c r="J286" s="748">
        <v>1700</v>
      </c>
      <c r="K286" s="748">
        <v>1700</v>
      </c>
      <c r="L286" s="748">
        <f t="shared" si="35"/>
        <v>0</v>
      </c>
      <c r="M286" s="748"/>
      <c r="N286" s="748">
        <v>1400</v>
      </c>
      <c r="O286" s="748">
        <v>1400</v>
      </c>
      <c r="P286" s="748">
        <f t="shared" si="36"/>
        <v>0</v>
      </c>
      <c r="Q286" s="748"/>
      <c r="R286" s="748"/>
      <c r="S286" s="748"/>
      <c r="T286" s="748"/>
      <c r="U286" s="748"/>
      <c r="V286" s="748"/>
      <c r="W286" s="748"/>
      <c r="X286" s="748"/>
      <c r="Y286" s="748"/>
      <c r="Z286" s="748"/>
      <c r="AA286" s="748"/>
    </row>
    <row r="287" spans="1:27" ht="18" customHeight="1" x14ac:dyDescent="0.3">
      <c r="A287" s="162">
        <v>45589</v>
      </c>
      <c r="B287" s="172">
        <v>856838325</v>
      </c>
      <c r="C287" s="147" t="s">
        <v>11087</v>
      </c>
      <c r="D287" s="272">
        <v>35638</v>
      </c>
      <c r="E287" s="171">
        <v>8861857960</v>
      </c>
      <c r="F287" s="147" t="s">
        <v>11930</v>
      </c>
      <c r="G287" s="171"/>
      <c r="H287" s="147"/>
      <c r="I287" s="171" t="s">
        <v>7620</v>
      </c>
      <c r="J287" s="147">
        <v>5500</v>
      </c>
      <c r="K287" s="147">
        <f>3000+2500</f>
        <v>5500</v>
      </c>
      <c r="L287" s="147">
        <f t="shared" si="35"/>
        <v>0</v>
      </c>
      <c r="M287" s="147"/>
      <c r="N287" s="147">
        <v>4800</v>
      </c>
      <c r="O287" s="147">
        <f>2500+2300</f>
        <v>4800</v>
      </c>
      <c r="P287" s="147">
        <f t="shared" si="36"/>
        <v>0</v>
      </c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</row>
    <row r="288" spans="1:27" ht="18" customHeight="1" x14ac:dyDescent="0.3">
      <c r="A288" s="162">
        <v>45594</v>
      </c>
      <c r="B288" s="172">
        <v>4833038724</v>
      </c>
      <c r="C288" s="147" t="s">
        <v>11577</v>
      </c>
      <c r="D288" s="272">
        <v>30989</v>
      </c>
      <c r="E288" s="171">
        <v>9431360762</v>
      </c>
      <c r="F288" s="147" t="s">
        <v>7667</v>
      </c>
      <c r="G288" s="272">
        <v>45675</v>
      </c>
      <c r="H288" s="147"/>
      <c r="I288" s="171" t="s">
        <v>7620</v>
      </c>
      <c r="J288" s="147">
        <v>5500</v>
      </c>
      <c r="K288" s="147">
        <f>3000+2500</f>
        <v>5500</v>
      </c>
      <c r="L288" s="147">
        <f t="shared" ref="L288:L323" si="37">J288-K288</f>
        <v>0</v>
      </c>
      <c r="M288" s="147"/>
      <c r="N288" s="147">
        <v>4800</v>
      </c>
      <c r="O288" s="147">
        <f>2500+2300</f>
        <v>4800</v>
      </c>
      <c r="P288" s="147">
        <f t="shared" ref="P288:P323" si="38">N288-O288</f>
        <v>0</v>
      </c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</row>
    <row r="289" spans="1:27" ht="18" customHeight="1" x14ac:dyDescent="0.3">
      <c r="A289" s="162">
        <v>45597</v>
      </c>
      <c r="B289" s="172">
        <v>4031696224</v>
      </c>
      <c r="C289" s="147" t="s">
        <v>11584</v>
      </c>
      <c r="D289" s="272">
        <v>21918</v>
      </c>
      <c r="E289" s="171">
        <v>9777450559</v>
      </c>
      <c r="F289" s="147" t="s">
        <v>11826</v>
      </c>
      <c r="G289" s="171"/>
      <c r="H289" s="147"/>
      <c r="I289" s="171" t="s">
        <v>7587</v>
      </c>
      <c r="J289" s="147">
        <v>1700</v>
      </c>
      <c r="K289" s="147">
        <v>1700</v>
      </c>
      <c r="L289" s="147">
        <f t="shared" si="37"/>
        <v>0</v>
      </c>
      <c r="M289" s="147"/>
      <c r="N289" s="147">
        <v>1400</v>
      </c>
      <c r="O289" s="147">
        <v>1400</v>
      </c>
      <c r="P289" s="147">
        <f t="shared" si="38"/>
        <v>0</v>
      </c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</row>
    <row r="290" spans="1:27" ht="18" customHeight="1" x14ac:dyDescent="0.3">
      <c r="A290" s="162">
        <v>45598</v>
      </c>
      <c r="B290" s="623"/>
      <c r="C290" s="225" t="s">
        <v>11600</v>
      </c>
      <c r="D290" s="625">
        <v>28537</v>
      </c>
      <c r="E290" s="280">
        <v>9031080082</v>
      </c>
      <c r="F290" s="225"/>
      <c r="G290" s="280"/>
      <c r="H290" s="225"/>
      <c r="I290" s="280" t="s">
        <v>7698</v>
      </c>
      <c r="J290" s="147">
        <v>1700</v>
      </c>
      <c r="K290" s="147">
        <v>1700</v>
      </c>
      <c r="L290" s="147">
        <f t="shared" si="37"/>
        <v>0</v>
      </c>
      <c r="M290" s="147"/>
      <c r="N290" s="147">
        <v>1300</v>
      </c>
      <c r="O290" s="147">
        <v>1300</v>
      </c>
      <c r="P290" s="147">
        <f t="shared" si="38"/>
        <v>0</v>
      </c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</row>
    <row r="291" spans="1:27" s="680" customFormat="1" ht="18" customHeight="1" x14ac:dyDescent="0.3">
      <c r="A291" s="635">
        <v>45599</v>
      </c>
      <c r="B291" s="623">
        <v>4043223224</v>
      </c>
      <c r="C291" s="225" t="s">
        <v>11601</v>
      </c>
      <c r="D291" s="625">
        <v>31901</v>
      </c>
      <c r="E291" s="280">
        <v>8009437372</v>
      </c>
      <c r="F291" s="225">
        <v>9523593208</v>
      </c>
      <c r="G291" s="280" t="s">
        <v>12051</v>
      </c>
      <c r="H291" s="225"/>
      <c r="I291" s="280" t="s">
        <v>7620</v>
      </c>
      <c r="J291" s="225">
        <v>5500</v>
      </c>
      <c r="K291" s="225">
        <f>3000+2500</f>
        <v>5500</v>
      </c>
      <c r="L291" s="225">
        <f t="shared" si="37"/>
        <v>0</v>
      </c>
      <c r="M291" s="225"/>
      <c r="N291" s="225">
        <v>4800</v>
      </c>
      <c r="O291" s="225">
        <f>2300+2300</f>
        <v>4600</v>
      </c>
      <c r="P291" s="225">
        <f t="shared" si="38"/>
        <v>200</v>
      </c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  <c r="AA291" s="225"/>
    </row>
    <row r="292" spans="1:27" s="752" customFormat="1" ht="18" customHeight="1" x14ac:dyDescent="0.3">
      <c r="A292" s="747">
        <v>45615</v>
      </c>
      <c r="B292" s="837">
        <v>4277504724</v>
      </c>
      <c r="C292" s="748" t="s">
        <v>11633</v>
      </c>
      <c r="D292" s="749">
        <v>27263</v>
      </c>
      <c r="E292" s="751">
        <v>7979718919</v>
      </c>
      <c r="F292" s="748" t="s">
        <v>11738</v>
      </c>
      <c r="G292" s="751"/>
      <c r="H292" s="748"/>
      <c r="I292" s="751" t="s">
        <v>7587</v>
      </c>
      <c r="J292" s="748">
        <v>1700</v>
      </c>
      <c r="K292" s="748">
        <v>1700</v>
      </c>
      <c r="L292" s="748">
        <f t="shared" si="37"/>
        <v>0</v>
      </c>
      <c r="M292" s="748"/>
      <c r="N292" s="748">
        <v>1400</v>
      </c>
      <c r="O292" s="748">
        <v>1400</v>
      </c>
      <c r="P292" s="748">
        <f t="shared" si="38"/>
        <v>0</v>
      </c>
      <c r="Q292" s="748"/>
      <c r="R292" s="748"/>
      <c r="S292" s="748"/>
      <c r="T292" s="748"/>
      <c r="U292" s="748"/>
      <c r="V292" s="748"/>
      <c r="W292" s="748"/>
      <c r="X292" s="748"/>
      <c r="Y292" s="748"/>
      <c r="Z292" s="748"/>
      <c r="AA292" s="748"/>
    </row>
    <row r="293" spans="1:27" ht="18" customHeight="1" x14ac:dyDescent="0.3">
      <c r="A293" s="162">
        <v>45618</v>
      </c>
      <c r="B293" s="172">
        <v>397098525</v>
      </c>
      <c r="C293" s="147" t="s">
        <v>10132</v>
      </c>
      <c r="D293" s="272">
        <v>28178</v>
      </c>
      <c r="E293" s="171">
        <v>9679493219</v>
      </c>
      <c r="F293" s="147" t="s">
        <v>10057</v>
      </c>
      <c r="G293" s="222">
        <v>45685</v>
      </c>
      <c r="I293" s="282" t="s">
        <v>7620</v>
      </c>
      <c r="J293" s="147">
        <v>5500</v>
      </c>
      <c r="K293" s="147">
        <f>3000+2500</f>
        <v>5500</v>
      </c>
      <c r="L293" s="147">
        <f t="shared" si="37"/>
        <v>0</v>
      </c>
      <c r="M293" s="147"/>
      <c r="N293" s="147">
        <v>4800</v>
      </c>
      <c r="O293" s="147">
        <f>2500+2300</f>
        <v>4800</v>
      </c>
      <c r="P293" s="147">
        <f t="shared" si="38"/>
        <v>0</v>
      </c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</row>
    <row r="294" spans="1:27" ht="18" customHeight="1" x14ac:dyDescent="0.3">
      <c r="A294" s="162">
        <v>45618</v>
      </c>
      <c r="B294" s="623">
        <v>4325683624</v>
      </c>
      <c r="C294" s="225" t="s">
        <v>7187</v>
      </c>
      <c r="D294" s="625">
        <v>21859</v>
      </c>
      <c r="E294" s="280">
        <v>9431345759</v>
      </c>
      <c r="F294" s="225" t="s">
        <v>7540</v>
      </c>
      <c r="G294" s="280"/>
      <c r="H294" s="225"/>
      <c r="I294" s="280" t="s">
        <v>7587</v>
      </c>
      <c r="J294" s="147">
        <v>1700</v>
      </c>
      <c r="K294" s="147">
        <v>1700</v>
      </c>
      <c r="L294" s="147">
        <f t="shared" si="37"/>
        <v>0</v>
      </c>
      <c r="M294" s="147"/>
      <c r="N294" s="147">
        <v>2500</v>
      </c>
      <c r="O294" s="147">
        <v>0</v>
      </c>
      <c r="P294" s="147">
        <f t="shared" si="38"/>
        <v>2500</v>
      </c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</row>
    <row r="295" spans="1:27" ht="18" customHeight="1" x14ac:dyDescent="0.3">
      <c r="A295" s="162">
        <v>45710</v>
      </c>
      <c r="B295" s="172">
        <v>772151525</v>
      </c>
      <c r="C295" s="147" t="s">
        <v>11712</v>
      </c>
      <c r="D295" s="272">
        <v>36209</v>
      </c>
      <c r="E295" s="171">
        <v>9031082712</v>
      </c>
      <c r="F295" s="147" t="s">
        <v>11930</v>
      </c>
      <c r="G295" s="171"/>
      <c r="H295" s="147"/>
      <c r="I295" s="171" t="s">
        <v>7620</v>
      </c>
      <c r="J295" s="147">
        <v>5500</v>
      </c>
      <c r="K295" s="147">
        <f>3000+2500</f>
        <v>5500</v>
      </c>
      <c r="L295" s="147">
        <f t="shared" si="37"/>
        <v>0</v>
      </c>
      <c r="M295" s="147"/>
      <c r="N295" s="147">
        <v>4800</v>
      </c>
      <c r="O295" s="147">
        <f>2500+2300</f>
        <v>4800</v>
      </c>
      <c r="P295" s="147">
        <f t="shared" si="38"/>
        <v>0</v>
      </c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</row>
    <row r="296" spans="1:27" ht="18" customHeight="1" x14ac:dyDescent="0.3">
      <c r="A296" s="162">
        <v>45330</v>
      </c>
      <c r="B296" s="172">
        <v>402357625</v>
      </c>
      <c r="C296" s="147" t="s">
        <v>11742</v>
      </c>
      <c r="D296" s="272">
        <v>36680</v>
      </c>
      <c r="E296" s="171">
        <v>6291766651</v>
      </c>
      <c r="F296" s="147" t="s">
        <v>10057</v>
      </c>
      <c r="G296" s="272">
        <v>45685</v>
      </c>
      <c r="H296" s="147"/>
      <c r="I296" s="171" t="s">
        <v>7620</v>
      </c>
      <c r="J296" s="147">
        <v>5500</v>
      </c>
      <c r="K296" s="147">
        <f>3000+2500</f>
        <v>5500</v>
      </c>
      <c r="L296" s="147">
        <f t="shared" si="37"/>
        <v>0</v>
      </c>
      <c r="M296" s="147"/>
      <c r="N296" s="147">
        <v>4800</v>
      </c>
      <c r="O296" s="147">
        <f>2500+2300</f>
        <v>4800</v>
      </c>
      <c r="P296" s="147">
        <f t="shared" si="38"/>
        <v>0</v>
      </c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</row>
    <row r="297" spans="1:27" ht="18" customHeight="1" x14ac:dyDescent="0.3">
      <c r="A297" s="172"/>
      <c r="B297" s="172"/>
      <c r="C297" s="147" t="s">
        <v>11747</v>
      </c>
      <c r="D297" s="272">
        <v>23709</v>
      </c>
      <c r="E297" s="171">
        <v>6203467926</v>
      </c>
      <c r="F297" s="147"/>
      <c r="G297" s="171"/>
      <c r="H297" s="147"/>
      <c r="I297" s="171" t="s">
        <v>11748</v>
      </c>
      <c r="J297" s="147">
        <v>2300</v>
      </c>
      <c r="K297" s="147">
        <v>2300</v>
      </c>
      <c r="L297" s="147">
        <f t="shared" si="37"/>
        <v>0</v>
      </c>
      <c r="M297" s="147"/>
      <c r="N297" s="147">
        <v>1900</v>
      </c>
      <c r="O297" s="147">
        <v>1900</v>
      </c>
      <c r="P297" s="147">
        <f t="shared" si="38"/>
        <v>0</v>
      </c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</row>
    <row r="298" spans="1:27" ht="18" customHeight="1" x14ac:dyDescent="0.3">
      <c r="A298" s="162">
        <v>45638</v>
      </c>
      <c r="B298" s="172">
        <v>4597021724</v>
      </c>
      <c r="C298" s="147" t="s">
        <v>11753</v>
      </c>
      <c r="D298" s="272">
        <v>27395</v>
      </c>
      <c r="E298" s="171">
        <v>9470567192</v>
      </c>
      <c r="F298" s="147"/>
      <c r="G298" s="171"/>
      <c r="H298" s="147"/>
      <c r="I298" s="171" t="s">
        <v>7629</v>
      </c>
      <c r="J298" s="147">
        <v>1700</v>
      </c>
      <c r="K298" s="147">
        <v>1700</v>
      </c>
      <c r="L298" s="147">
        <f t="shared" si="37"/>
        <v>0</v>
      </c>
      <c r="M298" s="147"/>
      <c r="N298" s="147">
        <v>1400</v>
      </c>
      <c r="O298" s="147">
        <v>1400</v>
      </c>
      <c r="P298" s="147">
        <f t="shared" si="38"/>
        <v>0</v>
      </c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</row>
    <row r="299" spans="1:27" ht="18" customHeight="1" x14ac:dyDescent="0.3">
      <c r="A299" s="162">
        <v>45643</v>
      </c>
      <c r="B299" s="1537">
        <v>4666147824</v>
      </c>
      <c r="C299" s="147" t="s">
        <v>11767</v>
      </c>
      <c r="D299" s="272">
        <v>37681</v>
      </c>
      <c r="E299" s="171">
        <v>9939787353</v>
      </c>
      <c r="F299" s="147"/>
      <c r="G299" s="171"/>
      <c r="H299" s="147"/>
      <c r="I299" s="171" t="s">
        <v>7620</v>
      </c>
      <c r="J299" s="147">
        <v>5500</v>
      </c>
      <c r="K299" s="147">
        <v>3000</v>
      </c>
      <c r="L299" s="147">
        <f t="shared" si="37"/>
        <v>2500</v>
      </c>
      <c r="M299" s="147"/>
      <c r="N299" s="147">
        <v>4800</v>
      </c>
      <c r="O299" s="147">
        <v>2500</v>
      </c>
      <c r="P299" s="147">
        <f t="shared" si="38"/>
        <v>2300</v>
      </c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</row>
    <row r="300" spans="1:27" ht="18" customHeight="1" x14ac:dyDescent="0.3">
      <c r="A300" s="635">
        <v>45645</v>
      </c>
      <c r="B300" s="623">
        <v>4713441524</v>
      </c>
      <c r="C300" s="225" t="s">
        <v>11771</v>
      </c>
      <c r="D300" s="625">
        <v>21659</v>
      </c>
      <c r="E300" s="280">
        <v>9279148334</v>
      </c>
      <c r="F300" s="225"/>
      <c r="G300" s="280" t="s">
        <v>12046</v>
      </c>
      <c r="H300" s="225"/>
      <c r="I300" s="280" t="s">
        <v>11772</v>
      </c>
      <c r="J300" s="147">
        <v>4200</v>
      </c>
      <c r="K300" s="147">
        <v>4200</v>
      </c>
      <c r="L300" s="147">
        <f t="shared" si="37"/>
        <v>0</v>
      </c>
      <c r="M300" s="147"/>
      <c r="N300" s="147">
        <v>3700</v>
      </c>
      <c r="O300" s="147">
        <v>2500</v>
      </c>
      <c r="P300" s="147">
        <f t="shared" si="38"/>
        <v>1200</v>
      </c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</row>
    <row r="301" spans="1:27" ht="18" customHeight="1" x14ac:dyDescent="0.3">
      <c r="A301" s="162">
        <v>45649</v>
      </c>
      <c r="B301" s="172"/>
      <c r="C301" s="147"/>
      <c r="D301" s="272"/>
      <c r="E301" s="171"/>
      <c r="F301" s="147"/>
      <c r="G301" s="171"/>
      <c r="H301" s="147"/>
      <c r="I301" s="171"/>
      <c r="J301" s="147">
        <v>0</v>
      </c>
      <c r="K301" s="147">
        <v>0</v>
      </c>
      <c r="L301" s="147">
        <f t="shared" si="37"/>
        <v>0</v>
      </c>
      <c r="M301" s="147"/>
      <c r="N301" s="147"/>
      <c r="O301" s="147">
        <v>0</v>
      </c>
      <c r="P301" s="147">
        <f t="shared" si="38"/>
        <v>0</v>
      </c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</row>
    <row r="302" spans="1:27" ht="18" customHeight="1" x14ac:dyDescent="0.3">
      <c r="A302" s="162">
        <v>45652</v>
      </c>
      <c r="B302" s="172">
        <v>4802360324</v>
      </c>
      <c r="C302" s="147" t="s">
        <v>11816</v>
      </c>
      <c r="D302" s="272">
        <v>34768</v>
      </c>
      <c r="E302" s="171">
        <v>9263338173</v>
      </c>
      <c r="F302" s="147" t="s">
        <v>11930</v>
      </c>
      <c r="G302" s="171"/>
      <c r="H302" s="147"/>
      <c r="I302" s="171" t="s">
        <v>7620</v>
      </c>
      <c r="J302" s="147">
        <v>5500</v>
      </c>
      <c r="K302" s="147">
        <f>3000+2500</f>
        <v>5500</v>
      </c>
      <c r="L302" s="147">
        <f t="shared" si="37"/>
        <v>0</v>
      </c>
      <c r="M302" s="147"/>
      <c r="N302" s="147">
        <v>4800</v>
      </c>
      <c r="O302" s="147">
        <v>2500</v>
      </c>
      <c r="P302" s="147">
        <f t="shared" si="38"/>
        <v>2300</v>
      </c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</row>
    <row r="303" spans="1:27" ht="18" customHeight="1" x14ac:dyDescent="0.3">
      <c r="A303" s="635">
        <v>45662</v>
      </c>
      <c r="B303" s="623"/>
      <c r="C303" s="225" t="s">
        <v>11944</v>
      </c>
      <c r="D303" s="625">
        <v>23072</v>
      </c>
      <c r="E303" s="280">
        <v>9835363490</v>
      </c>
      <c r="F303" s="225" t="s">
        <v>11945</v>
      </c>
      <c r="G303" s="280"/>
      <c r="H303" s="147"/>
      <c r="I303" s="171" t="s">
        <v>11946</v>
      </c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</row>
    <row r="304" spans="1:27" ht="18" customHeight="1" x14ac:dyDescent="0.3">
      <c r="A304" s="172"/>
      <c r="B304" s="172">
        <v>29190725</v>
      </c>
      <c r="C304" s="147" t="s">
        <v>11825</v>
      </c>
      <c r="D304" s="272">
        <v>20863</v>
      </c>
      <c r="E304" s="171">
        <v>7296069766</v>
      </c>
      <c r="F304" s="147"/>
      <c r="G304" s="171"/>
      <c r="H304" s="147"/>
      <c r="I304" s="171" t="s">
        <v>7587</v>
      </c>
      <c r="J304" s="147">
        <v>1700</v>
      </c>
      <c r="K304" s="147">
        <v>1700</v>
      </c>
      <c r="L304" s="147">
        <f t="shared" si="37"/>
        <v>0</v>
      </c>
      <c r="M304" s="147"/>
      <c r="N304" s="147">
        <v>1400</v>
      </c>
      <c r="O304" s="147">
        <f>1000+400</f>
        <v>1400</v>
      </c>
      <c r="P304" s="147">
        <f t="shared" si="38"/>
        <v>0</v>
      </c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</row>
    <row r="305" spans="1:27" ht="18" customHeight="1" x14ac:dyDescent="0.3">
      <c r="A305" s="162">
        <v>45681</v>
      </c>
      <c r="B305" s="172">
        <v>352255025</v>
      </c>
      <c r="C305" s="147" t="s">
        <v>5981</v>
      </c>
      <c r="D305" s="272">
        <v>37317</v>
      </c>
      <c r="E305" s="171">
        <v>7667844528</v>
      </c>
      <c r="F305" s="147" t="s">
        <v>9044</v>
      </c>
      <c r="G305" s="171"/>
      <c r="H305" s="147"/>
      <c r="I305" s="171" t="s">
        <v>7620</v>
      </c>
      <c r="J305" s="147">
        <v>5500</v>
      </c>
      <c r="K305" s="147">
        <v>3000</v>
      </c>
      <c r="L305" s="147">
        <f t="shared" si="37"/>
        <v>2500</v>
      </c>
      <c r="M305" s="147"/>
      <c r="N305" s="147">
        <v>4800</v>
      </c>
      <c r="O305" s="147">
        <v>2500</v>
      </c>
      <c r="P305" s="147">
        <f t="shared" si="38"/>
        <v>2300</v>
      </c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</row>
    <row r="306" spans="1:27" ht="18" customHeight="1" x14ac:dyDescent="0.3">
      <c r="A306" s="635">
        <v>45682</v>
      </c>
      <c r="B306" s="623"/>
      <c r="C306" s="225" t="s">
        <v>11884</v>
      </c>
      <c r="D306" s="625"/>
      <c r="E306" s="280">
        <v>9570296485</v>
      </c>
      <c r="F306" s="225"/>
      <c r="G306" s="280"/>
      <c r="H306" s="225"/>
      <c r="I306" s="280" t="s">
        <v>7708</v>
      </c>
      <c r="J306" s="225">
        <v>5500</v>
      </c>
      <c r="K306" s="225">
        <v>5500</v>
      </c>
      <c r="L306" s="147">
        <f t="shared" si="37"/>
        <v>0</v>
      </c>
      <c r="M306" s="147"/>
      <c r="N306" s="147">
        <v>4800</v>
      </c>
      <c r="O306" s="147">
        <v>4800</v>
      </c>
      <c r="P306" s="147">
        <f t="shared" si="38"/>
        <v>0</v>
      </c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</row>
    <row r="307" spans="1:27" ht="18" customHeight="1" x14ac:dyDescent="0.3">
      <c r="A307" s="623"/>
      <c r="B307" s="623"/>
      <c r="C307" s="225" t="s">
        <v>11893</v>
      </c>
      <c r="D307" s="625"/>
      <c r="E307" s="280">
        <v>9234550363</v>
      </c>
      <c r="F307" s="225"/>
      <c r="G307" s="280"/>
      <c r="H307" s="225"/>
      <c r="I307" s="280" t="s">
        <v>11895</v>
      </c>
      <c r="J307" s="225">
        <v>5500</v>
      </c>
      <c r="K307" s="225">
        <v>5500</v>
      </c>
      <c r="L307" s="147">
        <f t="shared" si="37"/>
        <v>0</v>
      </c>
      <c r="M307" s="147"/>
      <c r="N307" s="147">
        <v>5200</v>
      </c>
      <c r="O307" s="147">
        <v>5200</v>
      </c>
      <c r="P307" s="147">
        <f t="shared" si="38"/>
        <v>0</v>
      </c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</row>
    <row r="308" spans="1:27" ht="18" customHeight="1" x14ac:dyDescent="0.3">
      <c r="A308" s="162">
        <v>45695</v>
      </c>
      <c r="B308" s="172">
        <v>557569925</v>
      </c>
      <c r="C308" s="147" t="s">
        <v>11894</v>
      </c>
      <c r="D308" s="272">
        <v>33122</v>
      </c>
      <c r="E308" s="171">
        <v>9771542664</v>
      </c>
      <c r="F308" s="147"/>
      <c r="G308" s="171" t="s">
        <v>12115</v>
      </c>
      <c r="H308" s="147"/>
      <c r="I308" s="171" t="s">
        <v>7620</v>
      </c>
      <c r="J308" s="147">
        <v>5500</v>
      </c>
      <c r="K308" s="147">
        <v>3000</v>
      </c>
      <c r="L308" s="147">
        <f t="shared" si="37"/>
        <v>2500</v>
      </c>
      <c r="M308" s="147"/>
      <c r="N308" s="147">
        <v>4800</v>
      </c>
      <c r="O308" s="147">
        <v>2500</v>
      </c>
      <c r="P308" s="147">
        <f t="shared" si="38"/>
        <v>2300</v>
      </c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</row>
    <row r="309" spans="1:27" ht="18" customHeight="1" x14ac:dyDescent="0.3">
      <c r="A309" s="623"/>
      <c r="B309" s="623"/>
      <c r="C309" s="225" t="s">
        <v>11600</v>
      </c>
      <c r="D309" s="625"/>
      <c r="E309" s="280"/>
      <c r="F309" s="225"/>
      <c r="G309" s="280"/>
      <c r="H309" s="225"/>
      <c r="I309" s="280" t="s">
        <v>7698</v>
      </c>
      <c r="J309" s="225">
        <v>1700</v>
      </c>
      <c r="K309" s="147">
        <v>1700</v>
      </c>
      <c r="L309" s="147">
        <f t="shared" si="37"/>
        <v>0</v>
      </c>
      <c r="M309" s="147"/>
      <c r="N309" s="147">
        <v>1500</v>
      </c>
      <c r="O309" s="147">
        <v>1500</v>
      </c>
      <c r="P309" s="147">
        <f t="shared" si="38"/>
        <v>0</v>
      </c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</row>
    <row r="310" spans="1:27" ht="18" customHeight="1" x14ac:dyDescent="0.3">
      <c r="A310" s="162">
        <v>45727</v>
      </c>
      <c r="B310" s="172">
        <v>1016299825</v>
      </c>
      <c r="C310" s="147" t="s">
        <v>11948</v>
      </c>
      <c r="D310" s="272">
        <v>39145</v>
      </c>
      <c r="E310" s="171">
        <v>9431302890</v>
      </c>
      <c r="F310" s="147"/>
      <c r="G310" s="171"/>
      <c r="H310" s="147" t="s">
        <v>12161</v>
      </c>
      <c r="I310" s="171" t="s">
        <v>7620</v>
      </c>
      <c r="J310" s="147">
        <v>5500</v>
      </c>
      <c r="K310" s="147">
        <f>3000+2500</f>
        <v>5500</v>
      </c>
      <c r="L310" s="147">
        <f t="shared" si="37"/>
        <v>0</v>
      </c>
      <c r="M310" s="147"/>
      <c r="N310" s="147">
        <v>4800</v>
      </c>
      <c r="O310" s="147">
        <f>2500+2300</f>
        <v>4800</v>
      </c>
      <c r="P310" s="147">
        <f t="shared" si="38"/>
        <v>0</v>
      </c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</row>
    <row r="311" spans="1:27" ht="18" customHeight="1" x14ac:dyDescent="0.3">
      <c r="A311" s="162">
        <v>45733</v>
      </c>
      <c r="B311" s="172">
        <v>2184126425</v>
      </c>
      <c r="C311" s="147" t="s">
        <v>11950</v>
      </c>
      <c r="D311" s="272">
        <v>30259</v>
      </c>
      <c r="E311" s="171">
        <v>9162777013</v>
      </c>
      <c r="F311" s="147" t="s">
        <v>10057</v>
      </c>
      <c r="G311" s="171"/>
      <c r="H311" s="147"/>
      <c r="I311" s="171" t="s">
        <v>7620</v>
      </c>
      <c r="J311" s="147">
        <v>5500</v>
      </c>
      <c r="K311" s="147">
        <f>3000+2500</f>
        <v>5500</v>
      </c>
      <c r="L311" s="147">
        <f t="shared" si="37"/>
        <v>0</v>
      </c>
      <c r="M311" s="147"/>
      <c r="N311" s="147">
        <v>4800</v>
      </c>
      <c r="O311" s="147">
        <f>2500+2300</f>
        <v>4800</v>
      </c>
      <c r="P311" s="147">
        <f t="shared" si="38"/>
        <v>0</v>
      </c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</row>
    <row r="312" spans="1:27" ht="18" customHeight="1" x14ac:dyDescent="0.3">
      <c r="A312" s="162">
        <v>45733</v>
      </c>
      <c r="B312" s="172"/>
      <c r="C312" s="147" t="s">
        <v>11951</v>
      </c>
      <c r="D312" s="272">
        <v>31778</v>
      </c>
      <c r="E312" s="171">
        <v>9334671781</v>
      </c>
      <c r="F312" s="147"/>
      <c r="G312" s="171"/>
      <c r="H312" s="147"/>
      <c r="I312" s="171" t="s">
        <v>7587</v>
      </c>
      <c r="J312" s="147">
        <v>3000</v>
      </c>
      <c r="K312" s="147">
        <v>3000</v>
      </c>
      <c r="L312" s="147">
        <f t="shared" si="37"/>
        <v>0</v>
      </c>
      <c r="M312" s="147"/>
      <c r="N312" s="147">
        <v>2500</v>
      </c>
      <c r="O312" s="147">
        <v>2500</v>
      </c>
      <c r="P312" s="147">
        <f t="shared" si="38"/>
        <v>0</v>
      </c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</row>
    <row r="313" spans="1:27" ht="18" customHeight="1" x14ac:dyDescent="0.3">
      <c r="A313" s="172"/>
      <c r="B313" s="172"/>
      <c r="C313" s="147" t="s">
        <v>11952</v>
      </c>
      <c r="D313" s="272">
        <v>27030</v>
      </c>
      <c r="E313" s="171">
        <v>7874341220</v>
      </c>
      <c r="F313" s="147">
        <v>9163428698</v>
      </c>
      <c r="G313" s="171"/>
      <c r="H313" s="147"/>
      <c r="I313" s="171" t="s">
        <v>7587</v>
      </c>
      <c r="J313" s="147">
        <v>1700</v>
      </c>
      <c r="K313" s="147">
        <v>1700</v>
      </c>
      <c r="L313" s="147">
        <f t="shared" si="37"/>
        <v>0</v>
      </c>
      <c r="M313" s="147"/>
      <c r="N313" s="147">
        <v>1400</v>
      </c>
      <c r="O313" s="147">
        <v>1400</v>
      </c>
      <c r="P313" s="147">
        <f t="shared" si="38"/>
        <v>0</v>
      </c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</row>
    <row r="314" spans="1:27" ht="18" customHeight="1" x14ac:dyDescent="0.3">
      <c r="A314" s="162">
        <v>45747</v>
      </c>
      <c r="B314" s="172">
        <v>1276272925</v>
      </c>
      <c r="C314" s="147" t="s">
        <v>11977</v>
      </c>
      <c r="D314" s="272">
        <v>29246</v>
      </c>
      <c r="E314" s="171">
        <v>8292165647</v>
      </c>
      <c r="F314" s="147"/>
      <c r="G314" s="171"/>
      <c r="H314" s="147"/>
      <c r="I314" s="171">
        <v>2</v>
      </c>
      <c r="J314" s="147">
        <v>4200</v>
      </c>
      <c r="K314" s="147">
        <f>2500+1700</f>
        <v>4200</v>
      </c>
      <c r="L314" s="147">
        <f t="shared" si="37"/>
        <v>0</v>
      </c>
      <c r="M314" s="147"/>
      <c r="N314" s="147">
        <v>3600</v>
      </c>
      <c r="O314" s="147">
        <f>2000+1600</f>
        <v>3600</v>
      </c>
      <c r="P314" s="147">
        <f t="shared" si="38"/>
        <v>0</v>
      </c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</row>
    <row r="315" spans="1:27" ht="18" customHeight="1" x14ac:dyDescent="0.3">
      <c r="A315" s="162">
        <v>45767</v>
      </c>
      <c r="B315" s="172"/>
      <c r="C315" s="147" t="s">
        <v>12048</v>
      </c>
      <c r="D315" s="272">
        <v>36278</v>
      </c>
      <c r="E315" s="171">
        <v>7066815543</v>
      </c>
      <c r="F315" s="147"/>
      <c r="G315" s="171"/>
      <c r="H315" s="147" t="s">
        <v>12049</v>
      </c>
      <c r="I315" s="171" t="s">
        <v>7620</v>
      </c>
      <c r="J315" s="147">
        <v>5500</v>
      </c>
      <c r="K315" s="147">
        <v>3000</v>
      </c>
      <c r="L315" s="147">
        <f t="shared" si="37"/>
        <v>2500</v>
      </c>
      <c r="M315" s="147"/>
      <c r="N315" s="147">
        <v>4800</v>
      </c>
      <c r="O315" s="147">
        <v>2500</v>
      </c>
      <c r="P315" s="147">
        <f t="shared" si="38"/>
        <v>2300</v>
      </c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</row>
    <row r="316" spans="1:27" ht="18" customHeight="1" x14ac:dyDescent="0.3">
      <c r="A316" s="162">
        <v>45778</v>
      </c>
      <c r="B316" s="172"/>
      <c r="C316" s="147" t="s">
        <v>12095</v>
      </c>
      <c r="D316" s="272"/>
      <c r="E316" s="171"/>
      <c r="F316" s="147"/>
      <c r="G316" s="171"/>
      <c r="H316" s="147"/>
      <c r="I316" s="171" t="s">
        <v>12094</v>
      </c>
      <c r="J316" s="147">
        <v>5500</v>
      </c>
      <c r="K316" s="147">
        <v>5500</v>
      </c>
      <c r="L316" s="147">
        <f t="shared" si="37"/>
        <v>0</v>
      </c>
      <c r="M316" s="147"/>
      <c r="N316" s="147">
        <v>5200</v>
      </c>
      <c r="O316" s="147">
        <v>5200</v>
      </c>
      <c r="P316" s="147">
        <f t="shared" si="38"/>
        <v>0</v>
      </c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</row>
    <row r="317" spans="1:27" ht="18" customHeight="1" x14ac:dyDescent="0.3">
      <c r="A317" s="162">
        <v>45779</v>
      </c>
      <c r="B317" s="172"/>
      <c r="C317" s="147" t="s">
        <v>11937</v>
      </c>
      <c r="D317" s="272">
        <v>39128</v>
      </c>
      <c r="E317" s="171">
        <v>8540000342</v>
      </c>
      <c r="F317" s="147"/>
      <c r="G317" s="171"/>
      <c r="H317" s="147"/>
      <c r="I317" s="171" t="s">
        <v>7620</v>
      </c>
      <c r="J317" s="147">
        <v>5500</v>
      </c>
      <c r="K317" s="147">
        <v>3000</v>
      </c>
      <c r="L317" s="147">
        <f t="shared" si="37"/>
        <v>2500</v>
      </c>
      <c r="M317" s="147"/>
      <c r="N317" s="147">
        <v>4800</v>
      </c>
      <c r="O317" s="147">
        <v>2500</v>
      </c>
      <c r="P317" s="147">
        <f t="shared" si="38"/>
        <v>2300</v>
      </c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</row>
    <row r="318" spans="1:27" ht="18" customHeight="1" x14ac:dyDescent="0.3">
      <c r="A318" s="162">
        <v>45791</v>
      </c>
      <c r="B318" s="172">
        <v>1858651325</v>
      </c>
      <c r="C318" s="147" t="s">
        <v>12125</v>
      </c>
      <c r="D318" s="272">
        <v>39133</v>
      </c>
      <c r="E318" s="171">
        <v>9608626925</v>
      </c>
      <c r="F318" s="147" t="s">
        <v>12255</v>
      </c>
      <c r="G318" s="171"/>
      <c r="H318" s="147"/>
      <c r="I318" s="171" t="s">
        <v>7620</v>
      </c>
      <c r="J318" s="147">
        <v>5500</v>
      </c>
      <c r="K318" s="147">
        <v>3000</v>
      </c>
      <c r="L318" s="147">
        <f t="shared" si="37"/>
        <v>2500</v>
      </c>
      <c r="M318" s="147"/>
      <c r="N318" s="147">
        <v>4800</v>
      </c>
      <c r="O318" s="147">
        <v>2500</v>
      </c>
      <c r="P318" s="147">
        <f t="shared" si="38"/>
        <v>2300</v>
      </c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</row>
    <row r="319" spans="1:27" ht="18" customHeight="1" x14ac:dyDescent="0.3">
      <c r="A319" s="162">
        <v>45791</v>
      </c>
      <c r="B319" s="172">
        <v>1868445925</v>
      </c>
      <c r="C319" s="147" t="s">
        <v>12126</v>
      </c>
      <c r="D319" s="272">
        <v>33528</v>
      </c>
      <c r="E319" s="171">
        <v>7209950247</v>
      </c>
      <c r="F319" s="147" t="s">
        <v>12256</v>
      </c>
      <c r="G319" s="171"/>
      <c r="H319" s="147"/>
      <c r="I319" s="171" t="s">
        <v>7620</v>
      </c>
      <c r="J319" s="147">
        <v>5500</v>
      </c>
      <c r="K319" s="147">
        <v>3000</v>
      </c>
      <c r="L319" s="147">
        <f t="shared" si="37"/>
        <v>2500</v>
      </c>
      <c r="M319" s="147"/>
      <c r="N319" s="147">
        <v>4800</v>
      </c>
      <c r="O319" s="147">
        <v>2500</v>
      </c>
      <c r="P319" s="147">
        <f t="shared" si="38"/>
        <v>2300</v>
      </c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</row>
    <row r="320" spans="1:27" ht="18" customHeight="1" x14ac:dyDescent="0.3">
      <c r="A320" s="162">
        <v>45800</v>
      </c>
      <c r="B320" s="172"/>
      <c r="C320" s="147" t="s">
        <v>12155</v>
      </c>
      <c r="D320" s="272">
        <v>28647</v>
      </c>
      <c r="E320" s="171">
        <v>9835746287</v>
      </c>
      <c r="F320" s="147"/>
      <c r="G320" s="171"/>
      <c r="H320" s="147"/>
      <c r="I320" s="171" t="s">
        <v>12094</v>
      </c>
      <c r="J320" s="147">
        <v>5500</v>
      </c>
      <c r="K320" s="147">
        <v>5500</v>
      </c>
      <c r="L320" s="147">
        <f t="shared" si="37"/>
        <v>0</v>
      </c>
      <c r="M320" s="147"/>
      <c r="N320" s="147">
        <v>5200</v>
      </c>
      <c r="O320" s="147">
        <v>5200</v>
      </c>
      <c r="P320" s="147">
        <f t="shared" si="38"/>
        <v>0</v>
      </c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</row>
    <row r="321" spans="1:27" ht="18" customHeight="1" x14ac:dyDescent="0.3">
      <c r="A321" s="162">
        <v>45806</v>
      </c>
      <c r="B321" s="172">
        <v>2079224825</v>
      </c>
      <c r="C321" s="147" t="s">
        <v>12182</v>
      </c>
      <c r="D321" s="272">
        <v>36951</v>
      </c>
      <c r="E321" s="171">
        <v>9031278841</v>
      </c>
      <c r="F321" s="147"/>
      <c r="G321" s="171"/>
      <c r="H321" s="147"/>
      <c r="I321" s="171" t="s">
        <v>7620</v>
      </c>
      <c r="J321" s="147">
        <v>5500</v>
      </c>
      <c r="K321" s="147">
        <v>3500</v>
      </c>
      <c r="L321" s="147">
        <f t="shared" si="37"/>
        <v>2000</v>
      </c>
      <c r="M321" s="147"/>
      <c r="N321" s="147">
        <v>4800</v>
      </c>
      <c r="O321" s="147">
        <v>2500</v>
      </c>
      <c r="P321" s="147">
        <f t="shared" si="38"/>
        <v>2300</v>
      </c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</row>
    <row r="322" spans="1:27" ht="18" customHeight="1" x14ac:dyDescent="0.3">
      <c r="A322" s="162">
        <v>45808</v>
      </c>
      <c r="B322" s="172"/>
      <c r="C322" s="147" t="s">
        <v>12199</v>
      </c>
      <c r="D322" s="272">
        <v>31941</v>
      </c>
      <c r="E322" s="171">
        <v>9572011848</v>
      </c>
      <c r="F322" s="147"/>
      <c r="G322" s="171"/>
      <c r="H322" s="147"/>
      <c r="I322" s="171" t="s">
        <v>12200</v>
      </c>
      <c r="J322" s="147">
        <v>4200</v>
      </c>
      <c r="K322" s="147">
        <v>4200</v>
      </c>
      <c r="L322" s="147">
        <f t="shared" si="37"/>
        <v>0</v>
      </c>
      <c r="M322" s="147"/>
      <c r="N322" s="147">
        <v>3800</v>
      </c>
      <c r="O322" s="147">
        <v>3800</v>
      </c>
      <c r="P322" s="147">
        <f t="shared" si="38"/>
        <v>0</v>
      </c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</row>
    <row r="323" spans="1:27" ht="18" customHeight="1" x14ac:dyDescent="0.3">
      <c r="A323" s="162">
        <v>45814</v>
      </c>
      <c r="B323" s="172">
        <v>2217293325</v>
      </c>
      <c r="C323" s="147" t="s">
        <v>10703</v>
      </c>
      <c r="D323" s="272">
        <v>38797</v>
      </c>
      <c r="E323" s="171" t="s">
        <v>12220</v>
      </c>
      <c r="F323" s="147"/>
      <c r="G323" s="171"/>
      <c r="H323" s="147"/>
      <c r="I323" s="171" t="s">
        <v>7620</v>
      </c>
      <c r="J323" s="147">
        <v>5500</v>
      </c>
      <c r="K323" s="147">
        <v>0</v>
      </c>
      <c r="L323" s="147">
        <f t="shared" si="37"/>
        <v>5500</v>
      </c>
      <c r="M323" s="147"/>
      <c r="N323" s="147">
        <v>4800</v>
      </c>
      <c r="O323" s="147">
        <v>2500</v>
      </c>
      <c r="P323" s="147">
        <f t="shared" si="38"/>
        <v>2300</v>
      </c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</row>
    <row r="324" spans="1:27" ht="18" customHeight="1" x14ac:dyDescent="0.3">
      <c r="A324" s="172"/>
      <c r="B324" s="172"/>
      <c r="C324" s="147"/>
      <c r="D324" s="272"/>
      <c r="E324" s="171"/>
      <c r="F324" s="147"/>
      <c r="G324" s="171"/>
      <c r="H324" s="147"/>
      <c r="I324" s="171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</row>
    <row r="325" spans="1:27" ht="18" customHeight="1" x14ac:dyDescent="0.3">
      <c r="A325" s="172"/>
      <c r="B325" s="172"/>
      <c r="C325" s="147"/>
      <c r="D325" s="272"/>
      <c r="E325" s="171"/>
      <c r="F325" s="147"/>
      <c r="G325" s="171"/>
      <c r="H325" s="147"/>
      <c r="I325" s="171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</row>
    <row r="326" spans="1:27" ht="18" customHeight="1" x14ac:dyDescent="0.3">
      <c r="A326" s="172"/>
      <c r="B326" s="172"/>
      <c r="C326" s="147"/>
      <c r="D326" s="272"/>
      <c r="E326" s="171"/>
      <c r="F326" s="147"/>
      <c r="G326" s="171"/>
      <c r="H326" s="147"/>
      <c r="I326" s="171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</row>
    <row r="327" spans="1:27" ht="18" customHeight="1" x14ac:dyDescent="0.3">
      <c r="A327" s="172"/>
      <c r="B327" s="172"/>
      <c r="C327" s="147"/>
      <c r="D327" s="272"/>
      <c r="E327" s="171"/>
      <c r="F327" s="147"/>
      <c r="G327" s="171"/>
      <c r="H327" s="147"/>
      <c r="I327" s="171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</row>
    <row r="328" spans="1:27" ht="18" customHeight="1" x14ac:dyDescent="0.3">
      <c r="A328" s="172"/>
      <c r="B328" s="172"/>
      <c r="C328" s="147"/>
      <c r="D328" s="272"/>
      <c r="E328" s="171"/>
      <c r="F328" s="147"/>
      <c r="G328" s="171"/>
      <c r="H328" s="147"/>
      <c r="I328" s="171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</row>
    <row r="329" spans="1:27" ht="18" customHeight="1" x14ac:dyDescent="0.3">
      <c r="A329" s="172"/>
      <c r="B329" s="172"/>
      <c r="C329" s="147"/>
      <c r="D329" s="272"/>
      <c r="E329" s="171"/>
      <c r="F329" s="147"/>
      <c r="G329" s="171"/>
      <c r="H329" s="147"/>
      <c r="I329" s="171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</row>
    <row r="330" spans="1:27" ht="18" customHeight="1" x14ac:dyDescent="0.3">
      <c r="A330" s="172"/>
      <c r="B330" s="172"/>
      <c r="C330" s="147"/>
      <c r="D330" s="272"/>
      <c r="E330" s="171"/>
      <c r="F330" s="147"/>
      <c r="G330" s="171"/>
      <c r="H330" s="147"/>
      <c r="I330" s="171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</row>
    <row r="331" spans="1:27" ht="18" customHeight="1" x14ac:dyDescent="0.3">
      <c r="A331" s="172"/>
      <c r="B331" s="172"/>
      <c r="C331" s="147"/>
      <c r="D331" s="272"/>
      <c r="E331" s="171"/>
      <c r="F331" s="147"/>
      <c r="G331" s="171"/>
      <c r="H331" s="147"/>
      <c r="I331" s="171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</row>
    <row r="332" spans="1:27" ht="18" customHeight="1" x14ac:dyDescent="0.3">
      <c r="A332" s="172"/>
      <c r="B332" s="172"/>
      <c r="C332" s="147"/>
      <c r="D332" s="272"/>
      <c r="E332" s="171"/>
      <c r="F332" s="147"/>
      <c r="G332" s="171"/>
      <c r="H332" s="147"/>
      <c r="I332" s="171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</row>
    <row r="333" spans="1:27" ht="18" customHeight="1" x14ac:dyDescent="0.3">
      <c r="A333" s="172"/>
      <c r="B333" s="172"/>
      <c r="C333" s="147"/>
      <c r="D333" s="272"/>
      <c r="E333" s="171"/>
      <c r="F333" s="147"/>
      <c r="G333" s="171"/>
      <c r="H333" s="147"/>
      <c r="I333" s="171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</row>
    <row r="334" spans="1:27" ht="18" customHeight="1" x14ac:dyDescent="0.3">
      <c r="A334" s="172"/>
      <c r="B334" s="172"/>
      <c r="C334" s="147"/>
      <c r="D334" s="272"/>
      <c r="E334" s="171"/>
      <c r="F334" s="147"/>
      <c r="G334" s="171"/>
      <c r="H334" s="147"/>
      <c r="I334" s="171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</row>
    <row r="335" spans="1:27" ht="18" customHeight="1" x14ac:dyDescent="0.3">
      <c r="A335" s="172"/>
      <c r="B335" s="172"/>
      <c r="C335" s="147"/>
      <c r="D335" s="272"/>
      <c r="E335" s="171"/>
      <c r="F335" s="147"/>
      <c r="G335" s="171"/>
      <c r="H335" s="147"/>
      <c r="I335" s="171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</row>
    <row r="336" spans="1:27" ht="18" customHeight="1" x14ac:dyDescent="0.3">
      <c r="A336" s="172"/>
      <c r="B336" s="172"/>
      <c r="C336" s="147"/>
      <c r="D336" s="272"/>
      <c r="E336" s="171"/>
      <c r="F336" s="147"/>
      <c r="G336" s="171"/>
      <c r="H336" s="147"/>
      <c r="I336" s="171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</row>
    <row r="337" spans="1:27" ht="18" customHeight="1" x14ac:dyDescent="0.3">
      <c r="A337" s="172"/>
      <c r="B337" s="172"/>
      <c r="C337" s="147"/>
      <c r="D337" s="272"/>
      <c r="E337" s="171"/>
      <c r="F337" s="147"/>
      <c r="G337" s="171"/>
      <c r="H337" s="147"/>
      <c r="I337" s="171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</row>
    <row r="338" spans="1:27" ht="18" customHeight="1" x14ac:dyDescent="0.3">
      <c r="A338" s="172"/>
      <c r="B338" s="172"/>
      <c r="C338" s="147"/>
      <c r="D338" s="272"/>
      <c r="E338" s="171"/>
      <c r="F338" s="147"/>
      <c r="G338" s="171"/>
      <c r="H338" s="147"/>
      <c r="I338" s="171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</row>
    <row r="339" spans="1:27" ht="18" customHeight="1" x14ac:dyDescent="0.3">
      <c r="A339" s="172"/>
      <c r="B339" s="172"/>
      <c r="C339" s="147"/>
      <c r="D339" s="272"/>
      <c r="E339" s="171"/>
      <c r="F339" s="147"/>
      <c r="G339" s="171"/>
      <c r="H339" s="147"/>
      <c r="I339" s="171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</row>
    <row r="340" spans="1:27" ht="18" customHeight="1" x14ac:dyDescent="0.3">
      <c r="A340" s="172"/>
      <c r="B340" s="172"/>
      <c r="C340" s="147"/>
      <c r="D340" s="272"/>
      <c r="E340" s="171"/>
      <c r="F340" s="147"/>
      <c r="G340" s="171"/>
      <c r="H340" s="147"/>
      <c r="I340" s="171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</row>
    <row r="341" spans="1:27" ht="18" customHeight="1" x14ac:dyDescent="0.3">
      <c r="A341" s="172"/>
      <c r="B341" s="172"/>
      <c r="C341" s="147"/>
      <c r="D341" s="272"/>
      <c r="E341" s="171"/>
      <c r="F341" s="147"/>
      <c r="G341" s="171"/>
      <c r="H341" s="147"/>
      <c r="I341" s="171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</row>
    <row r="342" spans="1:27" ht="18" customHeight="1" x14ac:dyDescent="0.3">
      <c r="A342" s="172"/>
      <c r="B342" s="172"/>
      <c r="C342" s="147"/>
      <c r="D342" s="272"/>
      <c r="E342" s="171"/>
      <c r="F342" s="147"/>
      <c r="G342" s="171"/>
      <c r="H342" s="147"/>
      <c r="I342" s="171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</row>
    <row r="343" spans="1:27" ht="18" customHeight="1" x14ac:dyDescent="0.3">
      <c r="A343" s="172"/>
      <c r="B343" s="172"/>
      <c r="C343" s="147"/>
      <c r="D343" s="272"/>
      <c r="E343" s="171"/>
      <c r="F343" s="147"/>
      <c r="G343" s="171"/>
      <c r="H343" s="147"/>
      <c r="I343" s="171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</row>
    <row r="344" spans="1:27" ht="18" customHeight="1" x14ac:dyDescent="0.3">
      <c r="A344" s="172"/>
      <c r="B344" s="172"/>
      <c r="C344" s="147"/>
      <c r="D344" s="272"/>
      <c r="E344" s="171"/>
      <c r="F344" s="147"/>
      <c r="G344" s="171"/>
      <c r="H344" s="147"/>
      <c r="I344" s="171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</row>
    <row r="345" spans="1:27" ht="18" customHeight="1" x14ac:dyDescent="0.3">
      <c r="A345" s="172"/>
      <c r="B345" s="172"/>
      <c r="C345" s="147"/>
      <c r="D345" s="272"/>
      <c r="E345" s="171"/>
      <c r="F345" s="147"/>
      <c r="G345" s="171"/>
      <c r="H345" s="147"/>
      <c r="I345" s="171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</row>
    <row r="346" spans="1:27" ht="18" customHeight="1" x14ac:dyDescent="0.3">
      <c r="A346" s="172"/>
      <c r="B346" s="172"/>
      <c r="C346" s="147"/>
      <c r="D346" s="272"/>
      <c r="E346" s="171"/>
      <c r="F346" s="147"/>
      <c r="G346" s="171"/>
      <c r="H346" s="147"/>
      <c r="I346" s="171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</row>
    <row r="347" spans="1:27" ht="18" customHeight="1" x14ac:dyDescent="0.3">
      <c r="A347" s="172"/>
      <c r="B347" s="172"/>
      <c r="C347" s="147"/>
      <c r="D347" s="272"/>
      <c r="E347" s="171"/>
      <c r="F347" s="147"/>
      <c r="G347" s="171"/>
      <c r="H347" s="147"/>
      <c r="I347" s="171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</row>
    <row r="348" spans="1:27" ht="18" customHeight="1" x14ac:dyDescent="0.3">
      <c r="A348" s="172"/>
      <c r="B348" s="172"/>
      <c r="C348" s="147"/>
      <c r="D348" s="272"/>
      <c r="E348" s="171"/>
      <c r="F348" s="147"/>
      <c r="G348" s="171"/>
      <c r="H348" s="147"/>
      <c r="I348" s="171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</row>
    <row r="349" spans="1:27" ht="18" customHeight="1" x14ac:dyDescent="0.3">
      <c r="A349" s="172"/>
      <c r="B349" s="172"/>
      <c r="C349" s="147"/>
      <c r="D349" s="272"/>
      <c r="E349" s="171"/>
      <c r="F349" s="147"/>
      <c r="G349" s="171"/>
      <c r="H349" s="147"/>
      <c r="I349" s="171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</row>
    <row r="350" spans="1:27" ht="18" customHeight="1" x14ac:dyDescent="0.3">
      <c r="A350" s="172"/>
      <c r="B350" s="172"/>
      <c r="C350" s="147"/>
      <c r="D350" s="272"/>
      <c r="E350" s="171"/>
      <c r="F350" s="147"/>
      <c r="G350" s="171"/>
      <c r="H350" s="147"/>
      <c r="I350" s="171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</row>
    <row r="351" spans="1:27" ht="18" customHeight="1" x14ac:dyDescent="0.3">
      <c r="A351" s="172"/>
      <c r="B351" s="172"/>
      <c r="C351" s="147"/>
      <c r="D351" s="272"/>
      <c r="E351" s="171"/>
      <c r="F351" s="147"/>
      <c r="G351" s="171"/>
      <c r="H351" s="147"/>
      <c r="I351" s="171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</row>
    <row r="352" spans="1:27" ht="18" customHeight="1" x14ac:dyDescent="0.3">
      <c r="A352" s="172"/>
      <c r="B352" s="172"/>
      <c r="C352" s="147"/>
      <c r="D352" s="272"/>
      <c r="E352" s="171"/>
      <c r="F352" s="147"/>
      <c r="G352" s="171"/>
      <c r="H352" s="147"/>
      <c r="I352" s="171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</row>
    <row r="353" spans="1:27" ht="18" customHeight="1" x14ac:dyDescent="0.3">
      <c r="A353" s="172"/>
      <c r="B353" s="172"/>
      <c r="C353" s="147"/>
      <c r="D353" s="272"/>
      <c r="E353" s="171"/>
      <c r="F353" s="147"/>
      <c r="G353" s="171"/>
      <c r="H353" s="147"/>
      <c r="I353" s="171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</row>
    <row r="354" spans="1:27" ht="18" customHeight="1" x14ac:dyDescent="0.3">
      <c r="A354" s="172"/>
      <c r="B354" s="172"/>
      <c r="C354" s="147"/>
      <c r="D354" s="272"/>
      <c r="E354" s="171"/>
      <c r="F354" s="147"/>
      <c r="G354" s="171"/>
      <c r="H354" s="147"/>
      <c r="I354" s="171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</row>
    <row r="355" spans="1:27" ht="18" customHeight="1" x14ac:dyDescent="0.3">
      <c r="A355" s="172"/>
      <c r="B355" s="172"/>
      <c r="C355" s="147"/>
      <c r="D355" s="272"/>
      <c r="E355" s="171"/>
      <c r="F355" s="147"/>
      <c r="G355" s="171"/>
      <c r="H355" s="147"/>
      <c r="I355" s="171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</row>
    <row r="356" spans="1:27" ht="18" customHeight="1" x14ac:dyDescent="0.3">
      <c r="A356" s="172"/>
      <c r="B356" s="172"/>
      <c r="C356" s="147"/>
      <c r="D356" s="272"/>
      <c r="E356" s="171"/>
      <c r="F356" s="147"/>
      <c r="G356" s="171"/>
      <c r="H356" s="147"/>
      <c r="I356" s="171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</row>
    <row r="357" spans="1:27" ht="18" customHeight="1" x14ac:dyDescent="0.3">
      <c r="A357" s="172"/>
      <c r="B357" s="172"/>
      <c r="C357" s="147"/>
      <c r="D357" s="272"/>
      <c r="E357" s="171"/>
      <c r="F357" s="147"/>
      <c r="G357" s="171"/>
      <c r="H357" s="147"/>
      <c r="I357" s="171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</row>
    <row r="358" spans="1:27" ht="18" customHeight="1" x14ac:dyDescent="0.3">
      <c r="A358" s="172"/>
      <c r="B358" s="172"/>
      <c r="C358" s="147"/>
      <c r="D358" s="272"/>
      <c r="E358" s="171"/>
      <c r="F358" s="147"/>
      <c r="G358" s="171"/>
      <c r="H358" s="147"/>
      <c r="I358" s="171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</row>
    <row r="359" spans="1:27" ht="18" customHeight="1" x14ac:dyDescent="0.3">
      <c r="A359" s="172"/>
      <c r="B359" s="172"/>
      <c r="C359" s="147"/>
      <c r="D359" s="272"/>
      <c r="E359" s="171"/>
      <c r="F359" s="147"/>
      <c r="G359" s="171"/>
      <c r="H359" s="147"/>
      <c r="I359" s="171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</row>
    <row r="360" spans="1:27" ht="18" customHeight="1" x14ac:dyDescent="0.3">
      <c r="A360" s="172"/>
      <c r="B360" s="172"/>
      <c r="C360" s="147"/>
      <c r="D360" s="272"/>
      <c r="E360" s="171"/>
      <c r="F360" s="147"/>
      <c r="G360" s="171"/>
      <c r="H360" s="147"/>
      <c r="I360" s="171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</row>
    <row r="361" spans="1:27" ht="18" customHeight="1" x14ac:dyDescent="0.3">
      <c r="A361" s="172"/>
      <c r="B361" s="172"/>
      <c r="C361" s="147"/>
      <c r="D361" s="272"/>
      <c r="E361" s="171"/>
      <c r="F361" s="147"/>
      <c r="G361" s="171"/>
      <c r="H361" s="147"/>
      <c r="I361" s="171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</row>
    <row r="362" spans="1:27" ht="18" customHeight="1" x14ac:dyDescent="0.3">
      <c r="A362" s="172"/>
      <c r="B362" s="172"/>
      <c r="C362" s="147"/>
      <c r="D362" s="272"/>
      <c r="E362" s="171"/>
      <c r="F362" s="147"/>
      <c r="G362" s="171"/>
      <c r="H362" s="147"/>
      <c r="I362" s="171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</row>
    <row r="363" spans="1:27" ht="18" customHeight="1" x14ac:dyDescent="0.3">
      <c r="A363" s="172"/>
      <c r="B363" s="172"/>
      <c r="C363" s="147"/>
      <c r="D363" s="272"/>
      <c r="E363" s="171"/>
      <c r="F363" s="147"/>
      <c r="G363" s="171"/>
      <c r="H363" s="147"/>
      <c r="I363" s="171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</row>
    <row r="364" spans="1:27" ht="18" customHeight="1" x14ac:dyDescent="0.3">
      <c r="A364" s="172"/>
      <c r="B364" s="172"/>
      <c r="C364" s="147"/>
      <c r="D364" s="272"/>
      <c r="E364" s="171"/>
      <c r="F364" s="147"/>
      <c r="G364" s="171"/>
      <c r="H364" s="147"/>
      <c r="I364" s="171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</row>
    <row r="365" spans="1:27" ht="18" customHeight="1" x14ac:dyDescent="0.3">
      <c r="A365" s="172"/>
      <c r="B365" s="172"/>
      <c r="C365" s="147"/>
      <c r="D365" s="272"/>
      <c r="E365" s="171"/>
      <c r="F365" s="147"/>
      <c r="G365" s="171"/>
      <c r="H365" s="147"/>
      <c r="I365" s="171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</row>
    <row r="366" spans="1:27" ht="18" customHeight="1" x14ac:dyDescent="0.3">
      <c r="A366" s="172"/>
      <c r="B366" s="172"/>
      <c r="C366" s="147"/>
      <c r="D366" s="272"/>
      <c r="E366" s="171"/>
      <c r="F366" s="147"/>
      <c r="G366" s="171"/>
      <c r="H366" s="147"/>
      <c r="I366" s="171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</row>
    <row r="367" spans="1:27" ht="18" customHeight="1" x14ac:dyDescent="0.3">
      <c r="A367" s="172"/>
      <c r="B367" s="172"/>
      <c r="C367" s="147"/>
      <c r="D367" s="272"/>
      <c r="E367" s="171"/>
      <c r="F367" s="147"/>
      <c r="G367" s="171"/>
      <c r="H367" s="147"/>
      <c r="I367" s="171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</row>
    <row r="368" spans="1:27" ht="18" customHeight="1" x14ac:dyDescent="0.3">
      <c r="A368" s="172"/>
      <c r="B368" s="172"/>
      <c r="C368" s="147"/>
      <c r="D368" s="272"/>
      <c r="E368" s="171"/>
      <c r="F368" s="147"/>
      <c r="G368" s="171"/>
      <c r="H368" s="147"/>
      <c r="I368" s="171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</row>
    <row r="369" spans="1:27" ht="18" customHeight="1" x14ac:dyDescent="0.3">
      <c r="A369" s="172"/>
      <c r="B369" s="172"/>
      <c r="C369" s="147"/>
      <c r="D369" s="272"/>
      <c r="E369" s="171"/>
      <c r="F369" s="147"/>
      <c r="G369" s="171"/>
      <c r="H369" s="147"/>
      <c r="I369" s="171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</row>
    <row r="370" spans="1:27" ht="18" customHeight="1" x14ac:dyDescent="0.3">
      <c r="A370" s="172"/>
      <c r="B370" s="172"/>
      <c r="C370" s="147"/>
      <c r="D370" s="272"/>
      <c r="E370" s="171"/>
      <c r="F370" s="147"/>
      <c r="G370" s="171"/>
      <c r="H370" s="147"/>
      <c r="I370" s="171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</row>
    <row r="371" spans="1:27" ht="18" customHeight="1" x14ac:dyDescent="0.3">
      <c r="A371" s="172"/>
      <c r="B371" s="172"/>
      <c r="C371" s="147"/>
      <c r="D371" s="272"/>
      <c r="E371" s="171"/>
      <c r="F371" s="147"/>
      <c r="G371" s="171"/>
      <c r="H371" s="147"/>
      <c r="I371" s="171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</row>
    <row r="372" spans="1:27" ht="18" customHeight="1" x14ac:dyDescent="0.3">
      <c r="A372" s="172"/>
      <c r="B372" s="172"/>
      <c r="C372" s="147"/>
      <c r="D372" s="272"/>
      <c r="E372" s="171"/>
      <c r="F372" s="147"/>
      <c r="G372" s="171"/>
      <c r="H372" s="147"/>
      <c r="I372" s="171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</row>
    <row r="373" spans="1:27" ht="18" customHeight="1" x14ac:dyDescent="0.3">
      <c r="A373" s="172"/>
      <c r="B373" s="172"/>
      <c r="C373" s="147"/>
      <c r="D373" s="272"/>
      <c r="E373" s="171"/>
      <c r="F373" s="147"/>
      <c r="G373" s="171"/>
      <c r="H373" s="147"/>
      <c r="I373" s="171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</row>
    <row r="374" spans="1:27" ht="18" customHeight="1" x14ac:dyDescent="0.3">
      <c r="A374" s="172"/>
      <c r="B374" s="172"/>
      <c r="C374" s="147"/>
      <c r="D374" s="272"/>
      <c r="E374" s="171"/>
      <c r="F374" s="147"/>
      <c r="G374" s="171"/>
      <c r="H374" s="147"/>
      <c r="I374" s="171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</row>
    <row r="375" spans="1:27" ht="18" customHeight="1" x14ac:dyDescent="0.3">
      <c r="A375" s="172"/>
      <c r="B375" s="172"/>
      <c r="C375" s="147"/>
      <c r="D375" s="272"/>
      <c r="E375" s="171"/>
      <c r="F375" s="147"/>
      <c r="G375" s="171"/>
      <c r="H375" s="147"/>
      <c r="I375" s="171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</row>
    <row r="376" spans="1:27" ht="18" customHeight="1" x14ac:dyDescent="0.3">
      <c r="A376" s="172"/>
      <c r="B376" s="172"/>
      <c r="C376" s="147"/>
      <c r="D376" s="272"/>
      <c r="E376" s="171"/>
      <c r="F376" s="147"/>
      <c r="G376" s="171"/>
      <c r="H376" s="147"/>
      <c r="I376" s="171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</row>
    <row r="377" spans="1:27" ht="18" customHeight="1" x14ac:dyDescent="0.3">
      <c r="A377" s="172"/>
      <c r="B377" s="172"/>
      <c r="C377" s="147"/>
      <c r="D377" s="272"/>
      <c r="E377" s="171"/>
      <c r="F377" s="147"/>
      <c r="G377" s="171"/>
      <c r="H377" s="147"/>
      <c r="I377" s="171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</row>
    <row r="378" spans="1:27" ht="18" customHeight="1" x14ac:dyDescent="0.3">
      <c r="A378" s="172"/>
      <c r="B378" s="172"/>
      <c r="C378" s="147"/>
      <c r="D378" s="272"/>
      <c r="E378" s="171"/>
      <c r="F378" s="147"/>
      <c r="G378" s="171"/>
      <c r="H378" s="147"/>
      <c r="I378" s="171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</row>
    <row r="379" spans="1:27" ht="18" customHeight="1" x14ac:dyDescent="0.3">
      <c r="A379" s="172"/>
      <c r="B379" s="172"/>
      <c r="C379" s="147"/>
      <c r="D379" s="272"/>
      <c r="E379" s="171"/>
      <c r="F379" s="147"/>
      <c r="G379" s="171"/>
      <c r="H379" s="147"/>
      <c r="I379" s="171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</row>
    <row r="380" spans="1:27" ht="18" customHeight="1" x14ac:dyDescent="0.3">
      <c r="A380" s="172"/>
      <c r="B380" s="172"/>
      <c r="C380" s="147"/>
      <c r="D380" s="272"/>
      <c r="E380" s="171"/>
      <c r="F380" s="147"/>
      <c r="G380" s="171"/>
      <c r="H380" s="147"/>
      <c r="I380" s="171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</row>
    <row r="381" spans="1:27" ht="18" customHeight="1" x14ac:dyDescent="0.3">
      <c r="A381" s="172"/>
      <c r="B381" s="172"/>
      <c r="C381" s="147"/>
      <c r="D381" s="272"/>
      <c r="E381" s="171"/>
      <c r="F381" s="147"/>
      <c r="G381" s="171"/>
      <c r="H381" s="147"/>
      <c r="I381" s="171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</row>
    <row r="382" spans="1:27" ht="18" customHeight="1" x14ac:dyDescent="0.3">
      <c r="A382" s="172"/>
      <c r="B382" s="172"/>
      <c r="C382" s="147"/>
      <c r="D382" s="272"/>
      <c r="E382" s="171"/>
      <c r="F382" s="147"/>
      <c r="G382" s="171"/>
      <c r="H382" s="147"/>
      <c r="I382" s="171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</row>
    <row r="383" spans="1:27" ht="18" customHeight="1" x14ac:dyDescent="0.3">
      <c r="A383" s="172"/>
      <c r="B383" s="172"/>
      <c r="C383" s="147"/>
      <c r="D383" s="272"/>
      <c r="E383" s="171"/>
      <c r="F383" s="147"/>
      <c r="G383" s="171"/>
      <c r="H383" s="147"/>
      <c r="I383" s="171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</row>
    <row r="384" spans="1:27" ht="18" customHeight="1" x14ac:dyDescent="0.3">
      <c r="A384" s="172"/>
      <c r="B384" s="172"/>
      <c r="C384" s="147"/>
      <c r="D384" s="272"/>
      <c r="E384" s="171"/>
      <c r="F384" s="147"/>
      <c r="G384" s="171"/>
      <c r="H384" s="147"/>
      <c r="I384" s="171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</row>
    <row r="385" spans="1:27" ht="18" customHeight="1" x14ac:dyDescent="0.3">
      <c r="A385" s="172"/>
      <c r="B385" s="172"/>
      <c r="C385" s="147"/>
      <c r="D385" s="272"/>
      <c r="E385" s="171"/>
      <c r="F385" s="147"/>
      <c r="G385" s="171"/>
      <c r="H385" s="147"/>
      <c r="I385" s="171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</row>
    <row r="386" spans="1:27" ht="18" customHeight="1" x14ac:dyDescent="0.3">
      <c r="A386" s="172"/>
      <c r="B386" s="172"/>
      <c r="C386" s="147"/>
      <c r="D386" s="272"/>
      <c r="E386" s="171"/>
      <c r="F386" s="147"/>
      <c r="G386" s="171"/>
      <c r="H386" s="147"/>
      <c r="I386" s="171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</row>
    <row r="387" spans="1:27" ht="18" customHeight="1" x14ac:dyDescent="0.3">
      <c r="A387" s="172"/>
      <c r="B387" s="172"/>
      <c r="C387" s="147"/>
      <c r="D387" s="272"/>
      <c r="E387" s="171"/>
      <c r="F387" s="147"/>
      <c r="G387" s="171"/>
      <c r="H387" s="147"/>
      <c r="I387" s="171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</row>
    <row r="388" spans="1:27" ht="18" customHeight="1" x14ac:dyDescent="0.3">
      <c r="A388" s="172"/>
      <c r="B388" s="172"/>
      <c r="C388" s="147"/>
      <c r="D388" s="272"/>
      <c r="E388" s="171"/>
      <c r="F388" s="147"/>
      <c r="G388" s="171"/>
      <c r="H388" s="147"/>
      <c r="I388" s="171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</row>
    <row r="389" spans="1:27" ht="18" customHeight="1" x14ac:dyDescent="0.3">
      <c r="A389" s="172"/>
      <c r="B389" s="172"/>
      <c r="C389" s="147"/>
      <c r="D389" s="272"/>
      <c r="E389" s="171"/>
      <c r="F389" s="147"/>
      <c r="G389" s="171"/>
      <c r="H389" s="147"/>
      <c r="I389" s="171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</row>
    <row r="390" spans="1:27" ht="18" customHeight="1" x14ac:dyDescent="0.3">
      <c r="A390" s="172"/>
      <c r="B390" s="172"/>
      <c r="C390" s="147"/>
      <c r="D390" s="272"/>
      <c r="E390" s="171"/>
      <c r="F390" s="147"/>
      <c r="G390" s="171"/>
      <c r="H390" s="147"/>
      <c r="I390" s="171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</row>
    <row r="391" spans="1:27" ht="18" customHeight="1" x14ac:dyDescent="0.3">
      <c r="A391" s="172"/>
      <c r="B391" s="172"/>
      <c r="C391" s="147"/>
      <c r="D391" s="272"/>
      <c r="E391" s="171"/>
      <c r="F391" s="147"/>
      <c r="G391" s="171"/>
      <c r="H391" s="147"/>
      <c r="I391" s="171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</row>
    <row r="392" spans="1:27" ht="18" customHeight="1" x14ac:dyDescent="0.3">
      <c r="A392" s="172"/>
      <c r="B392" s="172"/>
      <c r="C392" s="147"/>
      <c r="D392" s="272"/>
      <c r="E392" s="171"/>
      <c r="F392" s="147"/>
      <c r="G392" s="171"/>
      <c r="H392" s="147"/>
      <c r="I392" s="171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</row>
    <row r="393" spans="1:27" ht="18" customHeight="1" x14ac:dyDescent="0.3">
      <c r="A393" s="172"/>
      <c r="B393" s="172"/>
      <c r="C393" s="147"/>
      <c r="D393" s="272"/>
      <c r="E393" s="171"/>
      <c r="F393" s="147"/>
      <c r="G393" s="171"/>
      <c r="H393" s="147"/>
      <c r="I393" s="171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</row>
    <row r="394" spans="1:27" ht="18" customHeight="1" x14ac:dyDescent="0.3">
      <c r="A394" s="172"/>
      <c r="B394" s="172"/>
      <c r="C394" s="147"/>
      <c r="D394" s="272"/>
      <c r="E394" s="171"/>
      <c r="F394" s="147"/>
      <c r="G394" s="171"/>
      <c r="H394" s="147"/>
      <c r="I394" s="171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</row>
    <row r="395" spans="1:27" ht="18" customHeight="1" x14ac:dyDescent="0.3">
      <c r="A395" s="172"/>
      <c r="B395" s="172"/>
      <c r="C395" s="147"/>
      <c r="D395" s="272"/>
      <c r="E395" s="171"/>
      <c r="F395" s="147"/>
      <c r="G395" s="171"/>
      <c r="H395" s="147"/>
      <c r="I395" s="171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</row>
    <row r="396" spans="1:27" ht="18" customHeight="1" x14ac:dyDescent="0.3">
      <c r="A396" s="172"/>
      <c r="B396" s="172"/>
      <c r="C396" s="147"/>
      <c r="D396" s="272"/>
      <c r="E396" s="171"/>
      <c r="F396" s="147"/>
      <c r="G396" s="171"/>
      <c r="H396" s="147"/>
      <c r="I396" s="171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</row>
    <row r="397" spans="1:27" ht="18" customHeight="1" x14ac:dyDescent="0.3">
      <c r="A397" s="172"/>
      <c r="B397" s="172"/>
      <c r="C397" s="147"/>
      <c r="D397" s="272"/>
      <c r="E397" s="171"/>
      <c r="F397" s="147"/>
      <c r="G397" s="171"/>
      <c r="H397" s="147"/>
      <c r="I397" s="171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</row>
    <row r="398" spans="1:27" ht="18" customHeight="1" x14ac:dyDescent="0.3">
      <c r="A398" s="172"/>
      <c r="B398" s="172"/>
      <c r="C398" s="147"/>
      <c r="D398" s="272"/>
      <c r="E398" s="171"/>
      <c r="F398" s="147"/>
      <c r="G398" s="171"/>
      <c r="H398" s="147"/>
      <c r="I398" s="171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</row>
    <row r="399" spans="1:27" ht="18" customHeight="1" x14ac:dyDescent="0.3">
      <c r="A399" s="172"/>
      <c r="B399" s="172"/>
      <c r="C399" s="147"/>
      <c r="D399" s="272"/>
      <c r="E399" s="171"/>
      <c r="F399" s="147"/>
      <c r="G399" s="171"/>
      <c r="H399" s="147"/>
      <c r="I399" s="171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</row>
    <row r="400" spans="1:27" ht="18" customHeight="1" x14ac:dyDescent="0.3">
      <c r="A400" s="172"/>
      <c r="B400" s="172"/>
      <c r="C400" s="147"/>
      <c r="D400" s="272"/>
      <c r="E400" s="171"/>
      <c r="F400" s="147"/>
      <c r="G400" s="171"/>
      <c r="H400" s="147"/>
      <c r="I400" s="171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</row>
    <row r="401" spans="1:27" ht="18" customHeight="1" x14ac:dyDescent="0.3">
      <c r="A401" s="172"/>
      <c r="B401" s="172"/>
      <c r="C401" s="147"/>
      <c r="D401" s="272"/>
      <c r="E401" s="171"/>
      <c r="F401" s="147"/>
      <c r="G401" s="171"/>
      <c r="H401" s="147"/>
      <c r="I401" s="171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</row>
    <row r="402" spans="1:27" ht="18" customHeight="1" x14ac:dyDescent="0.3">
      <c r="A402" s="172"/>
      <c r="B402" s="172"/>
      <c r="C402" s="147"/>
      <c r="D402" s="272"/>
      <c r="E402" s="171"/>
      <c r="F402" s="147"/>
      <c r="G402" s="171"/>
      <c r="H402" s="147"/>
      <c r="I402" s="171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</row>
    <row r="403" spans="1:27" ht="18" customHeight="1" x14ac:dyDescent="0.3">
      <c r="A403" s="172"/>
      <c r="B403" s="172"/>
      <c r="C403" s="147"/>
      <c r="D403" s="272"/>
      <c r="E403" s="171"/>
      <c r="F403" s="147"/>
      <c r="G403" s="171"/>
      <c r="H403" s="147"/>
      <c r="I403" s="171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</row>
    <row r="404" spans="1:27" ht="18" customHeight="1" x14ac:dyDescent="0.3">
      <c r="A404" s="172"/>
      <c r="B404" s="172"/>
      <c r="C404" s="147"/>
      <c r="D404" s="272"/>
      <c r="E404" s="171"/>
      <c r="F404" s="147"/>
      <c r="G404" s="171"/>
      <c r="H404" s="147"/>
      <c r="I404" s="171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</row>
    <row r="405" spans="1:27" ht="18" customHeight="1" x14ac:dyDescent="0.3">
      <c r="A405" s="172"/>
      <c r="B405" s="172"/>
      <c r="C405" s="147"/>
      <c r="D405" s="272"/>
      <c r="E405" s="171"/>
      <c r="F405" s="147"/>
      <c r="G405" s="171"/>
      <c r="H405" s="147"/>
      <c r="I405" s="171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</row>
    <row r="406" spans="1:27" ht="18" customHeight="1" x14ac:dyDescent="0.3">
      <c r="A406" s="172"/>
      <c r="B406" s="172"/>
      <c r="C406" s="147"/>
      <c r="D406" s="272"/>
      <c r="E406" s="171"/>
      <c r="F406" s="147"/>
      <c r="G406" s="171"/>
      <c r="H406" s="147"/>
      <c r="I406" s="171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</row>
    <row r="407" spans="1:27" ht="18" customHeight="1" x14ac:dyDescent="0.3">
      <c r="A407" s="172"/>
      <c r="B407" s="172"/>
      <c r="C407" s="147"/>
      <c r="D407" s="272"/>
      <c r="E407" s="171"/>
      <c r="F407" s="147"/>
      <c r="G407" s="171"/>
      <c r="H407" s="147"/>
      <c r="I407" s="171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</row>
    <row r="408" spans="1:27" ht="18" customHeight="1" x14ac:dyDescent="0.3">
      <c r="A408" s="172"/>
      <c r="B408" s="172"/>
      <c r="C408" s="147"/>
      <c r="D408" s="272"/>
      <c r="E408" s="171"/>
      <c r="F408" s="147"/>
      <c r="G408" s="171"/>
      <c r="H408" s="147"/>
      <c r="I408" s="171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</row>
    <row r="409" spans="1:27" ht="18" customHeight="1" x14ac:dyDescent="0.3">
      <c r="A409" s="172"/>
      <c r="B409" s="172"/>
      <c r="C409" s="147"/>
      <c r="D409" s="272"/>
      <c r="E409" s="171"/>
      <c r="F409" s="147"/>
      <c r="G409" s="171"/>
      <c r="H409" s="147"/>
      <c r="I409" s="171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</row>
    <row r="410" spans="1:27" ht="18" customHeight="1" x14ac:dyDescent="0.3">
      <c r="A410" s="172"/>
      <c r="B410" s="172"/>
      <c r="C410" s="147"/>
      <c r="D410" s="272"/>
      <c r="E410" s="171"/>
      <c r="F410" s="147"/>
      <c r="G410" s="171"/>
      <c r="H410" s="147"/>
      <c r="I410" s="171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</row>
    <row r="411" spans="1:27" ht="18" customHeight="1" x14ac:dyDescent="0.3">
      <c r="A411" s="172"/>
      <c r="B411" s="172"/>
      <c r="C411" s="147"/>
      <c r="D411" s="272"/>
      <c r="E411" s="171"/>
      <c r="F411" s="147"/>
      <c r="G411" s="171"/>
      <c r="H411" s="147"/>
      <c r="I411" s="171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</row>
    <row r="412" spans="1:27" ht="18" customHeight="1" x14ac:dyDescent="0.3">
      <c r="A412" s="172"/>
      <c r="B412" s="172"/>
      <c r="C412" s="147"/>
      <c r="D412" s="272"/>
      <c r="E412" s="171"/>
      <c r="F412" s="147"/>
      <c r="G412" s="171"/>
      <c r="H412" s="147"/>
      <c r="I412" s="171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</row>
    <row r="413" spans="1:27" ht="18" customHeight="1" x14ac:dyDescent="0.3">
      <c r="A413" s="172"/>
      <c r="B413" s="172"/>
      <c r="C413" s="147"/>
      <c r="D413" s="272"/>
      <c r="E413" s="171"/>
      <c r="F413" s="147"/>
      <c r="G413" s="171"/>
      <c r="H413" s="147"/>
      <c r="I413" s="171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</row>
    <row r="414" spans="1:27" ht="18" customHeight="1" x14ac:dyDescent="0.3">
      <c r="A414" s="172"/>
      <c r="B414" s="172"/>
      <c r="C414" s="147"/>
      <c r="D414" s="272"/>
      <c r="E414" s="171"/>
      <c r="F414" s="147"/>
      <c r="G414" s="171"/>
      <c r="H414" s="147"/>
      <c r="I414" s="171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</row>
    <row r="415" spans="1:27" ht="18" customHeight="1" x14ac:dyDescent="0.3">
      <c r="A415" s="172"/>
      <c r="B415" s="172"/>
      <c r="C415" s="147"/>
      <c r="D415" s="272"/>
      <c r="E415" s="171"/>
      <c r="F415" s="147"/>
      <c r="G415" s="171"/>
      <c r="H415" s="147"/>
      <c r="I415" s="171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</row>
    <row r="416" spans="1:27" ht="18" customHeight="1" x14ac:dyDescent="0.3">
      <c r="A416" s="172"/>
      <c r="B416" s="172"/>
      <c r="C416" s="147"/>
      <c r="D416" s="272"/>
      <c r="E416" s="171"/>
      <c r="F416" s="147"/>
      <c r="G416" s="171"/>
      <c r="H416" s="147"/>
      <c r="I416" s="171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</row>
    <row r="417" spans="1:27" ht="18" customHeight="1" x14ac:dyDescent="0.3">
      <c r="A417" s="172"/>
      <c r="B417" s="172"/>
      <c r="C417" s="147"/>
      <c r="D417" s="272"/>
      <c r="E417" s="171"/>
      <c r="F417" s="147"/>
      <c r="G417" s="171"/>
      <c r="H417" s="147"/>
      <c r="I417" s="171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</row>
    <row r="418" spans="1:27" ht="18" customHeight="1" x14ac:dyDescent="0.3">
      <c r="A418" s="172"/>
      <c r="B418" s="172"/>
      <c r="C418" s="147"/>
      <c r="D418" s="272"/>
      <c r="E418" s="171"/>
      <c r="F418" s="147"/>
      <c r="G418" s="171"/>
      <c r="H418" s="147"/>
      <c r="I418" s="171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</row>
    <row r="419" spans="1:27" ht="18" customHeight="1" x14ac:dyDescent="0.3">
      <c r="A419" s="172"/>
      <c r="B419" s="172"/>
      <c r="C419" s="147"/>
      <c r="D419" s="272"/>
      <c r="E419" s="171"/>
      <c r="F419" s="147"/>
      <c r="G419" s="171"/>
      <c r="H419" s="147"/>
      <c r="I419" s="171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</row>
    <row r="420" spans="1:27" ht="18" customHeight="1" x14ac:dyDescent="0.3">
      <c r="A420" s="172"/>
      <c r="B420" s="172"/>
      <c r="C420" s="147"/>
      <c r="D420" s="272"/>
      <c r="E420" s="171"/>
      <c r="F420" s="147"/>
      <c r="G420" s="171"/>
      <c r="H420" s="147"/>
      <c r="I420" s="171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</row>
    <row r="421" spans="1:27" ht="18" customHeight="1" x14ac:dyDescent="0.3">
      <c r="A421" s="172"/>
      <c r="B421" s="172"/>
      <c r="C421" s="147"/>
      <c r="D421" s="272"/>
      <c r="E421" s="171"/>
      <c r="F421" s="147"/>
      <c r="G421" s="171"/>
      <c r="H421" s="147"/>
      <c r="I421" s="171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</row>
    <row r="422" spans="1:27" ht="18" customHeight="1" x14ac:dyDescent="0.3">
      <c r="A422" s="172"/>
      <c r="B422" s="172"/>
      <c r="C422" s="147"/>
      <c r="D422" s="272"/>
      <c r="E422" s="171"/>
      <c r="F422" s="147"/>
      <c r="G422" s="171"/>
      <c r="H422" s="147"/>
      <c r="I422" s="171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</row>
    <row r="423" spans="1:27" ht="18" customHeight="1" x14ac:dyDescent="0.3">
      <c r="A423" s="172"/>
      <c r="B423" s="172"/>
      <c r="C423" s="147"/>
      <c r="D423" s="272"/>
      <c r="E423" s="171"/>
      <c r="F423" s="147"/>
      <c r="G423" s="171"/>
      <c r="H423" s="147"/>
      <c r="I423" s="171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</row>
    <row r="424" spans="1:27" ht="18" customHeight="1" x14ac:dyDescent="0.3">
      <c r="A424" s="172"/>
      <c r="B424" s="172"/>
      <c r="C424" s="147"/>
      <c r="D424" s="272"/>
      <c r="E424" s="171"/>
      <c r="F424" s="147"/>
      <c r="G424" s="171"/>
      <c r="H424" s="147"/>
      <c r="I424" s="171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</row>
    <row r="425" spans="1:27" ht="18" customHeight="1" x14ac:dyDescent="0.3">
      <c r="A425" s="172"/>
      <c r="B425" s="172"/>
      <c r="C425" s="147"/>
      <c r="D425" s="272"/>
      <c r="E425" s="171"/>
      <c r="F425" s="147"/>
      <c r="G425" s="171"/>
      <c r="H425" s="147"/>
      <c r="I425" s="171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</row>
    <row r="426" spans="1:27" ht="18" customHeight="1" x14ac:dyDescent="0.3">
      <c r="A426" s="172"/>
      <c r="B426" s="172"/>
      <c r="C426" s="147"/>
      <c r="D426" s="272"/>
      <c r="E426" s="171"/>
      <c r="F426" s="147"/>
      <c r="G426" s="171"/>
      <c r="H426" s="147"/>
      <c r="I426" s="171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</row>
    <row r="427" spans="1:27" ht="18" customHeight="1" x14ac:dyDescent="0.3">
      <c r="A427" s="172"/>
      <c r="B427" s="172"/>
      <c r="C427" s="147"/>
      <c r="D427" s="272"/>
      <c r="E427" s="171"/>
      <c r="F427" s="147"/>
      <c r="G427" s="171"/>
      <c r="H427" s="147"/>
      <c r="I427" s="171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</row>
    <row r="428" spans="1:27" ht="18" customHeight="1" x14ac:dyDescent="0.3">
      <c r="A428" s="172"/>
      <c r="B428" s="172"/>
      <c r="C428" s="147"/>
      <c r="D428" s="272"/>
      <c r="E428" s="171"/>
      <c r="F428" s="147"/>
      <c r="G428" s="171"/>
      <c r="H428" s="147"/>
      <c r="I428" s="171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</row>
    <row r="429" spans="1:27" ht="18" customHeight="1" x14ac:dyDescent="0.3">
      <c r="A429" s="172"/>
      <c r="B429" s="172"/>
      <c r="C429" s="147"/>
      <c r="D429" s="272"/>
      <c r="E429" s="171"/>
      <c r="F429" s="147"/>
      <c r="G429" s="171"/>
      <c r="H429" s="147"/>
      <c r="I429" s="171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</row>
    <row r="430" spans="1:27" ht="18" customHeight="1" x14ac:dyDescent="0.3">
      <c r="A430" s="172"/>
      <c r="B430" s="172"/>
      <c r="C430" s="147"/>
      <c r="D430" s="272"/>
      <c r="E430" s="171"/>
      <c r="F430" s="147"/>
      <c r="G430" s="171"/>
      <c r="H430" s="147"/>
      <c r="I430" s="171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</row>
    <row r="431" spans="1:27" ht="18" customHeight="1" x14ac:dyDescent="0.3">
      <c r="A431" s="172"/>
      <c r="B431" s="172"/>
      <c r="C431" s="147"/>
      <c r="D431" s="272"/>
      <c r="E431" s="171"/>
      <c r="F431" s="147"/>
      <c r="G431" s="171"/>
      <c r="H431" s="147"/>
      <c r="I431" s="171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</row>
    <row r="432" spans="1:27" ht="18" customHeight="1" x14ac:dyDescent="0.3">
      <c r="A432" s="172"/>
      <c r="B432" s="172"/>
      <c r="C432" s="147"/>
      <c r="D432" s="272"/>
      <c r="E432" s="171"/>
      <c r="F432" s="147"/>
      <c r="G432" s="171"/>
      <c r="H432" s="147"/>
      <c r="I432" s="171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</row>
    <row r="433" spans="1:27" ht="18" customHeight="1" x14ac:dyDescent="0.3">
      <c r="A433" s="172"/>
      <c r="B433" s="172"/>
      <c r="C433" s="147"/>
      <c r="D433" s="272"/>
      <c r="E433" s="171"/>
      <c r="F433" s="147"/>
      <c r="G433" s="171"/>
      <c r="H433" s="147"/>
      <c r="I433" s="171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</row>
    <row r="434" spans="1:27" ht="18" customHeight="1" x14ac:dyDescent="0.3">
      <c r="A434" s="172"/>
      <c r="B434" s="172"/>
      <c r="C434" s="147"/>
      <c r="D434" s="272"/>
      <c r="E434" s="171"/>
      <c r="F434" s="147"/>
      <c r="G434" s="171"/>
      <c r="H434" s="147"/>
      <c r="I434" s="171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</row>
    <row r="435" spans="1:27" ht="18" customHeight="1" x14ac:dyDescent="0.3">
      <c r="A435" s="172"/>
      <c r="B435" s="172"/>
      <c r="C435" s="147"/>
      <c r="D435" s="272"/>
      <c r="E435" s="171"/>
      <c r="F435" s="147"/>
      <c r="G435" s="171"/>
      <c r="H435" s="147"/>
      <c r="I435" s="171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</row>
    <row r="436" spans="1:27" ht="18" customHeight="1" x14ac:dyDescent="0.3">
      <c r="A436" s="172"/>
      <c r="B436" s="172"/>
      <c r="C436" s="147"/>
      <c r="D436" s="272"/>
      <c r="E436" s="171"/>
      <c r="F436" s="147"/>
      <c r="G436" s="171"/>
      <c r="H436" s="147"/>
      <c r="I436" s="171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</row>
    <row r="437" spans="1:27" ht="18" customHeight="1" x14ac:dyDescent="0.3">
      <c r="A437" s="172"/>
      <c r="B437" s="172"/>
      <c r="C437" s="147"/>
      <c r="D437" s="272"/>
      <c r="E437" s="171"/>
      <c r="F437" s="147"/>
      <c r="G437" s="171"/>
      <c r="H437" s="147"/>
      <c r="I437" s="171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</row>
    <row r="438" spans="1:27" ht="18" customHeight="1" x14ac:dyDescent="0.3">
      <c r="A438" s="172"/>
      <c r="B438" s="172"/>
      <c r="C438" s="147"/>
      <c r="D438" s="272"/>
      <c r="E438" s="171"/>
      <c r="F438" s="147"/>
      <c r="G438" s="171"/>
      <c r="H438" s="147"/>
      <c r="I438" s="171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</row>
    <row r="439" spans="1:27" ht="18" customHeight="1" x14ac:dyDescent="0.3">
      <c r="A439" s="172"/>
      <c r="B439" s="172"/>
      <c r="C439" s="147"/>
      <c r="D439" s="272"/>
      <c r="E439" s="171"/>
      <c r="F439" s="147"/>
      <c r="G439" s="171"/>
      <c r="H439" s="147"/>
      <c r="I439" s="171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</row>
    <row r="440" spans="1:27" ht="18" customHeight="1" x14ac:dyDescent="0.3">
      <c r="A440" s="172"/>
      <c r="B440" s="172"/>
      <c r="C440" s="147"/>
      <c r="D440" s="272"/>
      <c r="E440" s="171"/>
      <c r="F440" s="147"/>
      <c r="G440" s="171"/>
      <c r="H440" s="147"/>
      <c r="I440" s="171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</row>
    <row r="441" spans="1:27" ht="18" customHeight="1" x14ac:dyDescent="0.3">
      <c r="A441" s="172"/>
      <c r="B441" s="172"/>
      <c r="C441" s="147"/>
      <c r="D441" s="272"/>
      <c r="E441" s="171"/>
      <c r="F441" s="147"/>
      <c r="G441" s="171"/>
      <c r="H441" s="147"/>
      <c r="I441" s="171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</row>
    <row r="442" spans="1:27" ht="18" customHeight="1" x14ac:dyDescent="0.3">
      <c r="A442" s="172"/>
      <c r="B442" s="172"/>
      <c r="C442" s="147"/>
      <c r="D442" s="272"/>
      <c r="E442" s="171"/>
      <c r="F442" s="147"/>
      <c r="G442" s="171"/>
      <c r="H442" s="147"/>
      <c r="I442" s="171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</row>
    <row r="443" spans="1:27" ht="18" customHeight="1" x14ac:dyDescent="0.3">
      <c r="A443" s="172"/>
      <c r="B443" s="172"/>
      <c r="C443" s="147"/>
      <c r="D443" s="272"/>
      <c r="E443" s="171"/>
      <c r="F443" s="147"/>
      <c r="G443" s="171"/>
      <c r="H443" s="147"/>
      <c r="I443" s="171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</row>
    <row r="444" spans="1:27" ht="18" customHeight="1" x14ac:dyDescent="0.3">
      <c r="A444" s="172"/>
      <c r="B444" s="172"/>
      <c r="C444" s="147"/>
      <c r="D444" s="272"/>
      <c r="E444" s="171"/>
      <c r="F444" s="147"/>
      <c r="G444" s="171"/>
      <c r="H444" s="147"/>
      <c r="I444" s="171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</row>
    <row r="445" spans="1:27" ht="18" customHeight="1" x14ac:dyDescent="0.3">
      <c r="A445" s="172"/>
      <c r="B445" s="172"/>
      <c r="C445" s="147"/>
      <c r="D445" s="272"/>
      <c r="E445" s="171"/>
      <c r="F445" s="147"/>
      <c r="G445" s="171"/>
      <c r="H445" s="147"/>
      <c r="I445" s="171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</row>
    <row r="446" spans="1:27" ht="18" customHeight="1" x14ac:dyDescent="0.3">
      <c r="A446" s="172"/>
      <c r="B446" s="172"/>
      <c r="C446" s="147"/>
      <c r="D446" s="272"/>
      <c r="E446" s="171"/>
      <c r="F446" s="147"/>
      <c r="G446" s="171"/>
      <c r="H446" s="147"/>
      <c r="I446" s="171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</row>
    <row r="447" spans="1:27" ht="18" customHeight="1" x14ac:dyDescent="0.3">
      <c r="A447" s="172"/>
      <c r="B447" s="172"/>
      <c r="C447" s="147"/>
      <c r="D447" s="272"/>
      <c r="E447" s="171"/>
      <c r="F447" s="147"/>
      <c r="G447" s="171"/>
      <c r="H447" s="147"/>
      <c r="I447" s="171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</row>
    <row r="448" spans="1:27" ht="18" customHeight="1" x14ac:dyDescent="0.3">
      <c r="A448" s="172"/>
      <c r="B448" s="172"/>
      <c r="C448" s="147"/>
      <c r="D448" s="272"/>
      <c r="E448" s="171"/>
      <c r="F448" s="147"/>
      <c r="G448" s="171"/>
      <c r="H448" s="147"/>
      <c r="I448" s="171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</row>
    <row r="449" spans="1:27" ht="18" customHeight="1" x14ac:dyDescent="0.3">
      <c r="A449" s="172"/>
      <c r="B449" s="172"/>
      <c r="C449" s="147"/>
      <c r="D449" s="272"/>
      <c r="E449" s="171"/>
      <c r="F449" s="147"/>
      <c r="G449" s="171"/>
      <c r="H449" s="147"/>
      <c r="I449" s="171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</row>
    <row r="450" spans="1:27" ht="18" customHeight="1" x14ac:dyDescent="0.3">
      <c r="A450" s="172"/>
      <c r="B450" s="172"/>
      <c r="C450" s="147"/>
      <c r="D450" s="272"/>
      <c r="E450" s="171"/>
      <c r="F450" s="147"/>
      <c r="G450" s="171"/>
      <c r="H450" s="147"/>
      <c r="I450" s="171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</row>
    <row r="451" spans="1:27" ht="18" customHeight="1" x14ac:dyDescent="0.3">
      <c r="A451" s="172"/>
      <c r="B451" s="172"/>
      <c r="C451" s="147"/>
      <c r="D451" s="272"/>
      <c r="E451" s="171"/>
      <c r="F451" s="147"/>
      <c r="G451" s="171"/>
      <c r="H451" s="147"/>
      <c r="I451" s="171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</row>
    <row r="452" spans="1:27" ht="18" customHeight="1" x14ac:dyDescent="0.3">
      <c r="A452" s="172"/>
      <c r="B452" s="172"/>
      <c r="C452" s="147"/>
      <c r="D452" s="272"/>
      <c r="E452" s="171"/>
      <c r="F452" s="147"/>
      <c r="G452" s="171"/>
      <c r="H452" s="147"/>
      <c r="I452" s="171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</row>
    <row r="453" spans="1:27" ht="18" customHeight="1" x14ac:dyDescent="0.3">
      <c r="A453" s="172"/>
      <c r="B453" s="172"/>
      <c r="C453" s="147"/>
      <c r="D453" s="272"/>
      <c r="E453" s="171"/>
      <c r="F453" s="147"/>
      <c r="G453" s="171"/>
      <c r="H453" s="147"/>
      <c r="I453" s="171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</row>
    <row r="454" spans="1:27" ht="18" customHeight="1" x14ac:dyDescent="0.3">
      <c r="A454" s="172"/>
      <c r="B454" s="172"/>
      <c r="C454" s="147"/>
      <c r="D454" s="272"/>
      <c r="E454" s="171"/>
      <c r="F454" s="147"/>
      <c r="G454" s="171"/>
      <c r="H454" s="147"/>
      <c r="I454" s="171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</row>
    <row r="455" spans="1:27" ht="18" customHeight="1" x14ac:dyDescent="0.3">
      <c r="A455" s="172"/>
      <c r="B455" s="172"/>
      <c r="C455" s="147"/>
      <c r="D455" s="272"/>
      <c r="E455" s="171"/>
      <c r="F455" s="147"/>
      <c r="G455" s="171"/>
      <c r="H455" s="147"/>
      <c r="I455" s="171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</row>
    <row r="456" spans="1:27" ht="18" customHeight="1" x14ac:dyDescent="0.3">
      <c r="A456" s="172"/>
      <c r="B456" s="172"/>
      <c r="C456" s="147"/>
      <c r="D456" s="272"/>
      <c r="E456" s="171"/>
      <c r="F456" s="147"/>
      <c r="G456" s="171"/>
      <c r="H456" s="147"/>
      <c r="I456" s="171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</row>
    <row r="457" spans="1:27" ht="18" customHeight="1" x14ac:dyDescent="0.3">
      <c r="A457" s="172"/>
      <c r="B457" s="172"/>
      <c r="C457" s="147"/>
      <c r="D457" s="272"/>
      <c r="E457" s="171"/>
      <c r="F457" s="147"/>
      <c r="G457" s="171"/>
      <c r="H457" s="147"/>
      <c r="I457" s="171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</row>
    <row r="458" spans="1:27" ht="18" customHeight="1" x14ac:dyDescent="0.3">
      <c r="A458" s="172"/>
      <c r="B458" s="172"/>
      <c r="C458" s="147"/>
      <c r="D458" s="272"/>
      <c r="E458" s="171"/>
      <c r="F458" s="147"/>
      <c r="G458" s="171"/>
      <c r="H458" s="147"/>
      <c r="I458" s="171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</row>
    <row r="459" spans="1:27" ht="18" customHeight="1" x14ac:dyDescent="0.3">
      <c r="A459" s="172"/>
      <c r="B459" s="172"/>
      <c r="C459" s="147"/>
      <c r="D459" s="272"/>
      <c r="E459" s="171"/>
      <c r="F459" s="147"/>
      <c r="G459" s="171"/>
      <c r="H459" s="147"/>
      <c r="I459" s="171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</row>
    <row r="460" spans="1:27" ht="18" customHeight="1" x14ac:dyDescent="0.3">
      <c r="A460" s="172"/>
      <c r="B460" s="172"/>
      <c r="C460" s="147"/>
      <c r="D460" s="272"/>
      <c r="E460" s="171"/>
      <c r="F460" s="147"/>
      <c r="G460" s="171"/>
      <c r="H460" s="147"/>
      <c r="I460" s="171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</row>
    <row r="461" spans="1:27" ht="18" customHeight="1" x14ac:dyDescent="0.3">
      <c r="A461" s="172"/>
      <c r="B461" s="172"/>
      <c r="C461" s="147"/>
      <c r="D461" s="272"/>
      <c r="E461" s="171"/>
      <c r="F461" s="147"/>
      <c r="G461" s="171"/>
      <c r="H461" s="147"/>
      <c r="I461" s="171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</row>
    <row r="462" spans="1:27" ht="18" customHeight="1" x14ac:dyDescent="0.3">
      <c r="A462" s="172"/>
      <c r="B462" s="172"/>
      <c r="C462" s="147"/>
      <c r="D462" s="272"/>
      <c r="E462" s="171"/>
      <c r="F462" s="147"/>
      <c r="G462" s="171"/>
      <c r="H462" s="147"/>
      <c r="I462" s="171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</row>
    <row r="463" spans="1:27" ht="18" customHeight="1" x14ac:dyDescent="0.3">
      <c r="A463" s="172"/>
      <c r="B463" s="172"/>
      <c r="C463" s="147"/>
      <c r="D463" s="272"/>
      <c r="E463" s="171"/>
      <c r="F463" s="147"/>
      <c r="G463" s="171"/>
      <c r="H463" s="147"/>
      <c r="I463" s="171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</row>
    <row r="464" spans="1:27" ht="18" customHeight="1" x14ac:dyDescent="0.3">
      <c r="A464" s="172"/>
      <c r="B464" s="172"/>
      <c r="C464" s="147"/>
      <c r="D464" s="272"/>
      <c r="E464" s="171"/>
      <c r="F464" s="147"/>
      <c r="G464" s="171"/>
      <c r="H464" s="147"/>
      <c r="I464" s="171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</row>
    <row r="465" spans="1:27" ht="18" customHeight="1" x14ac:dyDescent="0.3">
      <c r="A465" s="172"/>
      <c r="B465" s="172"/>
      <c r="C465" s="147"/>
      <c r="D465" s="272"/>
      <c r="E465" s="171"/>
      <c r="F465" s="147"/>
      <c r="G465" s="171"/>
      <c r="H465" s="147"/>
      <c r="I465" s="171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</row>
    <row r="466" spans="1:27" ht="18" customHeight="1" x14ac:dyDescent="0.3">
      <c r="A466" s="172"/>
      <c r="B466" s="172"/>
      <c r="C466" s="147"/>
      <c r="D466" s="272"/>
      <c r="E466" s="171"/>
      <c r="F466" s="147"/>
      <c r="G466" s="171"/>
      <c r="H466" s="147"/>
      <c r="I466" s="171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</row>
    <row r="467" spans="1:27" ht="18" customHeight="1" x14ac:dyDescent="0.3">
      <c r="A467" s="172"/>
      <c r="B467" s="172"/>
      <c r="C467" s="147"/>
      <c r="D467" s="272"/>
      <c r="E467" s="171"/>
      <c r="F467" s="147"/>
      <c r="G467" s="171"/>
      <c r="H467" s="147"/>
      <c r="I467" s="171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</row>
    <row r="468" spans="1:27" ht="18" customHeight="1" x14ac:dyDescent="0.3">
      <c r="A468" s="172"/>
      <c r="B468" s="172"/>
      <c r="C468" s="147"/>
      <c r="D468" s="272"/>
      <c r="E468" s="171"/>
      <c r="F468" s="147"/>
      <c r="G468" s="171"/>
      <c r="H468" s="147"/>
      <c r="I468" s="171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</row>
    <row r="469" spans="1:27" ht="18" customHeight="1" x14ac:dyDescent="0.3">
      <c r="A469" s="172"/>
      <c r="B469" s="172"/>
      <c r="C469" s="147"/>
      <c r="D469" s="272"/>
      <c r="E469" s="171"/>
      <c r="F469" s="147"/>
      <c r="G469" s="171"/>
      <c r="H469" s="147"/>
      <c r="I469" s="171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</row>
    <row r="470" spans="1:27" ht="18" customHeight="1" x14ac:dyDescent="0.3">
      <c r="A470" s="172"/>
      <c r="B470" s="172"/>
      <c r="C470" s="147"/>
      <c r="D470" s="272"/>
      <c r="E470" s="171"/>
      <c r="F470" s="147"/>
      <c r="G470" s="171"/>
      <c r="H470" s="147"/>
      <c r="I470" s="171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</row>
    <row r="471" spans="1:27" ht="18" customHeight="1" x14ac:dyDescent="0.3">
      <c r="A471" s="172"/>
      <c r="B471" s="172"/>
      <c r="C471" s="147"/>
      <c r="D471" s="272"/>
      <c r="E471" s="171"/>
      <c r="F471" s="147"/>
      <c r="G471" s="171"/>
      <c r="H471" s="147"/>
      <c r="I471" s="171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</row>
    <row r="472" spans="1:27" ht="18" customHeight="1" x14ac:dyDescent="0.3">
      <c r="A472" s="172"/>
      <c r="B472" s="172"/>
      <c r="C472" s="147"/>
      <c r="D472" s="272"/>
      <c r="E472" s="171"/>
      <c r="F472" s="147"/>
      <c r="G472" s="171"/>
      <c r="H472" s="147"/>
      <c r="I472" s="171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</row>
    <row r="473" spans="1:27" ht="18" customHeight="1" x14ac:dyDescent="0.3">
      <c r="A473" s="172"/>
      <c r="B473" s="172"/>
      <c r="C473" s="147"/>
      <c r="D473" s="272"/>
      <c r="E473" s="171"/>
      <c r="F473" s="147"/>
      <c r="G473" s="171"/>
      <c r="H473" s="147"/>
      <c r="I473" s="171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</row>
    <row r="474" spans="1:27" ht="18" customHeight="1" x14ac:dyDescent="0.3">
      <c r="A474" s="172"/>
      <c r="B474" s="172"/>
      <c r="C474" s="147"/>
      <c r="D474" s="272"/>
      <c r="E474" s="171"/>
      <c r="F474" s="147"/>
      <c r="G474" s="171"/>
      <c r="H474" s="147"/>
      <c r="I474" s="171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</row>
    <row r="475" spans="1:27" ht="18" customHeight="1" x14ac:dyDescent="0.3">
      <c r="A475" s="172"/>
      <c r="B475" s="172"/>
      <c r="C475" s="147"/>
      <c r="D475" s="272"/>
      <c r="E475" s="171"/>
      <c r="F475" s="147"/>
      <c r="G475" s="171"/>
      <c r="H475" s="147"/>
      <c r="I475" s="171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</row>
    <row r="476" spans="1:27" ht="18" customHeight="1" x14ac:dyDescent="0.3">
      <c r="A476" s="172"/>
      <c r="B476" s="172"/>
      <c r="C476" s="147"/>
      <c r="D476" s="272"/>
      <c r="E476" s="171"/>
      <c r="F476" s="147"/>
      <c r="G476" s="171"/>
      <c r="H476" s="147"/>
      <c r="I476" s="171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</row>
    <row r="477" spans="1:27" ht="18" customHeight="1" x14ac:dyDescent="0.3">
      <c r="A477" s="172"/>
      <c r="B477" s="172"/>
      <c r="C477" s="147"/>
      <c r="D477" s="272"/>
      <c r="E477" s="171"/>
      <c r="F477" s="147"/>
      <c r="G477" s="171"/>
      <c r="H477" s="147"/>
      <c r="I477" s="171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</row>
    <row r="478" spans="1:27" ht="18" customHeight="1" x14ac:dyDescent="0.3">
      <c r="A478" s="172"/>
      <c r="B478" s="172"/>
      <c r="C478" s="147"/>
      <c r="D478" s="272"/>
      <c r="E478" s="171"/>
      <c r="F478" s="147"/>
      <c r="G478" s="171"/>
      <c r="H478" s="147"/>
      <c r="I478" s="171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</row>
    <row r="479" spans="1:27" ht="18" customHeight="1" x14ac:dyDescent="0.3">
      <c r="A479" s="172"/>
      <c r="B479" s="172"/>
      <c r="C479" s="147"/>
      <c r="D479" s="272"/>
      <c r="E479" s="171"/>
      <c r="F479" s="147"/>
      <c r="G479" s="171"/>
      <c r="H479" s="147"/>
      <c r="I479" s="171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</row>
    <row r="480" spans="1:27" ht="18" customHeight="1" x14ac:dyDescent="0.3">
      <c r="A480" s="172"/>
      <c r="B480" s="172"/>
      <c r="C480" s="147"/>
      <c r="D480" s="272"/>
      <c r="E480" s="171"/>
      <c r="F480" s="147"/>
      <c r="G480" s="171"/>
      <c r="H480" s="147"/>
      <c r="I480" s="171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</row>
    <row r="481" spans="1:27" ht="18" customHeight="1" x14ac:dyDescent="0.3">
      <c r="A481" s="172"/>
      <c r="B481" s="172"/>
      <c r="C481" s="147"/>
      <c r="D481" s="272"/>
      <c r="E481" s="171"/>
      <c r="F481" s="147"/>
      <c r="G481" s="171"/>
      <c r="H481" s="147"/>
      <c r="I481" s="171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</row>
    <row r="482" spans="1:27" ht="18" customHeight="1" x14ac:dyDescent="0.3">
      <c r="A482" s="172"/>
      <c r="B482" s="172"/>
      <c r="C482" s="147"/>
      <c r="D482" s="272"/>
      <c r="E482" s="171"/>
      <c r="F482" s="147"/>
      <c r="G482" s="171"/>
      <c r="H482" s="147"/>
      <c r="I482" s="171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</row>
    <row r="483" spans="1:27" ht="18" customHeight="1" x14ac:dyDescent="0.3">
      <c r="A483" s="172"/>
      <c r="B483" s="172"/>
      <c r="C483" s="147"/>
      <c r="D483" s="272"/>
      <c r="E483" s="171"/>
      <c r="F483" s="147"/>
      <c r="G483" s="171"/>
      <c r="H483" s="147"/>
      <c r="I483" s="171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</row>
    <row r="484" spans="1:27" ht="18" customHeight="1" x14ac:dyDescent="0.3">
      <c r="A484" s="172"/>
      <c r="B484" s="172"/>
      <c r="C484" s="147"/>
      <c r="D484" s="272"/>
      <c r="E484" s="171"/>
      <c r="F484" s="147"/>
      <c r="G484" s="171"/>
      <c r="H484" s="147"/>
      <c r="I484" s="171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</row>
    <row r="485" spans="1:27" ht="18" customHeight="1" x14ac:dyDescent="0.3">
      <c r="A485" s="172"/>
      <c r="B485" s="172"/>
      <c r="C485" s="147"/>
      <c r="D485" s="272"/>
      <c r="E485" s="171"/>
      <c r="F485" s="147"/>
      <c r="G485" s="171"/>
      <c r="H485" s="147"/>
      <c r="I485" s="171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</row>
    <row r="486" spans="1:27" ht="18" customHeight="1" x14ac:dyDescent="0.3">
      <c r="A486" s="172"/>
      <c r="B486" s="172"/>
      <c r="C486" s="147"/>
      <c r="D486" s="272"/>
      <c r="E486" s="171"/>
      <c r="F486" s="147"/>
      <c r="G486" s="171"/>
      <c r="H486" s="147"/>
      <c r="I486" s="171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</row>
    <row r="487" spans="1:27" ht="18" customHeight="1" x14ac:dyDescent="0.3">
      <c r="A487" s="172"/>
      <c r="B487" s="172"/>
      <c r="C487" s="147"/>
      <c r="D487" s="272"/>
      <c r="E487" s="171"/>
      <c r="F487" s="147"/>
      <c r="G487" s="171"/>
      <c r="H487" s="147"/>
      <c r="I487" s="171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</row>
    <row r="488" spans="1:27" ht="18" customHeight="1" x14ac:dyDescent="0.3">
      <c r="A488" s="172"/>
      <c r="B488" s="172"/>
      <c r="C488" s="147"/>
      <c r="D488" s="272"/>
      <c r="E488" s="171"/>
      <c r="F488" s="147"/>
      <c r="G488" s="171"/>
      <c r="H488" s="147"/>
      <c r="I488" s="171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</row>
    <row r="489" spans="1:27" ht="18" customHeight="1" x14ac:dyDescent="0.3">
      <c r="A489" s="172"/>
      <c r="B489" s="172"/>
      <c r="C489" s="147"/>
      <c r="D489" s="272"/>
      <c r="E489" s="171"/>
      <c r="F489" s="147"/>
      <c r="G489" s="171"/>
      <c r="H489" s="147"/>
      <c r="I489" s="171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</row>
    <row r="490" spans="1:27" ht="18" customHeight="1" x14ac:dyDescent="0.3">
      <c r="A490" s="172"/>
      <c r="B490" s="172"/>
      <c r="C490" s="147"/>
      <c r="D490" s="272"/>
      <c r="E490" s="171"/>
      <c r="F490" s="147"/>
      <c r="G490" s="171"/>
      <c r="H490" s="147"/>
      <c r="I490" s="171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</row>
    <row r="491" spans="1:27" ht="18" customHeight="1" x14ac:dyDescent="0.3">
      <c r="A491" s="172"/>
      <c r="B491" s="172"/>
      <c r="C491" s="147"/>
      <c r="D491" s="272"/>
      <c r="E491" s="171"/>
      <c r="F491" s="147"/>
      <c r="G491" s="171"/>
      <c r="H491" s="147"/>
      <c r="I491" s="171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</row>
    <row r="492" spans="1:27" ht="18" customHeight="1" x14ac:dyDescent="0.3">
      <c r="A492" s="172"/>
      <c r="B492" s="172"/>
      <c r="C492" s="147"/>
      <c r="D492" s="272"/>
      <c r="E492" s="171"/>
      <c r="F492" s="147"/>
      <c r="G492" s="171"/>
      <c r="H492" s="147"/>
      <c r="I492" s="171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</row>
    <row r="493" spans="1:27" ht="18" customHeight="1" x14ac:dyDescent="0.3">
      <c r="A493" s="172"/>
      <c r="B493" s="172"/>
      <c r="C493" s="147"/>
      <c r="D493" s="272"/>
      <c r="E493" s="171"/>
      <c r="F493" s="147"/>
      <c r="G493" s="171"/>
      <c r="H493" s="147"/>
      <c r="I493" s="171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</row>
    <row r="494" spans="1:27" ht="18" customHeight="1" x14ac:dyDescent="0.3">
      <c r="A494" s="172"/>
      <c r="B494" s="172"/>
      <c r="C494" s="147"/>
      <c r="D494" s="272"/>
      <c r="E494" s="171"/>
      <c r="F494" s="147"/>
      <c r="G494" s="171"/>
      <c r="H494" s="147"/>
      <c r="I494" s="171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</row>
    <row r="495" spans="1:27" ht="18" customHeight="1" x14ac:dyDescent="0.3">
      <c r="A495" s="172"/>
      <c r="B495" s="172"/>
      <c r="C495" s="147"/>
      <c r="D495" s="272"/>
      <c r="E495" s="171"/>
      <c r="F495" s="147"/>
      <c r="G495" s="171"/>
      <c r="H495" s="147"/>
      <c r="I495" s="171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</row>
    <row r="496" spans="1:27" ht="18" customHeight="1" x14ac:dyDescent="0.3">
      <c r="A496" s="172"/>
      <c r="B496" s="172"/>
      <c r="C496" s="147"/>
      <c r="D496" s="272"/>
      <c r="E496" s="171"/>
      <c r="F496" s="147"/>
      <c r="G496" s="171"/>
      <c r="H496" s="147"/>
      <c r="I496" s="171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</row>
    <row r="497" spans="1:27" ht="18" customHeight="1" x14ac:dyDescent="0.3">
      <c r="A497" s="172"/>
      <c r="B497" s="172"/>
      <c r="C497" s="147"/>
      <c r="D497" s="272"/>
      <c r="E497" s="171"/>
      <c r="F497" s="147"/>
      <c r="G497" s="171"/>
      <c r="H497" s="147"/>
      <c r="I497" s="171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</row>
    <row r="498" spans="1:27" ht="18" customHeight="1" x14ac:dyDescent="0.3">
      <c r="A498" s="172"/>
      <c r="B498" s="172"/>
      <c r="C498" s="147"/>
      <c r="D498" s="272"/>
      <c r="E498" s="171"/>
      <c r="F498" s="147"/>
      <c r="G498" s="171"/>
      <c r="H498" s="147"/>
      <c r="I498" s="171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</row>
    <row r="499" spans="1:27" ht="18" customHeight="1" x14ac:dyDescent="0.3">
      <c r="A499" s="172"/>
      <c r="B499" s="172"/>
      <c r="C499" s="147"/>
      <c r="D499" s="272"/>
      <c r="E499" s="171"/>
      <c r="F499" s="147"/>
      <c r="G499" s="171"/>
      <c r="H499" s="147"/>
      <c r="I499" s="171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</row>
    <row r="500" spans="1:27" ht="18" customHeight="1" x14ac:dyDescent="0.3">
      <c r="A500" s="172"/>
      <c r="B500" s="172"/>
      <c r="C500" s="147"/>
      <c r="D500" s="272"/>
      <c r="E500" s="171"/>
      <c r="F500" s="147"/>
      <c r="G500" s="171"/>
      <c r="H500" s="147"/>
      <c r="I500" s="171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</row>
    <row r="501" spans="1:27" ht="18" customHeight="1" x14ac:dyDescent="0.3">
      <c r="A501" s="172"/>
      <c r="B501" s="172"/>
      <c r="C501" s="147"/>
      <c r="D501" s="272"/>
      <c r="E501" s="171"/>
      <c r="F501" s="147"/>
      <c r="G501" s="171"/>
      <c r="H501" s="147"/>
      <c r="I501" s="171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</row>
    <row r="502" spans="1:27" ht="18" customHeight="1" x14ac:dyDescent="0.3">
      <c r="A502" s="172"/>
      <c r="B502" s="172"/>
      <c r="C502" s="147"/>
      <c r="D502" s="272"/>
      <c r="E502" s="171"/>
      <c r="F502" s="147"/>
      <c r="G502" s="171"/>
      <c r="H502" s="147"/>
      <c r="I502" s="171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</row>
    <row r="503" spans="1:27" ht="18" customHeight="1" x14ac:dyDescent="0.3">
      <c r="A503" s="172"/>
      <c r="B503" s="172"/>
      <c r="C503" s="147"/>
      <c r="D503" s="272"/>
      <c r="E503" s="171"/>
      <c r="F503" s="147"/>
      <c r="G503" s="171"/>
      <c r="H503" s="147"/>
      <c r="I503" s="171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</row>
    <row r="504" spans="1:27" ht="18" customHeight="1" x14ac:dyDescent="0.3">
      <c r="A504" s="172"/>
      <c r="B504" s="172"/>
      <c r="C504" s="147"/>
      <c r="D504" s="272"/>
      <c r="E504" s="171"/>
      <c r="F504" s="147"/>
      <c r="G504" s="171"/>
      <c r="H504" s="147"/>
      <c r="I504" s="171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</row>
    <row r="505" spans="1:27" ht="18" customHeight="1" x14ac:dyDescent="0.3">
      <c r="A505" s="172"/>
      <c r="B505" s="172"/>
      <c r="C505" s="147"/>
      <c r="D505" s="272"/>
      <c r="E505" s="171"/>
      <c r="F505" s="147"/>
      <c r="G505" s="171"/>
      <c r="H505" s="147"/>
      <c r="I505" s="171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</row>
    <row r="506" spans="1:27" ht="18" customHeight="1" x14ac:dyDescent="0.3">
      <c r="A506" s="172"/>
      <c r="B506" s="172"/>
      <c r="C506" s="147"/>
      <c r="D506" s="272"/>
      <c r="E506" s="171"/>
      <c r="F506" s="147"/>
      <c r="G506" s="171"/>
      <c r="H506" s="147"/>
      <c r="I506" s="171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</row>
    <row r="507" spans="1:27" ht="18" customHeight="1" x14ac:dyDescent="0.3">
      <c r="A507" s="172"/>
      <c r="B507" s="172"/>
      <c r="C507" s="147"/>
      <c r="D507" s="272"/>
      <c r="E507" s="171"/>
      <c r="F507" s="147"/>
      <c r="G507" s="171"/>
      <c r="H507" s="147"/>
      <c r="I507" s="171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</row>
    <row r="508" spans="1:27" ht="18" customHeight="1" x14ac:dyDescent="0.3">
      <c r="A508" s="172"/>
      <c r="B508" s="172"/>
      <c r="C508" s="147"/>
      <c r="D508" s="272"/>
      <c r="E508" s="171"/>
      <c r="F508" s="147"/>
      <c r="G508" s="171"/>
      <c r="H508" s="147"/>
      <c r="I508" s="171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</row>
    <row r="509" spans="1:27" ht="18" customHeight="1" x14ac:dyDescent="0.3">
      <c r="A509" s="172"/>
      <c r="B509" s="172"/>
      <c r="C509" s="147"/>
      <c r="D509" s="272"/>
      <c r="E509" s="171"/>
      <c r="F509" s="147"/>
      <c r="G509" s="171"/>
      <c r="H509" s="147"/>
      <c r="I509" s="171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</row>
    <row r="510" spans="1:27" ht="18" customHeight="1" x14ac:dyDescent="0.3">
      <c r="A510" s="172"/>
      <c r="B510" s="172"/>
      <c r="C510" s="147"/>
      <c r="D510" s="272"/>
      <c r="E510" s="171"/>
      <c r="F510" s="147"/>
      <c r="G510" s="171"/>
      <c r="H510" s="147"/>
      <c r="I510" s="171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</row>
    <row r="511" spans="1:27" ht="18" customHeight="1" x14ac:dyDescent="0.3">
      <c r="A511" s="172"/>
      <c r="B511" s="172"/>
      <c r="C511" s="147"/>
      <c r="D511" s="272"/>
      <c r="E511" s="171"/>
      <c r="F511" s="147"/>
      <c r="G511" s="171"/>
      <c r="H511" s="147"/>
      <c r="I511" s="171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</row>
    <row r="512" spans="1:27" ht="18" customHeight="1" x14ac:dyDescent="0.3">
      <c r="A512" s="172"/>
      <c r="B512" s="172"/>
      <c r="C512" s="147"/>
      <c r="D512" s="272"/>
      <c r="E512" s="171"/>
      <c r="F512" s="147"/>
      <c r="G512" s="171"/>
      <c r="H512" s="147"/>
      <c r="I512" s="171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</row>
    <row r="513" spans="1:27" ht="18" customHeight="1" x14ac:dyDescent="0.3">
      <c r="A513" s="172"/>
      <c r="B513" s="172"/>
      <c r="C513" s="147"/>
      <c r="D513" s="272"/>
      <c r="E513" s="171"/>
      <c r="F513" s="147"/>
      <c r="G513" s="171"/>
      <c r="H513" s="147"/>
      <c r="I513" s="171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</row>
    <row r="514" spans="1:27" ht="18" customHeight="1" x14ac:dyDescent="0.3">
      <c r="A514" s="172"/>
      <c r="B514" s="172"/>
      <c r="C514" s="147"/>
      <c r="D514" s="272"/>
      <c r="E514" s="171"/>
      <c r="F514" s="147"/>
      <c r="G514" s="171"/>
      <c r="H514" s="147"/>
      <c r="I514" s="171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</row>
    <row r="515" spans="1:27" ht="18" customHeight="1" x14ac:dyDescent="0.3">
      <c r="A515" s="172"/>
      <c r="B515" s="172"/>
      <c r="C515" s="147"/>
      <c r="D515" s="272"/>
      <c r="E515" s="171"/>
      <c r="F515" s="147"/>
      <c r="G515" s="171"/>
      <c r="H515" s="147"/>
      <c r="I515" s="171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</row>
    <row r="516" spans="1:27" ht="18" customHeight="1" x14ac:dyDescent="0.3">
      <c r="A516" s="172"/>
      <c r="B516" s="172"/>
      <c r="C516" s="147"/>
      <c r="D516" s="272"/>
      <c r="E516" s="171"/>
      <c r="F516" s="147"/>
      <c r="G516" s="171"/>
      <c r="H516" s="147"/>
      <c r="I516" s="171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</row>
    <row r="517" spans="1:27" ht="18" customHeight="1" x14ac:dyDescent="0.3">
      <c r="A517" s="172"/>
      <c r="B517" s="172"/>
      <c r="C517" s="147"/>
      <c r="D517" s="272"/>
      <c r="E517" s="171"/>
      <c r="F517" s="147"/>
      <c r="G517" s="171"/>
      <c r="H517" s="147"/>
      <c r="I517" s="171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</row>
    <row r="518" spans="1:27" ht="18" customHeight="1" x14ac:dyDescent="0.3">
      <c r="A518" s="172"/>
      <c r="B518" s="172"/>
      <c r="C518" s="147"/>
      <c r="D518" s="272"/>
      <c r="E518" s="171"/>
      <c r="F518" s="147"/>
      <c r="G518" s="171"/>
      <c r="H518" s="147"/>
      <c r="I518" s="171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</row>
    <row r="519" spans="1:27" ht="18" customHeight="1" x14ac:dyDescent="0.3">
      <c r="A519" s="172"/>
      <c r="B519" s="172"/>
      <c r="C519" s="147"/>
      <c r="D519" s="272"/>
      <c r="E519" s="171"/>
      <c r="F519" s="147"/>
      <c r="G519" s="171"/>
      <c r="H519" s="147"/>
      <c r="I519" s="171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</row>
    <row r="520" spans="1:27" ht="18" customHeight="1" x14ac:dyDescent="0.3">
      <c r="A520" s="172"/>
      <c r="B520" s="172"/>
      <c r="C520" s="147"/>
      <c r="D520" s="272"/>
      <c r="E520" s="171"/>
      <c r="F520" s="147"/>
      <c r="G520" s="171"/>
      <c r="H520" s="147"/>
      <c r="I520" s="171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</row>
    <row r="521" spans="1:27" ht="18" customHeight="1" x14ac:dyDescent="0.3">
      <c r="A521" s="172"/>
      <c r="B521" s="172"/>
      <c r="C521" s="147"/>
      <c r="D521" s="272"/>
      <c r="E521" s="171"/>
      <c r="F521" s="147"/>
      <c r="G521" s="171"/>
      <c r="H521" s="147"/>
      <c r="I521" s="171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</row>
    <row r="522" spans="1:27" ht="18" customHeight="1" x14ac:dyDescent="0.3">
      <c r="A522" s="172"/>
      <c r="B522" s="172"/>
      <c r="C522" s="147"/>
      <c r="D522" s="272"/>
      <c r="E522" s="171"/>
      <c r="F522" s="147"/>
      <c r="G522" s="171"/>
      <c r="H522" s="147"/>
      <c r="I522" s="171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</row>
    <row r="523" spans="1:27" ht="18" customHeight="1" x14ac:dyDescent="0.3">
      <c r="A523" s="172"/>
      <c r="B523" s="172"/>
      <c r="C523" s="147"/>
      <c r="D523" s="272"/>
      <c r="E523" s="171"/>
      <c r="F523" s="147"/>
      <c r="G523" s="171"/>
      <c r="H523" s="147"/>
      <c r="I523" s="171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</row>
    <row r="524" spans="1:27" ht="18" customHeight="1" x14ac:dyDescent="0.3">
      <c r="A524" s="172"/>
      <c r="B524" s="172"/>
      <c r="C524" s="147"/>
      <c r="D524" s="272"/>
      <c r="E524" s="171"/>
      <c r="F524" s="147"/>
      <c r="G524" s="171"/>
      <c r="H524" s="147"/>
      <c r="I524" s="171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</row>
    <row r="525" spans="1:27" ht="18" customHeight="1" x14ac:dyDescent="0.3">
      <c r="A525" s="172"/>
      <c r="B525" s="172"/>
      <c r="C525" s="147"/>
      <c r="D525" s="272"/>
      <c r="E525" s="171"/>
      <c r="F525" s="147"/>
      <c r="G525" s="171"/>
      <c r="H525" s="147"/>
      <c r="I525" s="171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</row>
    <row r="526" spans="1:27" ht="18" customHeight="1" x14ac:dyDescent="0.3">
      <c r="A526" s="172"/>
      <c r="B526" s="172"/>
      <c r="C526" s="147"/>
      <c r="D526" s="272"/>
      <c r="E526" s="171"/>
      <c r="F526" s="147"/>
      <c r="G526" s="171"/>
      <c r="H526" s="147"/>
      <c r="I526" s="171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</row>
    <row r="527" spans="1:27" ht="18" customHeight="1" x14ac:dyDescent="0.3">
      <c r="A527" s="172"/>
      <c r="B527" s="172"/>
      <c r="C527" s="147"/>
      <c r="D527" s="272"/>
      <c r="E527" s="171"/>
      <c r="F527" s="147"/>
      <c r="G527" s="171"/>
      <c r="H527" s="147"/>
      <c r="I527" s="171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</row>
    <row r="528" spans="1:27" ht="18" customHeight="1" x14ac:dyDescent="0.3">
      <c r="A528" s="172"/>
      <c r="B528" s="172"/>
      <c r="C528" s="147"/>
      <c r="D528" s="272"/>
      <c r="E528" s="171"/>
      <c r="F528" s="147"/>
      <c r="G528" s="171"/>
      <c r="H528" s="147"/>
      <c r="I528" s="171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</row>
    <row r="529" spans="1:27" ht="18" customHeight="1" x14ac:dyDescent="0.3">
      <c r="A529" s="172"/>
      <c r="B529" s="172"/>
      <c r="C529" s="147"/>
      <c r="D529" s="272"/>
      <c r="E529" s="171"/>
      <c r="F529" s="147"/>
      <c r="G529" s="171"/>
      <c r="H529" s="147"/>
      <c r="I529" s="171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</row>
    <row r="530" spans="1:27" ht="18" customHeight="1" x14ac:dyDescent="0.3">
      <c r="A530" s="172"/>
      <c r="B530" s="172"/>
      <c r="C530" s="147"/>
      <c r="D530" s="272"/>
      <c r="E530" s="171"/>
      <c r="F530" s="147"/>
      <c r="G530" s="171"/>
      <c r="H530" s="147"/>
      <c r="I530" s="171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</row>
    <row r="531" spans="1:27" ht="18" customHeight="1" x14ac:dyDescent="0.3">
      <c r="A531" s="172"/>
      <c r="B531" s="172"/>
      <c r="C531" s="147"/>
      <c r="D531" s="272"/>
      <c r="E531" s="171"/>
      <c r="F531" s="147"/>
      <c r="G531" s="171"/>
      <c r="H531" s="147"/>
      <c r="I531" s="171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</row>
    <row r="532" spans="1:27" ht="18" customHeight="1" x14ac:dyDescent="0.3">
      <c r="A532" s="172"/>
      <c r="B532" s="172"/>
      <c r="C532" s="147"/>
      <c r="D532" s="272"/>
      <c r="E532" s="171"/>
      <c r="F532" s="147"/>
      <c r="G532" s="171"/>
      <c r="H532" s="147"/>
      <c r="I532" s="171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</row>
    <row r="533" spans="1:27" ht="18" customHeight="1" x14ac:dyDescent="0.3">
      <c r="A533" s="172"/>
      <c r="B533" s="172"/>
      <c r="C533" s="147"/>
      <c r="D533" s="272"/>
      <c r="E533" s="171"/>
      <c r="F533" s="147"/>
      <c r="G533" s="171"/>
      <c r="H533" s="147"/>
      <c r="I533" s="171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</row>
    <row r="534" spans="1:27" ht="18" customHeight="1" x14ac:dyDescent="0.3">
      <c r="A534" s="172"/>
      <c r="B534" s="172"/>
      <c r="C534" s="147"/>
      <c r="D534" s="272"/>
      <c r="E534" s="171"/>
      <c r="F534" s="147"/>
      <c r="G534" s="171"/>
      <c r="H534" s="147"/>
      <c r="I534" s="171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</row>
    <row r="535" spans="1:27" ht="18" customHeight="1" x14ac:dyDescent="0.3">
      <c r="A535" s="172"/>
      <c r="B535" s="172"/>
      <c r="C535" s="147"/>
      <c r="D535" s="272"/>
      <c r="E535" s="171"/>
      <c r="F535" s="147"/>
      <c r="G535" s="171"/>
      <c r="H535" s="147"/>
      <c r="I535" s="171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</row>
    <row r="536" spans="1:27" ht="18" customHeight="1" x14ac:dyDescent="0.3">
      <c r="A536" s="172"/>
      <c r="B536" s="172"/>
      <c r="C536" s="147"/>
      <c r="D536" s="272"/>
      <c r="E536" s="171"/>
      <c r="F536" s="147"/>
      <c r="G536" s="171"/>
      <c r="H536" s="147"/>
      <c r="I536" s="171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</row>
    <row r="537" spans="1:27" ht="18" customHeight="1" x14ac:dyDescent="0.3">
      <c r="A537" s="172"/>
      <c r="B537" s="172"/>
      <c r="C537" s="147"/>
      <c r="D537" s="272"/>
      <c r="E537" s="171"/>
      <c r="F537" s="147"/>
      <c r="G537" s="171"/>
      <c r="H537" s="147"/>
      <c r="I537" s="171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</row>
    <row r="538" spans="1:27" ht="18" customHeight="1" x14ac:dyDescent="0.3">
      <c r="A538" s="172"/>
      <c r="B538" s="172"/>
      <c r="C538" s="147"/>
      <c r="D538" s="272"/>
      <c r="E538" s="171"/>
      <c r="F538" s="147"/>
      <c r="G538" s="171"/>
      <c r="H538" s="147"/>
      <c r="I538" s="171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</row>
    <row r="539" spans="1:27" ht="18" customHeight="1" x14ac:dyDescent="0.3">
      <c r="A539" s="172"/>
      <c r="B539" s="172"/>
      <c r="C539" s="147"/>
      <c r="D539" s="272"/>
      <c r="E539" s="171"/>
      <c r="F539" s="147"/>
      <c r="G539" s="171"/>
      <c r="H539" s="147"/>
      <c r="I539" s="171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</row>
    <row r="540" spans="1:27" ht="18" customHeight="1" x14ac:dyDescent="0.3">
      <c r="A540" s="172"/>
      <c r="B540" s="172"/>
      <c r="C540" s="147"/>
      <c r="D540" s="272"/>
      <c r="E540" s="171"/>
      <c r="F540" s="147"/>
      <c r="G540" s="171"/>
      <c r="H540" s="147"/>
      <c r="I540" s="171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</row>
    <row r="541" spans="1:27" ht="18" customHeight="1" x14ac:dyDescent="0.3">
      <c r="A541" s="172"/>
      <c r="B541" s="172"/>
      <c r="C541" s="147"/>
      <c r="D541" s="272"/>
      <c r="E541" s="171"/>
      <c r="F541" s="147"/>
      <c r="G541" s="171"/>
      <c r="H541" s="147"/>
      <c r="I541" s="171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</row>
    <row r="542" spans="1:27" ht="18" customHeight="1" x14ac:dyDescent="0.3">
      <c r="A542" s="172"/>
      <c r="B542" s="172"/>
      <c r="C542" s="147"/>
      <c r="D542" s="272"/>
      <c r="E542" s="171"/>
      <c r="F542" s="147"/>
      <c r="G542" s="171"/>
      <c r="H542" s="147"/>
      <c r="I542" s="171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</row>
    <row r="543" spans="1:27" ht="18" customHeight="1" x14ac:dyDescent="0.3">
      <c r="A543" s="172"/>
      <c r="B543" s="172"/>
      <c r="C543" s="147"/>
      <c r="D543" s="272"/>
      <c r="E543" s="171"/>
      <c r="F543" s="147"/>
      <c r="G543" s="171"/>
      <c r="H543" s="147"/>
      <c r="I543" s="171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</row>
    <row r="544" spans="1:27" ht="18" customHeight="1" x14ac:dyDescent="0.3">
      <c r="A544" s="172"/>
      <c r="B544" s="172"/>
      <c r="C544" s="147"/>
      <c r="D544" s="272"/>
      <c r="E544" s="171"/>
      <c r="F544" s="147"/>
      <c r="G544" s="171"/>
      <c r="H544" s="147"/>
      <c r="I544" s="171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</row>
    <row r="545" spans="1:27" ht="18" customHeight="1" x14ac:dyDescent="0.3">
      <c r="A545" s="172"/>
      <c r="B545" s="172"/>
      <c r="C545" s="147"/>
      <c r="D545" s="272"/>
      <c r="E545" s="171"/>
      <c r="F545" s="147"/>
      <c r="G545" s="171"/>
      <c r="H545" s="147"/>
      <c r="I545" s="171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</row>
    <row r="546" spans="1:27" ht="18" customHeight="1" x14ac:dyDescent="0.3">
      <c r="A546" s="172"/>
      <c r="B546" s="172"/>
      <c r="C546" s="147"/>
      <c r="D546" s="272"/>
      <c r="E546" s="171"/>
      <c r="F546" s="147"/>
      <c r="G546" s="171"/>
      <c r="H546" s="147"/>
      <c r="I546" s="171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</row>
    <row r="547" spans="1:27" ht="18" customHeight="1" x14ac:dyDescent="0.3">
      <c r="A547" s="172"/>
      <c r="B547" s="172"/>
      <c r="C547" s="147"/>
      <c r="D547" s="272"/>
      <c r="E547" s="171"/>
      <c r="F547" s="147"/>
      <c r="G547" s="171"/>
      <c r="H547" s="147"/>
      <c r="I547" s="171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</row>
    <row r="548" spans="1:27" ht="18" customHeight="1" x14ac:dyDescent="0.3">
      <c r="A548" s="172"/>
      <c r="B548" s="172"/>
      <c r="C548" s="147"/>
      <c r="D548" s="272"/>
      <c r="E548" s="171"/>
      <c r="F548" s="147"/>
      <c r="G548" s="171"/>
      <c r="H548" s="147"/>
      <c r="I548" s="171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</row>
    <row r="549" spans="1:27" ht="18" customHeight="1" x14ac:dyDescent="0.3">
      <c r="A549" s="172"/>
      <c r="B549" s="172"/>
      <c r="C549" s="147"/>
      <c r="D549" s="272"/>
      <c r="E549" s="171"/>
      <c r="F549" s="147"/>
      <c r="G549" s="171"/>
      <c r="H549" s="147"/>
      <c r="I549" s="171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</row>
    <row r="550" spans="1:27" ht="18" customHeight="1" x14ac:dyDescent="0.3">
      <c r="A550" s="172"/>
      <c r="B550" s="172"/>
      <c r="C550" s="147"/>
      <c r="D550" s="272"/>
      <c r="E550" s="171"/>
      <c r="F550" s="147"/>
      <c r="G550" s="171"/>
      <c r="H550" s="147"/>
      <c r="I550" s="171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</row>
    <row r="551" spans="1:27" ht="18" customHeight="1" x14ac:dyDescent="0.3">
      <c r="A551" s="172"/>
      <c r="B551" s="172"/>
      <c r="C551" s="147"/>
      <c r="D551" s="272"/>
      <c r="E551" s="171"/>
      <c r="F551" s="147"/>
      <c r="G551" s="171"/>
      <c r="H551" s="147"/>
      <c r="I551" s="171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</row>
    <row r="552" spans="1:27" ht="18" customHeight="1" x14ac:dyDescent="0.3">
      <c r="A552" s="172"/>
      <c r="B552" s="172"/>
      <c r="C552" s="147"/>
      <c r="D552" s="272"/>
      <c r="E552" s="171"/>
      <c r="F552" s="147"/>
      <c r="G552" s="171"/>
      <c r="H552" s="147"/>
      <c r="I552" s="171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</row>
    <row r="553" spans="1:27" ht="18" customHeight="1" x14ac:dyDescent="0.3">
      <c r="A553" s="172"/>
      <c r="B553" s="172"/>
      <c r="C553" s="147"/>
      <c r="D553" s="272"/>
      <c r="E553" s="171"/>
      <c r="F553" s="147"/>
      <c r="G553" s="171"/>
      <c r="H553" s="147"/>
      <c r="I553" s="171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</row>
    <row r="554" spans="1:27" ht="18" customHeight="1" x14ac:dyDescent="0.3">
      <c r="A554" s="172"/>
      <c r="B554" s="172"/>
      <c r="C554" s="147"/>
      <c r="D554" s="272"/>
      <c r="E554" s="171"/>
      <c r="F554" s="147"/>
      <c r="G554" s="171"/>
      <c r="H554" s="147"/>
      <c r="I554" s="171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</row>
    <row r="555" spans="1:27" ht="18" customHeight="1" x14ac:dyDescent="0.3">
      <c r="A555" s="172"/>
      <c r="B555" s="172"/>
      <c r="C555" s="147"/>
      <c r="D555" s="272"/>
      <c r="E555" s="171"/>
      <c r="F555" s="147"/>
      <c r="G555" s="171"/>
      <c r="H555" s="147"/>
      <c r="I555" s="171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</row>
    <row r="556" spans="1:27" ht="18" customHeight="1" x14ac:dyDescent="0.3">
      <c r="A556" s="172"/>
      <c r="B556" s="172"/>
      <c r="C556" s="147"/>
      <c r="D556" s="272"/>
      <c r="E556" s="171"/>
      <c r="F556" s="147"/>
      <c r="G556" s="171"/>
      <c r="H556" s="147"/>
      <c r="I556" s="171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</row>
    <row r="557" spans="1:27" ht="18" customHeight="1" x14ac:dyDescent="0.3">
      <c r="A557" s="172"/>
      <c r="B557" s="172"/>
      <c r="C557" s="147"/>
      <c r="D557" s="272"/>
      <c r="E557" s="171"/>
      <c r="F557" s="147"/>
      <c r="G557" s="171"/>
      <c r="H557" s="147"/>
      <c r="I557" s="171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</row>
    <row r="558" spans="1:27" ht="18" customHeight="1" x14ac:dyDescent="0.3">
      <c r="A558" s="172"/>
      <c r="B558" s="172"/>
      <c r="C558" s="147"/>
      <c r="D558" s="272"/>
      <c r="E558" s="171"/>
      <c r="F558" s="147"/>
      <c r="G558" s="171"/>
      <c r="H558" s="147"/>
      <c r="I558" s="171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</row>
    <row r="559" spans="1:27" ht="18" customHeight="1" x14ac:dyDescent="0.3">
      <c r="A559" s="172"/>
      <c r="B559" s="172"/>
      <c r="C559" s="147"/>
      <c r="D559" s="272"/>
      <c r="E559" s="171"/>
      <c r="F559" s="147"/>
      <c r="G559" s="171"/>
      <c r="H559" s="147"/>
      <c r="I559" s="171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</row>
    <row r="560" spans="1:27" ht="18" customHeight="1" x14ac:dyDescent="0.3">
      <c r="A560" s="172"/>
      <c r="B560" s="172"/>
      <c r="C560" s="147"/>
      <c r="D560" s="272"/>
      <c r="E560" s="171"/>
      <c r="F560" s="147"/>
      <c r="G560" s="171"/>
      <c r="H560" s="147"/>
      <c r="I560" s="171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</row>
    <row r="561" spans="1:27" ht="18" customHeight="1" x14ac:dyDescent="0.3">
      <c r="A561" s="172"/>
      <c r="B561" s="172"/>
      <c r="C561" s="147"/>
      <c r="D561" s="272"/>
      <c r="E561" s="171"/>
      <c r="F561" s="147"/>
      <c r="G561" s="171"/>
      <c r="H561" s="147"/>
      <c r="I561" s="171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</row>
    <row r="562" spans="1:27" ht="18" customHeight="1" x14ac:dyDescent="0.3">
      <c r="A562" s="172"/>
      <c r="B562" s="172"/>
      <c r="C562" s="147"/>
      <c r="D562" s="272"/>
      <c r="E562" s="171"/>
      <c r="F562" s="147"/>
      <c r="G562" s="171"/>
      <c r="H562" s="147"/>
      <c r="I562" s="171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</row>
    <row r="563" spans="1:27" ht="18" customHeight="1" x14ac:dyDescent="0.3">
      <c r="A563" s="172"/>
      <c r="B563" s="172"/>
      <c r="C563" s="147"/>
      <c r="D563" s="272"/>
      <c r="E563" s="171"/>
      <c r="F563" s="147"/>
      <c r="G563" s="171"/>
      <c r="H563" s="147"/>
      <c r="I563" s="171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</row>
    <row r="564" spans="1:27" ht="18" customHeight="1" x14ac:dyDescent="0.3">
      <c r="A564" s="172"/>
      <c r="B564" s="172"/>
      <c r="C564" s="147"/>
      <c r="D564" s="272"/>
      <c r="E564" s="171"/>
      <c r="F564" s="147"/>
      <c r="G564" s="171"/>
      <c r="H564" s="147"/>
      <c r="I564" s="171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</row>
    <row r="565" spans="1:27" ht="18" customHeight="1" x14ac:dyDescent="0.3">
      <c r="A565" s="172"/>
      <c r="B565" s="172"/>
      <c r="C565" s="147"/>
      <c r="D565" s="272"/>
      <c r="E565" s="171"/>
      <c r="F565" s="147"/>
      <c r="G565" s="171"/>
      <c r="H565" s="147"/>
      <c r="I565" s="171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</row>
    <row r="566" spans="1:27" ht="18" customHeight="1" x14ac:dyDescent="0.3">
      <c r="A566" s="172"/>
      <c r="B566" s="172"/>
      <c r="C566" s="147"/>
      <c r="D566" s="272"/>
      <c r="E566" s="171"/>
      <c r="F566" s="147"/>
      <c r="G566" s="171"/>
      <c r="H566" s="147"/>
      <c r="I566" s="171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</row>
    <row r="567" spans="1:27" ht="18" customHeight="1" x14ac:dyDescent="0.3">
      <c r="A567" s="172"/>
      <c r="B567" s="172"/>
      <c r="C567" s="147"/>
      <c r="D567" s="272"/>
      <c r="E567" s="171"/>
      <c r="F567" s="147"/>
      <c r="G567" s="171"/>
      <c r="H567" s="147"/>
      <c r="I567" s="171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</row>
    <row r="568" spans="1:27" ht="18" customHeight="1" x14ac:dyDescent="0.3">
      <c r="A568" s="172"/>
      <c r="B568" s="172"/>
      <c r="C568" s="147"/>
      <c r="D568" s="272"/>
      <c r="E568" s="171"/>
      <c r="F568" s="147"/>
      <c r="G568" s="171"/>
      <c r="H568" s="147"/>
      <c r="I568" s="171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</row>
    <row r="569" spans="1:27" ht="18" customHeight="1" x14ac:dyDescent="0.3">
      <c r="A569" s="172"/>
      <c r="B569" s="172"/>
      <c r="C569" s="147"/>
      <c r="D569" s="272"/>
      <c r="E569" s="171"/>
      <c r="F569" s="147"/>
      <c r="G569" s="171"/>
      <c r="H569" s="147"/>
      <c r="I569" s="171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</row>
    <row r="570" spans="1:27" ht="18" customHeight="1" x14ac:dyDescent="0.3">
      <c r="A570" s="172"/>
      <c r="B570" s="172"/>
      <c r="C570" s="147"/>
      <c r="D570" s="272"/>
      <c r="E570" s="171"/>
      <c r="F570" s="147"/>
      <c r="G570" s="171"/>
      <c r="H570" s="147"/>
      <c r="I570" s="171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</row>
    <row r="571" spans="1:27" ht="18" customHeight="1" x14ac:dyDescent="0.3">
      <c r="A571" s="172"/>
      <c r="B571" s="172"/>
      <c r="C571" s="147"/>
      <c r="D571" s="272"/>
      <c r="E571" s="171"/>
      <c r="F571" s="147"/>
      <c r="G571" s="171"/>
      <c r="H571" s="147"/>
      <c r="I571" s="171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</row>
    <row r="572" spans="1:27" ht="18" customHeight="1" x14ac:dyDescent="0.3">
      <c r="A572" s="172"/>
      <c r="B572" s="172"/>
      <c r="C572" s="147"/>
      <c r="D572" s="272"/>
      <c r="E572" s="171"/>
      <c r="F572" s="147"/>
      <c r="G572" s="171"/>
      <c r="H572" s="147"/>
      <c r="I572" s="171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</row>
    <row r="573" spans="1:27" ht="18" customHeight="1" x14ac:dyDescent="0.3">
      <c r="A573" s="172"/>
      <c r="B573" s="172"/>
      <c r="C573" s="147"/>
      <c r="D573" s="272"/>
      <c r="E573" s="171"/>
      <c r="F573" s="147"/>
      <c r="G573" s="171"/>
      <c r="H573" s="147"/>
      <c r="I573" s="171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</row>
    <row r="574" spans="1:27" ht="18" customHeight="1" x14ac:dyDescent="0.3">
      <c r="A574" s="172"/>
      <c r="B574" s="172"/>
      <c r="C574" s="147"/>
      <c r="D574" s="272"/>
      <c r="E574" s="171"/>
      <c r="F574" s="147"/>
      <c r="G574" s="171"/>
      <c r="H574" s="147"/>
      <c r="I574" s="171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</row>
    <row r="575" spans="1:27" ht="18" customHeight="1" x14ac:dyDescent="0.3">
      <c r="A575" s="172"/>
      <c r="B575" s="172"/>
      <c r="C575" s="147"/>
      <c r="D575" s="272"/>
      <c r="E575" s="171"/>
      <c r="F575" s="147"/>
      <c r="G575" s="171"/>
      <c r="H575" s="147"/>
      <c r="I575" s="171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</row>
    <row r="576" spans="1:27" ht="18" customHeight="1" x14ac:dyDescent="0.3">
      <c r="A576" s="172"/>
      <c r="B576" s="172"/>
      <c r="C576" s="147"/>
      <c r="D576" s="272"/>
      <c r="E576" s="171"/>
      <c r="F576" s="147"/>
      <c r="G576" s="171"/>
      <c r="H576" s="147"/>
      <c r="I576" s="171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</row>
    <row r="577" spans="1:27" ht="18" customHeight="1" x14ac:dyDescent="0.3">
      <c r="A577" s="172"/>
      <c r="B577" s="172"/>
      <c r="C577" s="147"/>
      <c r="D577" s="272"/>
      <c r="E577" s="171"/>
      <c r="F577" s="147"/>
      <c r="G577" s="171"/>
      <c r="H577" s="147"/>
      <c r="I577" s="171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</row>
    <row r="578" spans="1:27" ht="18" customHeight="1" x14ac:dyDescent="0.3">
      <c r="A578" s="172"/>
      <c r="B578" s="172"/>
      <c r="C578" s="147"/>
      <c r="D578" s="272"/>
      <c r="E578" s="171"/>
      <c r="F578" s="147"/>
      <c r="G578" s="171"/>
      <c r="H578" s="147"/>
      <c r="I578" s="171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</row>
    <row r="579" spans="1:27" ht="18" customHeight="1" x14ac:dyDescent="0.3">
      <c r="A579" s="172"/>
      <c r="B579" s="172"/>
      <c r="C579" s="147"/>
      <c r="D579" s="272"/>
      <c r="E579" s="171"/>
      <c r="F579" s="147"/>
      <c r="G579" s="171"/>
      <c r="H579" s="147"/>
      <c r="I579" s="171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</row>
    <row r="580" spans="1:27" ht="18" customHeight="1" x14ac:dyDescent="0.3">
      <c r="A580" s="172"/>
      <c r="B580" s="172"/>
      <c r="C580" s="147"/>
      <c r="D580" s="272"/>
      <c r="E580" s="171"/>
      <c r="F580" s="147"/>
      <c r="G580" s="171"/>
      <c r="H580" s="147"/>
      <c r="I580" s="171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</row>
    <row r="581" spans="1:27" ht="18" customHeight="1" x14ac:dyDescent="0.3">
      <c r="A581" s="172"/>
      <c r="B581" s="172"/>
      <c r="C581" s="147"/>
      <c r="D581" s="272"/>
      <c r="E581" s="171"/>
      <c r="F581" s="147"/>
      <c r="G581" s="171"/>
      <c r="H581" s="147"/>
      <c r="I581" s="171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</row>
    <row r="582" spans="1:27" ht="18" customHeight="1" x14ac:dyDescent="0.3">
      <c r="A582" s="172"/>
      <c r="B582" s="172"/>
      <c r="C582" s="147"/>
      <c r="D582" s="272"/>
      <c r="E582" s="171"/>
      <c r="F582" s="147"/>
      <c r="G582" s="171"/>
      <c r="H582" s="147"/>
      <c r="I582" s="171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</row>
    <row r="583" spans="1:27" ht="18" customHeight="1" x14ac:dyDescent="0.3">
      <c r="A583" s="172"/>
      <c r="B583" s="172"/>
      <c r="C583" s="147"/>
      <c r="D583" s="272"/>
      <c r="E583" s="171"/>
      <c r="F583" s="147"/>
      <c r="G583" s="171"/>
      <c r="H583" s="147"/>
      <c r="I583" s="171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</row>
    <row r="584" spans="1:27" ht="18" customHeight="1" x14ac:dyDescent="0.3">
      <c r="A584" s="172"/>
      <c r="B584" s="172"/>
      <c r="C584" s="147"/>
      <c r="D584" s="272"/>
      <c r="E584" s="171"/>
      <c r="F584" s="147"/>
      <c r="G584" s="171"/>
      <c r="H584" s="147"/>
      <c r="I584" s="171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</row>
    <row r="585" spans="1:27" ht="18" customHeight="1" x14ac:dyDescent="0.3">
      <c r="A585" s="172"/>
      <c r="B585" s="172"/>
      <c r="C585" s="147"/>
      <c r="D585" s="272"/>
      <c r="E585" s="171"/>
      <c r="F585" s="147"/>
      <c r="G585" s="171"/>
      <c r="H585" s="147"/>
      <c r="I585" s="171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</row>
    <row r="586" spans="1:27" ht="18" customHeight="1" x14ac:dyDescent="0.3">
      <c r="A586" s="172"/>
      <c r="B586" s="172"/>
      <c r="C586" s="147"/>
      <c r="D586" s="272"/>
      <c r="E586" s="171"/>
      <c r="F586" s="147"/>
      <c r="G586" s="171"/>
      <c r="H586" s="147"/>
      <c r="I586" s="171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</row>
    <row r="587" spans="1:27" ht="18" customHeight="1" x14ac:dyDescent="0.3">
      <c r="A587" s="172"/>
      <c r="B587" s="172"/>
      <c r="C587" s="147"/>
      <c r="D587" s="272"/>
      <c r="E587" s="171"/>
      <c r="F587" s="147"/>
      <c r="G587" s="171"/>
      <c r="H587" s="147"/>
      <c r="I587" s="171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</row>
    <row r="588" spans="1:27" ht="18" customHeight="1" x14ac:dyDescent="0.3">
      <c r="A588" s="172"/>
      <c r="B588" s="172"/>
      <c r="C588" s="147"/>
      <c r="D588" s="272"/>
      <c r="E588" s="171"/>
      <c r="F588" s="147"/>
      <c r="G588" s="171"/>
      <c r="H588" s="147"/>
      <c r="I588" s="171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</row>
    <row r="589" spans="1:27" ht="18" customHeight="1" x14ac:dyDescent="0.3">
      <c r="A589" s="172"/>
      <c r="B589" s="172"/>
      <c r="C589" s="147"/>
      <c r="D589" s="272"/>
      <c r="E589" s="171"/>
      <c r="F589" s="147"/>
      <c r="G589" s="171"/>
      <c r="H589" s="147"/>
      <c r="I589" s="171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</row>
    <row r="590" spans="1:27" ht="18" customHeight="1" x14ac:dyDescent="0.3">
      <c r="A590" s="172"/>
      <c r="B590" s="172"/>
      <c r="C590" s="147"/>
      <c r="D590" s="272"/>
      <c r="E590" s="171"/>
      <c r="F590" s="147"/>
      <c r="G590" s="171"/>
      <c r="H590" s="147"/>
      <c r="I590" s="171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</row>
    <row r="591" spans="1:27" ht="18" customHeight="1" x14ac:dyDescent="0.3">
      <c r="A591" s="172"/>
      <c r="B591" s="172"/>
      <c r="C591" s="147"/>
      <c r="D591" s="272"/>
      <c r="E591" s="171"/>
      <c r="F591" s="147"/>
      <c r="G591" s="171"/>
      <c r="H591" s="147"/>
      <c r="I591" s="171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</row>
    <row r="592" spans="1:27" ht="18" customHeight="1" x14ac:dyDescent="0.3">
      <c r="A592" s="172"/>
      <c r="B592" s="172"/>
      <c r="C592" s="147"/>
      <c r="D592" s="272"/>
      <c r="E592" s="171"/>
      <c r="F592" s="147"/>
      <c r="G592" s="171"/>
      <c r="H592" s="147"/>
      <c r="I592" s="171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</row>
    <row r="593" spans="1:27" ht="18" customHeight="1" x14ac:dyDescent="0.3">
      <c r="A593" s="172"/>
      <c r="B593" s="172"/>
      <c r="C593" s="147"/>
      <c r="D593" s="272"/>
      <c r="E593" s="171"/>
      <c r="F593" s="147"/>
      <c r="G593" s="171"/>
      <c r="H593" s="147"/>
      <c r="I593" s="171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</row>
    <row r="594" spans="1:27" ht="18" customHeight="1" x14ac:dyDescent="0.3">
      <c r="A594" s="172"/>
      <c r="B594" s="172"/>
      <c r="C594" s="147"/>
      <c r="D594" s="272"/>
      <c r="E594" s="171"/>
      <c r="F594" s="147"/>
      <c r="G594" s="171"/>
      <c r="H594" s="147"/>
      <c r="I594" s="171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</row>
    <row r="595" spans="1:27" ht="18" customHeight="1" x14ac:dyDescent="0.3">
      <c r="A595" s="172"/>
      <c r="B595" s="172"/>
      <c r="C595" s="147"/>
      <c r="D595" s="272"/>
      <c r="E595" s="171"/>
      <c r="F595" s="147"/>
      <c r="G595" s="171"/>
      <c r="H595" s="147"/>
      <c r="I595" s="171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</row>
    <row r="596" spans="1:27" ht="18" customHeight="1" x14ac:dyDescent="0.3">
      <c r="A596" s="172"/>
      <c r="B596" s="172"/>
      <c r="C596" s="147"/>
      <c r="D596" s="272"/>
      <c r="E596" s="171"/>
      <c r="F596" s="147"/>
      <c r="G596" s="171"/>
      <c r="H596" s="147"/>
      <c r="I596" s="171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</row>
    <row r="597" spans="1:27" ht="18" customHeight="1" x14ac:dyDescent="0.3">
      <c r="A597" s="172"/>
      <c r="B597" s="172"/>
      <c r="C597" s="147"/>
      <c r="D597" s="272"/>
      <c r="E597" s="171"/>
      <c r="F597" s="147"/>
      <c r="G597" s="171"/>
      <c r="H597" s="147"/>
      <c r="I597" s="171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</row>
    <row r="598" spans="1:27" ht="18" customHeight="1" x14ac:dyDescent="0.3">
      <c r="A598" s="172"/>
      <c r="B598" s="172"/>
      <c r="C598" s="147"/>
      <c r="D598" s="272"/>
      <c r="E598" s="171"/>
      <c r="F598" s="147"/>
      <c r="G598" s="171"/>
      <c r="H598" s="147"/>
      <c r="I598" s="171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</row>
    <row r="599" spans="1:27" ht="18" customHeight="1" x14ac:dyDescent="0.3">
      <c r="A599" s="172"/>
      <c r="B599" s="172"/>
      <c r="C599" s="147"/>
      <c r="D599" s="272"/>
      <c r="E599" s="171"/>
      <c r="F599" s="147"/>
      <c r="G599" s="171"/>
      <c r="H599" s="147"/>
      <c r="I599" s="171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</row>
    <row r="600" spans="1:27" ht="18" customHeight="1" x14ac:dyDescent="0.3">
      <c r="A600" s="172"/>
      <c r="B600" s="172"/>
      <c r="C600" s="147"/>
      <c r="D600" s="272"/>
      <c r="E600" s="171"/>
      <c r="F600" s="147"/>
      <c r="G600" s="171"/>
      <c r="H600" s="147"/>
      <c r="I600" s="171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</row>
    <row r="601" spans="1:27" ht="18" customHeight="1" x14ac:dyDescent="0.3">
      <c r="A601" s="172"/>
      <c r="B601" s="172"/>
      <c r="C601" s="147"/>
      <c r="D601" s="272"/>
      <c r="E601" s="171"/>
      <c r="F601" s="147"/>
      <c r="G601" s="171"/>
      <c r="H601" s="147"/>
      <c r="I601" s="171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</row>
    <row r="602" spans="1:27" ht="18" customHeight="1" x14ac:dyDescent="0.3">
      <c r="A602" s="172"/>
      <c r="B602" s="172"/>
      <c r="C602" s="147"/>
      <c r="D602" s="272"/>
      <c r="E602" s="171"/>
      <c r="F602" s="147"/>
      <c r="G602" s="171"/>
      <c r="H602" s="147"/>
      <c r="I602" s="171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</row>
    <row r="603" spans="1:27" ht="18" customHeight="1" x14ac:dyDescent="0.3">
      <c r="A603" s="172"/>
      <c r="B603" s="172"/>
      <c r="C603" s="147"/>
      <c r="D603" s="272"/>
      <c r="E603" s="171"/>
      <c r="F603" s="147"/>
      <c r="G603" s="171"/>
      <c r="H603" s="147"/>
      <c r="I603" s="171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</row>
    <row r="604" spans="1:27" ht="18" customHeight="1" x14ac:dyDescent="0.3">
      <c r="A604" s="172"/>
      <c r="B604" s="172"/>
      <c r="C604" s="147"/>
      <c r="D604" s="272"/>
      <c r="E604" s="171"/>
      <c r="F604" s="147"/>
      <c r="G604" s="171"/>
      <c r="H604" s="147"/>
      <c r="I604" s="171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</row>
    <row r="605" spans="1:27" ht="18" customHeight="1" x14ac:dyDescent="0.3">
      <c r="A605" s="172"/>
      <c r="B605" s="172"/>
      <c r="C605" s="147"/>
      <c r="D605" s="272"/>
      <c r="E605" s="171"/>
      <c r="F605" s="147"/>
      <c r="G605" s="171"/>
      <c r="H605" s="147"/>
      <c r="I605" s="171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</row>
    <row r="606" spans="1:27" ht="18" customHeight="1" x14ac:dyDescent="0.3">
      <c r="A606" s="172"/>
      <c r="B606" s="172"/>
      <c r="C606" s="147"/>
      <c r="D606" s="272"/>
      <c r="E606" s="171"/>
      <c r="F606" s="147"/>
      <c r="G606" s="171"/>
      <c r="H606" s="147"/>
      <c r="I606" s="171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</row>
    <row r="607" spans="1:27" ht="18" customHeight="1" x14ac:dyDescent="0.3">
      <c r="A607" s="172"/>
      <c r="B607" s="172"/>
      <c r="C607" s="147"/>
      <c r="D607" s="272"/>
      <c r="E607" s="171"/>
      <c r="F607" s="147"/>
      <c r="G607" s="171"/>
      <c r="H607" s="147"/>
      <c r="I607" s="171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</row>
    <row r="608" spans="1:27" ht="18" customHeight="1" x14ac:dyDescent="0.3">
      <c r="A608" s="172"/>
      <c r="B608" s="172"/>
      <c r="C608" s="147"/>
      <c r="D608" s="272"/>
      <c r="E608" s="171"/>
      <c r="F608" s="147"/>
      <c r="G608" s="171"/>
      <c r="H608" s="147"/>
      <c r="I608" s="171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</row>
    <row r="609" spans="1:27" ht="18" customHeight="1" x14ac:dyDescent="0.3">
      <c r="A609" s="172"/>
      <c r="B609" s="172"/>
      <c r="C609" s="147"/>
      <c r="D609" s="272"/>
      <c r="E609" s="171"/>
      <c r="F609" s="147"/>
      <c r="G609" s="171"/>
      <c r="H609" s="147"/>
      <c r="I609" s="171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</row>
    <row r="610" spans="1:27" ht="18" customHeight="1" x14ac:dyDescent="0.3">
      <c r="A610" s="172"/>
      <c r="B610" s="172"/>
      <c r="C610" s="147"/>
      <c r="D610" s="272"/>
      <c r="E610" s="171"/>
      <c r="F610" s="147"/>
      <c r="G610" s="171"/>
      <c r="H610" s="147"/>
      <c r="I610" s="171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</row>
    <row r="611" spans="1:27" ht="18" customHeight="1" x14ac:dyDescent="0.3">
      <c r="A611" s="172"/>
      <c r="B611" s="172"/>
      <c r="C611" s="147"/>
      <c r="D611" s="272"/>
      <c r="E611" s="171"/>
      <c r="F611" s="147"/>
      <c r="G611" s="171"/>
      <c r="H611" s="147"/>
      <c r="I611" s="171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</row>
    <row r="612" spans="1:27" ht="18" customHeight="1" x14ac:dyDescent="0.3">
      <c r="A612" s="172"/>
      <c r="B612" s="172"/>
      <c r="C612" s="147"/>
      <c r="D612" s="272"/>
      <c r="E612" s="171"/>
      <c r="F612" s="147"/>
      <c r="G612" s="171"/>
      <c r="H612" s="147"/>
      <c r="I612" s="171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</row>
    <row r="613" spans="1:27" ht="18" customHeight="1" x14ac:dyDescent="0.3">
      <c r="A613" s="172"/>
      <c r="B613" s="172"/>
      <c r="C613" s="147"/>
      <c r="D613" s="272"/>
      <c r="E613" s="171"/>
      <c r="F613" s="147"/>
      <c r="G613" s="171"/>
      <c r="H613" s="147"/>
      <c r="I613" s="171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</row>
    <row r="614" spans="1:27" ht="18" customHeight="1" x14ac:dyDescent="0.3">
      <c r="A614" s="172"/>
      <c r="B614" s="172"/>
      <c r="C614" s="147"/>
      <c r="D614" s="272"/>
      <c r="E614" s="171"/>
      <c r="F614" s="147"/>
      <c r="G614" s="171"/>
      <c r="H614" s="147"/>
      <c r="I614" s="171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</row>
    <row r="615" spans="1:27" ht="18" customHeight="1" x14ac:dyDescent="0.3">
      <c r="A615" s="172"/>
      <c r="B615" s="172"/>
      <c r="C615" s="147"/>
      <c r="D615" s="272"/>
      <c r="E615" s="171"/>
      <c r="F615" s="147"/>
      <c r="G615" s="171"/>
      <c r="H615" s="147"/>
      <c r="I615" s="171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</row>
    <row r="616" spans="1:27" ht="18" customHeight="1" x14ac:dyDescent="0.3">
      <c r="A616" s="172"/>
      <c r="B616" s="172"/>
      <c r="C616" s="147"/>
      <c r="D616" s="272"/>
      <c r="E616" s="171"/>
      <c r="F616" s="147"/>
      <c r="G616" s="171"/>
      <c r="H616" s="147"/>
      <c r="I616" s="171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</row>
    <row r="617" spans="1:27" ht="18" customHeight="1" x14ac:dyDescent="0.3">
      <c r="A617" s="172"/>
      <c r="B617" s="172"/>
      <c r="C617" s="147"/>
      <c r="D617" s="272"/>
      <c r="E617" s="171"/>
      <c r="F617" s="147"/>
      <c r="G617" s="171"/>
      <c r="H617" s="147"/>
      <c r="I617" s="171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</row>
    <row r="618" spans="1:27" ht="18" customHeight="1" x14ac:dyDescent="0.3">
      <c r="A618" s="172"/>
      <c r="B618" s="172"/>
      <c r="C618" s="147"/>
      <c r="D618" s="272"/>
      <c r="E618" s="171"/>
      <c r="F618" s="147"/>
      <c r="G618" s="171"/>
      <c r="H618" s="147"/>
      <c r="I618" s="171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</row>
    <row r="619" spans="1:27" ht="18" customHeight="1" x14ac:dyDescent="0.3">
      <c r="A619" s="172"/>
      <c r="B619" s="172"/>
      <c r="C619" s="147"/>
      <c r="D619" s="272"/>
      <c r="E619" s="171"/>
      <c r="F619" s="147"/>
      <c r="G619" s="171"/>
      <c r="H619" s="147"/>
      <c r="I619" s="171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</row>
    <row r="620" spans="1:27" ht="18" customHeight="1" x14ac:dyDescent="0.3">
      <c r="A620" s="172"/>
      <c r="B620" s="172"/>
      <c r="C620" s="147"/>
      <c r="D620" s="272"/>
      <c r="E620" s="171"/>
      <c r="F620" s="147"/>
      <c r="G620" s="171"/>
      <c r="H620" s="147"/>
      <c r="I620" s="171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</row>
    <row r="621" spans="1:27" ht="18" customHeight="1" x14ac:dyDescent="0.3">
      <c r="A621" s="172"/>
      <c r="B621" s="172"/>
      <c r="C621" s="147"/>
      <c r="D621" s="272"/>
      <c r="E621" s="171"/>
      <c r="F621" s="147"/>
      <c r="G621" s="171"/>
      <c r="H621" s="147"/>
      <c r="I621" s="171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</row>
    <row r="622" spans="1:27" ht="18" customHeight="1" x14ac:dyDescent="0.3">
      <c r="A622" s="172"/>
      <c r="B622" s="172"/>
      <c r="C622" s="147"/>
      <c r="D622" s="272"/>
      <c r="E622" s="171"/>
      <c r="F622" s="147"/>
      <c r="G622" s="171"/>
      <c r="H622" s="147"/>
      <c r="I622" s="171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</row>
    <row r="623" spans="1:27" ht="18" customHeight="1" x14ac:dyDescent="0.3">
      <c r="A623" s="172"/>
      <c r="B623" s="172"/>
      <c r="C623" s="147"/>
      <c r="D623" s="272"/>
      <c r="E623" s="171"/>
      <c r="F623" s="147"/>
      <c r="G623" s="171"/>
      <c r="H623" s="147"/>
      <c r="I623" s="171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</row>
    <row r="624" spans="1:27" ht="18" customHeight="1" x14ac:dyDescent="0.3">
      <c r="A624" s="172"/>
      <c r="B624" s="172"/>
      <c r="C624" s="147"/>
      <c r="D624" s="272"/>
      <c r="E624" s="171"/>
      <c r="F624" s="147"/>
      <c r="G624" s="171"/>
      <c r="H624" s="147"/>
      <c r="I624" s="171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</row>
    <row r="625" spans="1:27" ht="18" customHeight="1" x14ac:dyDescent="0.3">
      <c r="A625" s="172"/>
      <c r="B625" s="172"/>
      <c r="C625" s="147"/>
      <c r="D625" s="272"/>
      <c r="E625" s="171"/>
      <c r="F625" s="147"/>
      <c r="G625" s="171"/>
      <c r="H625" s="147"/>
      <c r="I625" s="171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</row>
    <row r="626" spans="1:27" ht="18" customHeight="1" x14ac:dyDescent="0.3">
      <c r="A626" s="172"/>
      <c r="B626" s="172"/>
      <c r="C626" s="147"/>
      <c r="D626" s="272"/>
      <c r="E626" s="171"/>
      <c r="F626" s="147"/>
      <c r="G626" s="171"/>
      <c r="H626" s="147"/>
      <c r="I626" s="171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</row>
    <row r="627" spans="1:27" ht="18" customHeight="1" x14ac:dyDescent="0.3">
      <c r="A627" s="172"/>
      <c r="B627" s="172"/>
      <c r="C627" s="147"/>
      <c r="D627" s="272"/>
      <c r="E627" s="171"/>
      <c r="F627" s="147"/>
      <c r="G627" s="171"/>
      <c r="H627" s="147"/>
      <c r="I627" s="171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</row>
    <row r="628" spans="1:27" ht="18" customHeight="1" x14ac:dyDescent="0.3">
      <c r="A628" s="172"/>
      <c r="B628" s="172"/>
      <c r="C628" s="147"/>
      <c r="D628" s="272"/>
      <c r="E628" s="171"/>
      <c r="F628" s="147"/>
      <c r="G628" s="171"/>
      <c r="H628" s="147"/>
      <c r="I628" s="171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</row>
    <row r="629" spans="1:27" ht="18" customHeight="1" x14ac:dyDescent="0.3">
      <c r="A629" s="172"/>
      <c r="B629" s="172"/>
      <c r="C629" s="147"/>
      <c r="D629" s="272"/>
      <c r="E629" s="171"/>
      <c r="F629" s="147"/>
      <c r="G629" s="171"/>
      <c r="H629" s="147"/>
      <c r="I629" s="171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</row>
    <row r="630" spans="1:27" ht="18" customHeight="1" x14ac:dyDescent="0.3">
      <c r="A630" s="172"/>
      <c r="B630" s="172"/>
      <c r="C630" s="147"/>
      <c r="D630" s="272"/>
      <c r="E630" s="171"/>
      <c r="F630" s="147"/>
      <c r="G630" s="171"/>
      <c r="H630" s="147"/>
      <c r="I630" s="171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</row>
    <row r="631" spans="1:27" ht="18" customHeight="1" x14ac:dyDescent="0.3">
      <c r="A631" s="172"/>
      <c r="B631" s="172"/>
      <c r="C631" s="147"/>
      <c r="D631" s="272"/>
      <c r="E631" s="171"/>
      <c r="F631" s="147"/>
      <c r="G631" s="171"/>
      <c r="H631" s="147"/>
      <c r="I631" s="171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</row>
    <row r="632" spans="1:27" ht="18" customHeight="1" x14ac:dyDescent="0.3">
      <c r="A632" s="172"/>
      <c r="B632" s="172"/>
      <c r="C632" s="147"/>
      <c r="D632" s="272"/>
      <c r="E632" s="171"/>
      <c r="F632" s="147"/>
      <c r="G632" s="171"/>
      <c r="H632" s="147"/>
      <c r="I632" s="171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</row>
    <row r="633" spans="1:27" ht="18" customHeight="1" x14ac:dyDescent="0.3">
      <c r="A633" s="172"/>
      <c r="B633" s="172"/>
      <c r="C633" s="147"/>
      <c r="D633" s="272"/>
      <c r="E633" s="171"/>
      <c r="F633" s="147"/>
      <c r="G633" s="171"/>
      <c r="H633" s="147"/>
      <c r="I633" s="171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</row>
    <row r="634" spans="1:27" ht="18" customHeight="1" x14ac:dyDescent="0.3">
      <c r="A634" s="172"/>
      <c r="B634" s="172"/>
      <c r="C634" s="147"/>
      <c r="D634" s="272"/>
      <c r="E634" s="171"/>
      <c r="F634" s="147"/>
      <c r="G634" s="171"/>
      <c r="H634" s="147"/>
      <c r="I634" s="171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</row>
    <row r="635" spans="1:27" ht="18" customHeight="1" x14ac:dyDescent="0.3">
      <c r="A635" s="172"/>
      <c r="B635" s="172"/>
      <c r="C635" s="147"/>
      <c r="D635" s="272"/>
      <c r="E635" s="171"/>
      <c r="F635" s="147"/>
      <c r="G635" s="171"/>
      <c r="H635" s="147"/>
      <c r="I635" s="171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</row>
    <row r="636" spans="1:27" ht="18" customHeight="1" x14ac:dyDescent="0.3">
      <c r="A636" s="172"/>
      <c r="B636" s="172"/>
      <c r="C636" s="147"/>
      <c r="D636" s="272"/>
      <c r="E636" s="171"/>
      <c r="F636" s="147"/>
      <c r="G636" s="171"/>
      <c r="H636" s="147"/>
      <c r="I636" s="171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</row>
    <row r="637" spans="1:27" ht="18" customHeight="1" x14ac:dyDescent="0.3">
      <c r="A637" s="172"/>
      <c r="B637" s="172"/>
      <c r="C637" s="147"/>
      <c r="D637" s="272"/>
      <c r="E637" s="171"/>
      <c r="F637" s="147"/>
      <c r="G637" s="171"/>
      <c r="H637" s="147"/>
      <c r="I637" s="171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</row>
    <row r="638" spans="1:27" ht="18" customHeight="1" x14ac:dyDescent="0.3">
      <c r="A638" s="172"/>
      <c r="B638" s="172"/>
      <c r="C638" s="147"/>
      <c r="D638" s="272"/>
      <c r="E638" s="171"/>
      <c r="F638" s="147"/>
      <c r="G638" s="171"/>
      <c r="H638" s="147"/>
      <c r="I638" s="171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</row>
    <row r="639" spans="1:27" ht="18" customHeight="1" x14ac:dyDescent="0.3">
      <c r="A639" s="172"/>
      <c r="B639" s="172"/>
      <c r="C639" s="147"/>
      <c r="D639" s="272"/>
      <c r="E639" s="171"/>
      <c r="F639" s="147"/>
      <c r="G639" s="171"/>
      <c r="H639" s="147"/>
      <c r="I639" s="171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</row>
    <row r="640" spans="1:27" ht="18" customHeight="1" x14ac:dyDescent="0.3">
      <c r="A640" s="172"/>
      <c r="B640" s="172"/>
      <c r="C640" s="147"/>
      <c r="D640" s="272"/>
      <c r="E640" s="171"/>
      <c r="F640" s="147"/>
      <c r="G640" s="171"/>
      <c r="H640" s="147"/>
      <c r="I640" s="171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</row>
    <row r="641" spans="1:27" ht="18" customHeight="1" x14ac:dyDescent="0.3">
      <c r="A641" s="172"/>
      <c r="B641" s="172"/>
      <c r="C641" s="147"/>
      <c r="D641" s="272"/>
      <c r="E641" s="171"/>
      <c r="F641" s="147"/>
      <c r="G641" s="171"/>
      <c r="H641" s="147"/>
      <c r="I641" s="171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</row>
    <row r="642" spans="1:27" ht="18" customHeight="1" x14ac:dyDescent="0.3">
      <c r="A642" s="172"/>
      <c r="B642" s="172"/>
      <c r="C642" s="147"/>
      <c r="D642" s="272"/>
      <c r="E642" s="171"/>
      <c r="F642" s="147"/>
      <c r="G642" s="171"/>
      <c r="H642" s="147"/>
      <c r="I642" s="171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</row>
    <row r="643" spans="1:27" ht="18" customHeight="1" x14ac:dyDescent="0.3">
      <c r="A643" s="172"/>
      <c r="B643" s="172"/>
      <c r="C643" s="147"/>
      <c r="D643" s="272"/>
      <c r="E643" s="171"/>
      <c r="F643" s="147"/>
      <c r="G643" s="171"/>
      <c r="H643" s="147"/>
      <c r="I643" s="171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</row>
    <row r="644" spans="1:27" ht="18" customHeight="1" x14ac:dyDescent="0.3">
      <c r="A644" s="172"/>
      <c r="B644" s="172"/>
      <c r="C644" s="147"/>
      <c r="D644" s="272"/>
      <c r="E644" s="171"/>
      <c r="F644" s="147"/>
      <c r="G644" s="171"/>
      <c r="H644" s="147"/>
      <c r="I644" s="171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</row>
    <row r="645" spans="1:27" ht="18" customHeight="1" x14ac:dyDescent="0.3">
      <c r="A645" s="172"/>
      <c r="B645" s="172"/>
      <c r="C645" s="147"/>
      <c r="D645" s="272"/>
      <c r="E645" s="171"/>
      <c r="F645" s="147"/>
      <c r="G645" s="171"/>
      <c r="H645" s="147"/>
      <c r="I645" s="171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</row>
    <row r="646" spans="1:27" ht="18" customHeight="1" x14ac:dyDescent="0.3">
      <c r="A646" s="172"/>
      <c r="B646" s="172"/>
      <c r="C646" s="147"/>
      <c r="D646" s="272"/>
      <c r="E646" s="171"/>
      <c r="F646" s="147"/>
      <c r="G646" s="171"/>
      <c r="H646" s="147"/>
      <c r="I646" s="171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</row>
    <row r="647" spans="1:27" ht="18" customHeight="1" x14ac:dyDescent="0.3">
      <c r="A647" s="172"/>
      <c r="B647" s="172"/>
      <c r="C647" s="147"/>
      <c r="D647" s="272"/>
      <c r="E647" s="171"/>
      <c r="F647" s="147"/>
      <c r="G647" s="171"/>
      <c r="H647" s="147"/>
      <c r="I647" s="171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</row>
    <row r="648" spans="1:27" ht="18" customHeight="1" x14ac:dyDescent="0.3">
      <c r="A648" s="172"/>
      <c r="B648" s="172"/>
      <c r="C648" s="147"/>
      <c r="D648" s="272"/>
      <c r="E648" s="171"/>
      <c r="F648" s="147"/>
      <c r="G648" s="171"/>
      <c r="H648" s="147"/>
      <c r="I648" s="171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</row>
    <row r="649" spans="1:27" ht="18" customHeight="1" x14ac:dyDescent="0.3">
      <c r="A649" s="172"/>
      <c r="B649" s="172"/>
      <c r="C649" s="147"/>
      <c r="D649" s="272"/>
      <c r="E649" s="171"/>
      <c r="F649" s="147"/>
      <c r="G649" s="171"/>
      <c r="H649" s="147"/>
      <c r="I649" s="171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</row>
    <row r="650" spans="1:27" ht="18" customHeight="1" x14ac:dyDescent="0.3">
      <c r="A650" s="172"/>
      <c r="B650" s="172"/>
      <c r="C650" s="147"/>
      <c r="D650" s="272"/>
      <c r="E650" s="171"/>
      <c r="F650" s="147"/>
      <c r="G650" s="171"/>
      <c r="H650" s="147"/>
      <c r="I650" s="171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</row>
    <row r="651" spans="1:27" ht="18" customHeight="1" x14ac:dyDescent="0.3">
      <c r="A651" s="172"/>
      <c r="B651" s="172"/>
      <c r="C651" s="147"/>
      <c r="D651" s="272"/>
      <c r="E651" s="171"/>
      <c r="F651" s="147"/>
      <c r="G651" s="171"/>
      <c r="H651" s="147"/>
      <c r="I651" s="171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</row>
    <row r="652" spans="1:27" ht="18" customHeight="1" x14ac:dyDescent="0.3">
      <c r="A652" s="172"/>
      <c r="B652" s="172"/>
      <c r="C652" s="147"/>
      <c r="D652" s="272"/>
      <c r="E652" s="171"/>
      <c r="F652" s="147"/>
      <c r="G652" s="171"/>
      <c r="H652" s="147"/>
      <c r="I652" s="171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</row>
    <row r="653" spans="1:27" ht="18" customHeight="1" x14ac:dyDescent="0.3">
      <c r="A653" s="172"/>
      <c r="B653" s="172"/>
      <c r="C653" s="147"/>
      <c r="D653" s="272"/>
      <c r="E653" s="171"/>
      <c r="F653" s="147"/>
      <c r="G653" s="171"/>
      <c r="H653" s="147"/>
      <c r="I653" s="171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</row>
    <row r="654" spans="1:27" ht="18" customHeight="1" x14ac:dyDescent="0.3">
      <c r="A654" s="172"/>
      <c r="B654" s="172"/>
      <c r="C654" s="147"/>
      <c r="D654" s="272"/>
      <c r="E654" s="171"/>
      <c r="F654" s="147"/>
      <c r="G654" s="171"/>
      <c r="H654" s="147"/>
      <c r="I654" s="171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</row>
    <row r="655" spans="1:27" ht="18" customHeight="1" x14ac:dyDescent="0.3">
      <c r="A655" s="172"/>
      <c r="B655" s="172"/>
      <c r="C655" s="147"/>
      <c r="D655" s="272"/>
      <c r="E655" s="171"/>
      <c r="F655" s="147"/>
      <c r="G655" s="171"/>
      <c r="H655" s="147"/>
      <c r="I655" s="171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</row>
    <row r="656" spans="1:27" ht="18" customHeight="1" x14ac:dyDescent="0.3">
      <c r="A656" s="172"/>
      <c r="B656" s="172"/>
      <c r="C656" s="147"/>
      <c r="D656" s="272"/>
      <c r="E656" s="171"/>
      <c r="F656" s="147"/>
      <c r="G656" s="171"/>
      <c r="H656" s="147"/>
      <c r="I656" s="171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</row>
    <row r="657" spans="1:27" ht="18" customHeight="1" x14ac:dyDescent="0.3">
      <c r="A657" s="172"/>
      <c r="B657" s="172"/>
      <c r="C657" s="147"/>
      <c r="D657" s="272"/>
      <c r="E657" s="171"/>
      <c r="F657" s="147"/>
      <c r="G657" s="171"/>
      <c r="H657" s="147"/>
      <c r="I657" s="171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</row>
    <row r="658" spans="1:27" ht="18" customHeight="1" x14ac:dyDescent="0.3">
      <c r="A658" s="172"/>
      <c r="B658" s="172"/>
      <c r="C658" s="147"/>
      <c r="D658" s="272"/>
      <c r="E658" s="171"/>
      <c r="F658" s="147"/>
      <c r="G658" s="171"/>
      <c r="H658" s="147"/>
      <c r="I658" s="171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</row>
    <row r="659" spans="1:27" ht="18" customHeight="1" x14ac:dyDescent="0.3">
      <c r="A659" s="172"/>
      <c r="B659" s="172"/>
      <c r="C659" s="147"/>
      <c r="D659" s="272"/>
      <c r="E659" s="171"/>
      <c r="F659" s="147"/>
      <c r="G659" s="171"/>
      <c r="H659" s="147"/>
      <c r="I659" s="171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</row>
    <row r="660" spans="1:27" ht="18" customHeight="1" x14ac:dyDescent="0.3">
      <c r="A660" s="172"/>
      <c r="B660" s="172"/>
      <c r="C660" s="147"/>
      <c r="D660" s="272"/>
      <c r="E660" s="171"/>
      <c r="F660" s="147"/>
      <c r="G660" s="171"/>
      <c r="H660" s="147"/>
      <c r="I660" s="171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</row>
    <row r="661" spans="1:27" ht="18" customHeight="1" x14ac:dyDescent="0.3">
      <c r="A661" s="172"/>
      <c r="B661" s="172"/>
      <c r="C661" s="147"/>
      <c r="D661" s="272"/>
      <c r="E661" s="171"/>
      <c r="F661" s="147"/>
      <c r="G661" s="171"/>
      <c r="H661" s="147"/>
      <c r="I661" s="171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</row>
    <row r="662" spans="1:27" ht="18" customHeight="1" x14ac:dyDescent="0.3">
      <c r="A662" s="172"/>
      <c r="B662" s="172"/>
      <c r="C662" s="147"/>
      <c r="D662" s="272"/>
      <c r="E662" s="171"/>
      <c r="F662" s="147"/>
      <c r="G662" s="171"/>
      <c r="H662" s="147"/>
      <c r="I662" s="171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</row>
    <row r="663" spans="1:27" ht="18" customHeight="1" x14ac:dyDescent="0.3">
      <c r="A663" s="172"/>
      <c r="B663" s="172"/>
      <c r="C663" s="147"/>
      <c r="D663" s="272"/>
      <c r="E663" s="171"/>
      <c r="F663" s="147"/>
      <c r="G663" s="171"/>
      <c r="H663" s="147"/>
      <c r="I663" s="171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</row>
    <row r="664" spans="1:27" ht="18" customHeight="1" x14ac:dyDescent="0.3">
      <c r="A664" s="172"/>
      <c r="B664" s="172"/>
      <c r="C664" s="147"/>
      <c r="D664" s="272"/>
      <c r="E664" s="171"/>
      <c r="F664" s="147"/>
      <c r="G664" s="171"/>
      <c r="H664" s="147"/>
      <c r="I664" s="171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</row>
    <row r="665" spans="1:27" ht="18" customHeight="1" x14ac:dyDescent="0.3">
      <c r="A665" s="172"/>
      <c r="B665" s="172"/>
      <c r="C665" s="147"/>
      <c r="D665" s="272"/>
      <c r="E665" s="171"/>
      <c r="F665" s="147"/>
      <c r="G665" s="171"/>
      <c r="H665" s="147"/>
      <c r="I665" s="171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</row>
    <row r="666" spans="1:27" ht="18" customHeight="1" x14ac:dyDescent="0.3">
      <c r="A666" s="172"/>
      <c r="B666" s="172"/>
      <c r="C666" s="147"/>
      <c r="D666" s="272"/>
      <c r="E666" s="171"/>
      <c r="F666" s="147"/>
      <c r="G666" s="171"/>
      <c r="H666" s="147"/>
      <c r="I666" s="171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</row>
    <row r="667" spans="1:27" ht="18" customHeight="1" x14ac:dyDescent="0.3">
      <c r="A667" s="172"/>
      <c r="B667" s="172"/>
      <c r="C667" s="147"/>
      <c r="D667" s="272"/>
      <c r="E667" s="171"/>
      <c r="F667" s="147"/>
      <c r="G667" s="171"/>
      <c r="H667" s="147"/>
      <c r="I667" s="171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</row>
    <row r="668" spans="1:27" ht="18" customHeight="1" x14ac:dyDescent="0.3">
      <c r="A668" s="172"/>
      <c r="B668" s="172"/>
      <c r="C668" s="147"/>
      <c r="D668" s="272"/>
      <c r="E668" s="171"/>
      <c r="F668" s="147"/>
      <c r="G668" s="171"/>
      <c r="H668" s="147"/>
      <c r="I668" s="171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</row>
    <row r="669" spans="1:27" ht="18" customHeight="1" x14ac:dyDescent="0.3">
      <c r="A669" s="172"/>
      <c r="B669" s="172"/>
      <c r="C669" s="147"/>
      <c r="D669" s="272"/>
      <c r="E669" s="171"/>
      <c r="F669" s="147"/>
      <c r="G669" s="171"/>
      <c r="H669" s="147"/>
      <c r="I669" s="171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</row>
    <row r="670" spans="1:27" ht="18" customHeight="1" x14ac:dyDescent="0.3">
      <c r="A670" s="172"/>
      <c r="B670" s="172"/>
      <c r="C670" s="147"/>
      <c r="D670" s="272"/>
      <c r="E670" s="171"/>
      <c r="F670" s="147"/>
      <c r="G670" s="171"/>
      <c r="H670" s="147"/>
      <c r="I670" s="171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</row>
    <row r="671" spans="1:27" ht="18" customHeight="1" x14ac:dyDescent="0.3">
      <c r="A671" s="172"/>
      <c r="B671" s="172"/>
      <c r="C671" s="147"/>
      <c r="D671" s="272"/>
      <c r="E671" s="171"/>
      <c r="F671" s="147"/>
      <c r="G671" s="171"/>
      <c r="H671" s="147"/>
      <c r="I671" s="171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</row>
    <row r="672" spans="1:27" ht="18" customHeight="1" x14ac:dyDescent="0.3">
      <c r="A672" s="172"/>
      <c r="B672" s="172"/>
      <c r="C672" s="147"/>
      <c r="D672" s="272"/>
      <c r="E672" s="171"/>
      <c r="F672" s="147"/>
      <c r="G672" s="171"/>
      <c r="H672" s="147"/>
      <c r="I672" s="171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</row>
    <row r="673" spans="1:27" ht="18" customHeight="1" x14ac:dyDescent="0.3">
      <c r="A673" s="172"/>
      <c r="B673" s="172"/>
      <c r="C673" s="147"/>
      <c r="D673" s="272"/>
      <c r="E673" s="171"/>
      <c r="F673" s="147"/>
      <c r="G673" s="171"/>
      <c r="H673" s="147"/>
      <c r="I673" s="171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</row>
    <row r="674" spans="1:27" ht="18" customHeight="1" x14ac:dyDescent="0.3">
      <c r="A674" s="172"/>
      <c r="B674" s="172"/>
      <c r="C674" s="147"/>
      <c r="D674" s="272"/>
      <c r="E674" s="171"/>
      <c r="F674" s="147"/>
      <c r="G674" s="171"/>
      <c r="H674" s="147"/>
      <c r="I674" s="171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</row>
    <row r="675" spans="1:27" ht="18" customHeight="1" x14ac:dyDescent="0.3">
      <c r="A675" s="172"/>
      <c r="B675" s="172"/>
      <c r="C675" s="147"/>
      <c r="D675" s="272"/>
      <c r="E675" s="171"/>
      <c r="F675" s="147"/>
      <c r="G675" s="171"/>
      <c r="H675" s="147"/>
      <c r="I675" s="171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</row>
    <row r="676" spans="1:27" ht="18" customHeight="1" x14ac:dyDescent="0.3">
      <c r="A676" s="172"/>
      <c r="B676" s="172"/>
      <c r="C676" s="147"/>
      <c r="D676" s="272"/>
      <c r="E676" s="171"/>
      <c r="F676" s="147"/>
      <c r="G676" s="171"/>
      <c r="H676" s="147"/>
      <c r="I676" s="171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</row>
    <row r="677" spans="1:27" ht="18" customHeight="1" x14ac:dyDescent="0.3">
      <c r="A677" s="172"/>
      <c r="B677" s="172"/>
      <c r="C677" s="147"/>
      <c r="D677" s="272"/>
      <c r="E677" s="171"/>
      <c r="F677" s="147"/>
      <c r="G677" s="171"/>
      <c r="H677" s="147"/>
      <c r="I677" s="171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</row>
    <row r="678" spans="1:27" ht="18" customHeight="1" x14ac:dyDescent="0.3">
      <c r="A678" s="172"/>
      <c r="B678" s="172"/>
      <c r="C678" s="147"/>
      <c r="D678" s="272"/>
      <c r="E678" s="171"/>
      <c r="F678" s="147"/>
      <c r="G678" s="171"/>
      <c r="H678" s="147"/>
      <c r="I678" s="171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</row>
    <row r="679" spans="1:27" ht="18" customHeight="1" x14ac:dyDescent="0.3">
      <c r="A679" s="172"/>
      <c r="B679" s="172"/>
      <c r="C679" s="147"/>
      <c r="D679" s="272"/>
      <c r="E679" s="171"/>
      <c r="F679" s="147"/>
      <c r="G679" s="171"/>
      <c r="H679" s="147"/>
      <c r="I679" s="171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</row>
    <row r="680" spans="1:27" ht="18" customHeight="1" x14ac:dyDescent="0.3">
      <c r="A680" s="172"/>
      <c r="B680" s="172"/>
      <c r="C680" s="147"/>
      <c r="D680" s="272"/>
      <c r="E680" s="171"/>
      <c r="F680" s="147"/>
      <c r="G680" s="171"/>
      <c r="H680" s="147"/>
      <c r="I680" s="171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</row>
    <row r="681" spans="1:27" ht="18" customHeight="1" x14ac:dyDescent="0.3">
      <c r="A681" s="172"/>
      <c r="B681" s="172"/>
      <c r="C681" s="147"/>
      <c r="D681" s="272"/>
      <c r="E681" s="171"/>
      <c r="F681" s="147"/>
      <c r="G681" s="171"/>
      <c r="H681" s="147"/>
      <c r="I681" s="171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</row>
    <row r="682" spans="1:27" ht="18" customHeight="1" x14ac:dyDescent="0.3">
      <c r="A682" s="172"/>
      <c r="B682" s="172"/>
      <c r="C682" s="147"/>
      <c r="D682" s="272"/>
      <c r="E682" s="171"/>
      <c r="F682" s="147"/>
      <c r="G682" s="171"/>
      <c r="H682" s="147"/>
      <c r="I682" s="171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</row>
    <row r="683" spans="1:27" ht="18" customHeight="1" x14ac:dyDescent="0.3">
      <c r="A683" s="172"/>
      <c r="B683" s="172"/>
      <c r="C683" s="147"/>
      <c r="D683" s="272"/>
      <c r="E683" s="171"/>
      <c r="F683" s="147"/>
      <c r="G683" s="171"/>
      <c r="H683" s="147"/>
      <c r="I683" s="171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</row>
    <row r="684" spans="1:27" ht="18" customHeight="1" x14ac:dyDescent="0.3">
      <c r="A684" s="172"/>
      <c r="B684" s="172"/>
      <c r="C684" s="147"/>
      <c r="D684" s="272"/>
      <c r="E684" s="171"/>
      <c r="F684" s="147"/>
      <c r="G684" s="171"/>
      <c r="H684" s="147"/>
      <c r="I684" s="171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</row>
    <row r="685" spans="1:27" ht="18" customHeight="1" x14ac:dyDescent="0.3">
      <c r="A685" s="172"/>
      <c r="B685" s="172"/>
      <c r="C685" s="147"/>
      <c r="D685" s="272"/>
      <c r="E685" s="171"/>
      <c r="F685" s="147"/>
      <c r="G685" s="171"/>
      <c r="H685" s="147"/>
      <c r="I685" s="171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</row>
    <row r="686" spans="1:27" ht="18" customHeight="1" x14ac:dyDescent="0.3">
      <c r="A686" s="172"/>
      <c r="B686" s="172"/>
      <c r="C686" s="147"/>
      <c r="D686" s="272"/>
      <c r="E686" s="171"/>
      <c r="F686" s="147"/>
      <c r="G686" s="171"/>
      <c r="H686" s="147"/>
      <c r="I686" s="171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</row>
    <row r="687" spans="1:27" ht="18" customHeight="1" x14ac:dyDescent="0.3">
      <c r="A687" s="172"/>
      <c r="B687" s="172"/>
      <c r="C687" s="147"/>
      <c r="D687" s="272"/>
      <c r="E687" s="171"/>
      <c r="F687" s="147"/>
      <c r="G687" s="171"/>
      <c r="H687" s="147"/>
      <c r="I687" s="171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</row>
    <row r="688" spans="1:27" ht="18" customHeight="1" x14ac:dyDescent="0.3">
      <c r="A688" s="172"/>
      <c r="B688" s="172"/>
      <c r="C688" s="147"/>
      <c r="D688" s="272"/>
      <c r="E688" s="171"/>
      <c r="F688" s="147"/>
      <c r="G688" s="171"/>
      <c r="H688" s="147"/>
      <c r="I688" s="171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</row>
    <row r="689" spans="1:27" ht="18" customHeight="1" x14ac:dyDescent="0.3">
      <c r="A689" s="172"/>
      <c r="B689" s="172"/>
      <c r="C689" s="147"/>
      <c r="D689" s="272"/>
      <c r="E689" s="171"/>
      <c r="F689" s="147"/>
      <c r="G689" s="171"/>
      <c r="H689" s="147"/>
      <c r="I689" s="171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</row>
    <row r="690" spans="1:27" ht="18" customHeight="1" x14ac:dyDescent="0.3">
      <c r="A690" s="172"/>
      <c r="B690" s="172"/>
      <c r="C690" s="147"/>
      <c r="D690" s="272"/>
      <c r="E690" s="171"/>
      <c r="F690" s="147"/>
      <c r="G690" s="171"/>
      <c r="H690" s="147"/>
      <c r="I690" s="171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</row>
    <row r="691" spans="1:27" ht="18" customHeight="1" x14ac:dyDescent="0.3">
      <c r="A691" s="172"/>
      <c r="B691" s="172"/>
      <c r="C691" s="147"/>
      <c r="D691" s="272"/>
      <c r="E691" s="171"/>
      <c r="F691" s="147"/>
      <c r="G691" s="171"/>
      <c r="H691" s="147"/>
      <c r="I691" s="171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</row>
    <row r="692" spans="1:27" ht="18" customHeight="1" x14ac:dyDescent="0.3">
      <c r="A692" s="172"/>
      <c r="B692" s="172"/>
      <c r="C692" s="147"/>
      <c r="D692" s="272"/>
      <c r="E692" s="171"/>
      <c r="F692" s="147"/>
      <c r="G692" s="171"/>
      <c r="H692" s="147"/>
      <c r="I692" s="171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</row>
    <row r="693" spans="1:27" ht="18" customHeight="1" x14ac:dyDescent="0.3">
      <c r="A693" s="172"/>
      <c r="B693" s="172"/>
      <c r="C693" s="147"/>
      <c r="D693" s="272"/>
      <c r="E693" s="171"/>
      <c r="F693" s="147"/>
      <c r="G693" s="171"/>
      <c r="H693" s="147"/>
      <c r="I693" s="171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</row>
    <row r="694" spans="1:27" ht="18" customHeight="1" x14ac:dyDescent="0.3">
      <c r="A694" s="172"/>
      <c r="B694" s="172"/>
      <c r="C694" s="147"/>
      <c r="D694" s="272"/>
      <c r="E694" s="171"/>
      <c r="F694" s="147"/>
      <c r="G694" s="171"/>
      <c r="H694" s="147"/>
      <c r="I694" s="171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</row>
    <row r="695" spans="1:27" ht="18" customHeight="1" x14ac:dyDescent="0.3">
      <c r="A695" s="172"/>
      <c r="B695" s="172"/>
      <c r="C695" s="147"/>
      <c r="D695" s="272"/>
      <c r="E695" s="171"/>
      <c r="F695" s="147"/>
      <c r="G695" s="171"/>
      <c r="H695" s="147"/>
      <c r="I695" s="171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</row>
    <row r="696" spans="1:27" ht="18" customHeight="1" x14ac:dyDescent="0.3">
      <c r="A696" s="172"/>
      <c r="B696" s="172"/>
      <c r="C696" s="147"/>
      <c r="D696" s="272"/>
      <c r="E696" s="171"/>
      <c r="F696" s="147"/>
      <c r="G696" s="171"/>
      <c r="H696" s="147"/>
      <c r="I696" s="171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</row>
    <row r="697" spans="1:27" ht="18" customHeight="1" x14ac:dyDescent="0.3">
      <c r="A697" s="172"/>
      <c r="B697" s="172"/>
      <c r="C697" s="147"/>
      <c r="D697" s="272"/>
      <c r="E697" s="171"/>
      <c r="F697" s="147"/>
      <c r="G697" s="171"/>
      <c r="H697" s="147"/>
      <c r="I697" s="171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</row>
    <row r="698" spans="1:27" ht="18" customHeight="1" x14ac:dyDescent="0.3">
      <c r="A698" s="172"/>
      <c r="B698" s="172"/>
      <c r="C698" s="147"/>
      <c r="D698" s="272"/>
      <c r="E698" s="171"/>
      <c r="F698" s="147"/>
      <c r="G698" s="171"/>
      <c r="H698" s="147"/>
      <c r="I698" s="171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</row>
    <row r="699" spans="1:27" ht="18" customHeight="1" x14ac:dyDescent="0.3">
      <c r="A699" s="172"/>
      <c r="B699" s="172"/>
      <c r="C699" s="147"/>
      <c r="D699" s="272"/>
      <c r="E699" s="171"/>
      <c r="F699" s="147"/>
      <c r="G699" s="171"/>
      <c r="H699" s="147"/>
      <c r="I699" s="171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</row>
    <row r="700" spans="1:27" ht="18" customHeight="1" x14ac:dyDescent="0.3">
      <c r="A700" s="172"/>
      <c r="B700" s="172"/>
      <c r="C700" s="147"/>
      <c r="D700" s="272"/>
      <c r="E700" s="171"/>
      <c r="F700" s="147"/>
      <c r="G700" s="171"/>
      <c r="H700" s="147"/>
      <c r="I700" s="171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</row>
    <row r="701" spans="1:27" ht="18" customHeight="1" x14ac:dyDescent="0.3">
      <c r="A701" s="172"/>
      <c r="B701" s="172"/>
      <c r="C701" s="147"/>
      <c r="D701" s="272"/>
      <c r="E701" s="171"/>
      <c r="F701" s="147"/>
      <c r="G701" s="171"/>
      <c r="H701" s="147"/>
      <c r="I701" s="171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</row>
    <row r="702" spans="1:27" ht="18" customHeight="1" x14ac:dyDescent="0.3">
      <c r="A702" s="172"/>
      <c r="B702" s="172"/>
      <c r="C702" s="147"/>
      <c r="D702" s="272"/>
      <c r="E702" s="171"/>
      <c r="F702" s="147"/>
      <c r="G702" s="171"/>
      <c r="H702" s="147"/>
      <c r="I702" s="171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</row>
    <row r="703" spans="1:27" ht="18" customHeight="1" x14ac:dyDescent="0.3">
      <c r="A703" s="172"/>
      <c r="B703" s="172"/>
      <c r="C703" s="147"/>
      <c r="D703" s="272"/>
      <c r="E703" s="171"/>
      <c r="F703" s="147"/>
      <c r="G703" s="171"/>
      <c r="H703" s="147"/>
      <c r="I703" s="171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</row>
    <row r="704" spans="1:27" ht="18" customHeight="1" x14ac:dyDescent="0.3">
      <c r="A704" s="172"/>
      <c r="B704" s="172"/>
      <c r="C704" s="147"/>
      <c r="D704" s="272"/>
      <c r="E704" s="171"/>
      <c r="F704" s="147"/>
      <c r="G704" s="171"/>
      <c r="H704" s="147"/>
      <c r="I704" s="171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</row>
    <row r="705" spans="1:27" ht="18" customHeight="1" x14ac:dyDescent="0.3">
      <c r="A705" s="172"/>
      <c r="B705" s="172"/>
      <c r="C705" s="147"/>
      <c r="D705" s="272"/>
      <c r="E705" s="171"/>
      <c r="F705" s="147"/>
      <c r="G705" s="171"/>
      <c r="H705" s="147"/>
      <c r="I705" s="171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</row>
    <row r="706" spans="1:27" ht="18" customHeight="1" x14ac:dyDescent="0.3">
      <c r="A706" s="172"/>
      <c r="B706" s="172"/>
      <c r="C706" s="147"/>
      <c r="D706" s="272"/>
      <c r="E706" s="171"/>
      <c r="F706" s="147"/>
      <c r="G706" s="171"/>
      <c r="H706" s="147"/>
      <c r="I706" s="171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</row>
    <row r="707" spans="1:27" ht="18" customHeight="1" x14ac:dyDescent="0.3">
      <c r="A707" s="172"/>
      <c r="B707" s="172"/>
      <c r="C707" s="147"/>
      <c r="D707" s="272"/>
      <c r="E707" s="171"/>
      <c r="F707" s="147"/>
      <c r="G707" s="171"/>
      <c r="H707" s="147"/>
      <c r="I707" s="171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</row>
    <row r="708" spans="1:27" ht="18" customHeight="1" x14ac:dyDescent="0.3">
      <c r="A708" s="172"/>
      <c r="B708" s="172"/>
      <c r="C708" s="147"/>
      <c r="D708" s="272"/>
      <c r="E708" s="171"/>
      <c r="F708" s="147"/>
      <c r="G708" s="171"/>
      <c r="H708" s="147"/>
      <c r="I708" s="171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</row>
    <row r="709" spans="1:27" ht="18" customHeight="1" x14ac:dyDescent="0.3">
      <c r="A709" s="172"/>
      <c r="B709" s="172"/>
      <c r="C709" s="147"/>
      <c r="D709" s="272"/>
      <c r="E709" s="171"/>
      <c r="F709" s="147"/>
      <c r="G709" s="171"/>
      <c r="H709" s="147"/>
      <c r="I709" s="171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</row>
    <row r="710" spans="1:27" ht="18" customHeight="1" x14ac:dyDescent="0.3">
      <c r="A710" s="172"/>
      <c r="B710" s="172"/>
      <c r="C710" s="147"/>
      <c r="D710" s="272"/>
      <c r="E710" s="171"/>
      <c r="F710" s="147"/>
      <c r="G710" s="171"/>
      <c r="H710" s="147"/>
      <c r="I710" s="171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</row>
    <row r="711" spans="1:27" ht="18" customHeight="1" x14ac:dyDescent="0.3">
      <c r="A711" s="172"/>
      <c r="B711" s="172"/>
      <c r="C711" s="147"/>
      <c r="D711" s="272"/>
      <c r="E711" s="171"/>
      <c r="F711" s="147"/>
      <c r="G711" s="171"/>
      <c r="H711" s="147"/>
      <c r="I711" s="171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</row>
    <row r="712" spans="1:27" ht="18" customHeight="1" x14ac:dyDescent="0.3">
      <c r="A712" s="172"/>
      <c r="B712" s="172"/>
      <c r="C712" s="147"/>
      <c r="D712" s="272"/>
      <c r="E712" s="171"/>
      <c r="F712" s="147"/>
      <c r="G712" s="171"/>
      <c r="H712" s="147"/>
      <c r="I712" s="171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</row>
    <row r="713" spans="1:27" ht="18" customHeight="1" x14ac:dyDescent="0.3">
      <c r="A713" s="172"/>
      <c r="B713" s="172"/>
      <c r="C713" s="147"/>
      <c r="D713" s="272"/>
      <c r="E713" s="171"/>
      <c r="F713" s="147"/>
      <c r="G713" s="171"/>
      <c r="H713" s="147"/>
      <c r="I713" s="171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</row>
    <row r="714" spans="1:27" ht="18" customHeight="1" x14ac:dyDescent="0.3">
      <c r="A714" s="172"/>
      <c r="B714" s="172"/>
      <c r="C714" s="147"/>
      <c r="D714" s="272"/>
      <c r="E714" s="171"/>
      <c r="F714" s="147"/>
      <c r="G714" s="171"/>
      <c r="H714" s="147"/>
      <c r="I714" s="171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</row>
    <row r="715" spans="1:27" ht="18" customHeight="1" x14ac:dyDescent="0.3">
      <c r="A715" s="172"/>
      <c r="B715" s="172"/>
      <c r="C715" s="147"/>
      <c r="D715" s="272"/>
      <c r="E715" s="171"/>
      <c r="F715" s="147"/>
      <c r="G715" s="171"/>
      <c r="H715" s="147"/>
      <c r="I715" s="171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</row>
    <row r="716" spans="1:27" ht="18" customHeight="1" x14ac:dyDescent="0.3">
      <c r="A716" s="172"/>
      <c r="B716" s="172"/>
      <c r="C716" s="147"/>
      <c r="D716" s="272"/>
      <c r="E716" s="171"/>
      <c r="F716" s="147"/>
      <c r="G716" s="171"/>
      <c r="H716" s="147"/>
      <c r="I716" s="171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</row>
    <row r="717" spans="1:27" ht="18" customHeight="1" x14ac:dyDescent="0.3">
      <c r="A717" s="172"/>
      <c r="B717" s="172"/>
      <c r="C717" s="147"/>
      <c r="D717" s="272"/>
      <c r="E717" s="171"/>
      <c r="F717" s="147"/>
      <c r="G717" s="171"/>
      <c r="H717" s="147"/>
      <c r="I717" s="171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</row>
    <row r="718" spans="1:27" ht="18" customHeight="1" x14ac:dyDescent="0.3">
      <c r="A718" s="172"/>
      <c r="B718" s="172"/>
      <c r="C718" s="147"/>
      <c r="D718" s="272"/>
      <c r="E718" s="171"/>
      <c r="F718" s="147"/>
      <c r="G718" s="171"/>
      <c r="H718" s="147"/>
      <c r="I718" s="171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</row>
    <row r="719" spans="1:27" ht="18" customHeight="1" x14ac:dyDescent="0.3">
      <c r="A719" s="172"/>
      <c r="B719" s="172"/>
      <c r="C719" s="147"/>
      <c r="D719" s="272"/>
      <c r="E719" s="171"/>
      <c r="F719" s="147"/>
      <c r="G719" s="171"/>
      <c r="H719" s="147"/>
      <c r="I719" s="171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</row>
    <row r="720" spans="1:27" ht="18" customHeight="1" x14ac:dyDescent="0.3">
      <c r="A720" s="172"/>
      <c r="B720" s="172"/>
      <c r="C720" s="147"/>
      <c r="D720" s="272"/>
      <c r="E720" s="171"/>
      <c r="F720" s="147"/>
      <c r="G720" s="171"/>
      <c r="H720" s="147"/>
      <c r="I720" s="171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</row>
    <row r="721" spans="1:27" ht="18" customHeight="1" x14ac:dyDescent="0.3">
      <c r="A721" s="172"/>
      <c r="B721" s="172"/>
      <c r="C721" s="147"/>
      <c r="D721" s="272"/>
      <c r="E721" s="171"/>
      <c r="F721" s="147"/>
      <c r="G721" s="171"/>
      <c r="H721" s="147"/>
      <c r="I721" s="171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</row>
    <row r="722" spans="1:27" ht="18" customHeight="1" x14ac:dyDescent="0.3">
      <c r="A722" s="172"/>
      <c r="B722" s="172"/>
      <c r="C722" s="147"/>
      <c r="D722" s="272"/>
      <c r="E722" s="171"/>
      <c r="F722" s="147"/>
      <c r="G722" s="171"/>
      <c r="H722" s="147"/>
      <c r="I722" s="171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</row>
    <row r="723" spans="1:27" ht="18" customHeight="1" x14ac:dyDescent="0.3">
      <c r="A723" s="172"/>
      <c r="B723" s="172"/>
      <c r="C723" s="147"/>
      <c r="D723" s="272"/>
      <c r="E723" s="171"/>
      <c r="F723" s="147"/>
      <c r="G723" s="171"/>
      <c r="H723" s="147"/>
      <c r="I723" s="171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</row>
    <row r="724" spans="1:27" ht="18" customHeight="1" x14ac:dyDescent="0.3">
      <c r="A724" s="172"/>
      <c r="B724" s="172"/>
      <c r="C724" s="147"/>
      <c r="D724" s="272"/>
      <c r="E724" s="171"/>
      <c r="F724" s="147"/>
      <c r="G724" s="171"/>
      <c r="H724" s="147"/>
      <c r="I724" s="171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</row>
    <row r="725" spans="1:27" ht="18" customHeight="1" x14ac:dyDescent="0.3">
      <c r="A725" s="172"/>
      <c r="B725" s="172"/>
      <c r="C725" s="147"/>
      <c r="D725" s="272"/>
      <c r="E725" s="171"/>
      <c r="F725" s="147"/>
      <c r="G725" s="171"/>
      <c r="H725" s="147"/>
      <c r="I725" s="171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</row>
    <row r="726" spans="1:27" ht="18" customHeight="1" x14ac:dyDescent="0.3">
      <c r="A726" s="172"/>
      <c r="B726" s="172"/>
      <c r="C726" s="147"/>
      <c r="D726" s="272"/>
      <c r="E726" s="171"/>
      <c r="F726" s="147"/>
      <c r="G726" s="171"/>
      <c r="H726" s="147"/>
      <c r="I726" s="171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</row>
    <row r="727" spans="1:27" ht="18" customHeight="1" x14ac:dyDescent="0.3">
      <c r="A727" s="172"/>
      <c r="B727" s="172"/>
      <c r="C727" s="147"/>
      <c r="D727" s="272"/>
      <c r="E727" s="171"/>
      <c r="F727" s="147"/>
      <c r="G727" s="171"/>
      <c r="H727" s="147"/>
      <c r="I727" s="171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</row>
    <row r="728" spans="1:27" ht="18" customHeight="1" x14ac:dyDescent="0.3">
      <c r="A728" s="172"/>
      <c r="B728" s="172"/>
      <c r="C728" s="147"/>
      <c r="D728" s="272"/>
      <c r="E728" s="171"/>
      <c r="F728" s="147"/>
      <c r="G728" s="171"/>
      <c r="H728" s="147"/>
      <c r="I728" s="171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</row>
    <row r="729" spans="1:27" ht="18" customHeight="1" x14ac:dyDescent="0.3">
      <c r="A729" s="172"/>
      <c r="B729" s="172"/>
      <c r="C729" s="147"/>
      <c r="D729" s="272"/>
      <c r="E729" s="171"/>
      <c r="F729" s="147"/>
      <c r="G729" s="171"/>
      <c r="H729" s="147"/>
      <c r="I729" s="171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</row>
    <row r="730" spans="1:27" ht="18" customHeight="1" x14ac:dyDescent="0.3">
      <c r="A730" s="172"/>
      <c r="B730" s="172"/>
      <c r="C730" s="147"/>
      <c r="D730" s="272"/>
      <c r="E730" s="171"/>
      <c r="F730" s="147"/>
      <c r="G730" s="171"/>
      <c r="H730" s="147"/>
      <c r="I730" s="171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</row>
    <row r="731" spans="1:27" ht="18" customHeight="1" x14ac:dyDescent="0.3">
      <c r="A731" s="172"/>
      <c r="B731" s="172"/>
      <c r="C731" s="147"/>
      <c r="D731" s="272"/>
      <c r="E731" s="171"/>
      <c r="F731" s="147"/>
      <c r="G731" s="171"/>
      <c r="H731" s="147"/>
      <c r="I731" s="171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</row>
    <row r="732" spans="1:27" ht="18" customHeight="1" x14ac:dyDescent="0.3">
      <c r="A732" s="172"/>
      <c r="B732" s="172"/>
      <c r="C732" s="147"/>
      <c r="D732" s="272"/>
      <c r="E732" s="171"/>
      <c r="F732" s="147"/>
      <c r="G732" s="171"/>
      <c r="H732" s="147"/>
      <c r="I732" s="171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</row>
    <row r="733" spans="1:27" ht="18" customHeight="1" x14ac:dyDescent="0.3">
      <c r="A733" s="172"/>
      <c r="B733" s="172"/>
      <c r="C733" s="147"/>
      <c r="D733" s="272"/>
      <c r="E733" s="171"/>
      <c r="F733" s="147"/>
      <c r="G733" s="171"/>
      <c r="H733" s="147"/>
      <c r="I733" s="171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</row>
    <row r="734" spans="1:27" ht="18" customHeight="1" x14ac:dyDescent="0.3">
      <c r="A734" s="172"/>
      <c r="B734" s="172"/>
      <c r="C734" s="147"/>
      <c r="D734" s="272"/>
      <c r="E734" s="171"/>
      <c r="F734" s="147"/>
      <c r="G734" s="171"/>
      <c r="H734" s="147"/>
      <c r="I734" s="171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</row>
    <row r="735" spans="1:27" ht="18" customHeight="1" x14ac:dyDescent="0.3">
      <c r="A735" s="172"/>
      <c r="B735" s="172"/>
      <c r="C735" s="147"/>
      <c r="D735" s="272"/>
      <c r="E735" s="171"/>
      <c r="F735" s="147"/>
      <c r="G735" s="171"/>
      <c r="H735" s="147"/>
      <c r="I735" s="171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</row>
    <row r="736" spans="1:27" ht="18" customHeight="1" x14ac:dyDescent="0.3">
      <c r="A736" s="172"/>
      <c r="B736" s="172"/>
      <c r="C736" s="147"/>
      <c r="D736" s="272"/>
      <c r="E736" s="171"/>
      <c r="F736" s="147"/>
      <c r="G736" s="171"/>
      <c r="H736" s="147"/>
      <c r="I736" s="171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</row>
    <row r="737" spans="1:27" ht="18" customHeight="1" x14ac:dyDescent="0.3">
      <c r="A737" s="172"/>
      <c r="B737" s="172"/>
      <c r="C737" s="147"/>
      <c r="D737" s="272"/>
      <c r="E737" s="171"/>
      <c r="F737" s="147"/>
      <c r="G737" s="171"/>
      <c r="H737" s="147"/>
      <c r="I737" s="171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</row>
    <row r="738" spans="1:27" ht="18" customHeight="1" x14ac:dyDescent="0.3">
      <c r="A738" s="172"/>
      <c r="B738" s="172"/>
      <c r="C738" s="147"/>
      <c r="D738" s="272"/>
      <c r="E738" s="171"/>
      <c r="F738" s="147"/>
      <c r="G738" s="171"/>
      <c r="H738" s="147"/>
      <c r="I738" s="171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</row>
    <row r="739" spans="1:27" ht="18" customHeight="1" x14ac:dyDescent="0.3">
      <c r="A739" s="172"/>
      <c r="B739" s="172"/>
      <c r="C739" s="147"/>
      <c r="D739" s="272"/>
      <c r="E739" s="171"/>
      <c r="F739" s="147"/>
      <c r="G739" s="171"/>
      <c r="H739" s="147"/>
      <c r="I739" s="171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</row>
    <row r="740" spans="1:27" ht="18" customHeight="1" x14ac:dyDescent="0.3">
      <c r="A740" s="172"/>
      <c r="B740" s="172"/>
      <c r="C740" s="147"/>
      <c r="D740" s="272"/>
      <c r="E740" s="171"/>
      <c r="F740" s="147"/>
      <c r="G740" s="171"/>
      <c r="H740" s="147"/>
      <c r="I740" s="171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</row>
    <row r="741" spans="1:27" ht="18" customHeight="1" x14ac:dyDescent="0.3">
      <c r="A741" s="172"/>
      <c r="B741" s="172"/>
      <c r="C741" s="147"/>
      <c r="D741" s="272"/>
      <c r="E741" s="171"/>
      <c r="F741" s="147"/>
      <c r="G741" s="171"/>
      <c r="H741" s="147"/>
      <c r="I741" s="171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</row>
    <row r="742" spans="1:27" ht="18" customHeight="1" x14ac:dyDescent="0.3">
      <c r="A742" s="172"/>
      <c r="B742" s="172"/>
      <c r="C742" s="147"/>
      <c r="D742" s="272"/>
      <c r="E742" s="171"/>
      <c r="F742" s="147"/>
      <c r="G742" s="171"/>
      <c r="H742" s="147"/>
      <c r="I742" s="171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</row>
    <row r="743" spans="1:27" ht="18" customHeight="1" x14ac:dyDescent="0.3">
      <c r="A743" s="172"/>
      <c r="B743" s="172"/>
      <c r="C743" s="147"/>
      <c r="D743" s="272"/>
      <c r="E743" s="171"/>
      <c r="F743" s="147"/>
      <c r="G743" s="171"/>
      <c r="H743" s="147"/>
      <c r="I743" s="171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</row>
    <row r="744" spans="1:27" ht="18" customHeight="1" x14ac:dyDescent="0.3">
      <c r="A744" s="172"/>
      <c r="B744" s="172"/>
      <c r="C744" s="147"/>
      <c r="D744" s="272"/>
      <c r="E744" s="171"/>
      <c r="F744" s="147"/>
      <c r="G744" s="171"/>
      <c r="H744" s="147"/>
      <c r="I744" s="171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</row>
    <row r="745" spans="1:27" ht="18" customHeight="1" x14ac:dyDescent="0.3">
      <c r="A745" s="172"/>
      <c r="B745" s="172"/>
      <c r="C745" s="147"/>
      <c r="D745" s="272"/>
      <c r="E745" s="171"/>
      <c r="F745" s="147"/>
      <c r="G745" s="171"/>
      <c r="H745" s="147"/>
      <c r="I745" s="171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</row>
    <row r="746" spans="1:27" ht="18" customHeight="1" x14ac:dyDescent="0.3">
      <c r="A746" s="172"/>
      <c r="B746" s="172"/>
      <c r="C746" s="147"/>
      <c r="D746" s="272"/>
      <c r="E746" s="171"/>
      <c r="F746" s="147"/>
      <c r="G746" s="171"/>
      <c r="H746" s="147"/>
      <c r="I746" s="171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</row>
    <row r="747" spans="1:27" ht="18" customHeight="1" x14ac:dyDescent="0.3">
      <c r="A747" s="172"/>
      <c r="B747" s="172"/>
      <c r="C747" s="147"/>
      <c r="D747" s="272"/>
      <c r="E747" s="171"/>
      <c r="F747" s="147"/>
      <c r="G747" s="171"/>
      <c r="H747" s="147"/>
      <c r="I747" s="171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</row>
    <row r="748" spans="1:27" ht="18" customHeight="1" x14ac:dyDescent="0.3">
      <c r="A748" s="172"/>
      <c r="B748" s="172"/>
      <c r="C748" s="147"/>
      <c r="D748" s="272"/>
      <c r="E748" s="171"/>
      <c r="F748" s="147"/>
      <c r="G748" s="171"/>
      <c r="H748" s="147"/>
      <c r="I748" s="171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</row>
    <row r="749" spans="1:27" ht="18" customHeight="1" x14ac:dyDescent="0.3">
      <c r="A749" s="172"/>
      <c r="B749" s="172"/>
      <c r="C749" s="147"/>
      <c r="D749" s="272"/>
      <c r="E749" s="171"/>
      <c r="F749" s="147"/>
      <c r="G749" s="171"/>
      <c r="H749" s="147"/>
      <c r="I749" s="171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</row>
    <row r="750" spans="1:27" ht="18" customHeight="1" x14ac:dyDescent="0.3">
      <c r="A750" s="172"/>
      <c r="B750" s="172"/>
      <c r="C750" s="147"/>
      <c r="D750" s="272"/>
      <c r="E750" s="171"/>
      <c r="F750" s="147"/>
      <c r="G750" s="171"/>
      <c r="H750" s="147"/>
      <c r="I750" s="171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</row>
    <row r="751" spans="1:27" ht="18" customHeight="1" x14ac:dyDescent="0.3">
      <c r="A751" s="172"/>
      <c r="B751" s="172"/>
      <c r="C751" s="147"/>
      <c r="D751" s="272"/>
      <c r="E751" s="171"/>
      <c r="F751" s="147"/>
      <c r="G751" s="171"/>
      <c r="H751" s="147"/>
      <c r="I751" s="171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</row>
    <row r="752" spans="1:27" ht="18" customHeight="1" x14ac:dyDescent="0.3">
      <c r="A752" s="172"/>
      <c r="B752" s="172"/>
      <c r="C752" s="147"/>
      <c r="D752" s="272"/>
      <c r="E752" s="171"/>
      <c r="F752" s="147"/>
      <c r="G752" s="171"/>
      <c r="H752" s="147"/>
      <c r="I752" s="171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</row>
    <row r="753" spans="1:27" ht="18" customHeight="1" x14ac:dyDescent="0.3">
      <c r="A753" s="172"/>
      <c r="B753" s="172"/>
      <c r="C753" s="147"/>
      <c r="D753" s="272"/>
      <c r="E753" s="171"/>
      <c r="F753" s="147"/>
      <c r="G753" s="171"/>
      <c r="H753" s="147"/>
      <c r="I753" s="171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</row>
    <row r="754" spans="1:27" ht="18" customHeight="1" x14ac:dyDescent="0.3">
      <c r="A754" s="172"/>
      <c r="B754" s="172"/>
      <c r="C754" s="147"/>
      <c r="D754" s="272"/>
      <c r="E754" s="171"/>
      <c r="F754" s="147"/>
      <c r="G754" s="171"/>
      <c r="H754" s="147"/>
      <c r="I754" s="171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</row>
    <row r="755" spans="1:27" ht="18" customHeight="1" x14ac:dyDescent="0.3">
      <c r="A755" s="172"/>
      <c r="B755" s="172"/>
      <c r="C755" s="147"/>
      <c r="D755" s="272"/>
      <c r="E755" s="171"/>
      <c r="F755" s="147"/>
      <c r="G755" s="171"/>
      <c r="H755" s="147"/>
      <c r="I755" s="171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</row>
    <row r="756" spans="1:27" ht="18" customHeight="1" x14ac:dyDescent="0.3">
      <c r="A756" s="172"/>
      <c r="B756" s="172"/>
      <c r="C756" s="147"/>
      <c r="D756" s="272"/>
      <c r="E756" s="171"/>
      <c r="F756" s="147"/>
      <c r="G756" s="171"/>
      <c r="H756" s="147"/>
      <c r="I756" s="171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</row>
    <row r="757" spans="1:27" ht="18" customHeight="1" x14ac:dyDescent="0.3">
      <c r="A757" s="172"/>
      <c r="B757" s="172"/>
      <c r="C757" s="147"/>
      <c r="D757" s="272"/>
      <c r="E757" s="171"/>
      <c r="F757" s="147"/>
      <c r="G757" s="171"/>
      <c r="H757" s="147"/>
      <c r="I757" s="171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</row>
    <row r="758" spans="1:27" ht="18" customHeight="1" x14ac:dyDescent="0.3">
      <c r="A758" s="172"/>
      <c r="B758" s="172"/>
      <c r="C758" s="147"/>
      <c r="D758" s="272"/>
      <c r="E758" s="171"/>
      <c r="F758" s="147"/>
      <c r="G758" s="171"/>
      <c r="H758" s="147"/>
      <c r="I758" s="171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</row>
    <row r="759" spans="1:27" ht="18" customHeight="1" x14ac:dyDescent="0.3">
      <c r="A759" s="172"/>
      <c r="B759" s="172"/>
      <c r="C759" s="147"/>
      <c r="D759" s="272"/>
      <c r="E759" s="171"/>
      <c r="F759" s="147"/>
      <c r="G759" s="171"/>
      <c r="H759" s="147"/>
      <c r="I759" s="171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</row>
    <row r="760" spans="1:27" ht="18" customHeight="1" x14ac:dyDescent="0.3">
      <c r="A760" s="172"/>
      <c r="B760" s="172"/>
      <c r="C760" s="147"/>
      <c r="D760" s="272"/>
      <c r="E760" s="171"/>
      <c r="F760" s="147"/>
      <c r="G760" s="171"/>
      <c r="H760" s="147"/>
      <c r="I760" s="171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</row>
    <row r="761" spans="1:27" ht="18" customHeight="1" x14ac:dyDescent="0.3">
      <c r="A761" s="172"/>
      <c r="B761" s="172"/>
      <c r="C761" s="147"/>
      <c r="D761" s="272"/>
      <c r="E761" s="171"/>
      <c r="F761" s="147"/>
      <c r="G761" s="171"/>
      <c r="H761" s="147"/>
      <c r="I761" s="171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</row>
    <row r="762" spans="1:27" ht="18" customHeight="1" x14ac:dyDescent="0.3">
      <c r="A762" s="172"/>
      <c r="B762" s="172"/>
      <c r="C762" s="147"/>
      <c r="D762" s="272"/>
      <c r="E762" s="171"/>
      <c r="F762" s="147"/>
      <c r="G762" s="171"/>
      <c r="H762" s="147"/>
      <c r="I762" s="171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</row>
    <row r="763" spans="1:27" ht="18" customHeight="1" x14ac:dyDescent="0.3">
      <c r="A763" s="172"/>
      <c r="B763" s="172"/>
      <c r="C763" s="147"/>
      <c r="D763" s="272"/>
      <c r="E763" s="171"/>
      <c r="F763" s="147"/>
      <c r="G763" s="171"/>
      <c r="H763" s="147"/>
      <c r="I763" s="171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</row>
    <row r="764" spans="1:27" ht="18" customHeight="1" x14ac:dyDescent="0.3">
      <c r="A764" s="172"/>
      <c r="B764" s="172"/>
      <c r="C764" s="147"/>
      <c r="D764" s="272"/>
      <c r="E764" s="171"/>
      <c r="F764" s="147"/>
      <c r="G764" s="171"/>
      <c r="H764" s="147"/>
      <c r="I764" s="171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</row>
    <row r="765" spans="1:27" ht="18" customHeight="1" x14ac:dyDescent="0.3">
      <c r="A765" s="172"/>
      <c r="B765" s="172"/>
      <c r="C765" s="147"/>
      <c r="D765" s="272"/>
      <c r="E765" s="171"/>
      <c r="F765" s="147"/>
      <c r="G765" s="171"/>
      <c r="H765" s="147"/>
      <c r="I765" s="171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</row>
    <row r="766" spans="1:27" ht="18" customHeight="1" x14ac:dyDescent="0.3">
      <c r="A766" s="172"/>
      <c r="B766" s="172"/>
      <c r="C766" s="147"/>
      <c r="D766" s="272"/>
      <c r="E766" s="171"/>
      <c r="F766" s="147"/>
      <c r="G766" s="171"/>
      <c r="H766" s="147"/>
      <c r="I766" s="171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</row>
    <row r="767" spans="1:27" ht="18" customHeight="1" x14ac:dyDescent="0.3">
      <c r="A767" s="172"/>
      <c r="B767" s="172"/>
      <c r="C767" s="147"/>
      <c r="D767" s="272"/>
      <c r="E767" s="171"/>
      <c r="F767" s="147"/>
      <c r="G767" s="171"/>
      <c r="H767" s="147"/>
      <c r="I767" s="171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</row>
    <row r="768" spans="1:27" ht="18" customHeight="1" x14ac:dyDescent="0.3">
      <c r="A768" s="172"/>
      <c r="B768" s="172"/>
      <c r="C768" s="147"/>
      <c r="D768" s="272"/>
      <c r="E768" s="171"/>
      <c r="F768" s="147"/>
      <c r="G768" s="171"/>
      <c r="H768" s="147"/>
      <c r="I768" s="171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</row>
    <row r="769" spans="1:27" ht="18" customHeight="1" x14ac:dyDescent="0.3">
      <c r="A769" s="172"/>
      <c r="B769" s="172"/>
      <c r="C769" s="147"/>
      <c r="D769" s="272"/>
      <c r="E769" s="171"/>
      <c r="F769" s="147"/>
      <c r="G769" s="171"/>
      <c r="H769" s="147"/>
      <c r="I769" s="171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</row>
    <row r="770" spans="1:27" ht="18" customHeight="1" x14ac:dyDescent="0.3">
      <c r="A770" s="172"/>
      <c r="B770" s="172"/>
      <c r="C770" s="147"/>
      <c r="D770" s="272"/>
      <c r="E770" s="171"/>
      <c r="F770" s="147"/>
      <c r="G770" s="171"/>
      <c r="H770" s="147"/>
      <c r="I770" s="171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</row>
    <row r="771" spans="1:27" ht="18" customHeight="1" x14ac:dyDescent="0.3">
      <c r="A771" s="172"/>
      <c r="B771" s="172"/>
      <c r="C771" s="147"/>
      <c r="D771" s="272"/>
      <c r="E771" s="171"/>
      <c r="F771" s="147"/>
      <c r="G771" s="171"/>
      <c r="H771" s="147"/>
      <c r="I771" s="171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</row>
    <row r="772" spans="1:27" ht="18" customHeight="1" x14ac:dyDescent="0.3">
      <c r="A772" s="172"/>
      <c r="B772" s="172"/>
      <c r="C772" s="147"/>
      <c r="D772" s="272"/>
      <c r="E772" s="171"/>
      <c r="F772" s="147"/>
      <c r="G772" s="171"/>
      <c r="H772" s="147"/>
      <c r="I772" s="171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</row>
    <row r="773" spans="1:27" ht="18" customHeight="1" x14ac:dyDescent="0.3">
      <c r="A773" s="172"/>
      <c r="B773" s="172"/>
      <c r="C773" s="147"/>
      <c r="D773" s="272"/>
      <c r="E773" s="171"/>
      <c r="F773" s="147"/>
      <c r="G773" s="171"/>
      <c r="H773" s="147"/>
      <c r="I773" s="171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</row>
    <row r="774" spans="1:27" ht="18" customHeight="1" x14ac:dyDescent="0.3">
      <c r="A774" s="172"/>
      <c r="B774" s="172"/>
      <c r="C774" s="147"/>
      <c r="D774" s="272"/>
      <c r="E774" s="171"/>
      <c r="F774" s="147"/>
      <c r="G774" s="171"/>
      <c r="H774" s="147"/>
      <c r="I774" s="171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</row>
    <row r="775" spans="1:27" ht="18" customHeight="1" x14ac:dyDescent="0.3">
      <c r="A775" s="172"/>
      <c r="B775" s="172"/>
      <c r="C775" s="147"/>
      <c r="D775" s="272"/>
      <c r="E775" s="171"/>
      <c r="F775" s="147"/>
      <c r="G775" s="171"/>
      <c r="H775" s="147"/>
      <c r="I775" s="171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</row>
    <row r="776" spans="1:27" ht="18" customHeight="1" x14ac:dyDescent="0.3">
      <c r="A776" s="172"/>
      <c r="B776" s="172"/>
      <c r="C776" s="147"/>
      <c r="D776" s="272"/>
      <c r="E776" s="171"/>
      <c r="F776" s="147"/>
      <c r="G776" s="171"/>
      <c r="H776" s="147"/>
      <c r="I776" s="171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</row>
    <row r="777" spans="1:27" ht="18" customHeight="1" x14ac:dyDescent="0.3">
      <c r="A777" s="172"/>
      <c r="B777" s="172"/>
      <c r="C777" s="147"/>
      <c r="D777" s="272"/>
      <c r="E777" s="171"/>
      <c r="F777" s="147"/>
      <c r="G777" s="171"/>
      <c r="H777" s="147"/>
      <c r="I777" s="171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</row>
    <row r="778" spans="1:27" ht="18" customHeight="1" x14ac:dyDescent="0.3">
      <c r="A778" s="172"/>
      <c r="B778" s="172"/>
      <c r="C778" s="147"/>
      <c r="D778" s="272"/>
      <c r="E778" s="171"/>
      <c r="F778" s="147"/>
      <c r="G778" s="171"/>
      <c r="H778" s="147"/>
      <c r="I778" s="171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</row>
    <row r="779" spans="1:27" ht="18" customHeight="1" x14ac:dyDescent="0.3">
      <c r="A779" s="172"/>
      <c r="B779" s="172"/>
      <c r="C779" s="147"/>
      <c r="D779" s="272"/>
      <c r="E779" s="171"/>
      <c r="F779" s="147"/>
      <c r="G779" s="171"/>
      <c r="H779" s="147"/>
      <c r="I779" s="171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</row>
    <row r="780" spans="1:27" ht="18" customHeight="1" x14ac:dyDescent="0.3">
      <c r="A780" s="172"/>
      <c r="B780" s="172"/>
      <c r="C780" s="147"/>
      <c r="D780" s="272"/>
      <c r="E780" s="171"/>
      <c r="F780" s="147"/>
      <c r="G780" s="171"/>
      <c r="H780" s="147"/>
      <c r="I780" s="171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</row>
    <row r="781" spans="1:27" ht="18" customHeight="1" x14ac:dyDescent="0.3">
      <c r="A781" s="172"/>
      <c r="B781" s="172"/>
      <c r="C781" s="147"/>
      <c r="D781" s="272"/>
      <c r="E781" s="171"/>
      <c r="F781" s="147"/>
      <c r="G781" s="171"/>
      <c r="H781" s="147"/>
      <c r="I781" s="171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</row>
    <row r="782" spans="1:27" ht="18" customHeight="1" x14ac:dyDescent="0.3">
      <c r="A782" s="172"/>
      <c r="B782" s="172"/>
      <c r="C782" s="147"/>
      <c r="D782" s="272"/>
      <c r="E782" s="171"/>
      <c r="F782" s="147"/>
      <c r="G782" s="171"/>
      <c r="H782" s="147"/>
      <c r="I782" s="171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</row>
    <row r="783" spans="1:27" ht="18" customHeight="1" x14ac:dyDescent="0.3">
      <c r="A783" s="172"/>
      <c r="B783" s="172"/>
      <c r="C783" s="147"/>
      <c r="D783" s="272"/>
      <c r="E783" s="171"/>
      <c r="F783" s="147"/>
      <c r="G783" s="171"/>
      <c r="H783" s="147"/>
      <c r="I783" s="171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</row>
    <row r="784" spans="1:27" ht="18" customHeight="1" x14ac:dyDescent="0.3">
      <c r="A784" s="172"/>
      <c r="B784" s="172"/>
      <c r="C784" s="147"/>
      <c r="D784" s="272"/>
      <c r="E784" s="171"/>
      <c r="F784" s="147"/>
      <c r="G784" s="171"/>
      <c r="H784" s="147"/>
      <c r="I784" s="171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</row>
    <row r="785" spans="1:27" ht="18" customHeight="1" x14ac:dyDescent="0.3">
      <c r="A785" s="172"/>
      <c r="B785" s="172"/>
      <c r="C785" s="147"/>
      <c r="D785" s="272"/>
      <c r="E785" s="171"/>
      <c r="F785" s="147"/>
      <c r="G785" s="171"/>
      <c r="H785" s="147"/>
      <c r="I785" s="171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</row>
    <row r="786" spans="1:27" ht="18" customHeight="1" x14ac:dyDescent="0.3">
      <c r="A786" s="172"/>
      <c r="B786" s="172"/>
      <c r="C786" s="147"/>
      <c r="D786" s="272"/>
      <c r="E786" s="171"/>
      <c r="F786" s="147"/>
      <c r="G786" s="171"/>
      <c r="H786" s="147"/>
      <c r="I786" s="171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</row>
    <row r="787" spans="1:27" ht="18" customHeight="1" x14ac:dyDescent="0.3">
      <c r="A787" s="172"/>
      <c r="B787" s="172"/>
      <c r="C787" s="147"/>
      <c r="D787" s="272"/>
      <c r="E787" s="171"/>
      <c r="F787" s="147"/>
      <c r="G787" s="171"/>
      <c r="H787" s="147"/>
      <c r="I787" s="171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</row>
    <row r="788" spans="1:27" ht="18" customHeight="1" x14ac:dyDescent="0.3">
      <c r="A788" s="172"/>
      <c r="B788" s="172"/>
      <c r="C788" s="147"/>
      <c r="D788" s="272"/>
      <c r="E788" s="171"/>
      <c r="F788" s="147"/>
      <c r="G788" s="171"/>
      <c r="H788" s="147"/>
      <c r="I788" s="171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</row>
    <row r="789" spans="1:27" ht="18" customHeight="1" x14ac:dyDescent="0.3">
      <c r="A789" s="172"/>
      <c r="B789" s="172"/>
      <c r="C789" s="147"/>
      <c r="D789" s="272"/>
      <c r="E789" s="171"/>
      <c r="F789" s="147"/>
      <c r="G789" s="171"/>
      <c r="H789" s="147"/>
      <c r="I789" s="171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</row>
    <row r="790" spans="1:27" ht="18" customHeight="1" x14ac:dyDescent="0.3">
      <c r="A790" s="172"/>
      <c r="B790" s="172"/>
      <c r="C790" s="147"/>
      <c r="D790" s="272"/>
      <c r="E790" s="171"/>
      <c r="F790" s="147"/>
      <c r="G790" s="171"/>
      <c r="H790" s="147"/>
      <c r="I790" s="171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</row>
    <row r="791" spans="1:27" ht="18" customHeight="1" x14ac:dyDescent="0.3">
      <c r="A791" s="172"/>
      <c r="B791" s="172"/>
      <c r="C791" s="147"/>
      <c r="D791" s="272"/>
      <c r="E791" s="171"/>
      <c r="F791" s="147"/>
      <c r="G791" s="171"/>
      <c r="H791" s="147"/>
      <c r="I791" s="171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</row>
    <row r="792" spans="1:27" ht="18" customHeight="1" x14ac:dyDescent="0.3">
      <c r="A792" s="172"/>
      <c r="B792" s="172"/>
      <c r="C792" s="147"/>
      <c r="D792" s="272"/>
      <c r="E792" s="171"/>
      <c r="F792" s="147"/>
      <c r="G792" s="171"/>
      <c r="H792" s="147"/>
      <c r="I792" s="171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</row>
    <row r="793" spans="1:27" ht="18" customHeight="1" x14ac:dyDescent="0.3">
      <c r="A793" s="172"/>
      <c r="B793" s="172"/>
      <c r="C793" s="147"/>
      <c r="D793" s="272"/>
      <c r="E793" s="171"/>
      <c r="F793" s="147"/>
      <c r="G793" s="171"/>
      <c r="H793" s="147"/>
      <c r="I793" s="171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</row>
    <row r="794" spans="1:27" ht="18" customHeight="1" x14ac:dyDescent="0.3">
      <c r="A794" s="172"/>
      <c r="B794" s="172"/>
      <c r="C794" s="147"/>
      <c r="D794" s="272"/>
      <c r="E794" s="171"/>
      <c r="F794" s="147"/>
      <c r="G794" s="171"/>
      <c r="H794" s="147"/>
      <c r="I794" s="171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</row>
    <row r="795" spans="1:27" ht="18" customHeight="1" x14ac:dyDescent="0.3">
      <c r="A795" s="172"/>
      <c r="B795" s="172"/>
      <c r="C795" s="147"/>
      <c r="D795" s="272"/>
      <c r="E795" s="171"/>
      <c r="F795" s="147"/>
      <c r="G795" s="171"/>
      <c r="H795" s="147"/>
      <c r="I795" s="171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</row>
    <row r="796" spans="1:27" ht="18" customHeight="1" x14ac:dyDescent="0.3">
      <c r="A796" s="172"/>
      <c r="B796" s="172"/>
      <c r="C796" s="147"/>
      <c r="D796" s="272"/>
      <c r="E796" s="171"/>
      <c r="F796" s="147"/>
      <c r="G796" s="171"/>
      <c r="H796" s="147"/>
      <c r="I796" s="171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</row>
    <row r="797" spans="1:27" ht="18" customHeight="1" x14ac:dyDescent="0.3">
      <c r="A797" s="172"/>
      <c r="B797" s="172"/>
      <c r="C797" s="147"/>
      <c r="D797" s="272"/>
      <c r="E797" s="171"/>
      <c r="F797" s="147"/>
      <c r="G797" s="171"/>
      <c r="H797" s="147"/>
      <c r="I797" s="171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</row>
    <row r="798" spans="1:27" ht="18" customHeight="1" x14ac:dyDescent="0.3">
      <c r="A798" s="172"/>
      <c r="B798" s="172"/>
      <c r="C798" s="147"/>
      <c r="D798" s="272"/>
      <c r="E798" s="171"/>
      <c r="F798" s="147"/>
      <c r="G798" s="171"/>
      <c r="H798" s="147"/>
      <c r="I798" s="171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</row>
    <row r="799" spans="1:27" ht="18" customHeight="1" x14ac:dyDescent="0.3">
      <c r="A799" s="172"/>
      <c r="B799" s="172"/>
      <c r="C799" s="147"/>
      <c r="D799" s="272"/>
      <c r="E799" s="171"/>
      <c r="F799" s="147"/>
      <c r="G799" s="171"/>
      <c r="H799" s="147"/>
      <c r="I799" s="171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</row>
    <row r="800" spans="1:27" ht="18" customHeight="1" x14ac:dyDescent="0.3">
      <c r="A800" s="172"/>
      <c r="B800" s="172"/>
      <c r="C800" s="147"/>
      <c r="D800" s="272"/>
      <c r="E800" s="171"/>
      <c r="F800" s="147"/>
      <c r="G800" s="171"/>
      <c r="H800" s="147"/>
      <c r="I800" s="171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</row>
    <row r="801" spans="1:27" ht="18" customHeight="1" x14ac:dyDescent="0.3">
      <c r="A801" s="172"/>
      <c r="B801" s="172"/>
      <c r="C801" s="147"/>
      <c r="D801" s="272"/>
      <c r="E801" s="171"/>
      <c r="F801" s="147"/>
      <c r="G801" s="171"/>
      <c r="H801" s="147"/>
      <c r="I801" s="171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</row>
    <row r="802" spans="1:27" ht="18" customHeight="1" x14ac:dyDescent="0.3">
      <c r="A802" s="172"/>
      <c r="B802" s="172"/>
      <c r="C802" s="147"/>
      <c r="D802" s="272"/>
      <c r="E802" s="171"/>
      <c r="F802" s="147"/>
      <c r="G802" s="171"/>
      <c r="H802" s="147"/>
      <c r="I802" s="171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</row>
    <row r="803" spans="1:27" ht="18" customHeight="1" x14ac:dyDescent="0.3">
      <c r="A803" s="172"/>
      <c r="B803" s="172"/>
      <c r="C803" s="147"/>
      <c r="D803" s="272"/>
      <c r="E803" s="171"/>
      <c r="F803" s="147"/>
      <c r="G803" s="171"/>
      <c r="H803" s="147"/>
      <c r="I803" s="171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</row>
    <row r="804" spans="1:27" ht="18" customHeight="1" x14ac:dyDescent="0.3">
      <c r="A804" s="172"/>
      <c r="B804" s="172"/>
      <c r="C804" s="147"/>
      <c r="D804" s="272"/>
      <c r="E804" s="171"/>
      <c r="F804" s="147"/>
      <c r="G804" s="171"/>
      <c r="H804" s="147"/>
      <c r="I804" s="171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</row>
    <row r="805" spans="1:27" ht="18" customHeight="1" x14ac:dyDescent="0.3">
      <c r="A805" s="172"/>
      <c r="B805" s="172"/>
      <c r="C805" s="147"/>
      <c r="D805" s="272"/>
      <c r="E805" s="171"/>
      <c r="F805" s="147"/>
      <c r="G805" s="171"/>
      <c r="H805" s="147"/>
      <c r="I805" s="171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</row>
    <row r="806" spans="1:27" ht="18" customHeight="1" x14ac:dyDescent="0.3">
      <c r="A806" s="172"/>
      <c r="B806" s="172"/>
      <c r="C806" s="147"/>
      <c r="D806" s="272"/>
      <c r="E806" s="171"/>
      <c r="F806" s="147"/>
      <c r="G806" s="171"/>
      <c r="H806" s="147"/>
      <c r="I806" s="171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</row>
    <row r="807" spans="1:27" ht="18" customHeight="1" x14ac:dyDescent="0.3">
      <c r="A807" s="172"/>
      <c r="B807" s="172"/>
      <c r="C807" s="147"/>
      <c r="D807" s="272"/>
      <c r="E807" s="171"/>
      <c r="F807" s="147"/>
      <c r="G807" s="171"/>
      <c r="H807" s="147"/>
      <c r="I807" s="171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</row>
    <row r="808" spans="1:27" ht="18" customHeight="1" x14ac:dyDescent="0.3">
      <c r="A808" s="172"/>
      <c r="B808" s="172"/>
      <c r="C808" s="147"/>
      <c r="D808" s="272"/>
      <c r="E808" s="171"/>
      <c r="F808" s="147"/>
      <c r="G808" s="171"/>
      <c r="H808" s="147"/>
      <c r="I808" s="171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</row>
    <row r="809" spans="1:27" ht="18" customHeight="1" x14ac:dyDescent="0.3">
      <c r="A809" s="172"/>
      <c r="B809" s="172"/>
      <c r="C809" s="147"/>
      <c r="D809" s="272"/>
      <c r="E809" s="171"/>
      <c r="F809" s="147"/>
      <c r="G809" s="171"/>
      <c r="H809" s="147"/>
      <c r="I809" s="171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</row>
    <row r="810" spans="1:27" ht="18" customHeight="1" x14ac:dyDescent="0.3">
      <c r="A810" s="172"/>
      <c r="B810" s="172"/>
      <c r="C810" s="147"/>
      <c r="D810" s="272"/>
      <c r="E810" s="171"/>
      <c r="F810" s="147"/>
      <c r="G810" s="171"/>
      <c r="H810" s="147"/>
      <c r="I810" s="171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</row>
    <row r="811" spans="1:27" ht="18" customHeight="1" x14ac:dyDescent="0.3">
      <c r="A811" s="172"/>
      <c r="B811" s="172"/>
      <c r="C811" s="147"/>
      <c r="D811" s="272"/>
      <c r="E811" s="171"/>
      <c r="F811" s="147"/>
      <c r="G811" s="171"/>
      <c r="H811" s="147"/>
      <c r="I811" s="171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</row>
    <row r="812" spans="1:27" ht="18" customHeight="1" x14ac:dyDescent="0.3">
      <c r="A812" s="172"/>
      <c r="B812" s="172"/>
      <c r="C812" s="147"/>
      <c r="D812" s="272"/>
      <c r="E812" s="171"/>
      <c r="F812" s="147"/>
      <c r="G812" s="171"/>
      <c r="H812" s="147"/>
      <c r="I812" s="171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</row>
    <row r="813" spans="1:27" ht="18" customHeight="1" x14ac:dyDescent="0.3">
      <c r="A813" s="172"/>
      <c r="B813" s="172"/>
      <c r="C813" s="147"/>
      <c r="D813" s="272"/>
      <c r="E813" s="171"/>
      <c r="F813" s="147"/>
      <c r="G813" s="171"/>
      <c r="H813" s="147"/>
      <c r="I813" s="171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</row>
    <row r="814" spans="1:27" ht="18" customHeight="1" x14ac:dyDescent="0.3">
      <c r="A814" s="172"/>
      <c r="B814" s="172"/>
      <c r="C814" s="147"/>
      <c r="D814" s="272"/>
      <c r="E814" s="171"/>
      <c r="F814" s="147"/>
      <c r="G814" s="171"/>
      <c r="H814" s="147"/>
      <c r="I814" s="171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</row>
    <row r="815" spans="1:27" ht="18" customHeight="1" x14ac:dyDescent="0.3">
      <c r="A815" s="172"/>
      <c r="B815" s="172"/>
      <c r="C815" s="147"/>
      <c r="D815" s="272"/>
      <c r="E815" s="171"/>
      <c r="F815" s="147"/>
      <c r="G815" s="171"/>
      <c r="H815" s="147"/>
      <c r="I815" s="171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</row>
    <row r="816" spans="1:27" ht="18" customHeight="1" x14ac:dyDescent="0.3">
      <c r="A816" s="172"/>
      <c r="B816" s="172"/>
      <c r="C816" s="147"/>
      <c r="D816" s="272"/>
      <c r="E816" s="171"/>
      <c r="F816" s="147"/>
      <c r="G816" s="171"/>
      <c r="H816" s="147"/>
      <c r="I816" s="171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</row>
    <row r="817" spans="1:27" ht="18" customHeight="1" x14ac:dyDescent="0.3">
      <c r="A817" s="172"/>
      <c r="B817" s="172"/>
      <c r="C817" s="147"/>
      <c r="D817" s="272"/>
      <c r="E817" s="171"/>
      <c r="F817" s="147"/>
      <c r="G817" s="171"/>
      <c r="H817" s="147"/>
      <c r="I817" s="171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</row>
    <row r="818" spans="1:27" ht="18" customHeight="1" x14ac:dyDescent="0.3">
      <c r="A818" s="172"/>
      <c r="B818" s="172"/>
      <c r="C818" s="147"/>
      <c r="D818" s="272"/>
      <c r="E818" s="171"/>
      <c r="F818" s="147"/>
      <c r="G818" s="171"/>
      <c r="H818" s="147"/>
      <c r="I818" s="171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</row>
    <row r="819" spans="1:27" ht="18" customHeight="1" x14ac:dyDescent="0.3">
      <c r="A819" s="172"/>
      <c r="B819" s="172"/>
      <c r="C819" s="147"/>
      <c r="D819" s="272"/>
      <c r="E819" s="171"/>
      <c r="F819" s="147"/>
      <c r="G819" s="171"/>
      <c r="H819" s="147"/>
      <c r="I819" s="171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</row>
    <row r="820" spans="1:27" ht="18" customHeight="1" x14ac:dyDescent="0.3">
      <c r="A820" s="172"/>
      <c r="B820" s="172"/>
      <c r="C820" s="147"/>
      <c r="D820" s="272"/>
      <c r="E820" s="171"/>
      <c r="F820" s="147"/>
      <c r="G820" s="171"/>
      <c r="H820" s="147"/>
      <c r="I820" s="171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</row>
    <row r="821" spans="1:27" ht="18" customHeight="1" x14ac:dyDescent="0.3">
      <c r="A821" s="172"/>
      <c r="B821" s="172"/>
      <c r="C821" s="147"/>
      <c r="D821" s="272"/>
      <c r="E821" s="171"/>
      <c r="F821" s="147"/>
      <c r="G821" s="171"/>
      <c r="H821" s="147"/>
      <c r="I821" s="171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</row>
    <row r="822" spans="1:27" ht="18" customHeight="1" x14ac:dyDescent="0.3">
      <c r="A822" s="172"/>
      <c r="B822" s="172"/>
      <c r="C822" s="147"/>
      <c r="D822" s="272"/>
      <c r="E822" s="171"/>
      <c r="F822" s="147"/>
      <c r="G822" s="171"/>
      <c r="H822" s="147"/>
      <c r="I822" s="171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</row>
    <row r="823" spans="1:27" ht="18" customHeight="1" x14ac:dyDescent="0.3">
      <c r="A823" s="172"/>
      <c r="B823" s="172"/>
      <c r="C823" s="147"/>
      <c r="D823" s="272"/>
      <c r="E823" s="171"/>
      <c r="F823" s="147"/>
      <c r="G823" s="171"/>
      <c r="H823" s="147"/>
      <c r="I823" s="171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</row>
    <row r="824" spans="1:27" ht="18" customHeight="1" x14ac:dyDescent="0.3">
      <c r="A824" s="172"/>
      <c r="B824" s="172"/>
      <c r="C824" s="147"/>
      <c r="D824" s="272"/>
      <c r="E824" s="171"/>
      <c r="F824" s="147"/>
      <c r="G824" s="171"/>
      <c r="H824" s="147"/>
      <c r="I824" s="171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</row>
    <row r="825" spans="1:27" ht="18" customHeight="1" x14ac:dyDescent="0.3">
      <c r="A825" s="172"/>
      <c r="B825" s="172"/>
      <c r="C825" s="147"/>
      <c r="D825" s="272"/>
      <c r="E825" s="171"/>
      <c r="F825" s="147"/>
      <c r="G825" s="171"/>
      <c r="H825" s="147"/>
      <c r="I825" s="171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</row>
    <row r="826" spans="1:27" ht="18" customHeight="1" x14ac:dyDescent="0.3">
      <c r="A826" s="172"/>
      <c r="B826" s="172"/>
      <c r="C826" s="147"/>
      <c r="D826" s="272"/>
      <c r="E826" s="171"/>
      <c r="F826" s="147"/>
      <c r="G826" s="171"/>
      <c r="H826" s="147"/>
      <c r="I826" s="171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</row>
    <row r="827" spans="1:27" ht="18" customHeight="1" x14ac:dyDescent="0.3">
      <c r="A827" s="172"/>
      <c r="B827" s="172"/>
      <c r="C827" s="147"/>
      <c r="D827" s="272"/>
      <c r="E827" s="171"/>
      <c r="F827" s="147"/>
      <c r="G827" s="171"/>
      <c r="H827" s="147"/>
      <c r="I827" s="171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</row>
    <row r="828" spans="1:27" ht="18" customHeight="1" x14ac:dyDescent="0.3">
      <c r="A828" s="172"/>
      <c r="B828" s="172"/>
      <c r="C828" s="147"/>
      <c r="D828" s="272"/>
      <c r="E828" s="171"/>
      <c r="F828" s="147"/>
      <c r="G828" s="171"/>
      <c r="H828" s="147"/>
      <c r="I828" s="171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</row>
    <row r="829" spans="1:27" ht="18" customHeight="1" x14ac:dyDescent="0.3">
      <c r="A829" s="172"/>
      <c r="B829" s="172"/>
      <c r="C829" s="147"/>
      <c r="D829" s="272"/>
      <c r="E829" s="171"/>
      <c r="F829" s="147"/>
      <c r="G829" s="171"/>
      <c r="H829" s="147"/>
      <c r="I829" s="171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</row>
    <row r="830" spans="1:27" ht="18" customHeight="1" x14ac:dyDescent="0.3">
      <c r="A830" s="172"/>
      <c r="B830" s="172"/>
      <c r="C830" s="147"/>
      <c r="D830" s="272"/>
      <c r="E830" s="171"/>
      <c r="F830" s="147"/>
      <c r="G830" s="171"/>
      <c r="H830" s="147"/>
      <c r="I830" s="171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</row>
    <row r="831" spans="1:27" ht="18" customHeight="1" x14ac:dyDescent="0.3">
      <c r="A831" s="172"/>
      <c r="B831" s="172"/>
      <c r="C831" s="147"/>
      <c r="D831" s="272"/>
      <c r="E831" s="171"/>
      <c r="F831" s="147"/>
      <c r="G831" s="171"/>
      <c r="H831" s="147"/>
      <c r="I831" s="171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</row>
    <row r="832" spans="1:27" ht="18" customHeight="1" x14ac:dyDescent="0.3">
      <c r="A832" s="172"/>
      <c r="B832" s="172"/>
      <c r="C832" s="147"/>
      <c r="D832" s="272"/>
      <c r="E832" s="171"/>
      <c r="F832" s="147"/>
      <c r="G832" s="171"/>
      <c r="H832" s="147"/>
      <c r="I832" s="171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</row>
    <row r="833" spans="1:27" ht="18" customHeight="1" x14ac:dyDescent="0.3">
      <c r="A833" s="172"/>
      <c r="B833" s="172"/>
      <c r="C833" s="147"/>
      <c r="D833" s="272"/>
      <c r="E833" s="171"/>
      <c r="F833" s="147"/>
      <c r="G833" s="171"/>
      <c r="H833" s="147"/>
      <c r="I833" s="171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</row>
    <row r="834" spans="1:27" ht="18" customHeight="1" x14ac:dyDescent="0.3">
      <c r="A834" s="172"/>
      <c r="B834" s="172"/>
      <c r="C834" s="147"/>
      <c r="D834" s="272"/>
      <c r="E834" s="171"/>
      <c r="F834" s="147"/>
      <c r="G834" s="171"/>
      <c r="H834" s="147"/>
      <c r="I834" s="171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</row>
    <row r="835" spans="1:27" ht="18" customHeight="1" x14ac:dyDescent="0.3">
      <c r="A835" s="172"/>
      <c r="B835" s="172"/>
      <c r="C835" s="147"/>
      <c r="D835" s="272"/>
      <c r="E835" s="171"/>
      <c r="F835" s="147"/>
      <c r="G835" s="171"/>
      <c r="H835" s="147"/>
      <c r="I835" s="171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</row>
    <row r="836" spans="1:27" ht="18" customHeight="1" x14ac:dyDescent="0.3">
      <c r="A836" s="172"/>
      <c r="B836" s="172"/>
      <c r="C836" s="147"/>
      <c r="D836" s="272"/>
      <c r="E836" s="171"/>
      <c r="F836" s="147"/>
      <c r="G836" s="171"/>
      <c r="H836" s="147"/>
      <c r="I836" s="171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</row>
    <row r="837" spans="1:27" ht="18" customHeight="1" x14ac:dyDescent="0.3">
      <c r="A837" s="172"/>
      <c r="B837" s="172"/>
      <c r="C837" s="147"/>
      <c r="D837" s="272"/>
      <c r="E837" s="171"/>
      <c r="F837" s="147"/>
      <c r="G837" s="171"/>
      <c r="H837" s="147"/>
      <c r="I837" s="171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</row>
    <row r="838" spans="1:27" ht="18" customHeight="1" x14ac:dyDescent="0.3">
      <c r="A838" s="172"/>
      <c r="B838" s="172"/>
      <c r="C838" s="147"/>
      <c r="D838" s="272"/>
      <c r="E838" s="171"/>
      <c r="F838" s="147"/>
      <c r="G838" s="171"/>
      <c r="H838" s="147"/>
      <c r="I838" s="171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</row>
    <row r="839" spans="1:27" ht="18" customHeight="1" x14ac:dyDescent="0.3">
      <c r="A839" s="172"/>
      <c r="B839" s="172"/>
      <c r="C839" s="147"/>
      <c r="D839" s="272"/>
      <c r="E839" s="171"/>
      <c r="F839" s="147"/>
      <c r="G839" s="171"/>
      <c r="H839" s="147"/>
      <c r="I839" s="171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</row>
    <row r="840" spans="1:27" ht="18" customHeight="1" x14ac:dyDescent="0.3">
      <c r="A840" s="172"/>
      <c r="B840" s="172"/>
      <c r="C840" s="147"/>
      <c r="D840" s="272"/>
      <c r="E840" s="171"/>
      <c r="F840" s="147"/>
      <c r="G840" s="171"/>
      <c r="H840" s="147"/>
      <c r="I840" s="171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</row>
    <row r="841" spans="1:27" ht="18" customHeight="1" x14ac:dyDescent="0.3">
      <c r="A841" s="172"/>
      <c r="B841" s="172"/>
      <c r="C841" s="147"/>
      <c r="D841" s="272"/>
      <c r="E841" s="171"/>
      <c r="F841" s="147"/>
      <c r="G841" s="171"/>
      <c r="H841" s="147"/>
      <c r="I841" s="171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</row>
    <row r="842" spans="1:27" ht="18" customHeight="1" x14ac:dyDescent="0.3">
      <c r="A842" s="172"/>
      <c r="B842" s="172"/>
      <c r="C842" s="147"/>
      <c r="D842" s="272"/>
      <c r="E842" s="171"/>
      <c r="F842" s="147"/>
      <c r="G842" s="171"/>
      <c r="H842" s="147"/>
      <c r="I842" s="171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</row>
    <row r="843" spans="1:27" ht="18" customHeight="1" x14ac:dyDescent="0.3">
      <c r="A843" s="172"/>
      <c r="B843" s="172"/>
      <c r="C843" s="147"/>
      <c r="D843" s="272"/>
      <c r="E843" s="171"/>
      <c r="F843" s="147"/>
      <c r="G843" s="171"/>
      <c r="H843" s="147"/>
      <c r="I843" s="171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</row>
    <row r="844" spans="1:27" ht="18" customHeight="1" x14ac:dyDescent="0.3">
      <c r="A844" s="172"/>
      <c r="B844" s="172"/>
      <c r="C844" s="147"/>
      <c r="D844" s="272"/>
      <c r="E844" s="171"/>
      <c r="F844" s="147"/>
      <c r="G844" s="171"/>
      <c r="H844" s="147"/>
      <c r="I844" s="171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</row>
    <row r="845" spans="1:27" ht="18" customHeight="1" x14ac:dyDescent="0.3">
      <c r="A845" s="172"/>
      <c r="B845" s="172"/>
      <c r="C845" s="147"/>
      <c r="D845" s="272"/>
      <c r="E845" s="171"/>
      <c r="F845" s="147"/>
      <c r="G845" s="171"/>
      <c r="H845" s="147"/>
      <c r="I845" s="171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</row>
    <row r="846" spans="1:27" ht="18" customHeight="1" x14ac:dyDescent="0.3">
      <c r="A846" s="172"/>
      <c r="B846" s="172"/>
      <c r="C846" s="147"/>
      <c r="D846" s="272"/>
      <c r="E846" s="171"/>
      <c r="F846" s="147"/>
      <c r="G846" s="171"/>
      <c r="H846" s="147"/>
      <c r="I846" s="171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</row>
    <row r="847" spans="1:27" ht="18" customHeight="1" x14ac:dyDescent="0.3">
      <c r="A847" s="172"/>
      <c r="B847" s="172"/>
      <c r="C847" s="147"/>
      <c r="D847" s="272"/>
      <c r="E847" s="171"/>
      <c r="F847" s="147"/>
      <c r="G847" s="171"/>
      <c r="H847" s="147"/>
      <c r="I847" s="171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</row>
    <row r="848" spans="1:27" ht="18" customHeight="1" x14ac:dyDescent="0.3">
      <c r="A848" s="172"/>
      <c r="B848" s="172"/>
      <c r="C848" s="147"/>
      <c r="D848" s="272"/>
      <c r="E848" s="171"/>
      <c r="F848" s="147"/>
      <c r="G848" s="171"/>
      <c r="H848" s="147"/>
      <c r="I848" s="171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</row>
    <row r="849" spans="1:27" ht="18" customHeight="1" x14ac:dyDescent="0.3">
      <c r="A849" s="172"/>
      <c r="B849" s="172"/>
      <c r="C849" s="147"/>
      <c r="D849" s="272"/>
      <c r="E849" s="171"/>
      <c r="F849" s="147"/>
      <c r="G849" s="171"/>
      <c r="H849" s="147"/>
      <c r="I849" s="171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</row>
    <row r="850" spans="1:27" ht="18" customHeight="1" x14ac:dyDescent="0.3">
      <c r="A850" s="172"/>
      <c r="B850" s="172"/>
      <c r="C850" s="147"/>
      <c r="D850" s="272"/>
      <c r="E850" s="171"/>
      <c r="F850" s="147"/>
      <c r="G850" s="171"/>
      <c r="H850" s="147"/>
      <c r="I850" s="171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</row>
    <row r="851" spans="1:27" ht="18" customHeight="1" x14ac:dyDescent="0.3">
      <c r="A851" s="172"/>
      <c r="B851" s="172"/>
      <c r="C851" s="147"/>
      <c r="D851" s="272"/>
      <c r="E851" s="171"/>
      <c r="F851" s="147"/>
      <c r="G851" s="171"/>
      <c r="H851" s="147"/>
      <c r="I851" s="171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</row>
    <row r="852" spans="1:27" ht="18" customHeight="1" x14ac:dyDescent="0.3">
      <c r="A852" s="172"/>
      <c r="B852" s="172"/>
      <c r="C852" s="147"/>
      <c r="D852" s="272"/>
      <c r="E852" s="171"/>
      <c r="F852" s="147"/>
      <c r="G852" s="171"/>
      <c r="H852" s="147"/>
      <c r="I852" s="171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</row>
    <row r="853" spans="1:27" ht="18" customHeight="1" x14ac:dyDescent="0.3">
      <c r="A853" s="172"/>
      <c r="B853" s="172"/>
      <c r="C853" s="147"/>
      <c r="D853" s="272"/>
      <c r="E853" s="171"/>
      <c r="F853" s="147"/>
      <c r="G853" s="171"/>
      <c r="H853" s="147"/>
      <c r="I853" s="171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</row>
    <row r="854" spans="1:27" ht="18" customHeight="1" x14ac:dyDescent="0.3">
      <c r="A854" s="172"/>
      <c r="B854" s="172"/>
      <c r="C854" s="147"/>
      <c r="D854" s="272"/>
      <c r="E854" s="171"/>
      <c r="F854" s="147"/>
      <c r="G854" s="171"/>
      <c r="H854" s="147"/>
      <c r="I854" s="171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</row>
    <row r="855" spans="1:27" ht="18" customHeight="1" x14ac:dyDescent="0.3">
      <c r="A855" s="172"/>
      <c r="B855" s="172"/>
      <c r="C855" s="147"/>
      <c r="D855" s="272"/>
      <c r="E855" s="171"/>
      <c r="F855" s="147"/>
      <c r="G855" s="171"/>
      <c r="H855" s="147"/>
      <c r="I855" s="171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</row>
    <row r="856" spans="1:27" ht="18" customHeight="1" x14ac:dyDescent="0.3">
      <c r="A856" s="172"/>
      <c r="B856" s="172"/>
      <c r="C856" s="147"/>
      <c r="D856" s="272"/>
      <c r="E856" s="171"/>
      <c r="F856" s="147"/>
      <c r="G856" s="171"/>
      <c r="H856" s="147"/>
      <c r="I856" s="171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</row>
    <row r="857" spans="1:27" ht="18" customHeight="1" x14ac:dyDescent="0.3">
      <c r="A857" s="172"/>
      <c r="B857" s="172"/>
      <c r="C857" s="147"/>
      <c r="D857" s="272"/>
      <c r="E857" s="171"/>
      <c r="F857" s="147"/>
      <c r="G857" s="171"/>
      <c r="H857" s="147"/>
      <c r="I857" s="171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</row>
    <row r="858" spans="1:27" ht="18" customHeight="1" x14ac:dyDescent="0.3">
      <c r="A858" s="172"/>
      <c r="B858" s="172"/>
      <c r="C858" s="147"/>
      <c r="D858" s="272"/>
      <c r="E858" s="171"/>
      <c r="F858" s="147"/>
      <c r="G858" s="171"/>
      <c r="H858" s="147"/>
      <c r="I858" s="171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</row>
    <row r="859" spans="1:27" ht="18" customHeight="1" x14ac:dyDescent="0.3">
      <c r="A859" s="172"/>
      <c r="B859" s="172"/>
      <c r="C859" s="147"/>
      <c r="D859" s="272"/>
      <c r="E859" s="171"/>
      <c r="F859" s="147"/>
      <c r="G859" s="171"/>
      <c r="H859" s="147"/>
      <c r="I859" s="171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</row>
    <row r="860" spans="1:27" ht="18" customHeight="1" x14ac:dyDescent="0.3">
      <c r="A860" s="172"/>
      <c r="B860" s="172"/>
      <c r="C860" s="147"/>
      <c r="D860" s="272"/>
      <c r="E860" s="171"/>
      <c r="F860" s="147"/>
      <c r="G860" s="171"/>
      <c r="H860" s="147"/>
      <c r="I860" s="171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</row>
    <row r="861" spans="1:27" ht="18" customHeight="1" x14ac:dyDescent="0.3">
      <c r="A861" s="172"/>
      <c r="B861" s="172"/>
      <c r="C861" s="147"/>
      <c r="D861" s="272"/>
      <c r="E861" s="171"/>
      <c r="F861" s="147"/>
      <c r="G861" s="171"/>
      <c r="H861" s="147"/>
      <c r="I861" s="171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</row>
    <row r="862" spans="1:27" ht="18" customHeight="1" x14ac:dyDescent="0.3">
      <c r="A862" s="172"/>
      <c r="B862" s="172"/>
      <c r="C862" s="147"/>
      <c r="D862" s="272"/>
      <c r="E862" s="171"/>
      <c r="F862" s="147"/>
      <c r="G862" s="171"/>
      <c r="H862" s="147"/>
      <c r="I862" s="171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</row>
    <row r="863" spans="1:27" ht="18" customHeight="1" x14ac:dyDescent="0.3">
      <c r="A863" s="172"/>
      <c r="B863" s="172"/>
      <c r="C863" s="147"/>
      <c r="D863" s="272"/>
      <c r="E863" s="171"/>
      <c r="F863" s="147"/>
      <c r="G863" s="171"/>
      <c r="H863" s="147"/>
      <c r="I863" s="171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</row>
    <row r="864" spans="1:27" ht="18" customHeight="1" x14ac:dyDescent="0.3">
      <c r="A864" s="172"/>
      <c r="B864" s="172"/>
      <c r="C864" s="147"/>
      <c r="D864" s="272"/>
      <c r="E864" s="171"/>
      <c r="F864" s="147"/>
      <c r="G864" s="171"/>
      <c r="H864" s="147"/>
      <c r="I864" s="171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</row>
    <row r="865" spans="1:27" ht="18" customHeight="1" x14ac:dyDescent="0.3">
      <c r="A865" s="172"/>
      <c r="B865" s="172"/>
      <c r="C865" s="147"/>
      <c r="D865" s="272"/>
      <c r="E865" s="171"/>
      <c r="F865" s="147"/>
      <c r="G865" s="171"/>
      <c r="H865" s="147"/>
      <c r="I865" s="171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</row>
    <row r="866" spans="1:27" ht="18" customHeight="1" x14ac:dyDescent="0.3">
      <c r="A866" s="172"/>
      <c r="B866" s="172"/>
      <c r="C866" s="147"/>
      <c r="D866" s="272"/>
      <c r="E866" s="171"/>
      <c r="F866" s="147"/>
      <c r="G866" s="171"/>
      <c r="H866" s="147"/>
      <c r="I866" s="171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</row>
    <row r="867" spans="1:27" ht="18" customHeight="1" x14ac:dyDescent="0.3">
      <c r="A867" s="172"/>
      <c r="B867" s="172"/>
      <c r="C867" s="147"/>
      <c r="D867" s="272"/>
      <c r="E867" s="171"/>
      <c r="F867" s="147"/>
      <c r="G867" s="171"/>
      <c r="H867" s="147"/>
      <c r="I867" s="171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</row>
    <row r="868" spans="1:27" ht="18" customHeight="1" x14ac:dyDescent="0.3">
      <c r="A868" s="172"/>
      <c r="B868" s="172"/>
      <c r="C868" s="147"/>
      <c r="D868" s="272"/>
      <c r="E868" s="171"/>
      <c r="F868" s="147"/>
      <c r="G868" s="171"/>
      <c r="H868" s="147"/>
      <c r="I868" s="171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</row>
    <row r="869" spans="1:27" ht="18" customHeight="1" x14ac:dyDescent="0.3">
      <c r="A869" s="172"/>
      <c r="B869" s="172"/>
      <c r="C869" s="147"/>
      <c r="D869" s="272"/>
      <c r="E869" s="171"/>
      <c r="F869" s="147"/>
      <c r="G869" s="171"/>
      <c r="H869" s="147"/>
      <c r="I869" s="171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</row>
    <row r="870" spans="1:27" ht="18" customHeight="1" x14ac:dyDescent="0.3">
      <c r="A870" s="172"/>
      <c r="B870" s="172"/>
      <c r="C870" s="147"/>
      <c r="D870" s="272"/>
      <c r="E870" s="171"/>
      <c r="F870" s="147"/>
      <c r="G870" s="171"/>
      <c r="H870" s="147"/>
      <c r="I870" s="171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</row>
    <row r="871" spans="1:27" ht="18" customHeight="1" x14ac:dyDescent="0.3">
      <c r="A871" s="172"/>
      <c r="B871" s="172"/>
      <c r="C871" s="147"/>
      <c r="D871" s="272"/>
      <c r="E871" s="171"/>
      <c r="F871" s="147"/>
      <c r="G871" s="171"/>
      <c r="H871" s="147"/>
      <c r="I871" s="171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</row>
    <row r="872" spans="1:27" ht="18" customHeight="1" x14ac:dyDescent="0.3">
      <c r="A872" s="172"/>
      <c r="B872" s="172"/>
      <c r="C872" s="147"/>
      <c r="D872" s="272"/>
      <c r="E872" s="171"/>
      <c r="F872" s="147"/>
      <c r="G872" s="171"/>
      <c r="H872" s="147"/>
      <c r="I872" s="171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</row>
    <row r="873" spans="1:27" ht="18" customHeight="1" x14ac:dyDescent="0.3">
      <c r="A873" s="172"/>
      <c r="B873" s="172"/>
      <c r="C873" s="147"/>
      <c r="D873" s="272"/>
      <c r="E873" s="171"/>
      <c r="F873" s="147"/>
      <c r="G873" s="171"/>
      <c r="H873" s="147"/>
      <c r="I873" s="171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</row>
    <row r="874" spans="1:27" ht="18" customHeight="1" x14ac:dyDescent="0.3">
      <c r="A874" s="172"/>
      <c r="B874" s="172"/>
      <c r="C874" s="147"/>
      <c r="D874" s="272"/>
      <c r="E874" s="171"/>
      <c r="F874" s="147"/>
      <c r="G874" s="171"/>
      <c r="H874" s="147"/>
      <c r="I874" s="171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</row>
    <row r="875" spans="1:27" ht="18" customHeight="1" x14ac:dyDescent="0.3">
      <c r="A875" s="172"/>
      <c r="B875" s="172"/>
      <c r="C875" s="147"/>
      <c r="D875" s="272"/>
      <c r="E875" s="171"/>
      <c r="F875" s="147"/>
      <c r="G875" s="171"/>
      <c r="H875" s="147"/>
      <c r="I875" s="171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</row>
    <row r="876" spans="1:27" ht="18" customHeight="1" x14ac:dyDescent="0.3">
      <c r="A876" s="172"/>
      <c r="B876" s="172"/>
      <c r="C876" s="147"/>
      <c r="D876" s="272"/>
      <c r="E876" s="171"/>
      <c r="F876" s="147"/>
      <c r="G876" s="171"/>
      <c r="H876" s="147"/>
      <c r="I876" s="171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</row>
    <row r="877" spans="1:27" ht="18" customHeight="1" x14ac:dyDescent="0.3">
      <c r="A877" s="172"/>
      <c r="B877" s="172"/>
      <c r="C877" s="147"/>
      <c r="D877" s="272"/>
      <c r="E877" s="171"/>
      <c r="F877" s="147"/>
      <c r="G877" s="171"/>
      <c r="H877" s="147"/>
      <c r="I877" s="171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</row>
    <row r="878" spans="1:27" ht="18" customHeight="1" x14ac:dyDescent="0.3">
      <c r="A878" s="172"/>
      <c r="B878" s="172"/>
      <c r="C878" s="147"/>
      <c r="D878" s="272"/>
      <c r="E878" s="171"/>
      <c r="F878" s="147"/>
      <c r="G878" s="171"/>
      <c r="H878" s="147"/>
      <c r="I878" s="171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</row>
    <row r="879" spans="1:27" ht="18" customHeight="1" x14ac:dyDescent="0.3">
      <c r="A879" s="172"/>
      <c r="B879" s="172"/>
      <c r="C879" s="147"/>
      <c r="D879" s="272"/>
      <c r="E879" s="171"/>
      <c r="F879" s="147"/>
      <c r="G879" s="171"/>
      <c r="H879" s="147"/>
      <c r="I879" s="171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</row>
    <row r="880" spans="1:27" ht="18" customHeight="1" x14ac:dyDescent="0.3">
      <c r="A880" s="172"/>
      <c r="B880" s="172"/>
      <c r="C880" s="147"/>
      <c r="D880" s="272"/>
      <c r="E880" s="171"/>
      <c r="F880" s="147"/>
      <c r="G880" s="171"/>
      <c r="H880" s="147"/>
      <c r="I880" s="171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</row>
    <row r="881" spans="1:27" ht="18" customHeight="1" x14ac:dyDescent="0.3">
      <c r="A881" s="172"/>
      <c r="B881" s="172"/>
      <c r="C881" s="147"/>
      <c r="D881" s="272"/>
      <c r="E881" s="171"/>
      <c r="F881" s="147"/>
      <c r="G881" s="171"/>
      <c r="H881" s="147"/>
      <c r="I881" s="171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</row>
    <row r="882" spans="1:27" ht="18" customHeight="1" x14ac:dyDescent="0.3">
      <c r="A882" s="172"/>
      <c r="B882" s="172"/>
      <c r="C882" s="147"/>
      <c r="D882" s="272"/>
      <c r="E882" s="171"/>
      <c r="F882" s="147"/>
      <c r="G882" s="171"/>
      <c r="H882" s="147"/>
      <c r="I882" s="171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</row>
    <row r="883" spans="1:27" ht="18" customHeight="1" x14ac:dyDescent="0.3">
      <c r="A883" s="172"/>
      <c r="B883" s="172"/>
      <c r="C883" s="147"/>
      <c r="D883" s="272"/>
      <c r="E883" s="171"/>
      <c r="F883" s="147"/>
      <c r="G883" s="171"/>
      <c r="H883" s="147"/>
      <c r="I883" s="171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</row>
    <row r="884" spans="1:27" ht="18" customHeight="1" x14ac:dyDescent="0.3">
      <c r="A884" s="172"/>
      <c r="B884" s="172"/>
      <c r="C884" s="147"/>
      <c r="D884" s="272"/>
      <c r="E884" s="171"/>
      <c r="F884" s="147"/>
      <c r="G884" s="171"/>
      <c r="H884" s="147"/>
      <c r="I884" s="171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</row>
    <row r="885" spans="1:27" ht="18" customHeight="1" x14ac:dyDescent="0.3">
      <c r="A885" s="172"/>
      <c r="B885" s="172"/>
      <c r="C885" s="147"/>
      <c r="D885" s="272"/>
      <c r="E885" s="171"/>
      <c r="F885" s="147"/>
      <c r="G885" s="171"/>
      <c r="H885" s="147"/>
      <c r="I885" s="171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</row>
    <row r="886" spans="1:27" ht="18" customHeight="1" x14ac:dyDescent="0.3">
      <c r="A886" s="172"/>
      <c r="B886" s="172"/>
      <c r="C886" s="147"/>
      <c r="D886" s="272"/>
      <c r="E886" s="171"/>
      <c r="F886" s="147"/>
      <c r="G886" s="171"/>
      <c r="H886" s="147"/>
      <c r="I886" s="171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</row>
    <row r="887" spans="1:27" ht="18" customHeight="1" x14ac:dyDescent="0.3">
      <c r="A887" s="172"/>
      <c r="B887" s="172"/>
      <c r="C887" s="147"/>
      <c r="D887" s="272"/>
      <c r="E887" s="171"/>
      <c r="F887" s="147"/>
      <c r="G887" s="171"/>
      <c r="H887" s="147"/>
      <c r="I887" s="171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</row>
    <row r="888" spans="1:27" ht="18" customHeight="1" x14ac:dyDescent="0.3">
      <c r="A888" s="172"/>
      <c r="B888" s="172"/>
      <c r="C888" s="147"/>
      <c r="D888" s="272"/>
      <c r="E888" s="171"/>
      <c r="F888" s="147"/>
      <c r="G888" s="171"/>
      <c r="H888" s="147"/>
      <c r="I888" s="171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</row>
    <row r="889" spans="1:27" ht="18" customHeight="1" x14ac:dyDescent="0.3">
      <c r="A889" s="172"/>
      <c r="B889" s="172"/>
      <c r="C889" s="147"/>
      <c r="D889" s="272"/>
      <c r="E889" s="171"/>
      <c r="F889" s="147"/>
      <c r="G889" s="171"/>
      <c r="H889" s="147"/>
      <c r="I889" s="171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</row>
    <row r="890" spans="1:27" ht="18" customHeight="1" x14ac:dyDescent="0.3">
      <c r="A890" s="172"/>
      <c r="B890" s="172"/>
      <c r="C890" s="147"/>
      <c r="D890" s="272"/>
      <c r="E890" s="171"/>
      <c r="F890" s="147"/>
      <c r="G890" s="171"/>
      <c r="H890" s="147"/>
      <c r="I890" s="171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</row>
    <row r="891" spans="1:27" ht="18" customHeight="1" x14ac:dyDescent="0.3">
      <c r="A891" s="172"/>
      <c r="B891" s="172"/>
      <c r="C891" s="147"/>
      <c r="D891" s="272"/>
      <c r="E891" s="171"/>
      <c r="F891" s="147"/>
      <c r="G891" s="171"/>
      <c r="H891" s="147"/>
      <c r="I891" s="171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</row>
    <row r="892" spans="1:27" ht="18" customHeight="1" x14ac:dyDescent="0.3">
      <c r="A892" s="172"/>
      <c r="B892" s="172"/>
      <c r="C892" s="147"/>
      <c r="D892" s="272"/>
      <c r="E892" s="171"/>
      <c r="F892" s="147"/>
      <c r="G892" s="171"/>
      <c r="H892" s="147"/>
      <c r="I892" s="171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</row>
    <row r="893" spans="1:27" ht="18" customHeight="1" x14ac:dyDescent="0.3">
      <c r="A893" s="172"/>
      <c r="B893" s="172"/>
      <c r="C893" s="147"/>
      <c r="D893" s="272"/>
      <c r="E893" s="171"/>
      <c r="F893" s="147"/>
      <c r="G893" s="171"/>
      <c r="H893" s="147"/>
      <c r="I893" s="171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</row>
    <row r="894" spans="1:27" ht="18" customHeight="1" x14ac:dyDescent="0.3">
      <c r="A894" s="172"/>
      <c r="B894" s="172"/>
      <c r="C894" s="147"/>
      <c r="D894" s="272"/>
      <c r="E894" s="171"/>
      <c r="F894" s="147"/>
      <c r="G894" s="171"/>
      <c r="H894" s="147"/>
      <c r="I894" s="171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</row>
    <row r="895" spans="1:27" ht="18" customHeight="1" x14ac:dyDescent="0.3">
      <c r="A895" s="172"/>
      <c r="B895" s="172"/>
      <c r="C895" s="147"/>
      <c r="D895" s="272"/>
      <c r="E895" s="171"/>
      <c r="F895" s="147"/>
      <c r="G895" s="171"/>
      <c r="H895" s="147"/>
      <c r="I895" s="171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</row>
    <row r="896" spans="1:27" ht="18" customHeight="1" x14ac:dyDescent="0.3">
      <c r="A896" s="172"/>
      <c r="B896" s="172"/>
      <c r="C896" s="147"/>
      <c r="D896" s="272"/>
      <c r="E896" s="171"/>
      <c r="F896" s="147"/>
      <c r="G896" s="171"/>
      <c r="H896" s="147"/>
      <c r="I896" s="171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</row>
    <row r="897" spans="1:27" ht="18" customHeight="1" x14ac:dyDescent="0.3">
      <c r="A897" s="172"/>
      <c r="B897" s="172"/>
      <c r="C897" s="147"/>
      <c r="D897" s="272"/>
      <c r="E897" s="171"/>
      <c r="F897" s="147"/>
      <c r="G897" s="171"/>
      <c r="H897" s="147"/>
      <c r="I897" s="171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</row>
    <row r="898" spans="1:27" ht="18" customHeight="1" x14ac:dyDescent="0.3">
      <c r="A898" s="172"/>
      <c r="B898" s="172"/>
      <c r="C898" s="147"/>
      <c r="D898" s="272"/>
      <c r="E898" s="171"/>
      <c r="F898" s="147"/>
      <c r="G898" s="171"/>
      <c r="H898" s="147"/>
      <c r="I898" s="171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</row>
    <row r="899" spans="1:27" ht="18" customHeight="1" x14ac:dyDescent="0.3">
      <c r="A899" s="172"/>
      <c r="B899" s="172"/>
      <c r="C899" s="147"/>
      <c r="D899" s="272"/>
      <c r="E899" s="171"/>
      <c r="F899" s="147"/>
      <c r="G899" s="171"/>
      <c r="H899" s="147"/>
      <c r="I899" s="171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</row>
    <row r="900" spans="1:27" ht="18" customHeight="1" x14ac:dyDescent="0.3">
      <c r="A900" s="172"/>
      <c r="B900" s="172"/>
      <c r="C900" s="147"/>
      <c r="D900" s="272"/>
      <c r="E900" s="171"/>
      <c r="F900" s="147"/>
      <c r="G900" s="171"/>
      <c r="H900" s="147"/>
      <c r="I900" s="171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</row>
    <row r="901" spans="1:27" ht="18" customHeight="1" x14ac:dyDescent="0.3">
      <c r="A901" s="172"/>
      <c r="B901" s="172"/>
      <c r="C901" s="147"/>
      <c r="D901" s="272"/>
      <c r="E901" s="171"/>
      <c r="F901" s="147"/>
      <c r="G901" s="171"/>
      <c r="H901" s="147"/>
      <c r="I901" s="171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</row>
    <row r="902" spans="1:27" ht="18" customHeight="1" x14ac:dyDescent="0.3">
      <c r="A902" s="172"/>
      <c r="B902" s="172"/>
      <c r="C902" s="147"/>
      <c r="D902" s="272"/>
      <c r="E902" s="171"/>
      <c r="F902" s="147"/>
      <c r="G902" s="171"/>
      <c r="H902" s="147"/>
      <c r="I902" s="171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</row>
    <row r="903" spans="1:27" ht="18" customHeight="1" x14ac:dyDescent="0.3">
      <c r="A903" s="172"/>
      <c r="B903" s="172"/>
      <c r="C903" s="147"/>
      <c r="D903" s="272"/>
      <c r="E903" s="171"/>
      <c r="F903" s="147"/>
      <c r="G903" s="171"/>
      <c r="H903" s="147"/>
      <c r="I903" s="171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</row>
    <row r="904" spans="1:27" ht="18" customHeight="1" x14ac:dyDescent="0.3">
      <c r="A904" s="172"/>
      <c r="B904" s="172"/>
      <c r="C904" s="147"/>
      <c r="D904" s="272"/>
      <c r="E904" s="171"/>
      <c r="F904" s="147"/>
      <c r="G904" s="171"/>
      <c r="H904" s="147"/>
      <c r="I904" s="171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</row>
    <row r="905" spans="1:27" ht="18" customHeight="1" x14ac:dyDescent="0.3">
      <c r="A905" s="172"/>
      <c r="B905" s="172"/>
      <c r="C905" s="147"/>
      <c r="D905" s="272"/>
      <c r="E905" s="171"/>
      <c r="F905" s="147"/>
      <c r="G905" s="171"/>
      <c r="H905" s="147"/>
      <c r="I905" s="171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</row>
    <row r="906" spans="1:27" ht="18" customHeight="1" x14ac:dyDescent="0.3">
      <c r="A906" s="172"/>
      <c r="B906" s="172"/>
      <c r="C906" s="147"/>
      <c r="D906" s="272"/>
      <c r="E906" s="171"/>
      <c r="F906" s="147"/>
      <c r="G906" s="171"/>
      <c r="H906" s="147"/>
      <c r="I906" s="171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</row>
    <row r="907" spans="1:27" ht="18" customHeight="1" x14ac:dyDescent="0.3">
      <c r="A907" s="172"/>
      <c r="B907" s="172"/>
      <c r="C907" s="147"/>
      <c r="D907" s="272"/>
      <c r="E907" s="171"/>
      <c r="F907" s="147"/>
      <c r="G907" s="171"/>
      <c r="H907" s="147"/>
      <c r="I907" s="171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</row>
    <row r="908" spans="1:27" ht="18" customHeight="1" x14ac:dyDescent="0.3">
      <c r="A908" s="172"/>
      <c r="B908" s="172"/>
      <c r="C908" s="147"/>
      <c r="D908" s="272"/>
      <c r="E908" s="171"/>
      <c r="F908" s="147"/>
      <c r="G908" s="171"/>
      <c r="H908" s="147"/>
      <c r="I908" s="171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</row>
    <row r="909" spans="1:27" ht="18" customHeight="1" x14ac:dyDescent="0.3">
      <c r="A909" s="172"/>
      <c r="B909" s="172"/>
      <c r="C909" s="147"/>
      <c r="D909" s="272"/>
      <c r="E909" s="171"/>
      <c r="F909" s="147"/>
      <c r="G909" s="171"/>
      <c r="H909" s="147"/>
      <c r="I909" s="171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</row>
    <row r="910" spans="1:27" ht="18" customHeight="1" x14ac:dyDescent="0.3">
      <c r="A910" s="172"/>
      <c r="B910" s="172"/>
      <c r="C910" s="147"/>
      <c r="D910" s="272"/>
      <c r="E910" s="171"/>
      <c r="F910" s="147"/>
      <c r="G910" s="171"/>
      <c r="H910" s="147"/>
      <c r="I910" s="171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</row>
    <row r="911" spans="1:27" ht="18" customHeight="1" x14ac:dyDescent="0.3">
      <c r="A911" s="172"/>
      <c r="B911" s="172"/>
      <c r="C911" s="147"/>
      <c r="D911" s="272"/>
      <c r="E911" s="171"/>
      <c r="F911" s="147"/>
      <c r="G911" s="171"/>
      <c r="H911" s="147"/>
      <c r="I911" s="171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</row>
    <row r="912" spans="1:27" ht="18" customHeight="1" x14ac:dyDescent="0.3">
      <c r="A912" s="172"/>
      <c r="B912" s="172"/>
      <c r="C912" s="147"/>
      <c r="D912" s="272"/>
      <c r="E912" s="171"/>
      <c r="F912" s="147"/>
      <c r="G912" s="171"/>
      <c r="H912" s="147"/>
      <c r="I912" s="171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</row>
    <row r="913" spans="1:27" ht="18" customHeight="1" x14ac:dyDescent="0.3">
      <c r="A913" s="172"/>
      <c r="B913" s="172"/>
      <c r="C913" s="147"/>
      <c r="D913" s="272"/>
      <c r="E913" s="171"/>
      <c r="F913" s="147"/>
      <c r="G913" s="171"/>
      <c r="H913" s="147"/>
      <c r="I913" s="171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</row>
    <row r="914" spans="1:27" ht="18" customHeight="1" x14ac:dyDescent="0.3">
      <c r="A914" s="172"/>
      <c r="B914" s="172"/>
      <c r="C914" s="147"/>
      <c r="D914" s="272"/>
      <c r="E914" s="171"/>
      <c r="F914" s="147"/>
      <c r="G914" s="171"/>
      <c r="H914" s="147"/>
      <c r="I914" s="171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</row>
    <row r="915" spans="1:27" ht="18" customHeight="1" x14ac:dyDescent="0.3">
      <c r="A915" s="172"/>
      <c r="B915" s="172"/>
      <c r="C915" s="147"/>
      <c r="D915" s="272"/>
      <c r="E915" s="171"/>
      <c r="F915" s="147"/>
      <c r="G915" s="171"/>
      <c r="H915" s="147"/>
      <c r="I915" s="171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</row>
    <row r="916" spans="1:27" ht="18" customHeight="1" x14ac:dyDescent="0.3">
      <c r="A916" s="172"/>
      <c r="B916" s="172"/>
      <c r="C916" s="147"/>
      <c r="D916" s="272"/>
      <c r="E916" s="171"/>
      <c r="F916" s="147"/>
      <c r="G916" s="171"/>
      <c r="H916" s="147"/>
      <c r="I916" s="171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</row>
    <row r="917" spans="1:27" ht="18" customHeight="1" x14ac:dyDescent="0.3">
      <c r="A917" s="172"/>
      <c r="B917" s="172"/>
      <c r="C917" s="147"/>
      <c r="D917" s="272"/>
      <c r="E917" s="171"/>
      <c r="F917" s="147"/>
      <c r="G917" s="171"/>
      <c r="H917" s="147"/>
      <c r="I917" s="171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</row>
    <row r="918" spans="1:27" ht="18" customHeight="1" x14ac:dyDescent="0.3">
      <c r="A918" s="172"/>
      <c r="B918" s="172"/>
      <c r="C918" s="147"/>
      <c r="D918" s="272"/>
      <c r="E918" s="171"/>
      <c r="F918" s="147"/>
      <c r="G918" s="171"/>
      <c r="H918" s="147"/>
      <c r="I918" s="171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</row>
    <row r="919" spans="1:27" ht="18" customHeight="1" x14ac:dyDescent="0.3">
      <c r="A919" s="172"/>
      <c r="B919" s="172"/>
      <c r="C919" s="147"/>
      <c r="D919" s="272"/>
      <c r="E919" s="171"/>
      <c r="F919" s="147"/>
      <c r="G919" s="171"/>
      <c r="H919" s="147"/>
      <c r="I919" s="171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</row>
    <row r="920" spans="1:27" ht="18" customHeight="1" x14ac:dyDescent="0.3">
      <c r="A920" s="172"/>
      <c r="B920" s="172"/>
      <c r="C920" s="147"/>
      <c r="D920" s="272"/>
      <c r="E920" s="171"/>
      <c r="F920" s="147"/>
      <c r="G920" s="171"/>
      <c r="H920" s="147"/>
      <c r="I920" s="171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</row>
    <row r="921" spans="1:27" ht="18" customHeight="1" x14ac:dyDescent="0.3">
      <c r="A921" s="172"/>
      <c r="B921" s="172"/>
      <c r="C921" s="147"/>
      <c r="D921" s="272"/>
      <c r="E921" s="171"/>
      <c r="F921" s="147"/>
      <c r="G921" s="171"/>
      <c r="H921" s="147"/>
      <c r="I921" s="171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</row>
    <row r="922" spans="1:27" ht="18" customHeight="1" x14ac:dyDescent="0.3">
      <c r="A922" s="172"/>
      <c r="B922" s="172"/>
      <c r="C922" s="147"/>
      <c r="D922" s="272"/>
      <c r="E922" s="171"/>
      <c r="F922" s="147"/>
      <c r="G922" s="171"/>
      <c r="H922" s="147"/>
      <c r="I922" s="171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</row>
    <row r="923" spans="1:27" ht="18" customHeight="1" x14ac:dyDescent="0.3">
      <c r="A923" s="172"/>
      <c r="B923" s="172"/>
      <c r="C923" s="147"/>
      <c r="D923" s="272"/>
      <c r="E923" s="171"/>
      <c r="F923" s="147"/>
      <c r="G923" s="171"/>
      <c r="H923" s="147"/>
      <c r="I923" s="171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</row>
    <row r="924" spans="1:27" ht="18" customHeight="1" x14ac:dyDescent="0.3">
      <c r="A924" s="172"/>
      <c r="B924" s="172"/>
      <c r="C924" s="147"/>
      <c r="D924" s="272"/>
      <c r="E924" s="171"/>
      <c r="F924" s="147"/>
      <c r="G924" s="171"/>
      <c r="H924" s="147"/>
      <c r="I924" s="171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</row>
    <row r="925" spans="1:27" ht="18" customHeight="1" x14ac:dyDescent="0.3">
      <c r="A925" s="172"/>
      <c r="B925" s="172"/>
      <c r="C925" s="147"/>
      <c r="D925" s="272"/>
      <c r="E925" s="171"/>
      <c r="F925" s="147"/>
      <c r="G925" s="171"/>
      <c r="H925" s="147"/>
      <c r="I925" s="171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</row>
    <row r="926" spans="1:27" ht="18" customHeight="1" x14ac:dyDescent="0.3">
      <c r="A926" s="172"/>
      <c r="B926" s="172"/>
      <c r="C926" s="147"/>
      <c r="D926" s="272"/>
      <c r="E926" s="171"/>
      <c r="F926" s="147"/>
      <c r="G926" s="171"/>
      <c r="H926" s="147"/>
      <c r="I926" s="171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</row>
    <row r="927" spans="1:27" ht="18" customHeight="1" x14ac:dyDescent="0.3">
      <c r="A927" s="172"/>
      <c r="B927" s="172"/>
      <c r="C927" s="147"/>
      <c r="D927" s="272"/>
      <c r="E927" s="171"/>
      <c r="F927" s="147"/>
      <c r="G927" s="171"/>
      <c r="H927" s="147"/>
      <c r="I927" s="171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</row>
    <row r="928" spans="1:27" ht="18" customHeight="1" x14ac:dyDescent="0.3">
      <c r="A928" s="172"/>
      <c r="B928" s="172"/>
      <c r="C928" s="147"/>
      <c r="D928" s="272"/>
      <c r="E928" s="171"/>
      <c r="F928" s="147"/>
      <c r="G928" s="171"/>
      <c r="H928" s="147"/>
      <c r="I928" s="171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</row>
    <row r="929" spans="1:27" ht="18" customHeight="1" x14ac:dyDescent="0.3">
      <c r="A929" s="172"/>
      <c r="B929" s="172"/>
      <c r="C929" s="147"/>
      <c r="D929" s="272"/>
      <c r="E929" s="171"/>
      <c r="F929" s="147"/>
      <c r="G929" s="171"/>
      <c r="H929" s="147"/>
      <c r="I929" s="171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</row>
    <row r="930" spans="1:27" ht="18" customHeight="1" x14ac:dyDescent="0.3">
      <c r="A930" s="172"/>
      <c r="B930" s="172"/>
      <c r="C930" s="147"/>
      <c r="D930" s="272"/>
      <c r="E930" s="171"/>
      <c r="F930" s="147"/>
      <c r="G930" s="171"/>
      <c r="H930" s="147"/>
      <c r="I930" s="171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</row>
    <row r="931" spans="1:27" ht="18" customHeight="1" x14ac:dyDescent="0.3">
      <c r="A931" s="172"/>
      <c r="B931" s="172"/>
      <c r="C931" s="147"/>
      <c r="D931" s="272"/>
      <c r="E931" s="171"/>
      <c r="F931" s="147"/>
      <c r="G931" s="171"/>
      <c r="H931" s="147"/>
      <c r="I931" s="171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</row>
    <row r="932" spans="1:27" ht="18" customHeight="1" x14ac:dyDescent="0.3">
      <c r="A932" s="172"/>
      <c r="B932" s="172"/>
      <c r="C932" s="147"/>
      <c r="D932" s="272"/>
      <c r="E932" s="171"/>
      <c r="F932" s="147"/>
      <c r="G932" s="171"/>
      <c r="H932" s="147"/>
      <c r="I932" s="171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</row>
    <row r="933" spans="1:27" ht="18" customHeight="1" x14ac:dyDescent="0.3">
      <c r="A933" s="172"/>
      <c r="B933" s="172"/>
      <c r="C933" s="147"/>
      <c r="D933" s="272"/>
      <c r="E933" s="171"/>
      <c r="F933" s="147"/>
      <c r="G933" s="171"/>
      <c r="H933" s="147"/>
      <c r="I933" s="171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</row>
    <row r="934" spans="1:27" ht="18" customHeight="1" x14ac:dyDescent="0.3">
      <c r="A934" s="172"/>
      <c r="B934" s="172"/>
      <c r="C934" s="147"/>
      <c r="D934" s="272"/>
      <c r="E934" s="171"/>
      <c r="F934" s="147"/>
      <c r="G934" s="171"/>
      <c r="H934" s="147"/>
      <c r="I934" s="171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</row>
    <row r="935" spans="1:27" ht="18" customHeight="1" x14ac:dyDescent="0.3">
      <c r="A935" s="172"/>
      <c r="B935" s="172"/>
      <c r="C935" s="147"/>
      <c r="D935" s="272"/>
      <c r="E935" s="171"/>
      <c r="F935" s="147"/>
      <c r="G935" s="171"/>
      <c r="H935" s="147"/>
      <c r="I935" s="171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</row>
    <row r="936" spans="1:27" ht="18" customHeight="1" x14ac:dyDescent="0.3">
      <c r="A936" s="172"/>
      <c r="B936" s="172"/>
      <c r="C936" s="147"/>
      <c r="D936" s="272"/>
      <c r="E936" s="171"/>
      <c r="F936" s="147"/>
      <c r="G936" s="171"/>
      <c r="H936" s="147"/>
      <c r="I936" s="171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</row>
    <row r="937" spans="1:27" ht="18" customHeight="1" x14ac:dyDescent="0.3">
      <c r="A937" s="172"/>
      <c r="B937" s="172"/>
      <c r="C937" s="147"/>
      <c r="D937" s="272"/>
      <c r="E937" s="171"/>
      <c r="F937" s="147"/>
      <c r="G937" s="171"/>
      <c r="H937" s="147"/>
      <c r="I937" s="171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</row>
    <row r="938" spans="1:27" ht="18" customHeight="1" x14ac:dyDescent="0.3">
      <c r="A938" s="172"/>
      <c r="B938" s="172"/>
      <c r="C938" s="147"/>
      <c r="D938" s="272"/>
      <c r="E938" s="171"/>
      <c r="F938" s="147"/>
      <c r="G938" s="171"/>
      <c r="H938" s="147"/>
      <c r="I938" s="171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</row>
    <row r="939" spans="1:27" ht="18" customHeight="1" x14ac:dyDescent="0.3">
      <c r="A939" s="172"/>
      <c r="B939" s="172"/>
      <c r="C939" s="147"/>
      <c r="D939" s="272"/>
      <c r="E939" s="171"/>
      <c r="F939" s="147"/>
      <c r="G939" s="171"/>
      <c r="H939" s="147"/>
      <c r="I939" s="171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</row>
    <row r="940" spans="1:27" ht="18" customHeight="1" x14ac:dyDescent="0.3">
      <c r="A940" s="172"/>
      <c r="B940" s="172"/>
      <c r="C940" s="147"/>
      <c r="D940" s="272"/>
      <c r="E940" s="171"/>
      <c r="F940" s="147"/>
      <c r="G940" s="171"/>
      <c r="H940" s="147"/>
      <c r="I940" s="171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</row>
    <row r="941" spans="1:27" ht="18" customHeight="1" x14ac:dyDescent="0.3">
      <c r="A941" s="172"/>
      <c r="B941" s="172"/>
      <c r="C941" s="147"/>
      <c r="D941" s="272"/>
      <c r="E941" s="171"/>
      <c r="F941" s="147"/>
      <c r="G941" s="171"/>
      <c r="H941" s="147"/>
      <c r="I941" s="171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</row>
    <row r="942" spans="1:27" ht="18" customHeight="1" x14ac:dyDescent="0.3">
      <c r="A942" s="172"/>
      <c r="B942" s="172"/>
      <c r="C942" s="147"/>
      <c r="D942" s="272"/>
      <c r="E942" s="171"/>
      <c r="F942" s="147"/>
      <c r="G942" s="171"/>
      <c r="H942" s="147"/>
      <c r="I942" s="171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</row>
    <row r="943" spans="1:27" ht="18" customHeight="1" x14ac:dyDescent="0.3">
      <c r="A943" s="172"/>
      <c r="B943" s="172"/>
      <c r="C943" s="147"/>
      <c r="D943" s="272"/>
      <c r="E943" s="171"/>
      <c r="F943" s="147"/>
      <c r="G943" s="171"/>
      <c r="H943" s="147"/>
      <c r="I943" s="171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</row>
    <row r="944" spans="1:27" ht="18" customHeight="1" x14ac:dyDescent="0.3">
      <c r="A944" s="172"/>
      <c r="B944" s="172"/>
      <c r="C944" s="147"/>
      <c r="D944" s="272"/>
      <c r="E944" s="171"/>
      <c r="F944" s="147"/>
      <c r="G944" s="171"/>
      <c r="H944" s="147"/>
      <c r="I944" s="171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</row>
    <row r="945" spans="1:27" ht="18" customHeight="1" x14ac:dyDescent="0.3">
      <c r="A945" s="172"/>
      <c r="B945" s="172"/>
      <c r="C945" s="147"/>
      <c r="D945" s="272"/>
      <c r="E945" s="171"/>
      <c r="F945" s="147"/>
      <c r="G945" s="171"/>
      <c r="H945" s="147"/>
      <c r="I945" s="171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</row>
    <row r="946" spans="1:27" ht="18" customHeight="1" x14ac:dyDescent="0.3">
      <c r="A946" s="172"/>
      <c r="B946" s="172"/>
      <c r="C946" s="147"/>
      <c r="D946" s="272"/>
      <c r="E946" s="171"/>
      <c r="F946" s="147"/>
      <c r="G946" s="171"/>
      <c r="H946" s="147"/>
      <c r="I946" s="171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</row>
    <row r="947" spans="1:27" ht="18" customHeight="1" x14ac:dyDescent="0.3">
      <c r="A947" s="172"/>
      <c r="B947" s="172"/>
      <c r="C947" s="147"/>
      <c r="D947" s="272"/>
      <c r="E947" s="171"/>
      <c r="F947" s="147"/>
      <c r="G947" s="171"/>
      <c r="H947" s="147"/>
      <c r="I947" s="171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</row>
    <row r="948" spans="1:27" ht="18" customHeight="1" x14ac:dyDescent="0.3">
      <c r="A948" s="172"/>
      <c r="B948" s="172"/>
      <c r="C948" s="147"/>
      <c r="D948" s="272"/>
      <c r="E948" s="171"/>
      <c r="F948" s="147"/>
      <c r="G948" s="171"/>
      <c r="H948" s="147"/>
      <c r="I948" s="171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</row>
    <row r="949" spans="1:27" ht="18" customHeight="1" x14ac:dyDescent="0.3">
      <c r="A949" s="172"/>
      <c r="B949" s="172"/>
      <c r="C949" s="147"/>
      <c r="D949" s="272"/>
      <c r="E949" s="171"/>
      <c r="F949" s="147"/>
      <c r="G949" s="171"/>
      <c r="H949" s="147"/>
      <c r="I949" s="171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</row>
    <row r="950" spans="1:27" ht="18" customHeight="1" x14ac:dyDescent="0.3">
      <c r="A950" s="172"/>
      <c r="B950" s="172"/>
      <c r="C950" s="147"/>
      <c r="D950" s="272"/>
      <c r="E950" s="171"/>
      <c r="F950" s="147"/>
      <c r="G950" s="171"/>
      <c r="H950" s="147"/>
      <c r="I950" s="171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</row>
    <row r="951" spans="1:27" ht="18" customHeight="1" x14ac:dyDescent="0.3">
      <c r="A951" s="172"/>
      <c r="B951" s="172"/>
      <c r="C951" s="147"/>
      <c r="D951" s="272"/>
      <c r="E951" s="171"/>
      <c r="F951" s="147"/>
      <c r="G951" s="171"/>
      <c r="H951" s="147"/>
      <c r="I951" s="171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</row>
    <row r="952" spans="1:27" ht="18" customHeight="1" x14ac:dyDescent="0.3">
      <c r="A952" s="172"/>
      <c r="B952" s="172"/>
      <c r="C952" s="147"/>
      <c r="D952" s="272"/>
      <c r="E952" s="171"/>
      <c r="F952" s="147"/>
      <c r="G952" s="171"/>
      <c r="H952" s="147"/>
      <c r="I952" s="171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</row>
    <row r="953" spans="1:27" ht="18" customHeight="1" x14ac:dyDescent="0.3">
      <c r="A953" s="172"/>
      <c r="B953" s="172"/>
      <c r="C953" s="147"/>
      <c r="D953" s="272"/>
      <c r="E953" s="171"/>
      <c r="F953" s="147"/>
      <c r="G953" s="171"/>
      <c r="H953" s="147"/>
      <c r="I953" s="171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</row>
    <row r="954" spans="1:27" ht="18" customHeight="1" x14ac:dyDescent="0.3">
      <c r="A954" s="172"/>
      <c r="B954" s="172"/>
      <c r="C954" s="147"/>
      <c r="D954" s="272"/>
      <c r="E954" s="171"/>
      <c r="F954" s="147"/>
      <c r="G954" s="171"/>
      <c r="H954" s="147"/>
      <c r="I954" s="171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</row>
    <row r="955" spans="1:27" ht="18" customHeight="1" x14ac:dyDescent="0.3">
      <c r="A955" s="172"/>
      <c r="B955" s="172"/>
      <c r="C955" s="147"/>
      <c r="D955" s="272"/>
      <c r="E955" s="171"/>
      <c r="F955" s="147"/>
      <c r="G955" s="171"/>
      <c r="H955" s="147"/>
      <c r="I955" s="171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</row>
    <row r="956" spans="1:27" ht="18" customHeight="1" x14ac:dyDescent="0.3">
      <c r="A956" s="172"/>
      <c r="B956" s="172"/>
      <c r="C956" s="147"/>
      <c r="D956" s="272"/>
      <c r="E956" s="171"/>
      <c r="F956" s="147"/>
      <c r="G956" s="171"/>
      <c r="H956" s="147"/>
      <c r="I956" s="171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</row>
    <row r="957" spans="1:27" ht="18" customHeight="1" x14ac:dyDescent="0.3">
      <c r="A957" s="172"/>
      <c r="B957" s="172"/>
      <c r="C957" s="147"/>
      <c r="D957" s="272"/>
      <c r="E957" s="171"/>
      <c r="F957" s="147"/>
      <c r="G957" s="171"/>
      <c r="H957" s="147"/>
      <c r="I957" s="171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</row>
    <row r="958" spans="1:27" ht="18" customHeight="1" x14ac:dyDescent="0.3">
      <c r="A958" s="172"/>
      <c r="B958" s="172"/>
      <c r="C958" s="147"/>
      <c r="D958" s="272"/>
      <c r="E958" s="171"/>
      <c r="F958" s="147"/>
      <c r="G958" s="171"/>
      <c r="H958" s="147"/>
      <c r="I958" s="171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</row>
    <row r="959" spans="1:27" ht="18" customHeight="1" x14ac:dyDescent="0.3">
      <c r="A959" s="172"/>
      <c r="B959" s="172"/>
      <c r="C959" s="147"/>
      <c r="D959" s="272"/>
      <c r="E959" s="171"/>
      <c r="F959" s="147"/>
      <c r="G959" s="171"/>
      <c r="H959" s="147"/>
      <c r="I959" s="171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</row>
    <row r="960" spans="1:27" ht="18" customHeight="1" x14ac:dyDescent="0.3">
      <c r="A960" s="172"/>
      <c r="B960" s="172"/>
      <c r="C960" s="147"/>
      <c r="D960" s="272"/>
      <c r="E960" s="171"/>
      <c r="F960" s="147"/>
      <c r="G960" s="171"/>
      <c r="H960" s="147"/>
      <c r="I960" s="171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</row>
    <row r="961" spans="1:27" ht="18" customHeight="1" x14ac:dyDescent="0.3">
      <c r="A961" s="172"/>
      <c r="B961" s="172"/>
      <c r="C961" s="147"/>
      <c r="D961" s="272"/>
      <c r="E961" s="171"/>
      <c r="F961" s="147"/>
      <c r="G961" s="171"/>
      <c r="H961" s="147"/>
      <c r="I961" s="171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</row>
    <row r="962" spans="1:27" ht="18" customHeight="1" x14ac:dyDescent="0.3">
      <c r="A962" s="172"/>
      <c r="B962" s="172"/>
      <c r="C962" s="147"/>
      <c r="D962" s="272"/>
      <c r="E962" s="171"/>
      <c r="F962" s="147"/>
      <c r="G962" s="171"/>
      <c r="H962" s="147"/>
      <c r="I962" s="171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</row>
    <row r="963" spans="1:27" ht="18" customHeight="1" x14ac:dyDescent="0.3">
      <c r="A963" s="172"/>
      <c r="B963" s="172"/>
      <c r="C963" s="147"/>
      <c r="D963" s="272"/>
      <c r="E963" s="171"/>
      <c r="F963" s="147"/>
      <c r="G963" s="171"/>
      <c r="H963" s="147"/>
      <c r="I963" s="171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</row>
    <row r="964" spans="1:27" ht="18" customHeight="1" x14ac:dyDescent="0.3">
      <c r="A964" s="172"/>
      <c r="B964" s="172"/>
      <c r="C964" s="147"/>
      <c r="D964" s="272"/>
      <c r="E964" s="171"/>
      <c r="F964" s="147"/>
      <c r="G964" s="171"/>
      <c r="H964" s="147"/>
      <c r="I964" s="171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</row>
    <row r="965" spans="1:27" ht="18" customHeight="1" x14ac:dyDescent="0.3">
      <c r="A965" s="172"/>
      <c r="B965" s="172"/>
      <c r="C965" s="147"/>
      <c r="D965" s="272"/>
      <c r="E965" s="171"/>
      <c r="F965" s="147"/>
      <c r="G965" s="171"/>
      <c r="H965" s="147"/>
      <c r="I965" s="171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</row>
    <row r="966" spans="1:27" ht="18" customHeight="1" x14ac:dyDescent="0.3">
      <c r="A966" s="172"/>
      <c r="B966" s="172"/>
      <c r="C966" s="147"/>
      <c r="D966" s="272"/>
      <c r="E966" s="171"/>
      <c r="F966" s="147"/>
      <c r="G966" s="171"/>
      <c r="H966" s="147"/>
      <c r="I966" s="171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</row>
    <row r="967" spans="1:27" ht="18" customHeight="1" x14ac:dyDescent="0.3">
      <c r="A967" s="172"/>
      <c r="B967" s="172"/>
      <c r="C967" s="147"/>
      <c r="D967" s="272"/>
      <c r="E967" s="171"/>
      <c r="F967" s="147"/>
      <c r="G967" s="171"/>
      <c r="H967" s="147"/>
      <c r="I967" s="171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</row>
    <row r="968" spans="1:27" ht="18" customHeight="1" x14ac:dyDescent="0.3">
      <c r="A968" s="172"/>
      <c r="B968" s="172"/>
      <c r="C968" s="147"/>
      <c r="D968" s="272"/>
      <c r="E968" s="171"/>
      <c r="F968" s="147"/>
      <c r="G968" s="171"/>
      <c r="H968" s="147"/>
      <c r="I968" s="171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</row>
    <row r="969" spans="1:27" ht="18" customHeight="1" x14ac:dyDescent="0.3">
      <c r="A969" s="172"/>
      <c r="B969" s="172"/>
      <c r="C969" s="147"/>
      <c r="D969" s="272"/>
      <c r="E969" s="171"/>
      <c r="F969" s="147"/>
      <c r="G969" s="171"/>
      <c r="H969" s="147"/>
      <c r="I969" s="171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</row>
    <row r="970" spans="1:27" ht="18" customHeight="1" x14ac:dyDescent="0.3">
      <c r="A970" s="172"/>
      <c r="B970" s="172"/>
      <c r="C970" s="147"/>
      <c r="D970" s="272"/>
      <c r="E970" s="171"/>
      <c r="F970" s="147"/>
      <c r="G970" s="171"/>
      <c r="H970" s="147"/>
      <c r="I970" s="171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</row>
    <row r="971" spans="1:27" ht="18" customHeight="1" x14ac:dyDescent="0.3">
      <c r="A971" s="172"/>
      <c r="B971" s="172"/>
      <c r="C971" s="147"/>
      <c r="D971" s="272"/>
      <c r="E971" s="171"/>
      <c r="F971" s="147"/>
      <c r="G971" s="171"/>
      <c r="H971" s="147"/>
      <c r="I971" s="171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</row>
    <row r="972" spans="1:27" ht="18" customHeight="1" x14ac:dyDescent="0.3">
      <c r="A972" s="172"/>
      <c r="B972" s="172"/>
      <c r="C972" s="147"/>
      <c r="D972" s="272"/>
      <c r="E972" s="171"/>
      <c r="F972" s="147"/>
      <c r="G972" s="171"/>
      <c r="H972" s="147"/>
      <c r="I972" s="171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</row>
    <row r="973" spans="1:27" ht="18" customHeight="1" x14ac:dyDescent="0.3">
      <c r="A973" s="172"/>
      <c r="B973" s="172"/>
      <c r="C973" s="147"/>
      <c r="D973" s="272"/>
      <c r="E973" s="171"/>
      <c r="F973" s="147"/>
      <c r="G973" s="171"/>
      <c r="H973" s="147"/>
      <c r="I973" s="171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</row>
    <row r="974" spans="1:27" ht="18" customHeight="1" x14ac:dyDescent="0.3">
      <c r="A974" s="172"/>
      <c r="B974" s="172"/>
      <c r="C974" s="147"/>
      <c r="D974" s="272"/>
      <c r="E974" s="171"/>
      <c r="F974" s="147"/>
      <c r="G974" s="171"/>
      <c r="H974" s="147"/>
      <c r="I974" s="171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</row>
    <row r="975" spans="1:27" ht="18" customHeight="1" x14ac:dyDescent="0.3">
      <c r="A975" s="172"/>
      <c r="B975" s="172"/>
      <c r="C975" s="147"/>
      <c r="D975" s="272"/>
      <c r="E975" s="171"/>
      <c r="F975" s="147"/>
      <c r="G975" s="171"/>
      <c r="H975" s="147"/>
      <c r="I975" s="171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</row>
    <row r="976" spans="1:27" ht="18" customHeight="1" x14ac:dyDescent="0.3">
      <c r="A976" s="172"/>
      <c r="B976" s="172"/>
      <c r="C976" s="147"/>
      <c r="D976" s="272"/>
      <c r="E976" s="171"/>
      <c r="F976" s="147"/>
      <c r="G976" s="171"/>
      <c r="H976" s="147"/>
      <c r="I976" s="171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</row>
    <row r="977" spans="1:27" ht="18" customHeight="1" x14ac:dyDescent="0.3">
      <c r="A977" s="172"/>
      <c r="B977" s="172"/>
      <c r="C977" s="147"/>
      <c r="D977" s="272"/>
      <c r="E977" s="171"/>
      <c r="F977" s="147"/>
      <c r="G977" s="171"/>
      <c r="H977" s="147"/>
      <c r="I977" s="171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</row>
    <row r="978" spans="1:27" ht="18" customHeight="1" x14ac:dyDescent="0.3">
      <c r="A978" s="172"/>
      <c r="B978" s="172"/>
      <c r="C978" s="147"/>
      <c r="D978" s="272"/>
      <c r="E978" s="171"/>
      <c r="F978" s="147"/>
      <c r="G978" s="171"/>
      <c r="H978" s="147"/>
      <c r="I978" s="171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</row>
    <row r="979" spans="1:27" ht="18" customHeight="1" x14ac:dyDescent="0.3">
      <c r="A979" s="172"/>
      <c r="B979" s="172"/>
      <c r="C979" s="147"/>
      <c r="D979" s="272"/>
      <c r="E979" s="171"/>
      <c r="F979" s="147"/>
      <c r="G979" s="171"/>
      <c r="H979" s="147"/>
      <c r="I979" s="171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</row>
    <row r="980" spans="1:27" ht="18" customHeight="1" x14ac:dyDescent="0.3">
      <c r="A980" s="172"/>
      <c r="B980" s="172"/>
      <c r="C980" s="147"/>
      <c r="D980" s="272"/>
      <c r="E980" s="171"/>
      <c r="F980" s="147"/>
      <c r="G980" s="171"/>
      <c r="H980" s="147"/>
      <c r="I980" s="171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</row>
    <row r="981" spans="1:27" ht="18" customHeight="1" x14ac:dyDescent="0.3">
      <c r="A981" s="172"/>
      <c r="B981" s="172"/>
      <c r="C981" s="147"/>
      <c r="D981" s="272"/>
      <c r="E981" s="171"/>
      <c r="F981" s="147"/>
      <c r="G981" s="171"/>
      <c r="H981" s="147"/>
      <c r="I981" s="171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</row>
    <row r="982" spans="1:27" ht="18" customHeight="1" x14ac:dyDescent="0.3">
      <c r="A982" s="172"/>
      <c r="B982" s="172"/>
      <c r="C982" s="147"/>
      <c r="D982" s="272"/>
      <c r="E982" s="171"/>
      <c r="F982" s="147"/>
      <c r="G982" s="171"/>
      <c r="H982" s="147"/>
      <c r="I982" s="171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</row>
    <row r="983" spans="1:27" ht="18" customHeight="1" x14ac:dyDescent="0.3">
      <c r="A983" s="172"/>
      <c r="B983" s="172"/>
      <c r="C983" s="147"/>
      <c r="D983" s="272"/>
      <c r="E983" s="171"/>
      <c r="F983" s="147"/>
      <c r="G983" s="171"/>
      <c r="H983" s="147"/>
      <c r="I983" s="171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</row>
    <row r="984" spans="1:27" ht="18" customHeight="1" x14ac:dyDescent="0.3">
      <c r="A984" s="172"/>
      <c r="B984" s="172"/>
      <c r="C984" s="147"/>
      <c r="D984" s="272"/>
      <c r="E984" s="171"/>
      <c r="F984" s="147"/>
      <c r="G984" s="171"/>
      <c r="H984" s="147"/>
      <c r="I984" s="171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</row>
    <row r="985" spans="1:27" ht="18" customHeight="1" x14ac:dyDescent="0.3">
      <c r="A985" s="172"/>
      <c r="B985" s="172"/>
      <c r="C985" s="147"/>
      <c r="D985" s="272"/>
      <c r="E985" s="171"/>
      <c r="F985" s="147"/>
      <c r="G985" s="171"/>
      <c r="H985" s="147"/>
      <c r="I985" s="171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</row>
    <row r="986" spans="1:27" ht="18" customHeight="1" x14ac:dyDescent="0.3">
      <c r="A986" s="172"/>
      <c r="B986" s="172"/>
      <c r="C986" s="147"/>
      <c r="D986" s="272"/>
      <c r="E986" s="171"/>
      <c r="F986" s="147"/>
      <c r="G986" s="171"/>
      <c r="H986" s="147"/>
      <c r="I986" s="171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</row>
    <row r="987" spans="1:27" ht="18" customHeight="1" x14ac:dyDescent="0.3">
      <c r="A987" s="172"/>
      <c r="B987" s="172"/>
      <c r="C987" s="147"/>
      <c r="D987" s="272"/>
      <c r="E987" s="171"/>
      <c r="F987" s="147"/>
      <c r="G987" s="171"/>
      <c r="H987" s="147"/>
      <c r="I987" s="171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</row>
    <row r="988" spans="1:27" ht="18" customHeight="1" x14ac:dyDescent="0.3">
      <c r="A988" s="172"/>
      <c r="B988" s="172"/>
      <c r="C988" s="147"/>
      <c r="D988" s="272"/>
      <c r="E988" s="171"/>
      <c r="F988" s="147"/>
      <c r="G988" s="171"/>
      <c r="H988" s="147"/>
      <c r="I988" s="171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</row>
    <row r="989" spans="1:27" ht="18" customHeight="1" x14ac:dyDescent="0.3">
      <c r="A989" s="172"/>
      <c r="B989" s="172"/>
      <c r="C989" s="147"/>
      <c r="D989" s="272"/>
      <c r="E989" s="171"/>
      <c r="F989" s="147"/>
      <c r="G989" s="171"/>
      <c r="H989" s="147"/>
      <c r="I989" s="171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</row>
    <row r="990" spans="1:27" ht="18" customHeight="1" x14ac:dyDescent="0.3">
      <c r="A990" s="172"/>
      <c r="B990" s="172"/>
      <c r="C990" s="147"/>
      <c r="D990" s="272"/>
      <c r="E990" s="171"/>
      <c r="F990" s="147"/>
      <c r="G990" s="171"/>
      <c r="H990" s="147"/>
      <c r="I990" s="171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</row>
    <row r="991" spans="1:27" ht="18" customHeight="1" x14ac:dyDescent="0.3">
      <c r="A991" s="172"/>
      <c r="B991" s="172"/>
      <c r="C991" s="147"/>
      <c r="D991" s="272"/>
      <c r="E991" s="171"/>
      <c r="F991" s="147"/>
      <c r="G991" s="171"/>
      <c r="H991" s="147"/>
      <c r="I991" s="171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</row>
    <row r="992" spans="1:27" ht="18" customHeight="1" x14ac:dyDescent="0.3">
      <c r="A992" s="172"/>
      <c r="B992" s="172"/>
      <c r="C992" s="147"/>
      <c r="D992" s="272"/>
      <c r="E992" s="171"/>
      <c r="F992" s="147"/>
      <c r="G992" s="171"/>
      <c r="H992" s="147"/>
      <c r="I992" s="171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</row>
    <row r="993" spans="1:27" ht="18" customHeight="1" x14ac:dyDescent="0.3">
      <c r="A993" s="172"/>
      <c r="B993" s="172"/>
      <c r="C993" s="147"/>
      <c r="D993" s="272"/>
      <c r="E993" s="171"/>
      <c r="F993" s="147"/>
      <c r="G993" s="171"/>
      <c r="H993" s="147"/>
      <c r="I993" s="171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</row>
    <row r="994" spans="1:27" ht="18" customHeight="1" x14ac:dyDescent="0.3">
      <c r="A994" s="172"/>
      <c r="B994" s="172"/>
      <c r="C994" s="147"/>
      <c r="D994" s="272"/>
      <c r="E994" s="171"/>
      <c r="F994" s="147"/>
      <c r="G994" s="171"/>
      <c r="H994" s="147"/>
      <c r="I994" s="171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</row>
    <row r="995" spans="1:27" ht="18" customHeight="1" x14ac:dyDescent="0.3">
      <c r="A995" s="172"/>
      <c r="B995" s="172"/>
      <c r="C995" s="147"/>
      <c r="D995" s="272"/>
      <c r="E995" s="171"/>
      <c r="F995" s="147"/>
      <c r="G995" s="171"/>
      <c r="H995" s="147"/>
      <c r="I995" s="171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</row>
    <row r="996" spans="1:27" ht="18" customHeight="1" x14ac:dyDescent="0.3">
      <c r="A996" s="172"/>
      <c r="B996" s="172"/>
      <c r="C996" s="147"/>
      <c r="D996" s="272"/>
      <c r="E996" s="171"/>
      <c r="F996" s="147"/>
      <c r="G996" s="171"/>
      <c r="H996" s="147"/>
      <c r="I996" s="171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</row>
    <row r="997" spans="1:27" ht="18" customHeight="1" x14ac:dyDescent="0.3">
      <c r="A997" s="172"/>
      <c r="B997" s="172"/>
      <c r="C997" s="147"/>
      <c r="D997" s="272"/>
      <c r="E997" s="171"/>
      <c r="F997" s="147"/>
      <c r="G997" s="171"/>
      <c r="H997" s="147"/>
      <c r="I997" s="171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</row>
    <row r="998" spans="1:27" ht="18" customHeight="1" x14ac:dyDescent="0.3">
      <c r="A998" s="172"/>
      <c r="B998" s="172"/>
      <c r="C998" s="147"/>
      <c r="D998" s="272"/>
      <c r="E998" s="171"/>
      <c r="F998" s="147"/>
      <c r="G998" s="171"/>
      <c r="H998" s="147"/>
      <c r="I998" s="171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</row>
    <row r="999" spans="1:27" ht="18" customHeight="1" x14ac:dyDescent="0.3">
      <c r="A999" s="172"/>
      <c r="B999" s="172"/>
      <c r="C999" s="147"/>
      <c r="D999" s="272"/>
      <c r="E999" s="171"/>
      <c r="F999" s="147"/>
      <c r="G999" s="171"/>
      <c r="H999" s="147"/>
      <c r="I999" s="171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</row>
    <row r="1000" spans="1:27" ht="18" customHeight="1" x14ac:dyDescent="0.3">
      <c r="A1000" s="172"/>
      <c r="B1000" s="172"/>
      <c r="C1000" s="147"/>
      <c r="D1000" s="272"/>
      <c r="E1000" s="171"/>
      <c r="F1000" s="147"/>
      <c r="G1000" s="171"/>
      <c r="H1000" s="147"/>
      <c r="I1000" s="171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</row>
  </sheetData>
  <hyperlinks>
    <hyperlink ref="G24" r:id="rId1" display="https://sarathi.parivahan.gov.in/sarathiservicecov28/applViewStages.do?applNum=1083441220&amp;dateOfBirth=10-01-1988" xr:uid="{00000000-0004-0000-0900-000000000000}"/>
    <hyperlink ref="G35" r:id="rId2" display="https://sarathi.parivahan.gov.in/sarathiservicecov3/applViewStages.do?applNum=3352360720&amp;dateOfBirth=12-09-1979" xr:uid="{00000000-0004-0000-0900-000001000000}"/>
    <hyperlink ref="F38" r:id="rId3" xr:uid="{00000000-0004-0000-0900-000002000000}"/>
    <hyperlink ref="F39" r:id="rId4" xr:uid="{00000000-0004-0000-0900-000003000000}"/>
    <hyperlink ref="G40" r:id="rId5" display="https://sarathi.parivahan.gov.in/sarathiservicecov3/applViewStages.do?applNum=3352316220&amp;dateOfBirth=01-01-1975" xr:uid="{00000000-0004-0000-0900-000004000000}"/>
    <hyperlink ref="G45" r:id="rId6" display="https://sarathi.parivahan.gov.in/sarathiservicecov19/applViewStages.do?applNum=3352289120&amp;dateOfBirth=01-12-1994" xr:uid="{00000000-0004-0000-0900-000005000000}"/>
    <hyperlink ref="F136" r:id="rId7" display="swansinweb@" xr:uid="{00000000-0004-0000-0900-000006000000}"/>
    <hyperlink ref="G121" r:id="rId8" display="https://sarathi.parivahan.gov.in/sarathiservice/applViewStages.do" xr:uid="{00000000-0004-0000-0900-000007000000}"/>
    <hyperlink ref="G150" r:id="rId9" display="https://sarathi.parivahan.gov.in/sarathiservice/applViewStages.do" xr:uid="{969CFFEB-2435-4520-95EE-ED022DAF3239}"/>
    <hyperlink ref="B189" r:id="rId10" display="https://sarathi.parivahan.gov.in/sarathiservice/applViewStages.do" xr:uid="{078C0A5C-95FC-4680-83C7-AE6C4F4CA101}"/>
    <hyperlink ref="B259" r:id="rId11" display="https://sarathi.parivahan.gov.in/sarathiservice/applViewStages.do" xr:uid="{9DCA809E-CC00-4FC7-A8D4-BCE0E659AB67}"/>
  </hyperlinks>
  <pageMargins left="0.7" right="0.7" top="0.75" bottom="0.75" header="0" footer="0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rates</vt:lpstr>
      <vt:lpstr>PAN DETAIL</vt:lpstr>
      <vt:lpstr>Passport</vt:lpstr>
      <vt:lpstr>ITR</vt:lpstr>
      <vt:lpstr>DL</vt:lpstr>
      <vt:lpstr>rates!Z_17BB0635_933F_4031_AA1B_02B47946C686_.wvu.Cols</vt:lpstr>
      <vt:lpstr>rates!Z_17BB0635_933F_4031_AA1B_02B47946C686_.wvu.Rows</vt:lpstr>
      <vt:lpstr>rates!Z_1DB3B8BB_FF13_43E4_91E2_4D5FE1537F47_.wvu.Cols</vt:lpstr>
      <vt:lpstr>rates!Z_1DB3B8BB_FF13_43E4_91E2_4D5FE1537F47_.wvu.Rows</vt:lpstr>
      <vt:lpstr>'PAN DETAIL'!Z_3AED7B35_86CA_4B6C_A2EC_CD4DE422B896_.wvu.Cols</vt:lpstr>
      <vt:lpstr>rates!Z_3AED7B35_86CA_4B6C_A2EC_CD4DE422B896_.wvu.Rows</vt:lpstr>
      <vt:lpstr>rates!Z_5436A929_FCD6_4CC8_AC5F_737E2C2C3552_.wvu.Rows</vt:lpstr>
      <vt:lpstr>rates!Z_76DB48ED_F9D5_46EE_8B68_22302006932B_.wvu.Cols</vt:lpstr>
      <vt:lpstr>rates!Z_76DB48ED_F9D5_46EE_8B68_22302006932B_.wvu.Rows</vt:lpstr>
      <vt:lpstr>rates!Z_9FBD6FCD_ABF0_44CA_B044_9B9EEA555F2A_.wvu.Cols</vt:lpstr>
      <vt:lpstr>rates!Z_9FBD6FCD_ABF0_44CA_B044_9B9EEA555F2A_.wvu.Rows</vt:lpstr>
      <vt:lpstr>rates!Z_CFF18104_9957_4B22_A0BF_E0E9089CC41B_.wvu.Rows</vt:lpstr>
      <vt:lpstr>rates!Z_E64C861B_828F_4357_A2C1_687220A83D03_.wvu.Rows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</dc:creator>
  <cp:lastModifiedBy>Sanjay kumar</cp:lastModifiedBy>
  <cp:lastPrinted>2024-06-20T13:56:38Z</cp:lastPrinted>
  <dcterms:created xsi:type="dcterms:W3CDTF">2013-11-19T12:43:53Z</dcterms:created>
  <dcterms:modified xsi:type="dcterms:W3CDTF">2025-06-24T08:23:55Z</dcterms:modified>
</cp:coreProperties>
</file>